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jay\Desktop\"/>
    </mc:Choice>
  </mc:AlternateContent>
  <xr:revisionPtr revIDLastSave="0" documentId="13_ncr:1_{9A667919-DBBE-46E7-BC94-BB44B2F23657}" xr6:coauthVersionLast="36" xr6:coauthVersionMax="36" xr10:uidLastSave="{00000000-0000-0000-0000-000000000000}"/>
  <bookViews>
    <workbookView xWindow="240" yWindow="75" windowWidth="20055" windowHeight="7935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U255" i="1" l="1"/>
  <c r="U260" i="1"/>
  <c r="U259" i="1"/>
  <c r="U261" i="1" s="1"/>
  <c r="L261" i="1" s="1"/>
  <c r="L259" i="1"/>
  <c r="D267" i="1"/>
  <c r="E267" i="1" s="1"/>
  <c r="C267" i="1"/>
  <c r="C258" i="1"/>
  <c r="D252" i="1"/>
  <c r="C252" i="1"/>
  <c r="C254" i="1" s="1"/>
  <c r="D254" i="1" s="1"/>
  <c r="D251" i="1"/>
  <c r="AQ5" i="1"/>
  <c r="U258" i="1" l="1"/>
  <c r="U254" i="1" s="1"/>
  <c r="C256" i="1" s="1"/>
  <c r="F267" i="1"/>
  <c r="D19" i="1"/>
  <c r="C10" i="1"/>
  <c r="C19" i="1"/>
  <c r="C4" i="1"/>
  <c r="D4" i="1" s="1"/>
  <c r="D3" i="1"/>
  <c r="F19" i="1" l="1"/>
  <c r="E19" i="1"/>
  <c r="C6" i="1"/>
  <c r="Z251" i="1" l="1"/>
  <c r="Z252" i="1" s="1"/>
  <c r="N251" i="1"/>
  <c r="N252" i="1" s="1"/>
  <c r="Y251" i="1"/>
  <c r="Y252" i="1" s="1"/>
  <c r="M251" i="1"/>
  <c r="M252" i="1" s="1"/>
  <c r="U251" i="1"/>
  <c r="U252" i="1" s="1"/>
  <c r="T251" i="1"/>
  <c r="T252" i="1" s="1"/>
  <c r="P251" i="1"/>
  <c r="P252" i="1" s="1"/>
  <c r="X251" i="1"/>
  <c r="X252" i="1" s="1"/>
  <c r="L251" i="1"/>
  <c r="L252" i="1" s="1"/>
  <c r="I251" i="1"/>
  <c r="I252" i="1" s="1"/>
  <c r="W251" i="1"/>
  <c r="W252" i="1" s="1"/>
  <c r="K251" i="1"/>
  <c r="K252" i="1" s="1"/>
  <c r="V251" i="1"/>
  <c r="V252" i="1" s="1"/>
  <c r="J251" i="1"/>
  <c r="J252" i="1" s="1"/>
  <c r="H251" i="1"/>
  <c r="H252" i="1" s="1"/>
  <c r="S251" i="1"/>
  <c r="S252" i="1" s="1"/>
  <c r="G251" i="1"/>
  <c r="G252" i="1" s="1"/>
  <c r="R251" i="1"/>
  <c r="R252" i="1" s="1"/>
  <c r="Q251" i="1"/>
  <c r="Q252" i="1" s="1"/>
  <c r="O251" i="1"/>
  <c r="O252" i="1" s="1"/>
  <c r="Z3" i="1"/>
  <c r="Z4" i="1" s="1"/>
  <c r="X3" i="1"/>
  <c r="X4" i="1" s="1"/>
  <c r="V3" i="1"/>
  <c r="V4" i="1" s="1"/>
  <c r="T3" i="1"/>
  <c r="T4" i="1" s="1"/>
  <c r="R3" i="1"/>
  <c r="R4" i="1" s="1"/>
  <c r="P3" i="1"/>
  <c r="P4" i="1" s="1"/>
  <c r="M3" i="1"/>
  <c r="M4" i="1" s="1"/>
  <c r="Y3" i="1"/>
  <c r="Y4" i="1" s="1"/>
  <c r="W3" i="1"/>
  <c r="W4" i="1" s="1"/>
  <c r="U3" i="1"/>
  <c r="U4" i="1" s="1"/>
  <c r="S3" i="1"/>
  <c r="S4" i="1" s="1"/>
  <c r="Q3" i="1"/>
  <c r="Q4" i="1" s="1"/>
  <c r="N3" i="1"/>
  <c r="N4" i="1" s="1"/>
  <c r="L3" i="1"/>
  <c r="L4" i="1" s="1"/>
  <c r="O3" i="1"/>
  <c r="O4" i="1" s="1"/>
  <c r="G3" i="1"/>
  <c r="J3" i="1"/>
  <c r="J4" i="1" s="1"/>
  <c r="H3" i="1"/>
  <c r="H4" i="1" s="1"/>
  <c r="D6" i="1"/>
  <c r="K3" i="1"/>
  <c r="K4" i="1" s="1"/>
  <c r="I3" i="1"/>
  <c r="I4" i="1" s="1"/>
  <c r="G4" i="1"/>
  <c r="I19" i="1" l="1"/>
  <c r="I267" i="1"/>
  <c r="CK19" i="1"/>
  <c r="CK267" i="1"/>
  <c r="BB19" i="1"/>
  <c r="BB267" i="1"/>
  <c r="CA19" i="1"/>
  <c r="CA267" i="1"/>
  <c r="AC19" i="1"/>
  <c r="AC267" i="1"/>
  <c r="AM19" i="1"/>
  <c r="AM267" i="1"/>
  <c r="BL19" i="1"/>
  <c r="BL267" i="1"/>
  <c r="BV19" i="1"/>
  <c r="BV267" i="1"/>
  <c r="CF19" i="1"/>
  <c r="CF267" i="1"/>
  <c r="CU19" i="1"/>
  <c r="CU267" i="1"/>
  <c r="AW19" i="1"/>
  <c r="AW267" i="1"/>
  <c r="AH19" i="1"/>
  <c r="AH267" i="1"/>
  <c r="CZ19" i="1"/>
  <c r="CZ267" i="1"/>
  <c r="S19" i="1"/>
  <c r="S267" i="1"/>
  <c r="H19" i="1"/>
  <c r="N19" i="1"/>
  <c r="N267" i="1"/>
  <c r="X19" i="1"/>
  <c r="X267" i="1"/>
  <c r="CP19" i="1"/>
  <c r="CP267" i="1"/>
  <c r="AR19" i="1"/>
  <c r="AR267" i="1"/>
  <c r="BG19" i="1"/>
  <c r="BG267" i="1"/>
  <c r="BQ19" i="1"/>
  <c r="BQ267" i="1"/>
  <c r="BH267" i="1" l="1"/>
  <c r="BI267" i="1"/>
  <c r="AT19" i="1"/>
  <c r="AV19" i="1" s="1"/>
  <c r="AS19" i="1"/>
  <c r="CB267" i="1"/>
  <c r="CC267" i="1"/>
  <c r="BC267" i="1"/>
  <c r="BD267" i="1"/>
  <c r="AI267" i="1"/>
  <c r="AJ267" i="1"/>
  <c r="AS267" i="1"/>
  <c r="AT267" i="1"/>
  <c r="AD19" i="1"/>
  <c r="AE19" i="1"/>
  <c r="CQ19" i="1"/>
  <c r="CR19" i="1"/>
  <c r="CT19" i="1" s="1"/>
  <c r="Y267" i="1"/>
  <c r="Z267" i="1"/>
  <c r="CH19" i="1"/>
  <c r="CJ19" i="1" s="1"/>
  <c r="CG19" i="1"/>
  <c r="BD19" i="1"/>
  <c r="BF19" i="1" s="1"/>
  <c r="BC19" i="1"/>
  <c r="BI19" i="1"/>
  <c r="BK19" i="1" s="1"/>
  <c r="BH19" i="1"/>
  <c r="AX267" i="1"/>
  <c r="AY267" i="1"/>
  <c r="CV267" i="1"/>
  <c r="CW267" i="1"/>
  <c r="O267" i="1"/>
  <c r="P267" i="1"/>
  <c r="BW267" i="1"/>
  <c r="BX267" i="1"/>
  <c r="CL267" i="1"/>
  <c r="CM267" i="1"/>
  <c r="AN19" i="1"/>
  <c r="AO19" i="1"/>
  <c r="AQ19" i="1" s="1"/>
  <c r="AX19" i="1"/>
  <c r="AY19" i="1"/>
  <c r="BA19" i="1" s="1"/>
  <c r="CG267" i="1"/>
  <c r="CH267" i="1"/>
  <c r="U19" i="1"/>
  <c r="W19" i="1" s="1"/>
  <c r="T19" i="1"/>
  <c r="BX19" i="1"/>
  <c r="BZ19" i="1" s="1"/>
  <c r="BW19" i="1"/>
  <c r="CL19" i="1"/>
  <c r="CM19" i="1"/>
  <c r="CO19" i="1" s="1"/>
  <c r="AI19" i="1"/>
  <c r="AJ19" i="1"/>
  <c r="AL19" i="1" s="1"/>
  <c r="CQ267" i="1"/>
  <c r="CR267" i="1"/>
  <c r="CV19" i="1"/>
  <c r="CW19" i="1"/>
  <c r="CY19" i="1" s="1"/>
  <c r="BR267" i="1"/>
  <c r="BS267" i="1"/>
  <c r="DA267" i="1"/>
  <c r="DB267" i="1"/>
  <c r="BM267" i="1"/>
  <c r="BN267" i="1"/>
  <c r="J267" i="1"/>
  <c r="K267" i="1"/>
  <c r="AN267" i="1"/>
  <c r="AO267" i="1"/>
  <c r="AD267" i="1"/>
  <c r="AE267" i="1"/>
  <c r="H256" i="1" s="1"/>
  <c r="CC19" i="1"/>
  <c r="CE19" i="1" s="1"/>
  <c r="CB19" i="1"/>
  <c r="Z19" i="1"/>
  <c r="AB19" i="1" s="1"/>
  <c r="Y19" i="1"/>
  <c r="T267" i="1"/>
  <c r="U267" i="1"/>
  <c r="P19" i="1"/>
  <c r="R19" i="1" s="1"/>
  <c r="O19" i="1"/>
  <c r="BS19" i="1"/>
  <c r="BU19" i="1" s="1"/>
  <c r="BR19" i="1"/>
  <c r="DA19" i="1"/>
  <c r="DB19" i="1"/>
  <c r="DD19" i="1" s="1"/>
  <c r="BN19" i="1"/>
  <c r="BP19" i="1" s="1"/>
  <c r="BM19" i="1"/>
  <c r="K19" i="1"/>
  <c r="M19" i="1" s="1"/>
  <c r="J19" i="1"/>
  <c r="H8" i="1" l="1"/>
  <c r="AG19" i="1"/>
  <c r="M8" i="1" s="1"/>
  <c r="C343" i="1" l="1"/>
  <c r="C355" i="1"/>
  <c r="C367" i="1"/>
  <c r="C379" i="1"/>
  <c r="C391" i="1"/>
  <c r="C403" i="1"/>
  <c r="C415" i="1"/>
  <c r="C427" i="1"/>
  <c r="C439" i="1"/>
  <c r="C451" i="1"/>
  <c r="C463" i="1"/>
  <c r="C475" i="1"/>
  <c r="C487" i="1"/>
  <c r="C337" i="1"/>
  <c r="C275" i="1"/>
  <c r="C287" i="1"/>
  <c r="C299" i="1"/>
  <c r="C311" i="1"/>
  <c r="C323" i="1"/>
  <c r="C268" i="1"/>
  <c r="C328" i="1"/>
  <c r="C293" i="1"/>
  <c r="C413" i="1"/>
  <c r="C414" i="1"/>
  <c r="C322" i="1"/>
  <c r="C344" i="1"/>
  <c r="C356" i="1"/>
  <c r="C368" i="1"/>
  <c r="C380" i="1"/>
  <c r="C392" i="1"/>
  <c r="C404" i="1"/>
  <c r="C416" i="1"/>
  <c r="C428" i="1"/>
  <c r="C440" i="1"/>
  <c r="C452" i="1"/>
  <c r="C464" i="1"/>
  <c r="C476" i="1"/>
  <c r="C488" i="1"/>
  <c r="C269" i="1"/>
  <c r="C276" i="1"/>
  <c r="C288" i="1"/>
  <c r="C300" i="1"/>
  <c r="C312" i="1"/>
  <c r="C324" i="1"/>
  <c r="C280" i="1"/>
  <c r="C425" i="1"/>
  <c r="C449" i="1"/>
  <c r="C297" i="1"/>
  <c r="C342" i="1"/>
  <c r="C298" i="1"/>
  <c r="C345" i="1"/>
  <c r="C357" i="1"/>
  <c r="C369" i="1"/>
  <c r="C381" i="1"/>
  <c r="C393" i="1"/>
  <c r="C405" i="1"/>
  <c r="C417" i="1"/>
  <c r="C429" i="1"/>
  <c r="C441" i="1"/>
  <c r="C453" i="1"/>
  <c r="C465" i="1"/>
  <c r="C477" i="1"/>
  <c r="C489" i="1"/>
  <c r="C277" i="1"/>
  <c r="C289" i="1"/>
  <c r="C301" i="1"/>
  <c r="C313" i="1"/>
  <c r="C325" i="1"/>
  <c r="C481" i="1"/>
  <c r="C329" i="1"/>
  <c r="C389" i="1"/>
  <c r="C461" i="1"/>
  <c r="C309" i="1"/>
  <c r="C354" i="1"/>
  <c r="C474" i="1"/>
  <c r="C346" i="1"/>
  <c r="C358" i="1"/>
  <c r="C370" i="1"/>
  <c r="C382" i="1"/>
  <c r="C394" i="1"/>
  <c r="C406" i="1"/>
  <c r="C418" i="1"/>
  <c r="C430" i="1"/>
  <c r="C442" i="1"/>
  <c r="C454" i="1"/>
  <c r="C466" i="1"/>
  <c r="C478" i="1"/>
  <c r="C490" i="1"/>
  <c r="C278" i="1"/>
  <c r="C290" i="1"/>
  <c r="C302" i="1"/>
  <c r="C314" i="1"/>
  <c r="C326" i="1"/>
  <c r="C316" i="1"/>
  <c r="C281" i="1"/>
  <c r="C437" i="1"/>
  <c r="C485" i="1"/>
  <c r="C390" i="1"/>
  <c r="C310" i="1"/>
  <c r="C347" i="1"/>
  <c r="C359" i="1"/>
  <c r="C371" i="1"/>
  <c r="C383" i="1"/>
  <c r="C395" i="1"/>
  <c r="C407" i="1"/>
  <c r="C419" i="1"/>
  <c r="C431" i="1"/>
  <c r="C443" i="1"/>
  <c r="C455" i="1"/>
  <c r="C467" i="1"/>
  <c r="C479" i="1"/>
  <c r="C491" i="1"/>
  <c r="C279" i="1"/>
  <c r="C291" i="1"/>
  <c r="C303" i="1"/>
  <c r="C315" i="1"/>
  <c r="C327" i="1"/>
  <c r="C304" i="1"/>
  <c r="C305" i="1"/>
  <c r="C317" i="1"/>
  <c r="C401" i="1"/>
  <c r="C321" i="1"/>
  <c r="C426" i="1"/>
  <c r="C336" i="1"/>
  <c r="C348" i="1"/>
  <c r="C360" i="1"/>
  <c r="C372" i="1"/>
  <c r="C384" i="1"/>
  <c r="C396" i="1"/>
  <c r="C408" i="1"/>
  <c r="C420" i="1"/>
  <c r="C432" i="1"/>
  <c r="C444" i="1"/>
  <c r="C456" i="1"/>
  <c r="C468" i="1"/>
  <c r="C480" i="1"/>
  <c r="C492" i="1"/>
  <c r="C292" i="1"/>
  <c r="C377" i="1"/>
  <c r="C285" i="1"/>
  <c r="C402" i="1"/>
  <c r="C486" i="1"/>
  <c r="C349" i="1"/>
  <c r="C361" i="1"/>
  <c r="C373" i="1"/>
  <c r="C385" i="1"/>
  <c r="C397" i="1"/>
  <c r="C409" i="1"/>
  <c r="C421" i="1"/>
  <c r="C433" i="1"/>
  <c r="C445" i="1"/>
  <c r="C457" i="1"/>
  <c r="C469" i="1"/>
  <c r="C493" i="1"/>
  <c r="C335" i="1"/>
  <c r="C378" i="1"/>
  <c r="C274" i="1"/>
  <c r="C338" i="1"/>
  <c r="C350" i="1"/>
  <c r="C362" i="1"/>
  <c r="C374" i="1"/>
  <c r="C386" i="1"/>
  <c r="C398" i="1"/>
  <c r="C410" i="1"/>
  <c r="C422" i="1"/>
  <c r="C434" i="1"/>
  <c r="C446" i="1"/>
  <c r="C458" i="1"/>
  <c r="C470" i="1"/>
  <c r="C482" i="1"/>
  <c r="C494" i="1"/>
  <c r="C270" i="1"/>
  <c r="C282" i="1"/>
  <c r="C294" i="1"/>
  <c r="C306" i="1"/>
  <c r="C318" i="1"/>
  <c r="C330" i="1"/>
  <c r="C484" i="1"/>
  <c r="C296" i="1"/>
  <c r="C332" i="1"/>
  <c r="C353" i="1"/>
  <c r="C473" i="1"/>
  <c r="C450" i="1"/>
  <c r="C286" i="1"/>
  <c r="C339" i="1"/>
  <c r="C351" i="1"/>
  <c r="C363" i="1"/>
  <c r="C375" i="1"/>
  <c r="C387" i="1"/>
  <c r="C399" i="1"/>
  <c r="C411" i="1"/>
  <c r="C423" i="1"/>
  <c r="C435" i="1"/>
  <c r="C447" i="1"/>
  <c r="C459" i="1"/>
  <c r="C471" i="1"/>
  <c r="C483" i="1"/>
  <c r="C333" i="1"/>
  <c r="C271" i="1"/>
  <c r="C283" i="1"/>
  <c r="C295" i="1"/>
  <c r="C307" i="1"/>
  <c r="C319" i="1"/>
  <c r="C331" i="1"/>
  <c r="C334" i="1"/>
  <c r="C284" i="1"/>
  <c r="C320" i="1"/>
  <c r="C365" i="1"/>
  <c r="C273" i="1"/>
  <c r="C366" i="1"/>
  <c r="C462" i="1"/>
  <c r="C340" i="1"/>
  <c r="C352" i="1"/>
  <c r="C364" i="1"/>
  <c r="C376" i="1"/>
  <c r="C388" i="1"/>
  <c r="C400" i="1"/>
  <c r="C412" i="1"/>
  <c r="C424" i="1"/>
  <c r="C436" i="1"/>
  <c r="C448" i="1"/>
  <c r="C460" i="1"/>
  <c r="C472" i="1"/>
  <c r="C272" i="1"/>
  <c r="C308" i="1"/>
  <c r="C341" i="1"/>
  <c r="C438" i="1"/>
  <c r="Q267" i="1"/>
  <c r="G267" i="1"/>
  <c r="C98" i="1"/>
  <c r="C146" i="1"/>
  <c r="C194" i="1"/>
  <c r="C242" i="1"/>
  <c r="C103" i="1"/>
  <c r="C151" i="1"/>
  <c r="C199" i="1"/>
  <c r="C58" i="1"/>
  <c r="C59" i="1"/>
  <c r="C76" i="1"/>
  <c r="C124" i="1"/>
  <c r="C172" i="1"/>
  <c r="C220" i="1"/>
  <c r="C81" i="1"/>
  <c r="C129" i="1"/>
  <c r="C177" i="1"/>
  <c r="C225" i="1"/>
  <c r="C32" i="1"/>
  <c r="C27" i="1"/>
  <c r="C56" i="1"/>
  <c r="C47" i="1"/>
  <c r="AF19" i="1"/>
  <c r="C243" i="1"/>
  <c r="C35" i="1"/>
  <c r="Q19" i="1"/>
  <c r="C102" i="1"/>
  <c r="C150" i="1"/>
  <c r="C198" i="1"/>
  <c r="C246" i="1"/>
  <c r="C107" i="1"/>
  <c r="C155" i="1"/>
  <c r="C203" i="1"/>
  <c r="C22" i="1"/>
  <c r="C44" i="1"/>
  <c r="C80" i="1"/>
  <c r="C128" i="1"/>
  <c r="C176" i="1"/>
  <c r="C224" i="1"/>
  <c r="C85" i="1"/>
  <c r="C133" i="1"/>
  <c r="C181" i="1"/>
  <c r="C229" i="1"/>
  <c r="C37" i="1"/>
  <c r="H7" i="1"/>
  <c r="C161" i="1"/>
  <c r="C30" i="1"/>
  <c r="C94" i="1"/>
  <c r="C168" i="1"/>
  <c r="AU19" i="1"/>
  <c r="C40" i="1"/>
  <c r="C106" i="1"/>
  <c r="C154" i="1"/>
  <c r="C202" i="1"/>
  <c r="C63" i="1"/>
  <c r="C111" i="1"/>
  <c r="C159" i="1"/>
  <c r="C207" i="1"/>
  <c r="C26" i="1"/>
  <c r="C51" i="1"/>
  <c r="C84" i="1"/>
  <c r="C132" i="1"/>
  <c r="C180" i="1"/>
  <c r="C228" i="1"/>
  <c r="C89" i="1"/>
  <c r="C137" i="1"/>
  <c r="C185" i="1"/>
  <c r="C233" i="1"/>
  <c r="C29" i="1"/>
  <c r="AA19" i="1"/>
  <c r="C113" i="1"/>
  <c r="C234" i="1"/>
  <c r="C121" i="1"/>
  <c r="C54" i="1"/>
  <c r="C62" i="1"/>
  <c r="C110" i="1"/>
  <c r="C158" i="1"/>
  <c r="C206" i="1"/>
  <c r="C67" i="1"/>
  <c r="C115" i="1"/>
  <c r="C163" i="1"/>
  <c r="C211" i="1"/>
  <c r="C48" i="1"/>
  <c r="C43" i="1"/>
  <c r="C88" i="1"/>
  <c r="C136" i="1"/>
  <c r="C184" i="1"/>
  <c r="C232" i="1"/>
  <c r="C93" i="1"/>
  <c r="C141" i="1"/>
  <c r="C189" i="1"/>
  <c r="C237" i="1"/>
  <c r="C34" i="1"/>
  <c r="G19" i="1"/>
  <c r="C209" i="1"/>
  <c r="C57" i="1"/>
  <c r="C164" i="1"/>
  <c r="BY19" i="1"/>
  <c r="C238" i="1"/>
  <c r="C216" i="1"/>
  <c r="CX19" i="1"/>
  <c r="C66" i="1"/>
  <c r="C114" i="1"/>
  <c r="C162" i="1"/>
  <c r="C210" i="1"/>
  <c r="C71" i="1"/>
  <c r="C119" i="1"/>
  <c r="C167" i="1"/>
  <c r="C215" i="1"/>
  <c r="C53" i="1"/>
  <c r="C36" i="1"/>
  <c r="C92" i="1"/>
  <c r="C140" i="1"/>
  <c r="C188" i="1"/>
  <c r="C236" i="1"/>
  <c r="C97" i="1"/>
  <c r="C145" i="1"/>
  <c r="C193" i="1"/>
  <c r="C241" i="1"/>
  <c r="C21" i="1"/>
  <c r="V19" i="1"/>
  <c r="C156" i="1"/>
  <c r="CI19" i="1"/>
  <c r="C95" i="1"/>
  <c r="C68" i="1"/>
  <c r="C169" i="1"/>
  <c r="C147" i="1"/>
  <c r="C38" i="1"/>
  <c r="C70" i="1"/>
  <c r="C118" i="1"/>
  <c r="C166" i="1"/>
  <c r="C214" i="1"/>
  <c r="C75" i="1"/>
  <c r="C123" i="1"/>
  <c r="C171" i="1"/>
  <c r="C219" i="1"/>
  <c r="C45" i="1"/>
  <c r="C39" i="1"/>
  <c r="C96" i="1"/>
  <c r="C144" i="1"/>
  <c r="C192" i="1"/>
  <c r="C240" i="1"/>
  <c r="C101" i="1"/>
  <c r="C149" i="1"/>
  <c r="C197" i="1"/>
  <c r="C245" i="1"/>
  <c r="C41" i="1"/>
  <c r="C108" i="1"/>
  <c r="C191" i="1"/>
  <c r="C116" i="1"/>
  <c r="C28" i="1"/>
  <c r="C77" i="1"/>
  <c r="CD19" i="1"/>
  <c r="C74" i="1"/>
  <c r="C122" i="1"/>
  <c r="C170" i="1"/>
  <c r="C218" i="1"/>
  <c r="C79" i="1"/>
  <c r="C127" i="1"/>
  <c r="C175" i="1"/>
  <c r="C223" i="1"/>
  <c r="C20" i="1"/>
  <c r="C31" i="1"/>
  <c r="C100" i="1"/>
  <c r="C148" i="1"/>
  <c r="C196" i="1"/>
  <c r="C244" i="1"/>
  <c r="C105" i="1"/>
  <c r="C153" i="1"/>
  <c r="C201" i="1"/>
  <c r="C42" i="1"/>
  <c r="C52" i="1"/>
  <c r="C204" i="1"/>
  <c r="C143" i="1"/>
  <c r="C212" i="1"/>
  <c r="C120" i="1"/>
  <c r="BT19" i="1"/>
  <c r="C78" i="1"/>
  <c r="C126" i="1"/>
  <c r="C174" i="1"/>
  <c r="C222" i="1"/>
  <c r="C83" i="1"/>
  <c r="C131" i="1"/>
  <c r="C179" i="1"/>
  <c r="C227" i="1"/>
  <c r="C24" i="1"/>
  <c r="C23" i="1"/>
  <c r="C104" i="1"/>
  <c r="C152" i="1"/>
  <c r="C200" i="1"/>
  <c r="C61" i="1"/>
  <c r="C109" i="1"/>
  <c r="C157" i="1"/>
  <c r="C205" i="1"/>
  <c r="C46" i="1"/>
  <c r="C55" i="1"/>
  <c r="C60" i="1"/>
  <c r="C138" i="1"/>
  <c r="C239" i="1"/>
  <c r="C49" i="1"/>
  <c r="C190" i="1"/>
  <c r="C72" i="1"/>
  <c r="C221" i="1"/>
  <c r="DC19" i="1"/>
  <c r="C82" i="1"/>
  <c r="C130" i="1"/>
  <c r="C178" i="1"/>
  <c r="C226" i="1"/>
  <c r="C87" i="1"/>
  <c r="C135" i="1"/>
  <c r="C183" i="1"/>
  <c r="C231" i="1"/>
  <c r="C33" i="1"/>
  <c r="C65" i="1"/>
  <c r="C90" i="1"/>
  <c r="C73" i="1"/>
  <c r="C142" i="1"/>
  <c r="C195" i="1"/>
  <c r="C125" i="1"/>
  <c r="CS19" i="1"/>
  <c r="AZ19" i="1"/>
  <c r="C86" i="1"/>
  <c r="C134" i="1"/>
  <c r="C182" i="1"/>
  <c r="C230" i="1"/>
  <c r="C91" i="1"/>
  <c r="C139" i="1"/>
  <c r="C187" i="1"/>
  <c r="C235" i="1"/>
  <c r="C25" i="1"/>
  <c r="C64" i="1"/>
  <c r="C112" i="1"/>
  <c r="C160" i="1"/>
  <c r="C208" i="1"/>
  <c r="C69" i="1"/>
  <c r="C117" i="1"/>
  <c r="C165" i="1"/>
  <c r="C213" i="1"/>
  <c r="C186" i="1"/>
  <c r="C50" i="1"/>
  <c r="C217" i="1"/>
  <c r="C99" i="1"/>
  <c r="C173" i="1"/>
  <c r="AP19" i="1"/>
  <c r="DC267" i="1"/>
  <c r="AU267" i="1"/>
  <c r="CN19" i="1"/>
  <c r="BY267" i="1"/>
  <c r="AP267" i="1"/>
  <c r="BJ19" i="1"/>
  <c r="BE267" i="1"/>
  <c r="CS267" i="1"/>
  <c r="AK19" i="1"/>
  <c r="BT267" i="1"/>
  <c r="AZ267" i="1"/>
  <c r="AA267" i="1"/>
  <c r="BJ267" i="1"/>
  <c r="BO19" i="1"/>
  <c r="V267" i="1"/>
  <c r="CI267" i="1"/>
  <c r="CN267" i="1"/>
  <c r="AK267" i="1"/>
  <c r="BE19" i="1"/>
  <c r="L19" i="1"/>
  <c r="CD267" i="1"/>
  <c r="AF267" i="1"/>
  <c r="BO267" i="1"/>
  <c r="CX267" i="1"/>
  <c r="L267" i="1"/>
  <c r="D20" i="1" l="1"/>
  <c r="D268" i="1"/>
  <c r="F268" i="1" l="1"/>
  <c r="E268" i="1"/>
  <c r="F20" i="1"/>
  <c r="H20" i="1" s="1"/>
  <c r="E20" i="1"/>
  <c r="G20" i="1" l="1"/>
  <c r="I20" i="1" s="1"/>
  <c r="Q20" i="1"/>
  <c r="S20" i="1" s="1"/>
  <c r="U20" i="1" s="1"/>
  <c r="W20" i="1" s="1"/>
  <c r="Q268" i="1"/>
  <c r="S268" i="1" s="1"/>
  <c r="G268" i="1"/>
  <c r="I268" i="1" s="1"/>
  <c r="T20" i="1"/>
  <c r="V20" i="1" s="1"/>
  <c r="X20" i="1" s="1"/>
  <c r="J268" i="1" l="1"/>
  <c r="L268" i="1" s="1"/>
  <c r="N268" i="1" s="1"/>
  <c r="K268" i="1"/>
  <c r="D269" i="1"/>
  <c r="U268" i="1"/>
  <c r="T268" i="1"/>
  <c r="V268" i="1" s="1"/>
  <c r="X268" i="1" s="1"/>
  <c r="K20" i="1"/>
  <c r="M20" i="1" s="1"/>
  <c r="J20" i="1"/>
  <c r="L20" i="1" s="1"/>
  <c r="N20" i="1" s="1"/>
  <c r="D21" i="1"/>
  <c r="Z20" i="1"/>
  <c r="AB20" i="1" s="1"/>
  <c r="F21" i="1" l="1"/>
  <c r="H21" i="1" s="1"/>
  <c r="E21" i="1"/>
  <c r="O20" i="1"/>
  <c r="P20" i="1"/>
  <c r="R20" i="1" s="1"/>
  <c r="E269" i="1"/>
  <c r="F269" i="1"/>
  <c r="Y268" i="1"/>
  <c r="AA268" i="1" s="1"/>
  <c r="AC268" i="1" s="1"/>
  <c r="Z268" i="1"/>
  <c r="O268" i="1"/>
  <c r="P268" i="1"/>
  <c r="Y20" i="1"/>
  <c r="AA20" i="1" s="1"/>
  <c r="AC20" i="1" s="1"/>
  <c r="AE268" i="1" l="1"/>
  <c r="AD268" i="1"/>
  <c r="AF268" i="1" s="1"/>
  <c r="AH268" i="1" s="1"/>
  <c r="Q269" i="1"/>
  <c r="S269" i="1" s="1"/>
  <c r="G269" i="1"/>
  <c r="I269" i="1" s="1"/>
  <c r="Q21" i="1"/>
  <c r="S21" i="1" s="1"/>
  <c r="U21" i="1" s="1"/>
  <c r="W21" i="1" s="1"/>
  <c r="G21" i="1"/>
  <c r="I21" i="1" s="1"/>
  <c r="AD20" i="1"/>
  <c r="AF20" i="1" s="1"/>
  <c r="AH20" i="1" s="1"/>
  <c r="AE20" i="1"/>
  <c r="AG20" i="1" s="1"/>
  <c r="T21" i="1" l="1"/>
  <c r="V21" i="1" s="1"/>
  <c r="X21" i="1" s="1"/>
  <c r="K21" i="1"/>
  <c r="M21" i="1" s="1"/>
  <c r="J21" i="1"/>
  <c r="L21" i="1" s="1"/>
  <c r="N21" i="1" s="1"/>
  <c r="D22" i="1"/>
  <c r="K269" i="1"/>
  <c r="J269" i="1"/>
  <c r="L269" i="1" s="1"/>
  <c r="N269" i="1" s="1"/>
  <c r="D270" i="1"/>
  <c r="U269" i="1"/>
  <c r="T269" i="1"/>
  <c r="V269" i="1" s="1"/>
  <c r="X269" i="1" s="1"/>
  <c r="AI268" i="1"/>
  <c r="AK268" i="1" s="1"/>
  <c r="AM268" i="1" s="1"/>
  <c r="AJ268" i="1"/>
  <c r="AJ20" i="1"/>
  <c r="AL20" i="1" s="1"/>
  <c r="AI20" i="1"/>
  <c r="AK20" i="1" s="1"/>
  <c r="AM20" i="1" s="1"/>
  <c r="Z21" i="1"/>
  <c r="AB21" i="1" s="1"/>
  <c r="Y21" i="1"/>
  <c r="AA21" i="1" s="1"/>
  <c r="AC21" i="1" s="1"/>
  <c r="F270" i="1" l="1"/>
  <c r="E270" i="1"/>
  <c r="Y269" i="1"/>
  <c r="AA269" i="1" s="1"/>
  <c r="AC269" i="1" s="1"/>
  <c r="Z269" i="1"/>
  <c r="O269" i="1"/>
  <c r="P269" i="1"/>
  <c r="F22" i="1"/>
  <c r="H22" i="1" s="1"/>
  <c r="E22" i="1"/>
  <c r="AO268" i="1"/>
  <c r="AN268" i="1"/>
  <c r="AP268" i="1" s="1"/>
  <c r="AR268" i="1" s="1"/>
  <c r="O21" i="1"/>
  <c r="P21" i="1"/>
  <c r="R21" i="1" s="1"/>
  <c r="AO20" i="1"/>
  <c r="AQ20" i="1" s="1"/>
  <c r="AN20" i="1"/>
  <c r="AP20" i="1" s="1"/>
  <c r="AR20" i="1" s="1"/>
  <c r="AD21" i="1"/>
  <c r="AF21" i="1" s="1"/>
  <c r="AH21" i="1" s="1"/>
  <c r="AE21" i="1"/>
  <c r="AG21" i="1" s="1"/>
  <c r="AT268" i="1" l="1"/>
  <c r="AS268" i="1"/>
  <c r="AU268" i="1" s="1"/>
  <c r="AW268" i="1" s="1"/>
  <c r="Q270" i="1"/>
  <c r="S270" i="1" s="1"/>
  <c r="G270" i="1"/>
  <c r="I270" i="1" s="1"/>
  <c r="G22" i="1"/>
  <c r="I22" i="1" s="1"/>
  <c r="Q22" i="1"/>
  <c r="S22" i="1" s="1"/>
  <c r="AE269" i="1"/>
  <c r="AD269" i="1"/>
  <c r="AF269" i="1" s="1"/>
  <c r="AH269" i="1" s="1"/>
  <c r="AT20" i="1"/>
  <c r="AV20" i="1" s="1"/>
  <c r="AS20" i="1"/>
  <c r="AU20" i="1" s="1"/>
  <c r="AW20" i="1" s="1"/>
  <c r="AI21" i="1"/>
  <c r="AK21" i="1" s="1"/>
  <c r="AM21" i="1" s="1"/>
  <c r="AJ21" i="1"/>
  <c r="AL21" i="1" s="1"/>
  <c r="AJ269" i="1" l="1"/>
  <c r="AI269" i="1"/>
  <c r="AK269" i="1" s="1"/>
  <c r="AM269" i="1" s="1"/>
  <c r="U22" i="1"/>
  <c r="W22" i="1" s="1"/>
  <c r="T22" i="1"/>
  <c r="V22" i="1" s="1"/>
  <c r="X22" i="1" s="1"/>
  <c r="K270" i="1"/>
  <c r="J270" i="1"/>
  <c r="L270" i="1" s="1"/>
  <c r="N270" i="1" s="1"/>
  <c r="D271" i="1"/>
  <c r="T270" i="1"/>
  <c r="V270" i="1" s="1"/>
  <c r="X270" i="1" s="1"/>
  <c r="U270" i="1"/>
  <c r="J22" i="1"/>
  <c r="L22" i="1" s="1"/>
  <c r="N22" i="1" s="1"/>
  <c r="K22" i="1"/>
  <c r="M22" i="1" s="1"/>
  <c r="D23" i="1"/>
  <c r="AY268" i="1"/>
  <c r="AX268" i="1"/>
  <c r="AZ268" i="1" s="1"/>
  <c r="BB268" i="1" s="1"/>
  <c r="AY20" i="1"/>
  <c r="BA20" i="1" s="1"/>
  <c r="AX20" i="1"/>
  <c r="AZ20" i="1" s="1"/>
  <c r="BB20" i="1" s="1"/>
  <c r="AO21" i="1"/>
  <c r="AQ21" i="1" s="1"/>
  <c r="AN21" i="1"/>
  <c r="AP21" i="1" s="1"/>
  <c r="AR21" i="1" s="1"/>
  <c r="P270" i="1" l="1"/>
  <c r="O270" i="1"/>
  <c r="Z270" i="1"/>
  <c r="Y270" i="1"/>
  <c r="AA270" i="1" s="1"/>
  <c r="AC270" i="1" s="1"/>
  <c r="F271" i="1"/>
  <c r="E271" i="1"/>
  <c r="AO269" i="1"/>
  <c r="AN269" i="1"/>
  <c r="AP269" i="1" s="1"/>
  <c r="AR269" i="1" s="1"/>
  <c r="O22" i="1"/>
  <c r="P22" i="1"/>
  <c r="R22" i="1" s="1"/>
  <c r="BC268" i="1"/>
  <c r="BE268" i="1" s="1"/>
  <c r="BG268" i="1" s="1"/>
  <c r="BD268" i="1"/>
  <c r="E23" i="1"/>
  <c r="F23" i="1"/>
  <c r="H23" i="1" s="1"/>
  <c r="BD20" i="1"/>
  <c r="BF20" i="1" s="1"/>
  <c r="BC20" i="1"/>
  <c r="BE20" i="1" s="1"/>
  <c r="BG20" i="1" s="1"/>
  <c r="AT21" i="1"/>
  <c r="AV21" i="1" s="1"/>
  <c r="AS21" i="1"/>
  <c r="AU21" i="1" s="1"/>
  <c r="AW21" i="1" s="1"/>
  <c r="Z22" i="1"/>
  <c r="AB22" i="1" s="1"/>
  <c r="Y22" i="1"/>
  <c r="AA22" i="1" s="1"/>
  <c r="AC22" i="1" s="1"/>
  <c r="AT269" i="1" l="1"/>
  <c r="AS269" i="1"/>
  <c r="AU269" i="1" s="1"/>
  <c r="AW269" i="1" s="1"/>
  <c r="AE270" i="1"/>
  <c r="AD270" i="1"/>
  <c r="AF270" i="1" s="1"/>
  <c r="AH270" i="1" s="1"/>
  <c r="Q271" i="1"/>
  <c r="S271" i="1" s="1"/>
  <c r="G271" i="1"/>
  <c r="I271" i="1" s="1"/>
  <c r="G23" i="1"/>
  <c r="I23" i="1" s="1"/>
  <c r="Q23" i="1"/>
  <c r="S23" i="1" s="1"/>
  <c r="U23" i="1" s="1"/>
  <c r="W23" i="1" s="1"/>
  <c r="BH268" i="1"/>
  <c r="BJ268" i="1" s="1"/>
  <c r="BL268" i="1" s="1"/>
  <c r="BI268" i="1"/>
  <c r="BI20" i="1"/>
  <c r="BK20" i="1" s="1"/>
  <c r="BH20" i="1"/>
  <c r="BJ20" i="1" s="1"/>
  <c r="BL20" i="1" s="1"/>
  <c r="AY21" i="1"/>
  <c r="BA21" i="1" s="1"/>
  <c r="AX21" i="1"/>
  <c r="AZ21" i="1" s="1"/>
  <c r="BB21" i="1" s="1"/>
  <c r="AE22" i="1"/>
  <c r="AG22" i="1" s="1"/>
  <c r="AD22" i="1"/>
  <c r="AF22" i="1" s="1"/>
  <c r="AH22" i="1" s="1"/>
  <c r="K23" i="1" l="1"/>
  <c r="M23" i="1" s="1"/>
  <c r="D24" i="1"/>
  <c r="J23" i="1"/>
  <c r="L23" i="1" s="1"/>
  <c r="N23" i="1" s="1"/>
  <c r="T271" i="1"/>
  <c r="V271" i="1" s="1"/>
  <c r="X271" i="1" s="1"/>
  <c r="U271" i="1"/>
  <c r="BN268" i="1"/>
  <c r="BM268" i="1"/>
  <c r="BO268" i="1" s="1"/>
  <c r="BQ268" i="1" s="1"/>
  <c r="AJ270" i="1"/>
  <c r="AI270" i="1"/>
  <c r="AK270" i="1" s="1"/>
  <c r="AM270" i="1" s="1"/>
  <c r="AX269" i="1"/>
  <c r="AZ269" i="1" s="1"/>
  <c r="BB269" i="1" s="1"/>
  <c r="AY269" i="1"/>
  <c r="J271" i="1"/>
  <c r="L271" i="1" s="1"/>
  <c r="N271" i="1" s="1"/>
  <c r="K271" i="1"/>
  <c r="D272" i="1"/>
  <c r="T23" i="1"/>
  <c r="V23" i="1" s="1"/>
  <c r="X23" i="1" s="1"/>
  <c r="BN20" i="1"/>
  <c r="BP20" i="1" s="1"/>
  <c r="BM20" i="1"/>
  <c r="BO20" i="1" s="1"/>
  <c r="BQ20" i="1" s="1"/>
  <c r="BC21" i="1"/>
  <c r="BE21" i="1" s="1"/>
  <c r="BG21" i="1" s="1"/>
  <c r="BD21" i="1"/>
  <c r="BF21" i="1" s="1"/>
  <c r="AJ22" i="1"/>
  <c r="AL22" i="1" s="1"/>
  <c r="AI22" i="1"/>
  <c r="AK22" i="1" s="1"/>
  <c r="AM22" i="1" s="1"/>
  <c r="BS268" i="1" l="1"/>
  <c r="BR268" i="1"/>
  <c r="BT268" i="1" s="1"/>
  <c r="BV268" i="1" s="1"/>
  <c r="Z271" i="1"/>
  <c r="Y271" i="1"/>
  <c r="AA271" i="1" s="1"/>
  <c r="AC271" i="1" s="1"/>
  <c r="O23" i="1"/>
  <c r="P23" i="1"/>
  <c r="R23" i="1" s="1"/>
  <c r="AO270" i="1"/>
  <c r="AN270" i="1"/>
  <c r="AP270" i="1" s="1"/>
  <c r="AR270" i="1" s="1"/>
  <c r="F272" i="1"/>
  <c r="E272" i="1"/>
  <c r="F24" i="1"/>
  <c r="H24" i="1" s="1"/>
  <c r="E24" i="1"/>
  <c r="BD269" i="1"/>
  <c r="BC269" i="1"/>
  <c r="BE269" i="1" s="1"/>
  <c r="BG269" i="1" s="1"/>
  <c r="P271" i="1"/>
  <c r="O271" i="1"/>
  <c r="BS20" i="1"/>
  <c r="BU20" i="1" s="1"/>
  <c r="BR20" i="1"/>
  <c r="BT20" i="1" s="1"/>
  <c r="BV20" i="1" s="1"/>
  <c r="BI21" i="1"/>
  <c r="BK21" i="1" s="1"/>
  <c r="BH21" i="1"/>
  <c r="BJ21" i="1" s="1"/>
  <c r="BL21" i="1" s="1"/>
  <c r="AN22" i="1"/>
  <c r="AP22" i="1" s="1"/>
  <c r="AR22" i="1" s="1"/>
  <c r="AO22" i="1"/>
  <c r="AQ22" i="1" s="1"/>
  <c r="BH269" i="1" l="1"/>
  <c r="BJ269" i="1" s="1"/>
  <c r="BL269" i="1" s="1"/>
  <c r="BI269" i="1"/>
  <c r="AT270" i="1"/>
  <c r="AS270" i="1"/>
  <c r="AU270" i="1" s="1"/>
  <c r="AW270" i="1" s="1"/>
  <c r="AE271" i="1"/>
  <c r="AD271" i="1"/>
  <c r="AF271" i="1" s="1"/>
  <c r="AH271" i="1" s="1"/>
  <c r="Q24" i="1"/>
  <c r="S24" i="1" s="1"/>
  <c r="G24" i="1"/>
  <c r="I24" i="1" s="1"/>
  <c r="BW268" i="1"/>
  <c r="BY268" i="1" s="1"/>
  <c r="CA268" i="1" s="1"/>
  <c r="BX268" i="1"/>
  <c r="G272" i="1"/>
  <c r="I272" i="1" s="1"/>
  <c r="Q272" i="1"/>
  <c r="S272" i="1" s="1"/>
  <c r="BX20" i="1"/>
  <c r="BZ20" i="1" s="1"/>
  <c r="BW20" i="1"/>
  <c r="BY20" i="1" s="1"/>
  <c r="CA20" i="1" s="1"/>
  <c r="BN21" i="1"/>
  <c r="BP21" i="1" s="1"/>
  <c r="BM21" i="1"/>
  <c r="BO21" i="1" s="1"/>
  <c r="BQ21" i="1" s="1"/>
  <c r="AS22" i="1"/>
  <c r="AU22" i="1" s="1"/>
  <c r="AW22" i="1" s="1"/>
  <c r="AT22" i="1"/>
  <c r="AV22" i="1" s="1"/>
  <c r="AY270" i="1" l="1"/>
  <c r="AX270" i="1"/>
  <c r="AZ270" i="1" s="1"/>
  <c r="BB270" i="1" s="1"/>
  <c r="CC268" i="1"/>
  <c r="CB268" i="1"/>
  <c r="CD268" i="1" s="1"/>
  <c r="CF268" i="1" s="1"/>
  <c r="J272" i="1"/>
  <c r="L272" i="1" s="1"/>
  <c r="N272" i="1" s="1"/>
  <c r="K272" i="1"/>
  <c r="D273" i="1"/>
  <c r="U272" i="1"/>
  <c r="T272" i="1"/>
  <c r="V272" i="1" s="1"/>
  <c r="X272" i="1" s="1"/>
  <c r="D25" i="1"/>
  <c r="K24" i="1"/>
  <c r="M24" i="1" s="1"/>
  <c r="J24" i="1"/>
  <c r="L24" i="1" s="1"/>
  <c r="N24" i="1" s="1"/>
  <c r="AJ271" i="1"/>
  <c r="AI271" i="1"/>
  <c r="AK271" i="1" s="1"/>
  <c r="AM271" i="1" s="1"/>
  <c r="BM269" i="1"/>
  <c r="BO269" i="1" s="1"/>
  <c r="BQ269" i="1" s="1"/>
  <c r="BN269" i="1"/>
  <c r="CC20" i="1"/>
  <c r="CE20" i="1" s="1"/>
  <c r="CB20" i="1"/>
  <c r="CD20" i="1" s="1"/>
  <c r="CF20" i="1" s="1"/>
  <c r="BR21" i="1"/>
  <c r="BT21" i="1" s="1"/>
  <c r="BV21" i="1" s="1"/>
  <c r="BS21" i="1"/>
  <c r="BU21" i="1" s="1"/>
  <c r="AY22" i="1"/>
  <c r="BA22" i="1" s="1"/>
  <c r="AX22" i="1"/>
  <c r="AZ22" i="1" s="1"/>
  <c r="BB22" i="1" s="1"/>
  <c r="Z23" i="1"/>
  <c r="AB23" i="1" s="1"/>
  <c r="Y23" i="1"/>
  <c r="AA23" i="1" s="1"/>
  <c r="AC23" i="1" s="1"/>
  <c r="E25" i="1" l="1"/>
  <c r="F25" i="1"/>
  <c r="H25" i="1" s="1"/>
  <c r="Z272" i="1"/>
  <c r="Y272" i="1"/>
  <c r="AA272" i="1" s="1"/>
  <c r="AC272" i="1" s="1"/>
  <c r="F273" i="1"/>
  <c r="E273" i="1"/>
  <c r="BR269" i="1"/>
  <c r="BT269" i="1" s="1"/>
  <c r="BV269" i="1" s="1"/>
  <c r="BS269" i="1"/>
  <c r="CH268" i="1"/>
  <c r="CG268" i="1"/>
  <c r="CI268" i="1" s="1"/>
  <c r="CK268" i="1" s="1"/>
  <c r="AO271" i="1"/>
  <c r="AN271" i="1"/>
  <c r="AP271" i="1" s="1"/>
  <c r="AR271" i="1" s="1"/>
  <c r="O24" i="1"/>
  <c r="P24" i="1"/>
  <c r="R24" i="1" s="1"/>
  <c r="BD270" i="1"/>
  <c r="BC270" i="1"/>
  <c r="BE270" i="1" s="1"/>
  <c r="BG270" i="1" s="1"/>
  <c r="O272" i="1"/>
  <c r="P272" i="1"/>
  <c r="CH20" i="1"/>
  <c r="CJ20" i="1" s="1"/>
  <c r="CG20" i="1"/>
  <c r="CI20" i="1" s="1"/>
  <c r="CK20" i="1" s="1"/>
  <c r="BW21" i="1"/>
  <c r="BY21" i="1" s="1"/>
  <c r="CA21" i="1" s="1"/>
  <c r="BX21" i="1"/>
  <c r="BZ21" i="1" s="1"/>
  <c r="BC22" i="1"/>
  <c r="BE22" i="1" s="1"/>
  <c r="BG22" i="1" s="1"/>
  <c r="BD22" i="1"/>
  <c r="BF22" i="1" s="1"/>
  <c r="AD23" i="1"/>
  <c r="AF23" i="1" s="1"/>
  <c r="AH23" i="1" s="1"/>
  <c r="AE23" i="1"/>
  <c r="AG23" i="1" s="1"/>
  <c r="U24" i="1"/>
  <c r="W24" i="1" s="1"/>
  <c r="T24" i="1"/>
  <c r="Q273" i="1" l="1"/>
  <c r="S273" i="1" s="1"/>
  <c r="G273" i="1"/>
  <c r="I273" i="1" s="1"/>
  <c r="AD272" i="1"/>
  <c r="AF272" i="1" s="1"/>
  <c r="AH272" i="1" s="1"/>
  <c r="AE272" i="1"/>
  <c r="CM268" i="1"/>
  <c r="CL268" i="1"/>
  <c r="CN268" i="1" s="1"/>
  <c r="CP268" i="1" s="1"/>
  <c r="BX269" i="1"/>
  <c r="BW269" i="1"/>
  <c r="BY269" i="1" s="1"/>
  <c r="CA269" i="1" s="1"/>
  <c r="AT271" i="1"/>
  <c r="AS271" i="1"/>
  <c r="AU271" i="1" s="1"/>
  <c r="AW271" i="1" s="1"/>
  <c r="BH270" i="1"/>
  <c r="BJ270" i="1" s="1"/>
  <c r="BL270" i="1" s="1"/>
  <c r="BI270" i="1"/>
  <c r="Q25" i="1"/>
  <c r="G25" i="1"/>
  <c r="I25" i="1" s="1"/>
  <c r="CM20" i="1"/>
  <c r="CO20" i="1" s="1"/>
  <c r="CL20" i="1"/>
  <c r="CN20" i="1" s="1"/>
  <c r="CP20" i="1" s="1"/>
  <c r="CC21" i="1"/>
  <c r="CE21" i="1" s="1"/>
  <c r="CB21" i="1"/>
  <c r="CD21" i="1" s="1"/>
  <c r="CF21" i="1" s="1"/>
  <c r="AI23" i="1"/>
  <c r="AK23" i="1" s="1"/>
  <c r="AM23" i="1" s="1"/>
  <c r="AJ23" i="1"/>
  <c r="AL23" i="1" s="1"/>
  <c r="BI22" i="1"/>
  <c r="BK22" i="1" s="1"/>
  <c r="BH22" i="1"/>
  <c r="BJ22" i="1" s="1"/>
  <c r="BL22" i="1" s="1"/>
  <c r="V24" i="1"/>
  <c r="X24" i="1" s="1"/>
  <c r="S25" i="1" s="1"/>
  <c r="CR268" i="1" l="1"/>
  <c r="CQ268" i="1"/>
  <c r="CS268" i="1" s="1"/>
  <c r="CU268" i="1" s="1"/>
  <c r="J273" i="1"/>
  <c r="L273" i="1" s="1"/>
  <c r="N273" i="1" s="1"/>
  <c r="K273" i="1"/>
  <c r="D274" i="1"/>
  <c r="BM270" i="1"/>
  <c r="BO270" i="1" s="1"/>
  <c r="BQ270" i="1" s="1"/>
  <c r="BN270" i="1"/>
  <c r="CC269" i="1"/>
  <c r="CB269" i="1"/>
  <c r="CD269" i="1" s="1"/>
  <c r="CF269" i="1" s="1"/>
  <c r="K25" i="1"/>
  <c r="M25" i="1" s="1"/>
  <c r="J25" i="1"/>
  <c r="L25" i="1" s="1"/>
  <c r="N25" i="1" s="1"/>
  <c r="D26" i="1"/>
  <c r="AJ272" i="1"/>
  <c r="AI272" i="1"/>
  <c r="AK272" i="1" s="1"/>
  <c r="AM272" i="1" s="1"/>
  <c r="T273" i="1"/>
  <c r="V273" i="1" s="1"/>
  <c r="X273" i="1" s="1"/>
  <c r="U273" i="1"/>
  <c r="AX271" i="1"/>
  <c r="AZ271" i="1" s="1"/>
  <c r="BB271" i="1" s="1"/>
  <c r="AY271" i="1"/>
  <c r="CR20" i="1"/>
  <c r="CT20" i="1" s="1"/>
  <c r="CQ20" i="1"/>
  <c r="CS20" i="1" s="1"/>
  <c r="CU20" i="1" s="1"/>
  <c r="CG21" i="1"/>
  <c r="CI21" i="1" s="1"/>
  <c r="CK21" i="1" s="1"/>
  <c r="CH21" i="1"/>
  <c r="CJ21" i="1" s="1"/>
  <c r="BM22" i="1"/>
  <c r="BO22" i="1" s="1"/>
  <c r="BQ22" i="1" s="1"/>
  <c r="BN22" i="1"/>
  <c r="BP22" i="1" s="1"/>
  <c r="AO23" i="1"/>
  <c r="AQ23" i="1" s="1"/>
  <c r="AN23" i="1"/>
  <c r="AP23" i="1" s="1"/>
  <c r="AR23" i="1" s="1"/>
  <c r="CH269" i="1" l="1"/>
  <c r="CG269" i="1"/>
  <c r="CI269" i="1" s="1"/>
  <c r="CK269" i="1" s="1"/>
  <c r="P273" i="1"/>
  <c r="O273" i="1"/>
  <c r="BD271" i="1"/>
  <c r="BC271" i="1"/>
  <c r="BE271" i="1" s="1"/>
  <c r="BG271" i="1" s="1"/>
  <c r="CV268" i="1"/>
  <c r="CX268" i="1" s="1"/>
  <c r="CW268" i="1"/>
  <c r="F274" i="1"/>
  <c r="E274" i="1"/>
  <c r="BS270" i="1"/>
  <c r="BR270" i="1"/>
  <c r="BT270" i="1" s="1"/>
  <c r="BV270" i="1" s="1"/>
  <c r="AN272" i="1"/>
  <c r="AP272" i="1" s="1"/>
  <c r="AR272" i="1" s="1"/>
  <c r="AO272" i="1"/>
  <c r="F26" i="1"/>
  <c r="H26" i="1" s="1"/>
  <c r="E26" i="1"/>
  <c r="Y273" i="1"/>
  <c r="AA273" i="1" s="1"/>
  <c r="AC273" i="1" s="1"/>
  <c r="Z273" i="1"/>
  <c r="O25" i="1"/>
  <c r="P25" i="1"/>
  <c r="R25" i="1" s="1"/>
  <c r="CW20" i="1"/>
  <c r="CY20" i="1" s="1"/>
  <c r="CV20" i="1"/>
  <c r="CX20" i="1" s="1"/>
  <c r="CZ20" i="1" s="1"/>
  <c r="CM21" i="1"/>
  <c r="CO21" i="1" s="1"/>
  <c r="CL21" i="1"/>
  <c r="CN21" i="1" s="1"/>
  <c r="CP21" i="1" s="1"/>
  <c r="BR22" i="1"/>
  <c r="BT22" i="1" s="1"/>
  <c r="BV22" i="1" s="1"/>
  <c r="BS22" i="1"/>
  <c r="BU22" i="1" s="1"/>
  <c r="AS23" i="1"/>
  <c r="AU23" i="1" s="1"/>
  <c r="AW23" i="1" s="1"/>
  <c r="AT23" i="1"/>
  <c r="AV23" i="1" s="1"/>
  <c r="Y24" i="1"/>
  <c r="AA24" i="1" s="1"/>
  <c r="Z24" i="1"/>
  <c r="AB24" i="1" s="1"/>
  <c r="T25" i="1"/>
  <c r="V25" i="1" s="1"/>
  <c r="U25" i="1"/>
  <c r="W25" i="1" s="1"/>
  <c r="AD273" i="1" l="1"/>
  <c r="AF273" i="1" s="1"/>
  <c r="AH273" i="1" s="1"/>
  <c r="AE273" i="1"/>
  <c r="G26" i="1"/>
  <c r="I26" i="1" s="1"/>
  <c r="Q26" i="1"/>
  <c r="BX270" i="1"/>
  <c r="BW270" i="1"/>
  <c r="BY270" i="1" s="1"/>
  <c r="CA270" i="1" s="1"/>
  <c r="AT272" i="1"/>
  <c r="AS272" i="1"/>
  <c r="AU272" i="1" s="1"/>
  <c r="AW272" i="1" s="1"/>
  <c r="CM269" i="1"/>
  <c r="CL269" i="1"/>
  <c r="CN269" i="1" s="1"/>
  <c r="CP269" i="1" s="1"/>
  <c r="BI271" i="1"/>
  <c r="BH271" i="1"/>
  <c r="BJ271" i="1" s="1"/>
  <c r="BL271" i="1" s="1"/>
  <c r="Q274" i="1"/>
  <c r="S274" i="1" s="1"/>
  <c r="G274" i="1"/>
  <c r="I274" i="1" s="1"/>
  <c r="DB20" i="1"/>
  <c r="DD20" i="1" s="1"/>
  <c r="DA20" i="1"/>
  <c r="DC20" i="1" s="1"/>
  <c r="AC24" i="1"/>
  <c r="AD24" i="1" s="1"/>
  <c r="AF24" i="1" s="1"/>
  <c r="AH24" i="1" s="1"/>
  <c r="CQ21" i="1"/>
  <c r="CS21" i="1" s="1"/>
  <c r="CU21" i="1" s="1"/>
  <c r="CR21" i="1"/>
  <c r="CT21" i="1" s="1"/>
  <c r="AY23" i="1"/>
  <c r="BA23" i="1" s="1"/>
  <c r="AX23" i="1"/>
  <c r="AZ23" i="1" s="1"/>
  <c r="BB23" i="1" s="1"/>
  <c r="BW22" i="1"/>
  <c r="BY22" i="1" s="1"/>
  <c r="CA22" i="1" s="1"/>
  <c r="BX22" i="1"/>
  <c r="BZ22" i="1" s="1"/>
  <c r="K274" i="1" l="1"/>
  <c r="J274" i="1"/>
  <c r="L274" i="1" s="1"/>
  <c r="N274" i="1" s="1"/>
  <c r="D275" i="1"/>
  <c r="AX272" i="1"/>
  <c r="AZ272" i="1" s="1"/>
  <c r="BB272" i="1" s="1"/>
  <c r="AY272" i="1"/>
  <c r="CB270" i="1"/>
  <c r="CD270" i="1" s="1"/>
  <c r="CF270" i="1" s="1"/>
  <c r="CC270" i="1"/>
  <c r="J26" i="1"/>
  <c r="L26" i="1" s="1"/>
  <c r="N26" i="1" s="1"/>
  <c r="D27" i="1"/>
  <c r="K26" i="1"/>
  <c r="M26" i="1" s="1"/>
  <c r="U274" i="1"/>
  <c r="T274" i="1"/>
  <c r="V274" i="1" s="1"/>
  <c r="X274" i="1" s="1"/>
  <c r="X25" i="1"/>
  <c r="S26" i="1" s="1"/>
  <c r="CR269" i="1"/>
  <c r="CQ269" i="1"/>
  <c r="CS269" i="1" s="1"/>
  <c r="BN271" i="1"/>
  <c r="BM271" i="1"/>
  <c r="BO271" i="1" s="1"/>
  <c r="BQ271" i="1" s="1"/>
  <c r="AJ273" i="1"/>
  <c r="AI273" i="1"/>
  <c r="AK273" i="1" s="1"/>
  <c r="AM273" i="1" s="1"/>
  <c r="CW21" i="1"/>
  <c r="CY21" i="1" s="1"/>
  <c r="CV21" i="1"/>
  <c r="CX21" i="1" s="1"/>
  <c r="AE24" i="1"/>
  <c r="AG24" i="1" s="1"/>
  <c r="AJ24" i="1"/>
  <c r="AL24" i="1" s="1"/>
  <c r="AI24" i="1"/>
  <c r="AK24" i="1" s="1"/>
  <c r="AM24" i="1" s="1"/>
  <c r="CB22" i="1"/>
  <c r="CD22" i="1" s="1"/>
  <c r="CF22" i="1" s="1"/>
  <c r="CC22" i="1"/>
  <c r="CE22" i="1" s="1"/>
  <c r="BD23" i="1"/>
  <c r="BF23" i="1" s="1"/>
  <c r="BC23" i="1"/>
  <c r="BE23" i="1" s="1"/>
  <c r="BG23" i="1" s="1"/>
  <c r="BR271" i="1" l="1"/>
  <c r="BT271" i="1" s="1"/>
  <c r="BV271" i="1" s="1"/>
  <c r="BS271" i="1"/>
  <c r="BD272" i="1"/>
  <c r="BC272" i="1"/>
  <c r="BE272" i="1" s="1"/>
  <c r="BG272" i="1" s="1"/>
  <c r="P274" i="1"/>
  <c r="O274" i="1"/>
  <c r="F27" i="1"/>
  <c r="H27" i="1" s="1"/>
  <c r="E27" i="1"/>
  <c r="Z274" i="1"/>
  <c r="Y274" i="1"/>
  <c r="AA274" i="1" s="1"/>
  <c r="AC274" i="1" s="1"/>
  <c r="O26" i="1"/>
  <c r="P26" i="1"/>
  <c r="R26" i="1" s="1"/>
  <c r="CG270" i="1"/>
  <c r="CI270" i="1" s="1"/>
  <c r="CK270" i="1" s="1"/>
  <c r="CH270" i="1"/>
  <c r="F275" i="1"/>
  <c r="E275" i="1"/>
  <c r="AO273" i="1"/>
  <c r="AN273" i="1"/>
  <c r="AP273" i="1" s="1"/>
  <c r="AR273" i="1" s="1"/>
  <c r="CZ21" i="1"/>
  <c r="DB21" i="1" s="1"/>
  <c r="DD21" i="1" s="1"/>
  <c r="Y25" i="1"/>
  <c r="AA25" i="1" s="1"/>
  <c r="AC25" i="1" s="1"/>
  <c r="Z25" i="1"/>
  <c r="AB25" i="1" s="1"/>
  <c r="BH23" i="1"/>
  <c r="BJ23" i="1" s="1"/>
  <c r="BL23" i="1" s="1"/>
  <c r="BI23" i="1"/>
  <c r="BK23" i="1" s="1"/>
  <c r="AN24" i="1"/>
  <c r="AP24" i="1" s="1"/>
  <c r="AR24" i="1" s="1"/>
  <c r="AO24" i="1"/>
  <c r="AQ24" i="1" s="1"/>
  <c r="CH22" i="1"/>
  <c r="CJ22" i="1" s="1"/>
  <c r="CG22" i="1"/>
  <c r="CI22" i="1" s="1"/>
  <c r="CK22" i="1" s="1"/>
  <c r="BH272" i="1" l="1"/>
  <c r="BJ272" i="1" s="1"/>
  <c r="BL272" i="1" s="1"/>
  <c r="BI272" i="1"/>
  <c r="AD274" i="1"/>
  <c r="AF274" i="1" s="1"/>
  <c r="AH274" i="1" s="1"/>
  <c r="AE274" i="1"/>
  <c r="G275" i="1"/>
  <c r="I275" i="1" s="1"/>
  <c r="Q275" i="1"/>
  <c r="S275" i="1" s="1"/>
  <c r="G27" i="1"/>
  <c r="I27" i="1" s="1"/>
  <c r="Q27" i="1"/>
  <c r="AT273" i="1"/>
  <c r="AS273" i="1"/>
  <c r="AU273" i="1" s="1"/>
  <c r="AW273" i="1" s="1"/>
  <c r="CL270" i="1"/>
  <c r="CN270" i="1" s="1"/>
  <c r="CM270" i="1"/>
  <c r="BW271" i="1"/>
  <c r="BY271" i="1" s="1"/>
  <c r="CA271" i="1" s="1"/>
  <c r="BX271" i="1"/>
  <c r="DA21" i="1"/>
  <c r="DC21" i="1" s="1"/>
  <c r="U26" i="1"/>
  <c r="W26" i="1" s="1"/>
  <c r="T26" i="1"/>
  <c r="V26" i="1" s="1"/>
  <c r="X26" i="1" s="1"/>
  <c r="Z26" i="1" s="1"/>
  <c r="AB26" i="1" s="1"/>
  <c r="AD25" i="1"/>
  <c r="AF25" i="1" s="1"/>
  <c r="AH25" i="1" s="1"/>
  <c r="AE25" i="1"/>
  <c r="AG25" i="1" s="1"/>
  <c r="CL22" i="1"/>
  <c r="CN22" i="1" s="1"/>
  <c r="CP22" i="1" s="1"/>
  <c r="CM22" i="1"/>
  <c r="CO22" i="1" s="1"/>
  <c r="AS24" i="1"/>
  <c r="AU24" i="1" s="1"/>
  <c r="AW24" i="1" s="1"/>
  <c r="AT24" i="1"/>
  <c r="AV24" i="1" s="1"/>
  <c r="BM23" i="1"/>
  <c r="BO23" i="1" s="1"/>
  <c r="BQ23" i="1" s="1"/>
  <c r="BN23" i="1"/>
  <c r="BP23" i="1" s="1"/>
  <c r="Y26" i="1"/>
  <c r="AA26" i="1" s="1"/>
  <c r="K27" i="1" l="1"/>
  <c r="M27" i="1" s="1"/>
  <c r="J27" i="1"/>
  <c r="L27" i="1" s="1"/>
  <c r="N27" i="1" s="1"/>
  <c r="D28" i="1"/>
  <c r="CB271" i="1"/>
  <c r="CD271" i="1" s="1"/>
  <c r="CF271" i="1" s="1"/>
  <c r="CC271" i="1"/>
  <c r="K275" i="1"/>
  <c r="J275" i="1"/>
  <c r="L275" i="1" s="1"/>
  <c r="N275" i="1" s="1"/>
  <c r="D276" i="1"/>
  <c r="AJ274" i="1"/>
  <c r="AI274" i="1"/>
  <c r="AK274" i="1" s="1"/>
  <c r="AM274" i="1" s="1"/>
  <c r="BM272" i="1"/>
  <c r="BO272" i="1" s="1"/>
  <c r="BQ272" i="1" s="1"/>
  <c r="BN272" i="1"/>
  <c r="T275" i="1"/>
  <c r="V275" i="1" s="1"/>
  <c r="X275" i="1" s="1"/>
  <c r="U275" i="1"/>
  <c r="S27" i="1"/>
  <c r="U27" i="1" s="1"/>
  <c r="W27" i="1" s="1"/>
  <c r="AX273" i="1"/>
  <c r="AZ273" i="1" s="1"/>
  <c r="BB273" i="1" s="1"/>
  <c r="AY273" i="1"/>
  <c r="AC26" i="1"/>
  <c r="AE26" i="1" s="1"/>
  <c r="AG26" i="1" s="1"/>
  <c r="AJ25" i="1"/>
  <c r="AL25" i="1" s="1"/>
  <c r="AI25" i="1"/>
  <c r="AK25" i="1" s="1"/>
  <c r="AM25" i="1" s="1"/>
  <c r="AN25" i="1" s="1"/>
  <c r="AP25" i="1" s="1"/>
  <c r="AR25" i="1" s="1"/>
  <c r="CQ22" i="1"/>
  <c r="CS22" i="1" s="1"/>
  <c r="CU22" i="1" s="1"/>
  <c r="CR22" i="1"/>
  <c r="CT22" i="1" s="1"/>
  <c r="BS23" i="1"/>
  <c r="BU23" i="1" s="1"/>
  <c r="BR23" i="1"/>
  <c r="BT23" i="1" s="1"/>
  <c r="BV23" i="1" s="1"/>
  <c r="AY24" i="1"/>
  <c r="BA24" i="1" s="1"/>
  <c r="AX24" i="1"/>
  <c r="AZ24" i="1" s="1"/>
  <c r="BB24" i="1" s="1"/>
  <c r="BC273" i="1" l="1"/>
  <c r="BE273" i="1" s="1"/>
  <c r="BG273" i="1" s="1"/>
  <c r="BD273" i="1"/>
  <c r="E276" i="1"/>
  <c r="F276" i="1"/>
  <c r="P275" i="1"/>
  <c r="O275" i="1"/>
  <c r="Z275" i="1"/>
  <c r="Y275" i="1"/>
  <c r="AA275" i="1" s="1"/>
  <c r="AC275" i="1" s="1"/>
  <c r="AN274" i="1"/>
  <c r="AP274" i="1" s="1"/>
  <c r="AR274" i="1" s="1"/>
  <c r="AO274" i="1"/>
  <c r="T27" i="1"/>
  <c r="V27" i="1" s="1"/>
  <c r="X27" i="1" s="1"/>
  <c r="F28" i="1"/>
  <c r="H28" i="1" s="1"/>
  <c r="E28" i="1"/>
  <c r="CH271" i="1"/>
  <c r="CG271" i="1"/>
  <c r="CI271" i="1" s="1"/>
  <c r="BR272" i="1"/>
  <c r="BT272" i="1" s="1"/>
  <c r="BV272" i="1" s="1"/>
  <c r="BS272" i="1"/>
  <c r="O27" i="1"/>
  <c r="P27" i="1"/>
  <c r="R27" i="1" s="1"/>
  <c r="AD26" i="1"/>
  <c r="AF26" i="1" s="1"/>
  <c r="AH26" i="1" s="1"/>
  <c r="AO25" i="1"/>
  <c r="AQ25" i="1" s="1"/>
  <c r="AJ26" i="1"/>
  <c r="AL26" i="1" s="1"/>
  <c r="AI26" i="1"/>
  <c r="AK26" i="1" s="1"/>
  <c r="AM26" i="1" s="1"/>
  <c r="CV22" i="1"/>
  <c r="CX22" i="1" s="1"/>
  <c r="CW22" i="1"/>
  <c r="CY22" i="1" s="1"/>
  <c r="AS25" i="1"/>
  <c r="AU25" i="1" s="1"/>
  <c r="AW25" i="1" s="1"/>
  <c r="AT25" i="1"/>
  <c r="AV25" i="1" s="1"/>
  <c r="BC24" i="1"/>
  <c r="BE24" i="1" s="1"/>
  <c r="BG24" i="1" s="1"/>
  <c r="BD24" i="1"/>
  <c r="BF24" i="1" s="1"/>
  <c r="BW23" i="1"/>
  <c r="BY23" i="1" s="1"/>
  <c r="CA23" i="1" s="1"/>
  <c r="BX23" i="1"/>
  <c r="BZ23" i="1" s="1"/>
  <c r="BX272" i="1" l="1"/>
  <c r="BW272" i="1"/>
  <c r="BY272" i="1" s="1"/>
  <c r="CA272" i="1" s="1"/>
  <c r="G276" i="1"/>
  <c r="I276" i="1" s="1"/>
  <c r="Q276" i="1"/>
  <c r="S276" i="1" s="1"/>
  <c r="AD275" i="1"/>
  <c r="AF275" i="1" s="1"/>
  <c r="AH275" i="1" s="1"/>
  <c r="AE275" i="1"/>
  <c r="S28" i="1"/>
  <c r="U28" i="1" s="1"/>
  <c r="W28" i="1" s="1"/>
  <c r="G28" i="1"/>
  <c r="I28" i="1" s="1"/>
  <c r="Q28" i="1"/>
  <c r="AT274" i="1"/>
  <c r="AS274" i="1"/>
  <c r="AU274" i="1" s="1"/>
  <c r="AW274" i="1" s="1"/>
  <c r="BH273" i="1"/>
  <c r="BJ273" i="1" s="1"/>
  <c r="BL273" i="1" s="1"/>
  <c r="BI273" i="1"/>
  <c r="CZ22" i="1"/>
  <c r="DB22" i="1" s="1"/>
  <c r="DD22" i="1" s="1"/>
  <c r="AN26" i="1"/>
  <c r="AP26" i="1" s="1"/>
  <c r="AR26" i="1" s="1"/>
  <c r="AO26" i="1"/>
  <c r="AQ26" i="1" s="1"/>
  <c r="CB23" i="1"/>
  <c r="CD23" i="1" s="1"/>
  <c r="CF23" i="1" s="1"/>
  <c r="CC23" i="1"/>
  <c r="CE23" i="1" s="1"/>
  <c r="BH24" i="1"/>
  <c r="BJ24" i="1" s="1"/>
  <c r="BL24" i="1" s="1"/>
  <c r="BI24" i="1"/>
  <c r="BK24" i="1" s="1"/>
  <c r="AY25" i="1"/>
  <c r="BA25" i="1" s="1"/>
  <c r="AX25" i="1"/>
  <c r="AZ25" i="1" s="1"/>
  <c r="BB25" i="1" s="1"/>
  <c r="Z27" i="1"/>
  <c r="AB27" i="1" s="1"/>
  <c r="Y27" i="1"/>
  <c r="AA27" i="1" s="1"/>
  <c r="BN273" i="1" l="1"/>
  <c r="BM273" i="1"/>
  <c r="BO273" i="1" s="1"/>
  <c r="BQ273" i="1" s="1"/>
  <c r="AJ275" i="1"/>
  <c r="AI275" i="1"/>
  <c r="AK275" i="1" s="1"/>
  <c r="AM275" i="1" s="1"/>
  <c r="AX274" i="1"/>
  <c r="AZ274" i="1" s="1"/>
  <c r="BB274" i="1" s="1"/>
  <c r="AY274" i="1"/>
  <c r="T276" i="1"/>
  <c r="V276" i="1" s="1"/>
  <c r="X276" i="1" s="1"/>
  <c r="U276" i="1"/>
  <c r="K276" i="1"/>
  <c r="J276" i="1"/>
  <c r="L276" i="1" s="1"/>
  <c r="N276" i="1" s="1"/>
  <c r="D277" i="1"/>
  <c r="T28" i="1"/>
  <c r="V28" i="1" s="1"/>
  <c r="CB272" i="1"/>
  <c r="CD272" i="1" s="1"/>
  <c r="CC272" i="1"/>
  <c r="K28" i="1"/>
  <c r="M28" i="1" s="1"/>
  <c r="D29" i="1"/>
  <c r="J28" i="1"/>
  <c r="L28" i="1" s="1"/>
  <c r="N28" i="1" s="1"/>
  <c r="DA22" i="1"/>
  <c r="DC22" i="1" s="1"/>
  <c r="AC27" i="1"/>
  <c r="X28" i="1" s="1"/>
  <c r="BN24" i="1"/>
  <c r="BP24" i="1" s="1"/>
  <c r="BM24" i="1"/>
  <c r="BO24" i="1" s="1"/>
  <c r="BQ24" i="1" s="1"/>
  <c r="CH23" i="1"/>
  <c r="CJ23" i="1" s="1"/>
  <c r="CG23" i="1"/>
  <c r="CI23" i="1" s="1"/>
  <c r="CK23" i="1" s="1"/>
  <c r="AS26" i="1"/>
  <c r="AU26" i="1" s="1"/>
  <c r="AW26" i="1" s="1"/>
  <c r="AT26" i="1"/>
  <c r="AV26" i="1" s="1"/>
  <c r="BD25" i="1"/>
  <c r="BF25" i="1" s="1"/>
  <c r="BC25" i="1"/>
  <c r="BE25" i="1" s="1"/>
  <c r="BG25" i="1" s="1"/>
  <c r="AD27" i="1"/>
  <c r="AF27" i="1" s="1"/>
  <c r="AH27" i="1" s="1"/>
  <c r="P276" i="1" l="1"/>
  <c r="O276" i="1"/>
  <c r="E277" i="1"/>
  <c r="F277" i="1"/>
  <c r="Z276" i="1"/>
  <c r="Y276" i="1"/>
  <c r="AA276" i="1" s="1"/>
  <c r="AC276" i="1" s="1"/>
  <c r="BC274" i="1"/>
  <c r="BE274" i="1" s="1"/>
  <c r="BG274" i="1" s="1"/>
  <c r="BD274" i="1"/>
  <c r="BR273" i="1"/>
  <c r="BT273" i="1" s="1"/>
  <c r="BV273" i="1" s="1"/>
  <c r="BS273" i="1"/>
  <c r="O28" i="1"/>
  <c r="P28" i="1"/>
  <c r="R28" i="1" s="1"/>
  <c r="F29" i="1"/>
  <c r="H29" i="1" s="1"/>
  <c r="E29" i="1"/>
  <c r="AO275" i="1"/>
  <c r="AN275" i="1"/>
  <c r="AP275" i="1" s="1"/>
  <c r="AR275" i="1" s="1"/>
  <c r="Z28" i="1"/>
  <c r="AB28" i="1" s="1"/>
  <c r="AE27" i="1"/>
  <c r="AG27" i="1" s="1"/>
  <c r="AY26" i="1"/>
  <c r="BA26" i="1" s="1"/>
  <c r="AX26" i="1"/>
  <c r="AZ26" i="1" s="1"/>
  <c r="BB26" i="1" s="1"/>
  <c r="AI27" i="1"/>
  <c r="AK27" i="1" s="1"/>
  <c r="AM27" i="1" s="1"/>
  <c r="AJ27" i="1"/>
  <c r="AL27" i="1" s="1"/>
  <c r="BI25" i="1"/>
  <c r="BK25" i="1" s="1"/>
  <c r="BH25" i="1"/>
  <c r="BJ25" i="1" s="1"/>
  <c r="BL25" i="1" s="1"/>
  <c r="CL23" i="1"/>
  <c r="CN23" i="1" s="1"/>
  <c r="CP23" i="1" s="1"/>
  <c r="CM23" i="1"/>
  <c r="CO23" i="1" s="1"/>
  <c r="BS24" i="1"/>
  <c r="BU24" i="1" s="1"/>
  <c r="BR24" i="1"/>
  <c r="BT24" i="1" s="1"/>
  <c r="BV24" i="1" s="1"/>
  <c r="Y28" i="1"/>
  <c r="AA28" i="1" s="1"/>
  <c r="AC28" i="1" s="1"/>
  <c r="AD276" i="1" l="1"/>
  <c r="AF276" i="1" s="1"/>
  <c r="AH276" i="1" s="1"/>
  <c r="AE276" i="1"/>
  <c r="G29" i="1"/>
  <c r="I29" i="1" s="1"/>
  <c r="Q29" i="1"/>
  <c r="S29" i="1" s="1"/>
  <c r="U29" i="1" s="1"/>
  <c r="W29" i="1" s="1"/>
  <c r="BH274" i="1"/>
  <c r="BJ274" i="1" s="1"/>
  <c r="BL274" i="1" s="1"/>
  <c r="BI274" i="1"/>
  <c r="AT275" i="1"/>
  <c r="AS275" i="1"/>
  <c r="AU275" i="1" s="1"/>
  <c r="AW275" i="1" s="1"/>
  <c r="G277" i="1"/>
  <c r="I277" i="1" s="1"/>
  <c r="Q277" i="1"/>
  <c r="S277" i="1" s="1"/>
  <c r="BX273" i="1"/>
  <c r="BW273" i="1"/>
  <c r="BY273" i="1" s="1"/>
  <c r="BX24" i="1"/>
  <c r="BZ24" i="1" s="1"/>
  <c r="BW24" i="1"/>
  <c r="BY24" i="1" s="1"/>
  <c r="CA24" i="1" s="1"/>
  <c r="BM25" i="1"/>
  <c r="BO25" i="1" s="1"/>
  <c r="BQ25" i="1" s="1"/>
  <c r="BN25" i="1"/>
  <c r="BP25" i="1" s="1"/>
  <c r="CR23" i="1"/>
  <c r="CT23" i="1" s="1"/>
  <c r="CQ23" i="1"/>
  <c r="CS23" i="1" s="1"/>
  <c r="CU23" i="1" s="1"/>
  <c r="AO27" i="1"/>
  <c r="AQ27" i="1" s="1"/>
  <c r="AN27" i="1"/>
  <c r="AP27" i="1" s="1"/>
  <c r="AR27" i="1" s="1"/>
  <c r="BC26" i="1"/>
  <c r="BE26" i="1" s="1"/>
  <c r="BG26" i="1" s="1"/>
  <c r="BD26" i="1"/>
  <c r="BF26" i="1" s="1"/>
  <c r="AE28" i="1"/>
  <c r="AG28" i="1" s="1"/>
  <c r="T29" i="1"/>
  <c r="V29" i="1" s="1"/>
  <c r="AD28" i="1"/>
  <c r="AF28" i="1" s="1"/>
  <c r="AH28" i="1" s="1"/>
  <c r="AY275" i="1" l="1"/>
  <c r="AX275" i="1"/>
  <c r="AZ275" i="1" s="1"/>
  <c r="BB275" i="1" s="1"/>
  <c r="BN274" i="1"/>
  <c r="BM274" i="1"/>
  <c r="BO274" i="1" s="1"/>
  <c r="BQ274" i="1" s="1"/>
  <c r="K29" i="1"/>
  <c r="M29" i="1" s="1"/>
  <c r="J29" i="1"/>
  <c r="L29" i="1" s="1"/>
  <c r="N29" i="1" s="1"/>
  <c r="P29" i="1" s="1"/>
  <c r="R29" i="1" s="1"/>
  <c r="D30" i="1"/>
  <c r="U277" i="1"/>
  <c r="T277" i="1"/>
  <c r="V277" i="1" s="1"/>
  <c r="X277" i="1" s="1"/>
  <c r="AJ276" i="1"/>
  <c r="AI276" i="1"/>
  <c r="AK276" i="1" s="1"/>
  <c r="AM276" i="1" s="1"/>
  <c r="J277" i="1"/>
  <c r="L277" i="1" s="1"/>
  <c r="N277" i="1" s="1"/>
  <c r="K277" i="1"/>
  <c r="D278" i="1"/>
  <c r="X29" i="1"/>
  <c r="Z29" i="1" s="1"/>
  <c r="AB29" i="1" s="1"/>
  <c r="AJ28" i="1"/>
  <c r="AL28" i="1" s="1"/>
  <c r="AI28" i="1"/>
  <c r="AK28" i="1" s="1"/>
  <c r="AM28" i="1" s="1"/>
  <c r="AT27" i="1"/>
  <c r="AV27" i="1" s="1"/>
  <c r="AS27" i="1"/>
  <c r="AU27" i="1" s="1"/>
  <c r="AW27" i="1" s="1"/>
  <c r="CV23" i="1"/>
  <c r="CX23" i="1" s="1"/>
  <c r="CW23" i="1"/>
  <c r="CY23" i="1" s="1"/>
  <c r="CC24" i="1"/>
  <c r="CE24" i="1" s="1"/>
  <c r="CB24" i="1"/>
  <c r="CD24" i="1" s="1"/>
  <c r="CF24" i="1" s="1"/>
  <c r="BH26" i="1"/>
  <c r="BJ26" i="1" s="1"/>
  <c r="BL26" i="1" s="1"/>
  <c r="BI26" i="1"/>
  <c r="BK26" i="1" s="1"/>
  <c r="BR25" i="1"/>
  <c r="BT25" i="1" s="1"/>
  <c r="BV25" i="1" s="1"/>
  <c r="BS25" i="1"/>
  <c r="BU25" i="1" s="1"/>
  <c r="F30" i="1" l="1"/>
  <c r="H30" i="1" s="1"/>
  <c r="E30" i="1"/>
  <c r="AO276" i="1"/>
  <c r="AN276" i="1"/>
  <c r="AP276" i="1" s="1"/>
  <c r="AR276" i="1" s="1"/>
  <c r="BR274" i="1"/>
  <c r="BT274" i="1" s="1"/>
  <c r="BS274" i="1"/>
  <c r="F278" i="1"/>
  <c r="E278" i="1"/>
  <c r="BC275" i="1"/>
  <c r="BE275" i="1" s="1"/>
  <c r="BG275" i="1" s="1"/>
  <c r="BD275" i="1"/>
  <c r="O277" i="1"/>
  <c r="P277" i="1"/>
  <c r="O29" i="1"/>
  <c r="Z277" i="1"/>
  <c r="Y277" i="1"/>
  <c r="AA277" i="1" s="1"/>
  <c r="AC277" i="1" s="1"/>
  <c r="CZ23" i="1"/>
  <c r="DB23" i="1" s="1"/>
  <c r="DD23" i="1" s="1"/>
  <c r="Y29" i="1"/>
  <c r="AA29" i="1" s="1"/>
  <c r="AC29" i="1" s="1"/>
  <c r="AD29" i="1" s="1"/>
  <c r="AF29" i="1" s="1"/>
  <c r="AH29" i="1" s="1"/>
  <c r="BX25" i="1"/>
  <c r="BZ25" i="1" s="1"/>
  <c r="BW25" i="1"/>
  <c r="BY25" i="1" s="1"/>
  <c r="CA25" i="1" s="1"/>
  <c r="BM26" i="1"/>
  <c r="BO26" i="1" s="1"/>
  <c r="BQ26" i="1" s="1"/>
  <c r="BN26" i="1"/>
  <c r="BP26" i="1" s="1"/>
  <c r="CH24" i="1"/>
  <c r="CJ24" i="1" s="1"/>
  <c r="CG24" i="1"/>
  <c r="CI24" i="1" s="1"/>
  <c r="CK24" i="1" s="1"/>
  <c r="AY27" i="1"/>
  <c r="BA27" i="1" s="1"/>
  <c r="AX27" i="1"/>
  <c r="AZ27" i="1" s="1"/>
  <c r="BB27" i="1" s="1"/>
  <c r="AO28" i="1"/>
  <c r="AQ28" i="1" s="1"/>
  <c r="AN28" i="1"/>
  <c r="AP28" i="1" s="1"/>
  <c r="AR28" i="1" s="1"/>
  <c r="G278" i="1" l="1"/>
  <c r="I278" i="1" s="1"/>
  <c r="Q278" i="1"/>
  <c r="S278" i="1" s="1"/>
  <c r="G30" i="1"/>
  <c r="I30" i="1" s="1"/>
  <c r="Q30" i="1"/>
  <c r="S30" i="1" s="1"/>
  <c r="T30" i="1" s="1"/>
  <c r="V30" i="1" s="1"/>
  <c r="X30" i="1" s="1"/>
  <c r="AE277" i="1"/>
  <c r="AD277" i="1"/>
  <c r="AF277" i="1" s="1"/>
  <c r="AH277" i="1" s="1"/>
  <c r="DA23" i="1"/>
  <c r="DC23" i="1" s="1"/>
  <c r="AS276" i="1"/>
  <c r="AU276" i="1" s="1"/>
  <c r="AW276" i="1" s="1"/>
  <c r="AT276" i="1"/>
  <c r="BH275" i="1"/>
  <c r="BJ275" i="1" s="1"/>
  <c r="BL275" i="1" s="1"/>
  <c r="BI275" i="1"/>
  <c r="AE29" i="1"/>
  <c r="AG29" i="1" s="1"/>
  <c r="AI29" i="1"/>
  <c r="AK29" i="1" s="1"/>
  <c r="AM29" i="1" s="1"/>
  <c r="AJ29" i="1"/>
  <c r="AL29" i="1" s="1"/>
  <c r="AT28" i="1"/>
  <c r="AV28" i="1" s="1"/>
  <c r="AS28" i="1"/>
  <c r="AU28" i="1" s="1"/>
  <c r="AW28" i="1" s="1"/>
  <c r="BD27" i="1"/>
  <c r="BF27" i="1" s="1"/>
  <c r="BC27" i="1"/>
  <c r="BE27" i="1" s="1"/>
  <c r="BG27" i="1" s="1"/>
  <c r="CM24" i="1"/>
  <c r="CO24" i="1" s="1"/>
  <c r="CL24" i="1"/>
  <c r="CN24" i="1" s="1"/>
  <c r="CP24" i="1" s="1"/>
  <c r="CB25" i="1"/>
  <c r="CD25" i="1" s="1"/>
  <c r="CF25" i="1" s="1"/>
  <c r="CC25" i="1"/>
  <c r="CE25" i="1" s="1"/>
  <c r="BS26" i="1"/>
  <c r="BU26" i="1" s="1"/>
  <c r="BR26" i="1"/>
  <c r="BT26" i="1" s="1"/>
  <c r="BV26" i="1" s="1"/>
  <c r="Y30" i="1" l="1"/>
  <c r="AA30" i="1" s="1"/>
  <c r="AC30" i="1" s="1"/>
  <c r="AD30" i="1" s="1"/>
  <c r="AF30" i="1" s="1"/>
  <c r="AH30" i="1" s="1"/>
  <c r="Z30" i="1"/>
  <c r="AB30" i="1" s="1"/>
  <c r="K30" i="1"/>
  <c r="M30" i="1" s="1"/>
  <c r="J30" i="1"/>
  <c r="L30" i="1" s="1"/>
  <c r="N30" i="1" s="1"/>
  <c r="P30" i="1" s="1"/>
  <c r="R30" i="1" s="1"/>
  <c r="D31" i="1"/>
  <c r="U30" i="1"/>
  <c r="W30" i="1" s="1"/>
  <c r="T278" i="1"/>
  <c r="V278" i="1" s="1"/>
  <c r="X278" i="1" s="1"/>
  <c r="U278" i="1"/>
  <c r="BN275" i="1"/>
  <c r="BM275" i="1"/>
  <c r="BO275" i="1" s="1"/>
  <c r="AX276" i="1"/>
  <c r="AZ276" i="1" s="1"/>
  <c r="BB276" i="1" s="1"/>
  <c r="AY276" i="1"/>
  <c r="AJ277" i="1"/>
  <c r="AI277" i="1"/>
  <c r="AK277" i="1" s="1"/>
  <c r="AM277" i="1" s="1"/>
  <c r="J278" i="1"/>
  <c r="L278" i="1" s="1"/>
  <c r="N278" i="1" s="1"/>
  <c r="K278" i="1"/>
  <c r="D279" i="1"/>
  <c r="AE30" i="1"/>
  <c r="AG30" i="1" s="1"/>
  <c r="BW26" i="1"/>
  <c r="BY26" i="1" s="1"/>
  <c r="CA26" i="1" s="1"/>
  <c r="BX26" i="1"/>
  <c r="BZ26" i="1" s="1"/>
  <c r="CQ24" i="1"/>
  <c r="CS24" i="1" s="1"/>
  <c r="CU24" i="1" s="1"/>
  <c r="CR24" i="1"/>
  <c r="CT24" i="1" s="1"/>
  <c r="BI27" i="1"/>
  <c r="BK27" i="1" s="1"/>
  <c r="BH27" i="1"/>
  <c r="BJ27" i="1" s="1"/>
  <c r="BL27" i="1" s="1"/>
  <c r="AX28" i="1"/>
  <c r="AZ28" i="1" s="1"/>
  <c r="BB28" i="1" s="1"/>
  <c r="AY28" i="1"/>
  <c r="BA28" i="1" s="1"/>
  <c r="CH25" i="1"/>
  <c r="CJ25" i="1" s="1"/>
  <c r="CG25" i="1"/>
  <c r="CI25" i="1" s="1"/>
  <c r="CK25" i="1" s="1"/>
  <c r="AO29" i="1"/>
  <c r="AQ29" i="1" s="1"/>
  <c r="AN29" i="1"/>
  <c r="AP29" i="1" s="1"/>
  <c r="AR29" i="1" s="1"/>
  <c r="O30" i="1"/>
  <c r="AI30" i="1" l="1"/>
  <c r="AK30" i="1" s="1"/>
  <c r="AJ30" i="1"/>
  <c r="AL30" i="1" s="1"/>
  <c r="Z278" i="1"/>
  <c r="Y278" i="1"/>
  <c r="AA278" i="1" s="1"/>
  <c r="AC278" i="1" s="1"/>
  <c r="AN277" i="1"/>
  <c r="AP277" i="1" s="1"/>
  <c r="AR277" i="1" s="1"/>
  <c r="AO277" i="1"/>
  <c r="E279" i="1"/>
  <c r="F279" i="1"/>
  <c r="BD276" i="1"/>
  <c r="BC276" i="1"/>
  <c r="BE276" i="1" s="1"/>
  <c r="BG276" i="1" s="1"/>
  <c r="P278" i="1"/>
  <c r="O278" i="1"/>
  <c r="F31" i="1"/>
  <c r="H31" i="1" s="1"/>
  <c r="E31" i="1"/>
  <c r="AS29" i="1"/>
  <c r="AU29" i="1" s="1"/>
  <c r="AW29" i="1" s="1"/>
  <c r="AT29" i="1"/>
  <c r="AV29" i="1" s="1"/>
  <c r="CL25" i="1"/>
  <c r="CN25" i="1" s="1"/>
  <c r="CP25" i="1" s="1"/>
  <c r="CM25" i="1"/>
  <c r="CO25" i="1" s="1"/>
  <c r="BM27" i="1"/>
  <c r="BO27" i="1" s="1"/>
  <c r="BQ27" i="1" s="1"/>
  <c r="BN27" i="1"/>
  <c r="BP27" i="1" s="1"/>
  <c r="BC28" i="1"/>
  <c r="BE28" i="1" s="1"/>
  <c r="BG28" i="1" s="1"/>
  <c r="BD28" i="1"/>
  <c r="BF28" i="1" s="1"/>
  <c r="CV24" i="1"/>
  <c r="CX24" i="1" s="1"/>
  <c r="CZ24" i="1" s="1"/>
  <c r="CW24" i="1"/>
  <c r="CY24" i="1" s="1"/>
  <c r="CC26" i="1"/>
  <c r="CE26" i="1" s="1"/>
  <c r="CB26" i="1"/>
  <c r="CD26" i="1" s="1"/>
  <c r="CF26" i="1" s="1"/>
  <c r="AM30" i="1"/>
  <c r="G31" i="1" l="1"/>
  <c r="I31" i="1" s="1"/>
  <c r="Q31" i="1"/>
  <c r="S31" i="1" s="1"/>
  <c r="Q279" i="1"/>
  <c r="S279" i="1" s="1"/>
  <c r="G279" i="1"/>
  <c r="I279" i="1" s="1"/>
  <c r="AE278" i="1"/>
  <c r="AD278" i="1"/>
  <c r="AF278" i="1" s="1"/>
  <c r="AH278" i="1" s="1"/>
  <c r="BH276" i="1"/>
  <c r="BJ276" i="1" s="1"/>
  <c r="BI276" i="1"/>
  <c r="AT277" i="1"/>
  <c r="AS277" i="1"/>
  <c r="AU277" i="1" s="1"/>
  <c r="AW277" i="1" s="1"/>
  <c r="DB24" i="1"/>
  <c r="DD24" i="1" s="1"/>
  <c r="DA24" i="1"/>
  <c r="DC24" i="1" s="1"/>
  <c r="BH28" i="1"/>
  <c r="BJ28" i="1" s="1"/>
  <c r="BL28" i="1" s="1"/>
  <c r="BI28" i="1"/>
  <c r="BK28" i="1" s="1"/>
  <c r="BS27" i="1"/>
  <c r="BU27" i="1" s="1"/>
  <c r="BR27" i="1"/>
  <c r="BT27" i="1" s="1"/>
  <c r="BV27" i="1" s="1"/>
  <c r="CR25" i="1"/>
  <c r="CT25" i="1" s="1"/>
  <c r="CQ25" i="1"/>
  <c r="CS25" i="1" s="1"/>
  <c r="CU25" i="1" s="1"/>
  <c r="AX29" i="1"/>
  <c r="AZ29" i="1" s="1"/>
  <c r="BB29" i="1" s="1"/>
  <c r="AY29" i="1"/>
  <c r="BA29" i="1" s="1"/>
  <c r="AO30" i="1"/>
  <c r="AQ30" i="1" s="1"/>
  <c r="AN30" i="1"/>
  <c r="AP30" i="1" s="1"/>
  <c r="AR30" i="1" s="1"/>
  <c r="CG26" i="1"/>
  <c r="CI26" i="1" s="1"/>
  <c r="CK26" i="1" s="1"/>
  <c r="CH26" i="1"/>
  <c r="CJ26" i="1" s="1"/>
  <c r="J279" i="1" l="1"/>
  <c r="L279" i="1" s="1"/>
  <c r="N279" i="1" s="1"/>
  <c r="K279" i="1"/>
  <c r="D280" i="1"/>
  <c r="T279" i="1"/>
  <c r="V279" i="1" s="1"/>
  <c r="X279" i="1" s="1"/>
  <c r="U279" i="1"/>
  <c r="AX277" i="1"/>
  <c r="AZ277" i="1" s="1"/>
  <c r="BB277" i="1" s="1"/>
  <c r="AY277" i="1"/>
  <c r="U31" i="1"/>
  <c r="W31" i="1" s="1"/>
  <c r="T31" i="1"/>
  <c r="V31" i="1" s="1"/>
  <c r="X31" i="1" s="1"/>
  <c r="AJ278" i="1"/>
  <c r="AI278" i="1"/>
  <c r="AK278" i="1" s="1"/>
  <c r="AM278" i="1" s="1"/>
  <c r="K31" i="1"/>
  <c r="M31" i="1" s="1"/>
  <c r="D32" i="1"/>
  <c r="J31" i="1"/>
  <c r="L31" i="1" s="1"/>
  <c r="N31" i="1" s="1"/>
  <c r="P31" i="1" s="1"/>
  <c r="R31" i="1" s="1"/>
  <c r="CM26" i="1"/>
  <c r="CO26" i="1" s="1"/>
  <c r="CL26" i="1"/>
  <c r="CN26" i="1" s="1"/>
  <c r="CP26" i="1" s="1"/>
  <c r="BD29" i="1"/>
  <c r="BF29" i="1" s="1"/>
  <c r="BC29" i="1"/>
  <c r="BE29" i="1" s="1"/>
  <c r="BG29" i="1" s="1"/>
  <c r="BM28" i="1"/>
  <c r="BO28" i="1" s="1"/>
  <c r="BQ28" i="1" s="1"/>
  <c r="BN28" i="1"/>
  <c r="BP28" i="1" s="1"/>
  <c r="AS30" i="1"/>
  <c r="AU30" i="1" s="1"/>
  <c r="AW30" i="1" s="1"/>
  <c r="AT30" i="1"/>
  <c r="AV30" i="1" s="1"/>
  <c r="CW25" i="1"/>
  <c r="CY25" i="1" s="1"/>
  <c r="CV25" i="1"/>
  <c r="CX25" i="1" s="1"/>
  <c r="BW27" i="1"/>
  <c r="BY27" i="1" s="1"/>
  <c r="CA27" i="1" s="1"/>
  <c r="BX27" i="1"/>
  <c r="BZ27" i="1" s="1"/>
  <c r="Y31" i="1" l="1"/>
  <c r="AA31" i="1" s="1"/>
  <c r="AC31" i="1" s="1"/>
  <c r="Z31" i="1"/>
  <c r="AB31" i="1" s="1"/>
  <c r="BC277" i="1"/>
  <c r="BE277" i="1" s="1"/>
  <c r="BD277" i="1"/>
  <c r="Z279" i="1"/>
  <c r="Y279" i="1"/>
  <c r="AA279" i="1" s="1"/>
  <c r="AC279" i="1" s="1"/>
  <c r="F32" i="1"/>
  <c r="H32" i="1" s="1"/>
  <c r="E32" i="1"/>
  <c r="E280" i="1"/>
  <c r="F280" i="1"/>
  <c r="O31" i="1"/>
  <c r="P279" i="1"/>
  <c r="O279" i="1"/>
  <c r="AO278" i="1"/>
  <c r="AN278" i="1"/>
  <c r="AP278" i="1" s="1"/>
  <c r="AR278" i="1" s="1"/>
  <c r="CZ25" i="1"/>
  <c r="BS28" i="1"/>
  <c r="BU28" i="1" s="1"/>
  <c r="BR28" i="1"/>
  <c r="BT28" i="1" s="1"/>
  <c r="BV28" i="1" s="1"/>
  <c r="CB27" i="1"/>
  <c r="CD27" i="1" s="1"/>
  <c r="CF27" i="1" s="1"/>
  <c r="CC27" i="1"/>
  <c r="CE27" i="1" s="1"/>
  <c r="AX30" i="1"/>
  <c r="AZ30" i="1" s="1"/>
  <c r="BB30" i="1" s="1"/>
  <c r="AY30" i="1"/>
  <c r="BA30" i="1" s="1"/>
  <c r="BH29" i="1"/>
  <c r="BJ29" i="1" s="1"/>
  <c r="BL29" i="1" s="1"/>
  <c r="BI29" i="1"/>
  <c r="BK29" i="1" s="1"/>
  <c r="CR26" i="1"/>
  <c r="CT26" i="1" s="1"/>
  <c r="CQ26" i="1"/>
  <c r="CS26" i="1" s="1"/>
  <c r="AS278" i="1" l="1"/>
  <c r="AU278" i="1" s="1"/>
  <c r="AW278" i="1" s="1"/>
  <c r="AT278" i="1"/>
  <c r="G280" i="1"/>
  <c r="I280" i="1" s="1"/>
  <c r="Q280" i="1"/>
  <c r="S280" i="1" s="1"/>
  <c r="G32" i="1"/>
  <c r="I32" i="1" s="1"/>
  <c r="Q32" i="1"/>
  <c r="S32" i="1" s="1"/>
  <c r="AD279" i="1"/>
  <c r="AF279" i="1" s="1"/>
  <c r="AH279" i="1" s="1"/>
  <c r="AE279" i="1"/>
  <c r="CU26" i="1"/>
  <c r="CW26" i="1" s="1"/>
  <c r="CY26" i="1" s="1"/>
  <c r="AD31" i="1"/>
  <c r="AF31" i="1" s="1"/>
  <c r="AH31" i="1" s="1"/>
  <c r="AE31" i="1"/>
  <c r="AG31" i="1" s="1"/>
  <c r="CV26" i="1"/>
  <c r="CX26" i="1" s="1"/>
  <c r="CZ26" i="1" s="1"/>
  <c r="DA25" i="1"/>
  <c r="DC25" i="1" s="1"/>
  <c r="DB25" i="1"/>
  <c r="DD25" i="1" s="1"/>
  <c r="BM29" i="1"/>
  <c r="BO29" i="1" s="1"/>
  <c r="BQ29" i="1" s="1"/>
  <c r="BN29" i="1"/>
  <c r="BP29" i="1" s="1"/>
  <c r="BC30" i="1"/>
  <c r="BE30" i="1" s="1"/>
  <c r="BG30" i="1" s="1"/>
  <c r="BD30" i="1"/>
  <c r="BF30" i="1" s="1"/>
  <c r="CH27" i="1"/>
  <c r="CJ27" i="1" s="1"/>
  <c r="CG27" i="1"/>
  <c r="CI27" i="1" s="1"/>
  <c r="CK27" i="1" s="1"/>
  <c r="BW28" i="1"/>
  <c r="BY28" i="1" s="1"/>
  <c r="CA28" i="1" s="1"/>
  <c r="BX28" i="1"/>
  <c r="BZ28" i="1" s="1"/>
  <c r="AJ279" i="1" l="1"/>
  <c r="AI279" i="1"/>
  <c r="AK279" i="1" s="1"/>
  <c r="AM279" i="1" s="1"/>
  <c r="J32" i="1"/>
  <c r="L32" i="1" s="1"/>
  <c r="N32" i="1" s="1"/>
  <c r="D33" i="1"/>
  <c r="K32" i="1"/>
  <c r="M32" i="1" s="1"/>
  <c r="U32" i="1"/>
  <c r="W32" i="1" s="1"/>
  <c r="T32" i="1"/>
  <c r="V32" i="1" s="1"/>
  <c r="X32" i="1" s="1"/>
  <c r="K280" i="1"/>
  <c r="J280" i="1"/>
  <c r="L280" i="1" s="1"/>
  <c r="N280" i="1" s="1"/>
  <c r="D281" i="1"/>
  <c r="AJ31" i="1"/>
  <c r="AL31" i="1" s="1"/>
  <c r="AI31" i="1"/>
  <c r="AK31" i="1" s="1"/>
  <c r="AM31" i="1" s="1"/>
  <c r="AX278" i="1"/>
  <c r="AZ278" i="1" s="1"/>
  <c r="AY278" i="1"/>
  <c r="U280" i="1"/>
  <c r="T280" i="1"/>
  <c r="V280" i="1" s="1"/>
  <c r="X280" i="1" s="1"/>
  <c r="DB26" i="1"/>
  <c r="DD26" i="1" s="1"/>
  <c r="DA26" i="1"/>
  <c r="DC26" i="1" s="1"/>
  <c r="CL27" i="1"/>
  <c r="CN27" i="1" s="1"/>
  <c r="CP27" i="1" s="1"/>
  <c r="CM27" i="1"/>
  <c r="CO27" i="1" s="1"/>
  <c r="CB28" i="1"/>
  <c r="CD28" i="1" s="1"/>
  <c r="CF28" i="1" s="1"/>
  <c r="CC28" i="1"/>
  <c r="CE28" i="1" s="1"/>
  <c r="BH30" i="1"/>
  <c r="BJ30" i="1" s="1"/>
  <c r="BL30" i="1" s="1"/>
  <c r="BI30" i="1"/>
  <c r="BK30" i="1" s="1"/>
  <c r="BR29" i="1"/>
  <c r="BT29" i="1" s="1"/>
  <c r="BV29" i="1" s="1"/>
  <c r="BS29" i="1"/>
  <c r="BU29" i="1" s="1"/>
  <c r="Z32" i="1" l="1"/>
  <c r="AB32" i="1" s="1"/>
  <c r="Y32" i="1"/>
  <c r="AA32" i="1" s="1"/>
  <c r="AC32" i="1" s="1"/>
  <c r="P280" i="1"/>
  <c r="O280" i="1"/>
  <c r="F33" i="1"/>
  <c r="H33" i="1" s="1"/>
  <c r="E33" i="1"/>
  <c r="O32" i="1"/>
  <c r="P32" i="1"/>
  <c r="R32" i="1" s="1"/>
  <c r="AN31" i="1"/>
  <c r="AP31" i="1" s="1"/>
  <c r="AR31" i="1" s="1"/>
  <c r="AO31" i="1"/>
  <c r="AQ31" i="1" s="1"/>
  <c r="AN279" i="1"/>
  <c r="AP279" i="1" s="1"/>
  <c r="AR279" i="1" s="1"/>
  <c r="AO279" i="1"/>
  <c r="Y280" i="1"/>
  <c r="AA280" i="1" s="1"/>
  <c r="AC280" i="1" s="1"/>
  <c r="Z280" i="1"/>
  <c r="E281" i="1"/>
  <c r="F281" i="1"/>
  <c r="CQ27" i="1"/>
  <c r="CS27" i="1" s="1"/>
  <c r="CU27" i="1" s="1"/>
  <c r="CR27" i="1"/>
  <c r="CT27" i="1" s="1"/>
  <c r="BX29" i="1"/>
  <c r="BZ29" i="1" s="1"/>
  <c r="BW29" i="1"/>
  <c r="BY29" i="1" s="1"/>
  <c r="CA29" i="1" s="1"/>
  <c r="BN30" i="1"/>
  <c r="BP30" i="1" s="1"/>
  <c r="BM30" i="1"/>
  <c r="BO30" i="1" s="1"/>
  <c r="BQ30" i="1" s="1"/>
  <c r="CH28" i="1"/>
  <c r="CJ28" i="1" s="1"/>
  <c r="CG28" i="1"/>
  <c r="CI28" i="1" s="1"/>
  <c r="CK28" i="1" s="1"/>
  <c r="G281" i="1" l="1"/>
  <c r="I281" i="1" s="1"/>
  <c r="Q281" i="1"/>
  <c r="S281" i="1" s="1"/>
  <c r="AT31" i="1"/>
  <c r="AV31" i="1" s="1"/>
  <c r="AS31" i="1"/>
  <c r="AU31" i="1" s="1"/>
  <c r="AW31" i="1" s="1"/>
  <c r="G33" i="1"/>
  <c r="I33" i="1" s="1"/>
  <c r="Q33" i="1"/>
  <c r="S33" i="1" s="1"/>
  <c r="AE32" i="1"/>
  <c r="AG32" i="1" s="1"/>
  <c r="AD32" i="1"/>
  <c r="AF32" i="1" s="1"/>
  <c r="AH32" i="1" s="1"/>
  <c r="AD280" i="1"/>
  <c r="AF280" i="1" s="1"/>
  <c r="AH280" i="1" s="1"/>
  <c r="AE280" i="1"/>
  <c r="AT279" i="1"/>
  <c r="AS279" i="1"/>
  <c r="AU279" i="1" s="1"/>
  <c r="CW27" i="1"/>
  <c r="CY27" i="1" s="1"/>
  <c r="CV27" i="1"/>
  <c r="CX27" i="1" s="1"/>
  <c r="CL28" i="1"/>
  <c r="CN28" i="1" s="1"/>
  <c r="CP28" i="1" s="1"/>
  <c r="CM28" i="1"/>
  <c r="CO28" i="1" s="1"/>
  <c r="BS30" i="1"/>
  <c r="BU30" i="1" s="1"/>
  <c r="BR30" i="1"/>
  <c r="BT30" i="1" s="1"/>
  <c r="BV30" i="1" s="1"/>
  <c r="CB29" i="1"/>
  <c r="CD29" i="1" s="1"/>
  <c r="CF29" i="1" s="1"/>
  <c r="CC29" i="1"/>
  <c r="CE29" i="1" s="1"/>
  <c r="T33" i="1" l="1"/>
  <c r="V33" i="1" s="1"/>
  <c r="X33" i="1" s="1"/>
  <c r="U33" i="1"/>
  <c r="W33" i="1" s="1"/>
  <c r="K33" i="1"/>
  <c r="M33" i="1" s="1"/>
  <c r="J33" i="1"/>
  <c r="L33" i="1" s="1"/>
  <c r="N33" i="1" s="1"/>
  <c r="O33" i="1" s="1"/>
  <c r="D34" i="1"/>
  <c r="AI32" i="1"/>
  <c r="AK32" i="1" s="1"/>
  <c r="AM32" i="1" s="1"/>
  <c r="AJ32" i="1"/>
  <c r="AL32" i="1" s="1"/>
  <c r="AY31" i="1"/>
  <c r="BA31" i="1" s="1"/>
  <c r="AX31" i="1"/>
  <c r="AZ31" i="1" s="1"/>
  <c r="BB31" i="1" s="1"/>
  <c r="T281" i="1"/>
  <c r="V281" i="1" s="1"/>
  <c r="X281" i="1" s="1"/>
  <c r="U281" i="1"/>
  <c r="AJ280" i="1"/>
  <c r="AI280" i="1"/>
  <c r="AK280" i="1" s="1"/>
  <c r="AM280" i="1" s="1"/>
  <c r="K281" i="1"/>
  <c r="J281" i="1"/>
  <c r="L281" i="1" s="1"/>
  <c r="N281" i="1" s="1"/>
  <c r="D282" i="1"/>
  <c r="CZ27" i="1"/>
  <c r="CH29" i="1"/>
  <c r="CJ29" i="1" s="1"/>
  <c r="CG29" i="1"/>
  <c r="CI29" i="1" s="1"/>
  <c r="CK29" i="1" s="1"/>
  <c r="CR28" i="1"/>
  <c r="CT28" i="1" s="1"/>
  <c r="CQ28" i="1"/>
  <c r="CS28" i="1" s="1"/>
  <c r="BW30" i="1"/>
  <c r="BY30" i="1" s="1"/>
  <c r="CA30" i="1" s="1"/>
  <c r="BX30" i="1"/>
  <c r="BZ30" i="1" s="1"/>
  <c r="AN32" i="1" l="1"/>
  <c r="AP32" i="1" s="1"/>
  <c r="AR32" i="1" s="1"/>
  <c r="AO32" i="1"/>
  <c r="AQ32" i="1" s="1"/>
  <c r="F282" i="1"/>
  <c r="E282" i="1"/>
  <c r="BC31" i="1"/>
  <c r="BE31" i="1" s="1"/>
  <c r="BG31" i="1" s="1"/>
  <c r="BD31" i="1"/>
  <c r="BF31" i="1" s="1"/>
  <c r="P281" i="1"/>
  <c r="O281" i="1"/>
  <c r="AO280" i="1"/>
  <c r="AN280" i="1"/>
  <c r="AP280" i="1" s="1"/>
  <c r="F34" i="1"/>
  <c r="H34" i="1" s="1"/>
  <c r="E34" i="1"/>
  <c r="P33" i="1"/>
  <c r="R33" i="1" s="1"/>
  <c r="Z281" i="1"/>
  <c r="Y281" i="1"/>
  <c r="AA281" i="1" s="1"/>
  <c r="AC281" i="1" s="1"/>
  <c r="Z33" i="1"/>
  <c r="AB33" i="1" s="1"/>
  <c r="Y33" i="1"/>
  <c r="AA33" i="1" s="1"/>
  <c r="AC33" i="1" s="1"/>
  <c r="DA27" i="1"/>
  <c r="DC27" i="1" s="1"/>
  <c r="DB27" i="1"/>
  <c r="DD27" i="1" s="1"/>
  <c r="CC30" i="1"/>
  <c r="CE30" i="1" s="1"/>
  <c r="CB30" i="1"/>
  <c r="CD30" i="1" s="1"/>
  <c r="CF30" i="1" s="1"/>
  <c r="CL29" i="1"/>
  <c r="CN29" i="1" s="1"/>
  <c r="CM29" i="1"/>
  <c r="CO29" i="1" s="1"/>
  <c r="CU28" i="1"/>
  <c r="AE281" i="1" l="1"/>
  <c r="AD281" i="1"/>
  <c r="AF281" i="1" s="1"/>
  <c r="AH281" i="1" s="1"/>
  <c r="G282" i="1"/>
  <c r="I282" i="1" s="1"/>
  <c r="Q282" i="1"/>
  <c r="S282" i="1" s="1"/>
  <c r="G34" i="1"/>
  <c r="I34" i="1" s="1"/>
  <c r="Q34" i="1"/>
  <c r="S34" i="1" s="1"/>
  <c r="BI31" i="1"/>
  <c r="BK31" i="1" s="1"/>
  <c r="BH31" i="1"/>
  <c r="BJ31" i="1" s="1"/>
  <c r="BL31" i="1" s="1"/>
  <c r="AE33" i="1"/>
  <c r="AG33" i="1" s="1"/>
  <c r="AD33" i="1"/>
  <c r="AF33" i="1" s="1"/>
  <c r="AH33" i="1" s="1"/>
  <c r="AS32" i="1"/>
  <c r="AU32" i="1" s="1"/>
  <c r="AW32" i="1" s="1"/>
  <c r="AT32" i="1"/>
  <c r="AV32" i="1" s="1"/>
  <c r="CW28" i="1"/>
  <c r="CY28" i="1" s="1"/>
  <c r="CV28" i="1"/>
  <c r="CX28" i="1" s="1"/>
  <c r="CH30" i="1"/>
  <c r="CJ30" i="1" s="1"/>
  <c r="CG30" i="1"/>
  <c r="CI30" i="1" s="1"/>
  <c r="CP29" i="1"/>
  <c r="U34" i="1" l="1"/>
  <c r="W34" i="1" s="1"/>
  <c r="T34" i="1"/>
  <c r="V34" i="1" s="1"/>
  <c r="X34" i="1" s="1"/>
  <c r="AY32" i="1"/>
  <c r="BA32" i="1" s="1"/>
  <c r="AX32" i="1"/>
  <c r="AZ32" i="1" s="1"/>
  <c r="BB32" i="1" s="1"/>
  <c r="BN31" i="1"/>
  <c r="BP31" i="1" s="1"/>
  <c r="BM31" i="1"/>
  <c r="BO31" i="1" s="1"/>
  <c r="BQ31" i="1" s="1"/>
  <c r="T282" i="1"/>
  <c r="V282" i="1" s="1"/>
  <c r="X282" i="1" s="1"/>
  <c r="U282" i="1"/>
  <c r="D35" i="1"/>
  <c r="J34" i="1"/>
  <c r="L34" i="1" s="1"/>
  <c r="N34" i="1" s="1"/>
  <c r="K34" i="1"/>
  <c r="M34" i="1" s="1"/>
  <c r="K282" i="1"/>
  <c r="J282" i="1"/>
  <c r="L282" i="1" s="1"/>
  <c r="N282" i="1" s="1"/>
  <c r="D283" i="1"/>
  <c r="AJ281" i="1"/>
  <c r="AI281" i="1"/>
  <c r="AK281" i="1" s="1"/>
  <c r="AI33" i="1"/>
  <c r="AK33" i="1" s="1"/>
  <c r="AM33" i="1" s="1"/>
  <c r="AJ33" i="1"/>
  <c r="AL33" i="1" s="1"/>
  <c r="CZ28" i="1"/>
  <c r="DA28" i="1" s="1"/>
  <c r="DC28" i="1" s="1"/>
  <c r="CR29" i="1"/>
  <c r="CT29" i="1" s="1"/>
  <c r="CQ29" i="1"/>
  <c r="CS29" i="1" s="1"/>
  <c r="CK30" i="1"/>
  <c r="BS31" i="1" l="1"/>
  <c r="BU31" i="1" s="1"/>
  <c r="BR31" i="1"/>
  <c r="BT31" i="1" s="1"/>
  <c r="BV31" i="1" s="1"/>
  <c r="AN33" i="1"/>
  <c r="AP33" i="1" s="1"/>
  <c r="AR33" i="1" s="1"/>
  <c r="AO33" i="1"/>
  <c r="AQ33" i="1" s="1"/>
  <c r="F35" i="1"/>
  <c r="H35" i="1" s="1"/>
  <c r="E35" i="1"/>
  <c r="BC32" i="1"/>
  <c r="BE32" i="1" s="1"/>
  <c r="BG32" i="1" s="1"/>
  <c r="BD32" i="1"/>
  <c r="BF32" i="1" s="1"/>
  <c r="F283" i="1"/>
  <c r="E283" i="1"/>
  <c r="O34" i="1"/>
  <c r="P34" i="1"/>
  <c r="R34" i="1" s="1"/>
  <c r="Z282" i="1"/>
  <c r="Y282" i="1"/>
  <c r="AA282" i="1" s="1"/>
  <c r="AC282" i="1" s="1"/>
  <c r="Z34" i="1"/>
  <c r="AB34" i="1" s="1"/>
  <c r="Y34" i="1"/>
  <c r="AA34" i="1" s="1"/>
  <c r="AC34" i="1" s="1"/>
  <c r="P282" i="1"/>
  <c r="O282" i="1"/>
  <c r="CU29" i="1"/>
  <c r="CW29" i="1" s="1"/>
  <c r="CY29" i="1" s="1"/>
  <c r="DB28" i="1"/>
  <c r="DD28" i="1" s="1"/>
  <c r="CM30" i="1"/>
  <c r="CO30" i="1" s="1"/>
  <c r="CL30" i="1"/>
  <c r="CN30" i="1" s="1"/>
  <c r="CP30" i="1" s="1"/>
  <c r="CV29" i="1"/>
  <c r="CX29" i="1" s="1"/>
  <c r="G35" i="1" l="1"/>
  <c r="I35" i="1" s="1"/>
  <c r="Q35" i="1"/>
  <c r="S35" i="1" s="1"/>
  <c r="AD282" i="1"/>
  <c r="AF282" i="1" s="1"/>
  <c r="AE282" i="1"/>
  <c r="BH32" i="1"/>
  <c r="BJ32" i="1" s="1"/>
  <c r="BL32" i="1" s="1"/>
  <c r="BI32" i="1"/>
  <c r="BK32" i="1" s="1"/>
  <c r="CZ29" i="1"/>
  <c r="DA29" i="1" s="1"/>
  <c r="DC29" i="1" s="1"/>
  <c r="BW31" i="1"/>
  <c r="BY31" i="1" s="1"/>
  <c r="CA31" i="1" s="1"/>
  <c r="BX31" i="1"/>
  <c r="BZ31" i="1" s="1"/>
  <c r="AE34" i="1"/>
  <c r="AG34" i="1" s="1"/>
  <c r="AD34" i="1"/>
  <c r="AF34" i="1" s="1"/>
  <c r="AH34" i="1" s="1"/>
  <c r="AS33" i="1"/>
  <c r="AU33" i="1" s="1"/>
  <c r="AW33" i="1" s="1"/>
  <c r="AT33" i="1"/>
  <c r="AV33" i="1" s="1"/>
  <c r="G283" i="1"/>
  <c r="I283" i="1" s="1"/>
  <c r="Q283" i="1"/>
  <c r="S283" i="1" s="1"/>
  <c r="CQ30" i="1"/>
  <c r="CS30" i="1" s="1"/>
  <c r="CR30" i="1"/>
  <c r="CT30" i="1" s="1"/>
  <c r="CB31" i="1" l="1"/>
  <c r="CD31" i="1" s="1"/>
  <c r="CF31" i="1" s="1"/>
  <c r="CC31" i="1"/>
  <c r="CE31" i="1" s="1"/>
  <c r="T283" i="1"/>
  <c r="V283" i="1" s="1"/>
  <c r="X283" i="1" s="1"/>
  <c r="U283" i="1"/>
  <c r="AX33" i="1"/>
  <c r="AZ33" i="1" s="1"/>
  <c r="BB33" i="1" s="1"/>
  <c r="AY33" i="1"/>
  <c r="BA33" i="1" s="1"/>
  <c r="CU30" i="1"/>
  <c r="CW30" i="1" s="1"/>
  <c r="CY30" i="1" s="1"/>
  <c r="J283" i="1"/>
  <c r="L283" i="1" s="1"/>
  <c r="N283" i="1" s="1"/>
  <c r="K283" i="1"/>
  <c r="D284" i="1"/>
  <c r="DB29" i="1"/>
  <c r="DD29" i="1" s="1"/>
  <c r="AI34" i="1"/>
  <c r="AK34" i="1" s="1"/>
  <c r="AM34" i="1" s="1"/>
  <c r="AJ34" i="1"/>
  <c r="AL34" i="1" s="1"/>
  <c r="T35" i="1"/>
  <c r="V35" i="1" s="1"/>
  <c r="X35" i="1" s="1"/>
  <c r="Z35" i="1" s="1"/>
  <c r="AB35" i="1" s="1"/>
  <c r="U35" i="1"/>
  <c r="W35" i="1" s="1"/>
  <c r="BM32" i="1"/>
  <c r="BO32" i="1" s="1"/>
  <c r="BQ32" i="1" s="1"/>
  <c r="BN32" i="1"/>
  <c r="BP32" i="1" s="1"/>
  <c r="K35" i="1"/>
  <c r="M35" i="1" s="1"/>
  <c r="J35" i="1"/>
  <c r="L35" i="1" s="1"/>
  <c r="N35" i="1" s="1"/>
  <c r="P35" i="1" s="1"/>
  <c r="R35" i="1" s="1"/>
  <c r="D36" i="1"/>
  <c r="F284" i="1" l="1"/>
  <c r="E284" i="1"/>
  <c r="F36" i="1"/>
  <c r="H36" i="1" s="1"/>
  <c r="E36" i="1"/>
  <c r="Y283" i="1"/>
  <c r="AA283" i="1" s="1"/>
  <c r="Z283" i="1"/>
  <c r="P283" i="1"/>
  <c r="O283" i="1"/>
  <c r="BD33" i="1"/>
  <c r="BF33" i="1" s="1"/>
  <c r="BC33" i="1"/>
  <c r="BE33" i="1" s="1"/>
  <c r="BG33" i="1" s="1"/>
  <c r="CV30" i="1"/>
  <c r="CX30" i="1" s="1"/>
  <c r="CZ30" i="1" s="1"/>
  <c r="AO34" i="1"/>
  <c r="AQ34" i="1" s="1"/>
  <c r="AN34" i="1"/>
  <c r="AP34" i="1" s="1"/>
  <c r="AR34" i="1" s="1"/>
  <c r="BS32" i="1"/>
  <c r="BU32" i="1" s="1"/>
  <c r="BR32" i="1"/>
  <c r="BT32" i="1" s="1"/>
  <c r="BV32" i="1" s="1"/>
  <c r="Y35" i="1"/>
  <c r="AA35" i="1" s="1"/>
  <c r="AC35" i="1" s="1"/>
  <c r="O35" i="1"/>
  <c r="CG31" i="1"/>
  <c r="CI31" i="1" s="1"/>
  <c r="CK31" i="1" s="1"/>
  <c r="CH31" i="1"/>
  <c r="CJ31" i="1" s="1"/>
  <c r="AE35" i="1"/>
  <c r="AG35" i="1" s="1"/>
  <c r="AD35" i="1"/>
  <c r="AF35" i="1" s="1"/>
  <c r="AH35" i="1" s="1"/>
  <c r="CL31" i="1" l="1"/>
  <c r="CN31" i="1" s="1"/>
  <c r="CP31" i="1" s="1"/>
  <c r="CM31" i="1"/>
  <c r="CO31" i="1" s="1"/>
  <c r="AS34" i="1"/>
  <c r="AU34" i="1" s="1"/>
  <c r="AW34" i="1" s="1"/>
  <c r="AT34" i="1"/>
  <c r="AV34" i="1" s="1"/>
  <c r="BX32" i="1"/>
  <c r="BZ32" i="1" s="1"/>
  <c r="BW32" i="1"/>
  <c r="BY32" i="1" s="1"/>
  <c r="CA32" i="1" s="1"/>
  <c r="G36" i="1"/>
  <c r="I36" i="1" s="1"/>
  <c r="Q36" i="1"/>
  <c r="S36" i="1" s="1"/>
  <c r="BH33" i="1"/>
  <c r="BJ33" i="1" s="1"/>
  <c r="BL33" i="1" s="1"/>
  <c r="BI33" i="1"/>
  <c r="BK33" i="1" s="1"/>
  <c r="Q284" i="1"/>
  <c r="S284" i="1" s="1"/>
  <c r="G284" i="1"/>
  <c r="I284" i="1" s="1"/>
  <c r="AI35" i="1"/>
  <c r="AK35" i="1" s="1"/>
  <c r="AM35" i="1" s="1"/>
  <c r="AJ35" i="1"/>
  <c r="AL35" i="1" s="1"/>
  <c r="DB30" i="1"/>
  <c r="DD30" i="1" s="1"/>
  <c r="DA30" i="1"/>
  <c r="DC30" i="1" s="1"/>
  <c r="CB32" i="1" l="1"/>
  <c r="CD32" i="1" s="1"/>
  <c r="CF32" i="1" s="1"/>
  <c r="CC32" i="1"/>
  <c r="CE32" i="1" s="1"/>
  <c r="BN33" i="1"/>
  <c r="BP33" i="1" s="1"/>
  <c r="BM33" i="1"/>
  <c r="BO33" i="1" s="1"/>
  <c r="BQ33" i="1" s="1"/>
  <c r="J36" i="1"/>
  <c r="L36" i="1" s="1"/>
  <c r="N36" i="1" s="1"/>
  <c r="P36" i="1" s="1"/>
  <c r="R36" i="1" s="1"/>
  <c r="K36" i="1"/>
  <c r="M36" i="1" s="1"/>
  <c r="D37" i="1"/>
  <c r="U284" i="1"/>
  <c r="T284" i="1"/>
  <c r="V284" i="1" s="1"/>
  <c r="U36" i="1"/>
  <c r="W36" i="1" s="1"/>
  <c r="T36" i="1"/>
  <c r="V36" i="1" s="1"/>
  <c r="X36" i="1" s="1"/>
  <c r="AX34" i="1"/>
  <c r="AZ34" i="1" s="1"/>
  <c r="BB34" i="1" s="1"/>
  <c r="AY34" i="1"/>
  <c r="BA34" i="1" s="1"/>
  <c r="J284" i="1"/>
  <c r="L284" i="1" s="1"/>
  <c r="N284" i="1" s="1"/>
  <c r="K284" i="1"/>
  <c r="D285" i="1"/>
  <c r="CQ31" i="1"/>
  <c r="CS31" i="1" s="1"/>
  <c r="CU31" i="1" s="1"/>
  <c r="CW31" i="1" s="1"/>
  <c r="CY31" i="1" s="1"/>
  <c r="CR31" i="1"/>
  <c r="CT31" i="1" s="1"/>
  <c r="AO35" i="1"/>
  <c r="AQ35" i="1" s="1"/>
  <c r="AN35" i="1"/>
  <c r="AP35" i="1" s="1"/>
  <c r="AR35" i="1" s="1"/>
  <c r="BS33" i="1" l="1"/>
  <c r="BU33" i="1" s="1"/>
  <c r="BR33" i="1"/>
  <c r="BT33" i="1" s="1"/>
  <c r="BV33" i="1" s="1"/>
  <c r="BC34" i="1"/>
  <c r="BE34" i="1" s="1"/>
  <c r="BG34" i="1" s="1"/>
  <c r="BD34" i="1"/>
  <c r="BF34" i="1" s="1"/>
  <c r="O36" i="1"/>
  <c r="F37" i="1"/>
  <c r="H37" i="1" s="1"/>
  <c r="E37" i="1"/>
  <c r="CV31" i="1"/>
  <c r="CX31" i="1" s="1"/>
  <c r="CZ31" i="1" s="1"/>
  <c r="P284" i="1"/>
  <c r="O284" i="1"/>
  <c r="F285" i="1"/>
  <c r="E285" i="1"/>
  <c r="CH32" i="1"/>
  <c r="CJ32" i="1" s="1"/>
  <c r="CG32" i="1"/>
  <c r="CI32" i="1" s="1"/>
  <c r="CK32" i="1" s="1"/>
  <c r="AS35" i="1"/>
  <c r="AU35" i="1" s="1"/>
  <c r="AW35" i="1" s="1"/>
  <c r="AT35" i="1"/>
  <c r="AV35" i="1" s="1"/>
  <c r="Z36" i="1"/>
  <c r="AB36" i="1" s="1"/>
  <c r="Y36" i="1"/>
  <c r="AA36" i="1" s="1"/>
  <c r="AC36" i="1" s="1"/>
  <c r="G37" i="1" l="1"/>
  <c r="I37" i="1" s="1"/>
  <c r="Q37" i="1"/>
  <c r="S37" i="1" s="1"/>
  <c r="U37" i="1" s="1"/>
  <c r="W37" i="1" s="1"/>
  <c r="BH34" i="1"/>
  <c r="BJ34" i="1" s="1"/>
  <c r="BL34" i="1" s="1"/>
  <c r="BI34" i="1"/>
  <c r="BK34" i="1" s="1"/>
  <c r="BW33" i="1"/>
  <c r="BY33" i="1" s="1"/>
  <c r="CA33" i="1" s="1"/>
  <c r="BX33" i="1"/>
  <c r="BZ33" i="1" s="1"/>
  <c r="Q285" i="1"/>
  <c r="G285" i="1"/>
  <c r="I285" i="1" s="1"/>
  <c r="CL32" i="1"/>
  <c r="CN32" i="1" s="1"/>
  <c r="CP32" i="1" s="1"/>
  <c r="CM32" i="1"/>
  <c r="CO32" i="1" s="1"/>
  <c r="AY35" i="1"/>
  <c r="BA35" i="1" s="1"/>
  <c r="AX35" i="1"/>
  <c r="AZ35" i="1" s="1"/>
  <c r="BB35" i="1" s="1"/>
  <c r="DA31" i="1"/>
  <c r="DC31" i="1" s="1"/>
  <c r="DB31" i="1"/>
  <c r="DD31" i="1" s="1"/>
  <c r="AE36" i="1"/>
  <c r="AG36" i="1" s="1"/>
  <c r="AD36" i="1"/>
  <c r="AF36" i="1" s="1"/>
  <c r="AH36" i="1" s="1"/>
  <c r="T37" i="1"/>
  <c r="V37" i="1" s="1"/>
  <c r="X37" i="1" s="1"/>
  <c r="J285" i="1" l="1"/>
  <c r="L285" i="1" s="1"/>
  <c r="N285" i="1" s="1"/>
  <c r="K285" i="1"/>
  <c r="D286" i="1"/>
  <c r="BM34" i="1"/>
  <c r="BO34" i="1" s="1"/>
  <c r="BQ34" i="1" s="1"/>
  <c r="BN34" i="1"/>
  <c r="BP34" i="1" s="1"/>
  <c r="CR32" i="1"/>
  <c r="CT32" i="1" s="1"/>
  <c r="CQ32" i="1"/>
  <c r="CS32" i="1" s="1"/>
  <c r="CU32" i="1" s="1"/>
  <c r="CV32" i="1" s="1"/>
  <c r="CX32" i="1" s="1"/>
  <c r="CB33" i="1"/>
  <c r="CD33" i="1" s="1"/>
  <c r="CF33" i="1" s="1"/>
  <c r="CC33" i="1"/>
  <c r="CE33" i="1" s="1"/>
  <c r="K37" i="1"/>
  <c r="M37" i="1" s="1"/>
  <c r="D38" i="1"/>
  <c r="J37" i="1"/>
  <c r="L37" i="1" s="1"/>
  <c r="N37" i="1" s="1"/>
  <c r="AI36" i="1"/>
  <c r="AK36" i="1" s="1"/>
  <c r="AM36" i="1" s="1"/>
  <c r="AJ36" i="1"/>
  <c r="AL36" i="1" s="1"/>
  <c r="BC35" i="1"/>
  <c r="BE35" i="1" s="1"/>
  <c r="BG35" i="1" s="1"/>
  <c r="BD35" i="1"/>
  <c r="BF35" i="1" s="1"/>
  <c r="Y37" i="1"/>
  <c r="AA37" i="1" s="1"/>
  <c r="AC37" i="1" s="1"/>
  <c r="CH33" i="1" l="1"/>
  <c r="CJ33" i="1" s="1"/>
  <c r="CG33" i="1"/>
  <c r="CI33" i="1" s="1"/>
  <c r="CK33" i="1" s="1"/>
  <c r="CW32" i="1"/>
  <c r="CY32" i="1" s="1"/>
  <c r="E286" i="1"/>
  <c r="F286" i="1"/>
  <c r="BR34" i="1"/>
  <c r="BT34" i="1" s="1"/>
  <c r="BV34" i="1" s="1"/>
  <c r="BS34" i="1"/>
  <c r="BU34" i="1" s="1"/>
  <c r="P37" i="1"/>
  <c r="R37" i="1" s="1"/>
  <c r="O37" i="1"/>
  <c r="F38" i="1"/>
  <c r="H38" i="1" s="1"/>
  <c r="E38" i="1"/>
  <c r="P285" i="1"/>
  <c r="O285" i="1"/>
  <c r="CZ32" i="1"/>
  <c r="BI35" i="1"/>
  <c r="BK35" i="1" s="1"/>
  <c r="BH35" i="1"/>
  <c r="BJ35" i="1" s="1"/>
  <c r="BL35" i="1" s="1"/>
  <c r="AO36" i="1"/>
  <c r="AQ36" i="1" s="1"/>
  <c r="AN36" i="1"/>
  <c r="AP36" i="1" s="1"/>
  <c r="AR36" i="1" s="1"/>
  <c r="Z37" i="1"/>
  <c r="AB37" i="1" s="1"/>
  <c r="AE37" i="1"/>
  <c r="AG37" i="1" s="1"/>
  <c r="AD37" i="1"/>
  <c r="AF37" i="1" s="1"/>
  <c r="AH37" i="1" s="1"/>
  <c r="CL33" i="1" l="1"/>
  <c r="CN33" i="1" s="1"/>
  <c r="CP33" i="1" s="1"/>
  <c r="CM33" i="1"/>
  <c r="CO33" i="1" s="1"/>
  <c r="BX34" i="1"/>
  <c r="BZ34" i="1" s="1"/>
  <c r="BW34" i="1"/>
  <c r="BY34" i="1" s="1"/>
  <c r="CA34" i="1" s="1"/>
  <c r="Q286" i="1"/>
  <c r="G286" i="1"/>
  <c r="I286" i="1" s="1"/>
  <c r="G38" i="1"/>
  <c r="I38" i="1" s="1"/>
  <c r="Q38" i="1"/>
  <c r="S38" i="1" s="1"/>
  <c r="T38" i="1" s="1"/>
  <c r="V38" i="1" s="1"/>
  <c r="X38" i="1" s="1"/>
  <c r="AS36" i="1"/>
  <c r="AU36" i="1" s="1"/>
  <c r="AW36" i="1" s="1"/>
  <c r="AT36" i="1"/>
  <c r="AV36" i="1" s="1"/>
  <c r="BM35" i="1"/>
  <c r="BO35" i="1" s="1"/>
  <c r="BQ35" i="1" s="1"/>
  <c r="BN35" i="1"/>
  <c r="BP35" i="1" s="1"/>
  <c r="DA32" i="1"/>
  <c r="DC32" i="1" s="1"/>
  <c r="DB32" i="1"/>
  <c r="DD32" i="1" s="1"/>
  <c r="AI37" i="1"/>
  <c r="AK37" i="1" s="1"/>
  <c r="AM37" i="1" s="1"/>
  <c r="AJ37" i="1"/>
  <c r="AL37" i="1" s="1"/>
  <c r="K286" i="1" l="1"/>
  <c r="J286" i="1"/>
  <c r="L286" i="1" s="1"/>
  <c r="D287" i="1"/>
  <c r="CB34" i="1"/>
  <c r="CD34" i="1" s="1"/>
  <c r="CF34" i="1" s="1"/>
  <c r="CC34" i="1"/>
  <c r="CE34" i="1" s="1"/>
  <c r="CQ33" i="1"/>
  <c r="CS33" i="1" s="1"/>
  <c r="CU33" i="1" s="1"/>
  <c r="CR33" i="1"/>
  <c r="CT33" i="1" s="1"/>
  <c r="K38" i="1"/>
  <c r="M38" i="1" s="1"/>
  <c r="J38" i="1"/>
  <c r="L38" i="1" s="1"/>
  <c r="N38" i="1" s="1"/>
  <c r="D39" i="1"/>
  <c r="U38" i="1"/>
  <c r="W38" i="1" s="1"/>
  <c r="AO37" i="1"/>
  <c r="AQ37" i="1" s="1"/>
  <c r="AN37" i="1"/>
  <c r="AP37" i="1" s="1"/>
  <c r="AR37" i="1" s="1"/>
  <c r="CV33" i="1"/>
  <c r="CX33" i="1" s="1"/>
  <c r="CW33" i="1"/>
  <c r="CY33" i="1" s="1"/>
  <c r="BR35" i="1"/>
  <c r="BT35" i="1" s="1"/>
  <c r="BV35" i="1" s="1"/>
  <c r="BS35" i="1"/>
  <c r="BU35" i="1" s="1"/>
  <c r="AX36" i="1"/>
  <c r="AZ36" i="1" s="1"/>
  <c r="BB36" i="1" s="1"/>
  <c r="AY36" i="1"/>
  <c r="BA36" i="1" s="1"/>
  <c r="P38" i="1" l="1"/>
  <c r="R38" i="1" s="1"/>
  <c r="O38" i="1"/>
  <c r="F39" i="1"/>
  <c r="H39" i="1" s="1"/>
  <c r="E39" i="1"/>
  <c r="CH34" i="1"/>
  <c r="CJ34" i="1" s="1"/>
  <c r="CG34" i="1"/>
  <c r="CI34" i="1" s="1"/>
  <c r="CK34" i="1" s="1"/>
  <c r="F287" i="1"/>
  <c r="E287" i="1"/>
  <c r="CZ33" i="1"/>
  <c r="BC36" i="1"/>
  <c r="BE36" i="1" s="1"/>
  <c r="BG36" i="1" s="1"/>
  <c r="BD36" i="1"/>
  <c r="BF36" i="1" s="1"/>
  <c r="BW35" i="1"/>
  <c r="BY35" i="1" s="1"/>
  <c r="CA35" i="1" s="1"/>
  <c r="BX35" i="1"/>
  <c r="BZ35" i="1" s="1"/>
  <c r="AT37" i="1"/>
  <c r="AV37" i="1" s="1"/>
  <c r="AS37" i="1"/>
  <c r="AU37" i="1" s="1"/>
  <c r="AW37" i="1" s="1"/>
  <c r="CM34" i="1" l="1"/>
  <c r="CO34" i="1" s="1"/>
  <c r="CL34" i="1"/>
  <c r="CN34" i="1" s="1"/>
  <c r="CP34" i="1" s="1"/>
  <c r="G287" i="1"/>
  <c r="Q287" i="1"/>
  <c r="Q39" i="1"/>
  <c r="S39" i="1" s="1"/>
  <c r="U39" i="1" s="1"/>
  <c r="W39" i="1" s="1"/>
  <c r="G39" i="1"/>
  <c r="I39" i="1" s="1"/>
  <c r="AY37" i="1"/>
  <c r="BA37" i="1" s="1"/>
  <c r="AX37" i="1"/>
  <c r="AZ37" i="1" s="1"/>
  <c r="BB37" i="1" s="1"/>
  <c r="DA33" i="1"/>
  <c r="DC33" i="1" s="1"/>
  <c r="DB33" i="1"/>
  <c r="DD33" i="1" s="1"/>
  <c r="CC35" i="1"/>
  <c r="CE35" i="1" s="1"/>
  <c r="CB35" i="1"/>
  <c r="CD35" i="1" s="1"/>
  <c r="CF35" i="1" s="1"/>
  <c r="BH36" i="1"/>
  <c r="BJ36" i="1" s="1"/>
  <c r="BL36" i="1" s="1"/>
  <c r="BI36" i="1"/>
  <c r="BK36" i="1" s="1"/>
  <c r="Z38" i="1"/>
  <c r="AB38" i="1" s="1"/>
  <c r="Y38" i="1"/>
  <c r="AA38" i="1" s="1"/>
  <c r="AC38" i="1" s="1"/>
  <c r="K39" i="1" l="1"/>
  <c r="M39" i="1" s="1"/>
  <c r="J39" i="1"/>
  <c r="L39" i="1" s="1"/>
  <c r="N39" i="1" s="1"/>
  <c r="D40" i="1"/>
  <c r="CR34" i="1"/>
  <c r="CT34" i="1" s="1"/>
  <c r="CQ34" i="1"/>
  <c r="CS34" i="1" s="1"/>
  <c r="CU34" i="1" s="1"/>
  <c r="BM36" i="1"/>
  <c r="BO36" i="1" s="1"/>
  <c r="BQ36" i="1" s="1"/>
  <c r="BN36" i="1"/>
  <c r="BP36" i="1" s="1"/>
  <c r="CG35" i="1"/>
  <c r="CI35" i="1" s="1"/>
  <c r="CK35" i="1" s="1"/>
  <c r="CH35" i="1"/>
  <c r="CJ35" i="1" s="1"/>
  <c r="BC37" i="1"/>
  <c r="BE37" i="1" s="1"/>
  <c r="BG37" i="1" s="1"/>
  <c r="BD37" i="1"/>
  <c r="BF37" i="1" s="1"/>
  <c r="AE38" i="1"/>
  <c r="AG38" i="1" s="1"/>
  <c r="AD38" i="1"/>
  <c r="AF38" i="1" s="1"/>
  <c r="AH38" i="1" s="1"/>
  <c r="T39" i="1"/>
  <c r="F40" i="1" l="1"/>
  <c r="H40" i="1" s="1"/>
  <c r="E40" i="1"/>
  <c r="P39" i="1"/>
  <c r="R39" i="1" s="1"/>
  <c r="O39" i="1"/>
  <c r="CW34" i="1"/>
  <c r="CY34" i="1" s="1"/>
  <c r="CV34" i="1"/>
  <c r="CX34" i="1" s="1"/>
  <c r="BI37" i="1"/>
  <c r="BK37" i="1" s="1"/>
  <c r="BH37" i="1"/>
  <c r="BJ37" i="1" s="1"/>
  <c r="BL37" i="1" s="1"/>
  <c r="CL35" i="1"/>
  <c r="CN35" i="1" s="1"/>
  <c r="CP35" i="1" s="1"/>
  <c r="CM35" i="1"/>
  <c r="CO35" i="1" s="1"/>
  <c r="BS36" i="1"/>
  <c r="BU36" i="1" s="1"/>
  <c r="BR36" i="1"/>
  <c r="BT36" i="1" s="1"/>
  <c r="BV36" i="1" s="1"/>
  <c r="AI38" i="1"/>
  <c r="AK38" i="1" s="1"/>
  <c r="AM38" i="1" s="1"/>
  <c r="AJ38" i="1"/>
  <c r="AL38" i="1" s="1"/>
  <c r="V39" i="1"/>
  <c r="X39" i="1" s="1"/>
  <c r="G40" i="1" l="1"/>
  <c r="I40" i="1" s="1"/>
  <c r="Q40" i="1"/>
  <c r="S40" i="1" s="1"/>
  <c r="T40" i="1" s="1"/>
  <c r="V40" i="1" s="1"/>
  <c r="CZ34" i="1"/>
  <c r="CR35" i="1"/>
  <c r="CT35" i="1" s="1"/>
  <c r="CQ35" i="1"/>
  <c r="CS35" i="1" s="1"/>
  <c r="CU35" i="1" s="1"/>
  <c r="AO38" i="1"/>
  <c r="AQ38" i="1" s="1"/>
  <c r="AN38" i="1"/>
  <c r="AP38" i="1" s="1"/>
  <c r="AR38" i="1" s="1"/>
  <c r="BW36" i="1"/>
  <c r="BY36" i="1" s="1"/>
  <c r="CA36" i="1" s="1"/>
  <c r="BX36" i="1"/>
  <c r="BZ36" i="1" s="1"/>
  <c r="BM37" i="1"/>
  <c r="BO37" i="1" s="1"/>
  <c r="BQ37" i="1" s="1"/>
  <c r="BN37" i="1"/>
  <c r="BP37" i="1" s="1"/>
  <c r="Y39" i="1"/>
  <c r="AA39" i="1" s="1"/>
  <c r="AC39" i="1" s="1"/>
  <c r="DA34" i="1" l="1"/>
  <c r="DC34" i="1" s="1"/>
  <c r="DB34" i="1"/>
  <c r="DD34" i="1" s="1"/>
  <c r="K40" i="1"/>
  <c r="M40" i="1" s="1"/>
  <c r="D41" i="1"/>
  <c r="J40" i="1"/>
  <c r="L40" i="1" s="1"/>
  <c r="N40" i="1" s="1"/>
  <c r="X40" i="1"/>
  <c r="BR37" i="1"/>
  <c r="BT37" i="1" s="1"/>
  <c r="BV37" i="1" s="1"/>
  <c r="BS37" i="1"/>
  <c r="BU37" i="1" s="1"/>
  <c r="CB36" i="1"/>
  <c r="CD36" i="1" s="1"/>
  <c r="CF36" i="1" s="1"/>
  <c r="CC36" i="1"/>
  <c r="CE36" i="1" s="1"/>
  <c r="AT38" i="1"/>
  <c r="AV38" i="1" s="1"/>
  <c r="AS38" i="1"/>
  <c r="AU38" i="1" s="1"/>
  <c r="AW38" i="1" s="1"/>
  <c r="CV35" i="1"/>
  <c r="CX35" i="1" s="1"/>
  <c r="CW35" i="1"/>
  <c r="CY35" i="1" s="1"/>
  <c r="Z39" i="1"/>
  <c r="AB39" i="1" s="1"/>
  <c r="AE39" i="1"/>
  <c r="AG39" i="1" s="1"/>
  <c r="AD39" i="1"/>
  <c r="AF39" i="1" s="1"/>
  <c r="AH39" i="1" s="1"/>
  <c r="U40" i="1"/>
  <c r="W40" i="1" s="1"/>
  <c r="P40" i="1" l="1"/>
  <c r="R40" i="1" s="1"/>
  <c r="O40" i="1"/>
  <c r="F41" i="1"/>
  <c r="H41" i="1" s="1"/>
  <c r="E41" i="1"/>
  <c r="CZ35" i="1"/>
  <c r="CH36" i="1"/>
  <c r="CJ36" i="1" s="1"/>
  <c r="CG36" i="1"/>
  <c r="CI36" i="1" s="1"/>
  <c r="CK36" i="1" s="1"/>
  <c r="BX37" i="1"/>
  <c r="BZ37" i="1" s="1"/>
  <c r="BW37" i="1"/>
  <c r="BY37" i="1" s="1"/>
  <c r="CA37" i="1" s="1"/>
  <c r="AJ39" i="1"/>
  <c r="AL39" i="1" s="1"/>
  <c r="AI39" i="1"/>
  <c r="AK39" i="1" s="1"/>
  <c r="AM39" i="1" s="1"/>
  <c r="AY38" i="1"/>
  <c r="BA38" i="1" s="1"/>
  <c r="AX38" i="1"/>
  <c r="AZ38" i="1" s="1"/>
  <c r="BB38" i="1" s="1"/>
  <c r="Z40" i="1"/>
  <c r="AB40" i="1" s="1"/>
  <c r="Y40" i="1"/>
  <c r="AA40" i="1" s="1"/>
  <c r="AC40" i="1" s="1"/>
  <c r="Q41" i="1" l="1"/>
  <c r="S41" i="1" s="1"/>
  <c r="U41" i="1" s="1"/>
  <c r="W41" i="1" s="1"/>
  <c r="G41" i="1"/>
  <c r="I41" i="1" s="1"/>
  <c r="DB35" i="1"/>
  <c r="DD35" i="1" s="1"/>
  <c r="DA35" i="1"/>
  <c r="DC35" i="1" s="1"/>
  <c r="BC38" i="1"/>
  <c r="BE38" i="1" s="1"/>
  <c r="BG38" i="1" s="1"/>
  <c r="BD38" i="1"/>
  <c r="BF38" i="1" s="1"/>
  <c r="AO39" i="1"/>
  <c r="AQ39" i="1" s="1"/>
  <c r="AN39" i="1"/>
  <c r="AP39" i="1" s="1"/>
  <c r="AR39" i="1" s="1"/>
  <c r="CC37" i="1"/>
  <c r="CE37" i="1" s="1"/>
  <c r="CB37" i="1"/>
  <c r="CD37" i="1" s="1"/>
  <c r="CF37" i="1" s="1"/>
  <c r="CL36" i="1"/>
  <c r="CN36" i="1" s="1"/>
  <c r="CP36" i="1" s="1"/>
  <c r="CM36" i="1"/>
  <c r="CO36" i="1" s="1"/>
  <c r="AE40" i="1"/>
  <c r="AG40" i="1" s="1"/>
  <c r="AD40" i="1"/>
  <c r="AF40" i="1" s="1"/>
  <c r="AH40" i="1" s="1"/>
  <c r="T41" i="1"/>
  <c r="V41" i="1" s="1"/>
  <c r="X41" i="1" s="1"/>
  <c r="K41" i="1" l="1"/>
  <c r="M41" i="1" s="1"/>
  <c r="J41" i="1"/>
  <c r="L41" i="1" s="1"/>
  <c r="N41" i="1" s="1"/>
  <c r="D42" i="1"/>
  <c r="AJ40" i="1"/>
  <c r="AL40" i="1" s="1"/>
  <c r="AI40" i="1"/>
  <c r="AK40" i="1" s="1"/>
  <c r="AM40" i="1" s="1"/>
  <c r="CQ36" i="1"/>
  <c r="CS36" i="1" s="1"/>
  <c r="CU36" i="1" s="1"/>
  <c r="CR36" i="1"/>
  <c r="CT36" i="1" s="1"/>
  <c r="BI38" i="1"/>
  <c r="BK38" i="1" s="1"/>
  <c r="BH38" i="1"/>
  <c r="BJ38" i="1" s="1"/>
  <c r="BL38" i="1" s="1"/>
  <c r="CH37" i="1"/>
  <c r="CJ37" i="1" s="1"/>
  <c r="CG37" i="1"/>
  <c r="CI37" i="1" s="1"/>
  <c r="CK37" i="1" s="1"/>
  <c r="AS39" i="1"/>
  <c r="AU39" i="1" s="1"/>
  <c r="AW39" i="1" s="1"/>
  <c r="AT39" i="1"/>
  <c r="AV39" i="1" s="1"/>
  <c r="E42" i="1" l="1"/>
  <c r="F42" i="1"/>
  <c r="H42" i="1" s="1"/>
  <c r="O41" i="1"/>
  <c r="P41" i="1"/>
  <c r="R41" i="1" s="1"/>
  <c r="CM37" i="1"/>
  <c r="CO37" i="1" s="1"/>
  <c r="CL37" i="1"/>
  <c r="CN37" i="1" s="1"/>
  <c r="CP37" i="1" s="1"/>
  <c r="BM38" i="1"/>
  <c r="BO38" i="1" s="1"/>
  <c r="BQ38" i="1" s="1"/>
  <c r="BN38" i="1"/>
  <c r="BP38" i="1" s="1"/>
  <c r="AO40" i="1"/>
  <c r="AQ40" i="1" s="1"/>
  <c r="AN40" i="1"/>
  <c r="AP40" i="1" s="1"/>
  <c r="AR40" i="1" s="1"/>
  <c r="AY39" i="1"/>
  <c r="BA39" i="1" s="1"/>
  <c r="AX39" i="1"/>
  <c r="AZ39" i="1" s="1"/>
  <c r="BB39" i="1" s="1"/>
  <c r="CV36" i="1"/>
  <c r="CX36" i="1" s="1"/>
  <c r="CW36" i="1"/>
  <c r="CY36" i="1" s="1"/>
  <c r="Z41" i="1"/>
  <c r="AB41" i="1" s="1"/>
  <c r="Y41" i="1"/>
  <c r="AA41" i="1" s="1"/>
  <c r="AC41" i="1" s="1"/>
  <c r="CZ36" i="1" l="1"/>
  <c r="Q42" i="1"/>
  <c r="S42" i="1" s="1"/>
  <c r="U42" i="1" s="1"/>
  <c r="W42" i="1" s="1"/>
  <c r="G42" i="1"/>
  <c r="I42" i="1" s="1"/>
  <c r="BR38" i="1"/>
  <c r="BT38" i="1" s="1"/>
  <c r="BV38" i="1" s="1"/>
  <c r="BS38" i="1"/>
  <c r="BU38" i="1" s="1"/>
  <c r="BC39" i="1"/>
  <c r="BE39" i="1" s="1"/>
  <c r="BG39" i="1" s="1"/>
  <c r="BD39" i="1"/>
  <c r="BF39" i="1" s="1"/>
  <c r="AS40" i="1"/>
  <c r="AU40" i="1" s="1"/>
  <c r="AW40" i="1" s="1"/>
  <c r="AT40" i="1"/>
  <c r="AV40" i="1" s="1"/>
  <c r="CQ37" i="1"/>
  <c r="CS37" i="1" s="1"/>
  <c r="CR37" i="1"/>
  <c r="CT37" i="1" s="1"/>
  <c r="AE41" i="1"/>
  <c r="AG41" i="1" s="1"/>
  <c r="AD41" i="1"/>
  <c r="AF41" i="1" s="1"/>
  <c r="AH41" i="1" s="1"/>
  <c r="K42" i="1"/>
  <c r="M42" i="1" s="1"/>
  <c r="J42" i="1"/>
  <c r="L42" i="1" s="1"/>
  <c r="N42" i="1" s="1"/>
  <c r="D43" i="1"/>
  <c r="T42" i="1"/>
  <c r="V42" i="1" s="1"/>
  <c r="X42" i="1" l="1"/>
  <c r="Z42" i="1" s="1"/>
  <c r="AB42" i="1" s="1"/>
  <c r="CU37" i="1"/>
  <c r="CW37" i="1" s="1"/>
  <c r="CY37" i="1" s="1"/>
  <c r="AJ41" i="1"/>
  <c r="AL41" i="1" s="1"/>
  <c r="AI41" i="1"/>
  <c r="AK41" i="1" s="1"/>
  <c r="AM41" i="1" s="1"/>
  <c r="DA36" i="1"/>
  <c r="DC36" i="1" s="1"/>
  <c r="DB36" i="1"/>
  <c r="DD36" i="1" s="1"/>
  <c r="BW38" i="1"/>
  <c r="BY38" i="1" s="1"/>
  <c r="CA38" i="1" s="1"/>
  <c r="BX38" i="1"/>
  <c r="BZ38" i="1" s="1"/>
  <c r="AY40" i="1"/>
  <c r="BA40" i="1" s="1"/>
  <c r="AX40" i="1"/>
  <c r="AZ40" i="1" s="1"/>
  <c r="BB40" i="1" s="1"/>
  <c r="BI39" i="1"/>
  <c r="BK39" i="1" s="1"/>
  <c r="BH39" i="1"/>
  <c r="BJ39" i="1" s="1"/>
  <c r="BL39" i="1" s="1"/>
  <c r="P42" i="1"/>
  <c r="R42" i="1" s="1"/>
  <c r="O42" i="1"/>
  <c r="F43" i="1"/>
  <c r="H43" i="1" s="1"/>
  <c r="E43" i="1"/>
  <c r="Y42" i="1"/>
  <c r="AA42" i="1" s="1"/>
  <c r="AC42" i="1" s="1"/>
  <c r="CV37" i="1" l="1"/>
  <c r="CX37" i="1" s="1"/>
  <c r="CZ37" i="1"/>
  <c r="BM39" i="1"/>
  <c r="BO39" i="1" s="1"/>
  <c r="BQ39" i="1" s="1"/>
  <c r="BN39" i="1"/>
  <c r="BP39" i="1" s="1"/>
  <c r="BD40" i="1"/>
  <c r="BF40" i="1" s="1"/>
  <c r="BC40" i="1"/>
  <c r="BE40" i="1" s="1"/>
  <c r="BG40" i="1" s="1"/>
  <c r="AN41" i="1"/>
  <c r="AP41" i="1" s="1"/>
  <c r="AR41" i="1" s="1"/>
  <c r="AO41" i="1"/>
  <c r="AQ41" i="1" s="1"/>
  <c r="CC38" i="1"/>
  <c r="CE38" i="1" s="1"/>
  <c r="CB38" i="1"/>
  <c r="CD38" i="1" s="1"/>
  <c r="CF38" i="1" s="1"/>
  <c r="AD42" i="1"/>
  <c r="AF42" i="1" s="1"/>
  <c r="AH42" i="1" s="1"/>
  <c r="G43" i="1"/>
  <c r="I43" i="1" s="1"/>
  <c r="Q43" i="1"/>
  <c r="S43" i="1" s="1"/>
  <c r="DB37" i="1" l="1"/>
  <c r="DD37" i="1" s="1"/>
  <c r="DA37" i="1"/>
  <c r="DC37" i="1" s="1"/>
  <c r="CG38" i="1"/>
  <c r="CI38" i="1" s="1"/>
  <c r="CK38" i="1" s="1"/>
  <c r="CH38" i="1"/>
  <c r="CJ38" i="1" s="1"/>
  <c r="BH40" i="1"/>
  <c r="BJ40" i="1" s="1"/>
  <c r="BL40" i="1" s="1"/>
  <c r="BI40" i="1"/>
  <c r="BK40" i="1" s="1"/>
  <c r="AI42" i="1"/>
  <c r="AK42" i="1" s="1"/>
  <c r="AM42" i="1" s="1"/>
  <c r="AJ42" i="1"/>
  <c r="AL42" i="1" s="1"/>
  <c r="AS41" i="1"/>
  <c r="AU41" i="1" s="1"/>
  <c r="AW41" i="1" s="1"/>
  <c r="AT41" i="1"/>
  <c r="AV41" i="1" s="1"/>
  <c r="BR39" i="1"/>
  <c r="BT39" i="1" s="1"/>
  <c r="BV39" i="1" s="1"/>
  <c r="BS39" i="1"/>
  <c r="BU39" i="1" s="1"/>
  <c r="AE42" i="1"/>
  <c r="AG42" i="1" s="1"/>
  <c r="BW39" i="1" l="1"/>
  <c r="BY39" i="1" s="1"/>
  <c r="CA39" i="1" s="1"/>
  <c r="BX39" i="1"/>
  <c r="BZ39" i="1" s="1"/>
  <c r="AY41" i="1"/>
  <c r="BA41" i="1" s="1"/>
  <c r="AX41" i="1"/>
  <c r="AZ41" i="1" s="1"/>
  <c r="BB41" i="1" s="1"/>
  <c r="AO42" i="1"/>
  <c r="AQ42" i="1" s="1"/>
  <c r="AN42" i="1"/>
  <c r="AP42" i="1" s="1"/>
  <c r="AR42" i="1" s="1"/>
  <c r="BM40" i="1"/>
  <c r="BO40" i="1" s="1"/>
  <c r="BQ40" i="1" s="1"/>
  <c r="BN40" i="1"/>
  <c r="BP40" i="1" s="1"/>
  <c r="CL38" i="1"/>
  <c r="CN38" i="1" s="1"/>
  <c r="CP38" i="1" s="1"/>
  <c r="CM38" i="1"/>
  <c r="CO38" i="1" s="1"/>
  <c r="U43" i="1"/>
  <c r="W43" i="1" s="1"/>
  <c r="T43" i="1"/>
  <c r="V43" i="1" s="1"/>
  <c r="X43" i="1" s="1"/>
  <c r="K43" i="1"/>
  <c r="M43" i="1" s="1"/>
  <c r="J43" i="1"/>
  <c r="L43" i="1" s="1"/>
  <c r="N43" i="1" s="1"/>
  <c r="D44" i="1"/>
  <c r="CR38" i="1" l="1"/>
  <c r="CT38" i="1" s="1"/>
  <c r="CQ38" i="1"/>
  <c r="CS38" i="1" s="1"/>
  <c r="CU38" i="1" s="1"/>
  <c r="BS40" i="1"/>
  <c r="BU40" i="1" s="1"/>
  <c r="BR40" i="1"/>
  <c r="BT40" i="1" s="1"/>
  <c r="BV40" i="1" s="1"/>
  <c r="CB39" i="1"/>
  <c r="CD39" i="1" s="1"/>
  <c r="CF39" i="1" s="1"/>
  <c r="CC39" i="1"/>
  <c r="CE39" i="1" s="1"/>
  <c r="AT42" i="1"/>
  <c r="AV42" i="1" s="1"/>
  <c r="AS42" i="1"/>
  <c r="AU42" i="1" s="1"/>
  <c r="AW42" i="1" s="1"/>
  <c r="BC41" i="1"/>
  <c r="BE41" i="1" s="1"/>
  <c r="BG41" i="1" s="1"/>
  <c r="BD41" i="1"/>
  <c r="BF41" i="1" s="1"/>
  <c r="P43" i="1"/>
  <c r="R43" i="1" s="1"/>
  <c r="Z43" i="1"/>
  <c r="AB43" i="1" s="1"/>
  <c r="F44" i="1"/>
  <c r="H44" i="1" s="1"/>
  <c r="E44" i="1"/>
  <c r="BH41" i="1" l="1"/>
  <c r="BJ41" i="1" s="1"/>
  <c r="BL41" i="1" s="1"/>
  <c r="BI41" i="1"/>
  <c r="BK41" i="1" s="1"/>
  <c r="CG39" i="1"/>
  <c r="CI39" i="1" s="1"/>
  <c r="CK39" i="1" s="1"/>
  <c r="CH39" i="1"/>
  <c r="CJ39" i="1" s="1"/>
  <c r="AY42" i="1"/>
  <c r="BA42" i="1" s="1"/>
  <c r="AX42" i="1"/>
  <c r="AZ42" i="1" s="1"/>
  <c r="BB42" i="1" s="1"/>
  <c r="BX40" i="1"/>
  <c r="BZ40" i="1" s="1"/>
  <c r="BW40" i="1"/>
  <c r="BY40" i="1" s="1"/>
  <c r="CA40" i="1" s="1"/>
  <c r="CW38" i="1"/>
  <c r="CY38" i="1" s="1"/>
  <c r="CV38" i="1"/>
  <c r="CX38" i="1" s="1"/>
  <c r="O43" i="1"/>
  <c r="Y43" i="1"/>
  <c r="AA43" i="1" s="1"/>
  <c r="AC43" i="1" s="1"/>
  <c r="G44" i="1"/>
  <c r="I44" i="1" s="1"/>
  <c r="Q44" i="1"/>
  <c r="S44" i="1" s="1"/>
  <c r="CZ38" i="1" l="1"/>
  <c r="CL39" i="1"/>
  <c r="CN39" i="1" s="1"/>
  <c r="CP39" i="1" s="1"/>
  <c r="CM39" i="1"/>
  <c r="CO39" i="1" s="1"/>
  <c r="BM41" i="1"/>
  <c r="BO41" i="1" s="1"/>
  <c r="BQ41" i="1" s="1"/>
  <c r="BN41" i="1"/>
  <c r="BP41" i="1" s="1"/>
  <c r="CB40" i="1"/>
  <c r="CD40" i="1" s="1"/>
  <c r="CF40" i="1" s="1"/>
  <c r="CC40" i="1"/>
  <c r="CE40" i="1" s="1"/>
  <c r="BD42" i="1"/>
  <c r="BF42" i="1" s="1"/>
  <c r="BC42" i="1"/>
  <c r="BE42" i="1" s="1"/>
  <c r="BG42" i="1" s="1"/>
  <c r="AE43" i="1"/>
  <c r="AG43" i="1" s="1"/>
  <c r="AD43" i="1"/>
  <c r="AF43" i="1" s="1"/>
  <c r="AH43" i="1" s="1"/>
  <c r="DB38" i="1" l="1"/>
  <c r="DD38" i="1" s="1"/>
  <c r="DA38" i="1"/>
  <c r="DC38" i="1" s="1"/>
  <c r="CG40" i="1"/>
  <c r="CI40" i="1" s="1"/>
  <c r="CK40" i="1" s="1"/>
  <c r="CH40" i="1"/>
  <c r="CJ40" i="1" s="1"/>
  <c r="BS41" i="1"/>
  <c r="BU41" i="1" s="1"/>
  <c r="BR41" i="1"/>
  <c r="BT41" i="1" s="1"/>
  <c r="BV41" i="1" s="1"/>
  <c r="CR39" i="1"/>
  <c r="CT39" i="1" s="1"/>
  <c r="CQ39" i="1"/>
  <c r="CS39" i="1" s="1"/>
  <c r="CU39" i="1" s="1"/>
  <c r="AI43" i="1"/>
  <c r="AK43" i="1" s="1"/>
  <c r="AM43" i="1" s="1"/>
  <c r="AJ43" i="1"/>
  <c r="AL43" i="1" s="1"/>
  <c r="BI42" i="1"/>
  <c r="BK42" i="1" s="1"/>
  <c r="BH42" i="1"/>
  <c r="BJ42" i="1" s="1"/>
  <c r="BL42" i="1" s="1"/>
  <c r="U44" i="1"/>
  <c r="W44" i="1" s="1"/>
  <c r="T44" i="1"/>
  <c r="V44" i="1" s="1"/>
  <c r="X44" i="1" s="1"/>
  <c r="K44" i="1"/>
  <c r="M44" i="1" s="1"/>
  <c r="J44" i="1"/>
  <c r="L44" i="1" s="1"/>
  <c r="N44" i="1" s="1"/>
  <c r="D45" i="1"/>
  <c r="BM42" i="1" l="1"/>
  <c r="BO42" i="1" s="1"/>
  <c r="BQ42" i="1" s="1"/>
  <c r="BN42" i="1"/>
  <c r="BP42" i="1" s="1"/>
  <c r="CM40" i="1"/>
  <c r="CO40" i="1" s="1"/>
  <c r="CL40" i="1"/>
  <c r="CN40" i="1" s="1"/>
  <c r="CP40" i="1" s="1"/>
  <c r="AO43" i="1"/>
  <c r="AQ43" i="1" s="1"/>
  <c r="AN43" i="1"/>
  <c r="AP43" i="1" s="1"/>
  <c r="AR43" i="1" s="1"/>
  <c r="CV39" i="1"/>
  <c r="CX39" i="1" s="1"/>
  <c r="CW39" i="1"/>
  <c r="CY39" i="1" s="1"/>
  <c r="BX41" i="1"/>
  <c r="BZ41" i="1" s="1"/>
  <c r="BW41" i="1"/>
  <c r="BY41" i="1" s="1"/>
  <c r="CA41" i="1" s="1"/>
  <c r="P44" i="1"/>
  <c r="R44" i="1" s="1"/>
  <c r="Z44" i="1"/>
  <c r="AB44" i="1" s="1"/>
  <c r="F45" i="1"/>
  <c r="H45" i="1" s="1"/>
  <c r="E45" i="1"/>
  <c r="CZ39" i="1" l="1"/>
  <c r="BS42" i="1"/>
  <c r="BU42" i="1" s="1"/>
  <c r="BR42" i="1"/>
  <c r="BT42" i="1" s="1"/>
  <c r="BV42" i="1" s="1"/>
  <c r="CC41" i="1"/>
  <c r="CE41" i="1" s="1"/>
  <c r="CB41" i="1"/>
  <c r="CD41" i="1" s="1"/>
  <c r="CF41" i="1" s="1"/>
  <c r="AT43" i="1"/>
  <c r="AV43" i="1" s="1"/>
  <c r="AS43" i="1"/>
  <c r="AU43" i="1" s="1"/>
  <c r="AW43" i="1" s="1"/>
  <c r="CQ40" i="1"/>
  <c r="CS40" i="1" s="1"/>
  <c r="CU40" i="1" s="1"/>
  <c r="CR40" i="1"/>
  <c r="CT40" i="1" s="1"/>
  <c r="O44" i="1"/>
  <c r="Y44" i="1"/>
  <c r="AA44" i="1" s="1"/>
  <c r="AC44" i="1" s="1"/>
  <c r="G45" i="1"/>
  <c r="I45" i="1" s="1"/>
  <c r="Q45" i="1"/>
  <c r="S45" i="1" s="1"/>
  <c r="DB39" i="1" l="1"/>
  <c r="DD39" i="1" s="1"/>
  <c r="DA39" i="1"/>
  <c r="DC39" i="1" s="1"/>
  <c r="CV40" i="1"/>
  <c r="CX40" i="1" s="1"/>
  <c r="CW40" i="1"/>
  <c r="CY40" i="1" s="1"/>
  <c r="AX43" i="1"/>
  <c r="AZ43" i="1" s="1"/>
  <c r="BB43" i="1" s="1"/>
  <c r="AY43" i="1"/>
  <c r="BA43" i="1" s="1"/>
  <c r="CH41" i="1"/>
  <c r="CJ41" i="1" s="1"/>
  <c r="CG41" i="1"/>
  <c r="CI41" i="1" s="1"/>
  <c r="CK41" i="1" s="1"/>
  <c r="BW42" i="1"/>
  <c r="BY42" i="1" s="1"/>
  <c r="CA42" i="1" s="1"/>
  <c r="BX42" i="1"/>
  <c r="BZ42" i="1" s="1"/>
  <c r="AD44" i="1"/>
  <c r="AF44" i="1" s="1"/>
  <c r="AH44" i="1" s="1"/>
  <c r="AE44" i="1"/>
  <c r="AG44" i="1" s="1"/>
  <c r="CZ40" i="1" l="1"/>
  <c r="DB40" i="1" s="1"/>
  <c r="DD40" i="1" s="1"/>
  <c r="AI44" i="1"/>
  <c r="AK44" i="1" s="1"/>
  <c r="AM44" i="1" s="1"/>
  <c r="AJ44" i="1"/>
  <c r="AL44" i="1" s="1"/>
  <c r="CC42" i="1"/>
  <c r="CE42" i="1" s="1"/>
  <c r="CB42" i="1"/>
  <c r="CD42" i="1" s="1"/>
  <c r="CF42" i="1" s="1"/>
  <c r="BC43" i="1"/>
  <c r="BE43" i="1" s="1"/>
  <c r="BG43" i="1" s="1"/>
  <c r="BD43" i="1"/>
  <c r="BF43" i="1" s="1"/>
  <c r="DA40" i="1"/>
  <c r="DC40" i="1" s="1"/>
  <c r="CM41" i="1"/>
  <c r="CO41" i="1" s="1"/>
  <c r="CL41" i="1"/>
  <c r="CN41" i="1" s="1"/>
  <c r="CP41" i="1" s="1"/>
  <c r="U45" i="1"/>
  <c r="W45" i="1" s="1"/>
  <c r="T45" i="1"/>
  <c r="V45" i="1" s="1"/>
  <c r="X45" i="1" s="1"/>
  <c r="D46" i="1"/>
  <c r="K45" i="1"/>
  <c r="M45" i="1" s="1"/>
  <c r="J45" i="1"/>
  <c r="L45" i="1" s="1"/>
  <c r="N45" i="1" s="1"/>
  <c r="CQ41" i="1" l="1"/>
  <c r="CS41" i="1" s="1"/>
  <c r="CU41" i="1" s="1"/>
  <c r="CR41" i="1"/>
  <c r="CT41" i="1" s="1"/>
  <c r="CH42" i="1"/>
  <c r="CJ42" i="1" s="1"/>
  <c r="CG42" i="1"/>
  <c r="CI42" i="1" s="1"/>
  <c r="CK42" i="1" s="1"/>
  <c r="BI43" i="1"/>
  <c r="BK43" i="1" s="1"/>
  <c r="BH43" i="1"/>
  <c r="BJ43" i="1" s="1"/>
  <c r="BL43" i="1" s="1"/>
  <c r="AO44" i="1"/>
  <c r="AQ44" i="1" s="1"/>
  <c r="AN44" i="1"/>
  <c r="AP44" i="1" s="1"/>
  <c r="AR44" i="1" s="1"/>
  <c r="P45" i="1"/>
  <c r="R45" i="1" s="1"/>
  <c r="Y45" i="1"/>
  <c r="AA45" i="1" s="1"/>
  <c r="AC45" i="1" s="1"/>
  <c r="Z45" i="1"/>
  <c r="AB45" i="1" s="1"/>
  <c r="F46" i="1"/>
  <c r="H46" i="1" s="1"/>
  <c r="E46" i="1"/>
  <c r="CV41" i="1" l="1"/>
  <c r="CX41" i="1" s="1"/>
  <c r="CW41" i="1"/>
  <c r="CY41" i="1" s="1"/>
  <c r="AS44" i="1"/>
  <c r="AU44" i="1" s="1"/>
  <c r="AW44" i="1" s="1"/>
  <c r="AT44" i="1"/>
  <c r="AV44" i="1" s="1"/>
  <c r="BM43" i="1"/>
  <c r="BO43" i="1" s="1"/>
  <c r="BQ43" i="1" s="1"/>
  <c r="BN43" i="1"/>
  <c r="BP43" i="1" s="1"/>
  <c r="CM42" i="1"/>
  <c r="CO42" i="1" s="1"/>
  <c r="CL42" i="1"/>
  <c r="CN42" i="1" s="1"/>
  <c r="CP42" i="1" s="1"/>
  <c r="O45" i="1"/>
  <c r="AD45" i="1"/>
  <c r="AF45" i="1" s="1"/>
  <c r="AH45" i="1" s="1"/>
  <c r="AE45" i="1"/>
  <c r="AG45" i="1" s="1"/>
  <c r="G46" i="1"/>
  <c r="I46" i="1" s="1"/>
  <c r="Q46" i="1"/>
  <c r="S46" i="1" s="1"/>
  <c r="CZ41" i="1" l="1"/>
  <c r="DB41" i="1"/>
  <c r="DD41" i="1" s="1"/>
  <c r="BS43" i="1"/>
  <c r="BU43" i="1" s="1"/>
  <c r="BR43" i="1"/>
  <c r="BT43" i="1" s="1"/>
  <c r="BV43" i="1" s="1"/>
  <c r="AY44" i="1"/>
  <c r="BA44" i="1" s="1"/>
  <c r="AX44" i="1"/>
  <c r="AZ44" i="1" s="1"/>
  <c r="BB44" i="1" s="1"/>
  <c r="AI45" i="1"/>
  <c r="AK45" i="1" s="1"/>
  <c r="AM45" i="1" s="1"/>
  <c r="AJ45" i="1"/>
  <c r="AL45" i="1" s="1"/>
  <c r="CQ42" i="1"/>
  <c r="CS42" i="1" s="1"/>
  <c r="CU42" i="1" s="1"/>
  <c r="CR42" i="1"/>
  <c r="CT42" i="1" s="1"/>
  <c r="DA41" i="1" l="1"/>
  <c r="DC41" i="1" s="1"/>
  <c r="CV42" i="1"/>
  <c r="CX42" i="1" s="1"/>
  <c r="CW42" i="1"/>
  <c r="CY42" i="1" s="1"/>
  <c r="AO45" i="1"/>
  <c r="AQ45" i="1" s="1"/>
  <c r="AN45" i="1"/>
  <c r="AP45" i="1" s="1"/>
  <c r="AR45" i="1" s="1"/>
  <c r="BC44" i="1"/>
  <c r="BE44" i="1" s="1"/>
  <c r="BG44" i="1" s="1"/>
  <c r="BD44" i="1"/>
  <c r="BF44" i="1" s="1"/>
  <c r="BX43" i="1"/>
  <c r="BZ43" i="1" s="1"/>
  <c r="BW43" i="1"/>
  <c r="BY43" i="1" s="1"/>
  <c r="CA43" i="1" s="1"/>
  <c r="U46" i="1"/>
  <c r="W46" i="1" s="1"/>
  <c r="T46" i="1"/>
  <c r="V46" i="1" s="1"/>
  <c r="X46" i="1" s="1"/>
  <c r="J46" i="1"/>
  <c r="L46" i="1" s="1"/>
  <c r="N46" i="1" s="1"/>
  <c r="K46" i="1"/>
  <c r="M46" i="1" s="1"/>
  <c r="D47" i="1"/>
  <c r="CZ42" i="1" l="1"/>
  <c r="BH44" i="1"/>
  <c r="BJ44" i="1" s="1"/>
  <c r="BL44" i="1" s="1"/>
  <c r="BI44" i="1"/>
  <c r="BK44" i="1" s="1"/>
  <c r="CC43" i="1"/>
  <c r="CE43" i="1" s="1"/>
  <c r="CB43" i="1"/>
  <c r="CD43" i="1" s="1"/>
  <c r="CF43" i="1" s="1"/>
  <c r="AS45" i="1"/>
  <c r="AU45" i="1" s="1"/>
  <c r="AW45" i="1" s="1"/>
  <c r="AT45" i="1"/>
  <c r="AV45" i="1" s="1"/>
  <c r="P46" i="1"/>
  <c r="R46" i="1" s="1"/>
  <c r="O46" i="1"/>
  <c r="F47" i="1"/>
  <c r="H47" i="1" s="1"/>
  <c r="E47" i="1"/>
  <c r="Y46" i="1"/>
  <c r="AA46" i="1" s="1"/>
  <c r="AC46" i="1" s="1"/>
  <c r="Z46" i="1"/>
  <c r="AB46" i="1" s="1"/>
  <c r="DA42" i="1" l="1"/>
  <c r="DC42" i="1" s="1"/>
  <c r="DB42" i="1"/>
  <c r="DD42" i="1" s="1"/>
  <c r="AX45" i="1"/>
  <c r="AZ45" i="1" s="1"/>
  <c r="BB45" i="1" s="1"/>
  <c r="AY45" i="1"/>
  <c r="BA45" i="1" s="1"/>
  <c r="BM44" i="1"/>
  <c r="BO44" i="1" s="1"/>
  <c r="BQ44" i="1" s="1"/>
  <c r="BN44" i="1"/>
  <c r="BP44" i="1" s="1"/>
  <c r="CH43" i="1"/>
  <c r="CJ43" i="1" s="1"/>
  <c r="CG43" i="1"/>
  <c r="CI43" i="1" s="1"/>
  <c r="CK43" i="1" s="1"/>
  <c r="AD46" i="1"/>
  <c r="AF46" i="1" s="1"/>
  <c r="AH46" i="1" s="1"/>
  <c r="AE46" i="1"/>
  <c r="AG46" i="1" s="1"/>
  <c r="G47" i="1"/>
  <c r="I47" i="1" s="1"/>
  <c r="Q47" i="1"/>
  <c r="S47" i="1" s="1"/>
  <c r="AJ46" i="1" l="1"/>
  <c r="AL46" i="1" s="1"/>
  <c r="AI46" i="1"/>
  <c r="AK46" i="1" s="1"/>
  <c r="AM46" i="1" s="1"/>
  <c r="BS44" i="1"/>
  <c r="BU44" i="1" s="1"/>
  <c r="BR44" i="1"/>
  <c r="BT44" i="1" s="1"/>
  <c r="BV44" i="1" s="1"/>
  <c r="BD45" i="1"/>
  <c r="BF45" i="1" s="1"/>
  <c r="BC45" i="1"/>
  <c r="BE45" i="1" s="1"/>
  <c r="BG45" i="1" s="1"/>
  <c r="CM43" i="1"/>
  <c r="CO43" i="1" s="1"/>
  <c r="CL43" i="1"/>
  <c r="CN43" i="1" s="1"/>
  <c r="CP43" i="1" s="1"/>
  <c r="BI45" i="1" l="1"/>
  <c r="BK45" i="1" s="1"/>
  <c r="BH45" i="1"/>
  <c r="BJ45" i="1" s="1"/>
  <c r="BL45" i="1" s="1"/>
  <c r="BW44" i="1"/>
  <c r="BY44" i="1" s="1"/>
  <c r="CA44" i="1" s="1"/>
  <c r="BX44" i="1"/>
  <c r="BZ44" i="1" s="1"/>
  <c r="AO46" i="1"/>
  <c r="AQ46" i="1" s="1"/>
  <c r="AN46" i="1"/>
  <c r="AP46" i="1" s="1"/>
  <c r="AR46" i="1" s="1"/>
  <c r="CR43" i="1"/>
  <c r="CT43" i="1" s="1"/>
  <c r="CQ43" i="1"/>
  <c r="CS43" i="1" s="1"/>
  <c r="CU43" i="1" s="1"/>
  <c r="U47" i="1"/>
  <c r="W47" i="1" s="1"/>
  <c r="T47" i="1"/>
  <c r="V47" i="1" s="1"/>
  <c r="X47" i="1" s="1"/>
  <c r="K47" i="1"/>
  <c r="M47" i="1" s="1"/>
  <c r="J47" i="1"/>
  <c r="L47" i="1" s="1"/>
  <c r="D48" i="1"/>
  <c r="N47" i="1" l="1"/>
  <c r="O47" i="1" s="1"/>
  <c r="CC44" i="1"/>
  <c r="CE44" i="1" s="1"/>
  <c r="CB44" i="1"/>
  <c r="CD44" i="1" s="1"/>
  <c r="CF44" i="1" s="1"/>
  <c r="CV43" i="1"/>
  <c r="CX43" i="1" s="1"/>
  <c r="CW43" i="1"/>
  <c r="CY43" i="1" s="1"/>
  <c r="AT46" i="1"/>
  <c r="AV46" i="1" s="1"/>
  <c r="AS46" i="1"/>
  <c r="AU46" i="1" s="1"/>
  <c r="AW46" i="1" s="1"/>
  <c r="BM45" i="1"/>
  <c r="BO45" i="1" s="1"/>
  <c r="BQ45" i="1" s="1"/>
  <c r="BN45" i="1"/>
  <c r="BP45" i="1" s="1"/>
  <c r="F48" i="1"/>
  <c r="H48" i="1" s="1"/>
  <c r="E48" i="1"/>
  <c r="Z47" i="1"/>
  <c r="AB47" i="1" s="1"/>
  <c r="Y47" i="1"/>
  <c r="AA47" i="1" s="1"/>
  <c r="AC47" i="1" s="1"/>
  <c r="P47" i="1" l="1"/>
  <c r="R47" i="1" s="1"/>
  <c r="CZ43" i="1"/>
  <c r="BR45" i="1"/>
  <c r="BT45" i="1" s="1"/>
  <c r="BV45" i="1" s="1"/>
  <c r="BS45" i="1"/>
  <c r="BU45" i="1" s="1"/>
  <c r="AY46" i="1"/>
  <c r="BA46" i="1" s="1"/>
  <c r="AX46" i="1"/>
  <c r="AZ46" i="1" s="1"/>
  <c r="BB46" i="1" s="1"/>
  <c r="CG44" i="1"/>
  <c r="CI44" i="1" s="1"/>
  <c r="CK44" i="1" s="1"/>
  <c r="CH44" i="1"/>
  <c r="CJ44" i="1" s="1"/>
  <c r="AE47" i="1"/>
  <c r="AG47" i="1" s="1"/>
  <c r="AD47" i="1"/>
  <c r="AF47" i="1" s="1"/>
  <c r="AH47" i="1" s="1"/>
  <c r="Q48" i="1"/>
  <c r="S48" i="1" s="1"/>
  <c r="G48" i="1"/>
  <c r="I48" i="1" s="1"/>
  <c r="DB43" i="1" l="1"/>
  <c r="DD43" i="1" s="1"/>
  <c r="DA43" i="1"/>
  <c r="DC43" i="1" s="1"/>
  <c r="CL44" i="1"/>
  <c r="CN44" i="1" s="1"/>
  <c r="CP44" i="1" s="1"/>
  <c r="CM44" i="1"/>
  <c r="CO44" i="1" s="1"/>
  <c r="BW45" i="1"/>
  <c r="BY45" i="1" s="1"/>
  <c r="CA45" i="1" s="1"/>
  <c r="BX45" i="1"/>
  <c r="BZ45" i="1" s="1"/>
  <c r="AJ47" i="1"/>
  <c r="AL47" i="1" s="1"/>
  <c r="AI47" i="1"/>
  <c r="AK47" i="1" s="1"/>
  <c r="AM47" i="1" s="1"/>
  <c r="BD46" i="1"/>
  <c r="BF46" i="1" s="1"/>
  <c r="BC46" i="1"/>
  <c r="BE46" i="1" s="1"/>
  <c r="BG46" i="1" s="1"/>
  <c r="AO47" i="1" l="1"/>
  <c r="AQ47" i="1" s="1"/>
  <c r="AN47" i="1"/>
  <c r="AP47" i="1" s="1"/>
  <c r="AR47" i="1" s="1"/>
  <c r="CB45" i="1"/>
  <c r="CD45" i="1" s="1"/>
  <c r="CF45" i="1" s="1"/>
  <c r="CC45" i="1"/>
  <c r="CE45" i="1" s="1"/>
  <c r="CR44" i="1"/>
  <c r="CT44" i="1" s="1"/>
  <c r="CQ44" i="1"/>
  <c r="CS44" i="1" s="1"/>
  <c r="CU44" i="1" s="1"/>
  <c r="BH46" i="1"/>
  <c r="BJ46" i="1" s="1"/>
  <c r="BL46" i="1" s="1"/>
  <c r="BI46" i="1"/>
  <c r="BK46" i="1" s="1"/>
  <c r="U48" i="1"/>
  <c r="W48" i="1" s="1"/>
  <c r="T48" i="1"/>
  <c r="V48" i="1" s="1"/>
  <c r="X48" i="1" s="1"/>
  <c r="K48" i="1"/>
  <c r="M48" i="1" s="1"/>
  <c r="J48" i="1"/>
  <c r="L48" i="1" s="1"/>
  <c r="N48" i="1" s="1"/>
  <c r="D49" i="1"/>
  <c r="BM46" i="1" l="1"/>
  <c r="BO46" i="1" s="1"/>
  <c r="BQ46" i="1" s="1"/>
  <c r="BN46" i="1"/>
  <c r="BP46" i="1" s="1"/>
  <c r="CH45" i="1"/>
  <c r="CJ45" i="1" s="1"/>
  <c r="CG45" i="1"/>
  <c r="CI45" i="1" s="1"/>
  <c r="CK45" i="1" s="1"/>
  <c r="CW44" i="1"/>
  <c r="CY44" i="1" s="1"/>
  <c r="CV44" i="1"/>
  <c r="CX44" i="1" s="1"/>
  <c r="AS47" i="1"/>
  <c r="AU47" i="1" s="1"/>
  <c r="AW47" i="1" s="1"/>
  <c r="AT47" i="1"/>
  <c r="AV47" i="1" s="1"/>
  <c r="P48" i="1"/>
  <c r="R48" i="1" s="1"/>
  <c r="Y48" i="1"/>
  <c r="AA48" i="1" s="1"/>
  <c r="AC48" i="1" s="1"/>
  <c r="Z48" i="1"/>
  <c r="AB48" i="1" s="1"/>
  <c r="E49" i="1"/>
  <c r="F49" i="1"/>
  <c r="H49" i="1" s="1"/>
  <c r="CZ44" i="1" l="1"/>
  <c r="AY47" i="1"/>
  <c r="BA47" i="1" s="1"/>
  <c r="AX47" i="1"/>
  <c r="AZ47" i="1" s="1"/>
  <c r="BB47" i="1" s="1"/>
  <c r="BR46" i="1"/>
  <c r="BT46" i="1" s="1"/>
  <c r="BV46" i="1" s="1"/>
  <c r="BS46" i="1"/>
  <c r="BU46" i="1" s="1"/>
  <c r="CM45" i="1"/>
  <c r="CO45" i="1" s="1"/>
  <c r="CL45" i="1"/>
  <c r="CN45" i="1" s="1"/>
  <c r="CP45" i="1" s="1"/>
  <c r="O48" i="1"/>
  <c r="AE48" i="1"/>
  <c r="AG48" i="1" s="1"/>
  <c r="AD48" i="1"/>
  <c r="AF48" i="1" s="1"/>
  <c r="AH48" i="1" s="1"/>
  <c r="G49" i="1"/>
  <c r="I49" i="1" s="1"/>
  <c r="Q49" i="1"/>
  <c r="S49" i="1" s="1"/>
  <c r="DB44" i="1" l="1"/>
  <c r="DD44" i="1" s="1"/>
  <c r="DA44" i="1"/>
  <c r="DC44" i="1" s="1"/>
  <c r="BX46" i="1"/>
  <c r="BZ46" i="1" s="1"/>
  <c r="BW46" i="1"/>
  <c r="BY46" i="1" s="1"/>
  <c r="CA46" i="1" s="1"/>
  <c r="AI48" i="1"/>
  <c r="AK48" i="1" s="1"/>
  <c r="AM48" i="1" s="1"/>
  <c r="AJ48" i="1"/>
  <c r="AL48" i="1" s="1"/>
  <c r="CR45" i="1"/>
  <c r="CT45" i="1" s="1"/>
  <c r="CQ45" i="1"/>
  <c r="CS45" i="1" s="1"/>
  <c r="CU45" i="1" s="1"/>
  <c r="BC47" i="1"/>
  <c r="BE47" i="1" s="1"/>
  <c r="BG47" i="1" s="1"/>
  <c r="BD47" i="1"/>
  <c r="BF47" i="1" s="1"/>
  <c r="CW45" i="1" l="1"/>
  <c r="CY45" i="1" s="1"/>
  <c r="CV45" i="1"/>
  <c r="CX45" i="1" s="1"/>
  <c r="BI47" i="1"/>
  <c r="BK47" i="1" s="1"/>
  <c r="BH47" i="1"/>
  <c r="BJ47" i="1" s="1"/>
  <c r="BL47" i="1" s="1"/>
  <c r="AN48" i="1"/>
  <c r="AP48" i="1" s="1"/>
  <c r="AR48" i="1" s="1"/>
  <c r="AO48" i="1"/>
  <c r="AQ48" i="1" s="1"/>
  <c r="CC46" i="1"/>
  <c r="CE46" i="1" s="1"/>
  <c r="CB46" i="1"/>
  <c r="CD46" i="1" s="1"/>
  <c r="CF46" i="1" s="1"/>
  <c r="K49" i="1"/>
  <c r="M49" i="1" s="1"/>
  <c r="J49" i="1"/>
  <c r="L49" i="1" s="1"/>
  <c r="N49" i="1" s="1"/>
  <c r="D50" i="1"/>
  <c r="U49" i="1"/>
  <c r="W49" i="1" s="1"/>
  <c r="T49" i="1"/>
  <c r="V49" i="1" s="1"/>
  <c r="X49" i="1" s="1"/>
  <c r="CZ45" i="1" l="1"/>
  <c r="AT48" i="1"/>
  <c r="AV48" i="1" s="1"/>
  <c r="AS48" i="1"/>
  <c r="AU48" i="1" s="1"/>
  <c r="AW48" i="1" s="1"/>
  <c r="CH46" i="1"/>
  <c r="CJ46" i="1" s="1"/>
  <c r="CG46" i="1"/>
  <c r="CI46" i="1" s="1"/>
  <c r="CK46" i="1" s="1"/>
  <c r="BN47" i="1"/>
  <c r="BP47" i="1" s="1"/>
  <c r="BM47" i="1"/>
  <c r="BO47" i="1" s="1"/>
  <c r="BQ47" i="1" s="1"/>
  <c r="P49" i="1"/>
  <c r="R49" i="1" s="1"/>
  <c r="Z49" i="1"/>
  <c r="AB49" i="1" s="1"/>
  <c r="Y49" i="1"/>
  <c r="AA49" i="1" s="1"/>
  <c r="AC49" i="1" s="1"/>
  <c r="E50" i="1"/>
  <c r="F50" i="1"/>
  <c r="H50" i="1" s="1"/>
  <c r="DB45" i="1" l="1"/>
  <c r="DD45" i="1" s="1"/>
  <c r="DA45" i="1"/>
  <c r="DC45" i="1" s="1"/>
  <c r="BS47" i="1"/>
  <c r="BU47" i="1" s="1"/>
  <c r="BR47" i="1"/>
  <c r="BT47" i="1" s="1"/>
  <c r="BV47" i="1" s="1"/>
  <c r="CM46" i="1"/>
  <c r="CO46" i="1" s="1"/>
  <c r="CL46" i="1"/>
  <c r="CN46" i="1" s="1"/>
  <c r="CP46" i="1" s="1"/>
  <c r="AY48" i="1"/>
  <c r="BA48" i="1" s="1"/>
  <c r="AX48" i="1"/>
  <c r="AZ48" i="1" s="1"/>
  <c r="BB48" i="1" s="1"/>
  <c r="O49" i="1"/>
  <c r="AE49" i="1"/>
  <c r="AG49" i="1" s="1"/>
  <c r="AD49" i="1"/>
  <c r="AF49" i="1" s="1"/>
  <c r="AH49" i="1" s="1"/>
  <c r="G50" i="1"/>
  <c r="I50" i="1" s="1"/>
  <c r="Q50" i="1"/>
  <c r="S50" i="1" s="1"/>
  <c r="AI49" i="1" l="1"/>
  <c r="AK49" i="1" s="1"/>
  <c r="AM49" i="1" s="1"/>
  <c r="AJ49" i="1"/>
  <c r="AL49" i="1" s="1"/>
  <c r="BD48" i="1"/>
  <c r="BF48" i="1" s="1"/>
  <c r="BC48" i="1"/>
  <c r="BE48" i="1" s="1"/>
  <c r="BG48" i="1" s="1"/>
  <c r="CR46" i="1"/>
  <c r="CT46" i="1" s="1"/>
  <c r="CQ46" i="1"/>
  <c r="CS46" i="1" s="1"/>
  <c r="CU46" i="1" s="1"/>
  <c r="BW47" i="1"/>
  <c r="BY47" i="1" s="1"/>
  <c r="CA47" i="1" s="1"/>
  <c r="BX47" i="1"/>
  <c r="BZ47" i="1" s="1"/>
  <c r="CV46" i="1" l="1"/>
  <c r="CX46" i="1" s="1"/>
  <c r="CW46" i="1"/>
  <c r="CY46" i="1" s="1"/>
  <c r="BH48" i="1"/>
  <c r="BJ48" i="1" s="1"/>
  <c r="BL48" i="1" s="1"/>
  <c r="BI48" i="1"/>
  <c r="BK48" i="1" s="1"/>
  <c r="CC47" i="1"/>
  <c r="CE47" i="1" s="1"/>
  <c r="CB47" i="1"/>
  <c r="CD47" i="1" s="1"/>
  <c r="CF47" i="1" s="1"/>
  <c r="AN49" i="1"/>
  <c r="AP49" i="1" s="1"/>
  <c r="AR49" i="1" s="1"/>
  <c r="AO49" i="1"/>
  <c r="AQ49" i="1" s="1"/>
  <c r="T50" i="1"/>
  <c r="V50" i="1" s="1"/>
  <c r="X50" i="1" s="1"/>
  <c r="U50" i="1"/>
  <c r="W50" i="1" s="1"/>
  <c r="K50" i="1"/>
  <c r="M50" i="1" s="1"/>
  <c r="J50" i="1"/>
  <c r="L50" i="1" s="1"/>
  <c r="N50" i="1" s="1"/>
  <c r="D51" i="1"/>
  <c r="CZ46" i="1" l="1"/>
  <c r="AS49" i="1"/>
  <c r="AU49" i="1" s="1"/>
  <c r="AW49" i="1" s="1"/>
  <c r="AT49" i="1"/>
  <c r="AV49" i="1" s="1"/>
  <c r="BM48" i="1"/>
  <c r="BO48" i="1" s="1"/>
  <c r="BQ48" i="1" s="1"/>
  <c r="BN48" i="1"/>
  <c r="BP48" i="1" s="1"/>
  <c r="DB46" i="1"/>
  <c r="DD46" i="1" s="1"/>
  <c r="DA46" i="1"/>
  <c r="DC46" i="1" s="1"/>
  <c r="CG47" i="1"/>
  <c r="CI47" i="1" s="1"/>
  <c r="CK47" i="1" s="1"/>
  <c r="CH47" i="1"/>
  <c r="CJ47" i="1" s="1"/>
  <c r="O50" i="1"/>
  <c r="Z50" i="1"/>
  <c r="AB50" i="1" s="1"/>
  <c r="Y50" i="1"/>
  <c r="AA50" i="1" s="1"/>
  <c r="AC50" i="1" s="1"/>
  <c r="F51" i="1"/>
  <c r="H51" i="1" s="1"/>
  <c r="E51" i="1"/>
  <c r="CM47" i="1" l="1"/>
  <c r="CO47" i="1" s="1"/>
  <c r="CL47" i="1"/>
  <c r="CN47" i="1" s="1"/>
  <c r="CP47" i="1" s="1"/>
  <c r="BR48" i="1"/>
  <c r="BT48" i="1" s="1"/>
  <c r="BV48" i="1" s="1"/>
  <c r="BS48" i="1"/>
  <c r="BU48" i="1" s="1"/>
  <c r="AY49" i="1"/>
  <c r="BA49" i="1" s="1"/>
  <c r="AX49" i="1"/>
  <c r="AZ49" i="1" s="1"/>
  <c r="BB49" i="1" s="1"/>
  <c r="P50" i="1"/>
  <c r="R50" i="1" s="1"/>
  <c r="AE50" i="1"/>
  <c r="AG50" i="1" s="1"/>
  <c r="AD50" i="1"/>
  <c r="AF50" i="1" s="1"/>
  <c r="AH50" i="1" s="1"/>
  <c r="G51" i="1"/>
  <c r="I51" i="1" s="1"/>
  <c r="Q51" i="1"/>
  <c r="S51" i="1" s="1"/>
  <c r="AJ50" i="1" l="1"/>
  <c r="AL50" i="1" s="1"/>
  <c r="AI50" i="1"/>
  <c r="AK50" i="1" s="1"/>
  <c r="AM50" i="1" s="1"/>
  <c r="BX48" i="1"/>
  <c r="BZ48" i="1" s="1"/>
  <c r="BW48" i="1"/>
  <c r="BY48" i="1" s="1"/>
  <c r="CA48" i="1" s="1"/>
  <c r="BC49" i="1"/>
  <c r="BE49" i="1" s="1"/>
  <c r="BG49" i="1" s="1"/>
  <c r="BD49" i="1"/>
  <c r="BF49" i="1" s="1"/>
  <c r="CR47" i="1"/>
  <c r="CT47" i="1" s="1"/>
  <c r="CQ47" i="1"/>
  <c r="CS47" i="1" s="1"/>
  <c r="CU47" i="1" s="1"/>
  <c r="CW47" i="1" l="1"/>
  <c r="CY47" i="1" s="1"/>
  <c r="CV47" i="1"/>
  <c r="CX47" i="1" s="1"/>
  <c r="CC48" i="1"/>
  <c r="CE48" i="1" s="1"/>
  <c r="CB48" i="1"/>
  <c r="CD48" i="1" s="1"/>
  <c r="CF48" i="1" s="1"/>
  <c r="AO50" i="1"/>
  <c r="AQ50" i="1" s="1"/>
  <c r="AN50" i="1"/>
  <c r="AP50" i="1" s="1"/>
  <c r="AR50" i="1" s="1"/>
  <c r="BH49" i="1"/>
  <c r="BJ49" i="1" s="1"/>
  <c r="BL49" i="1" s="1"/>
  <c r="BI49" i="1"/>
  <c r="BK49" i="1" s="1"/>
  <c r="K51" i="1"/>
  <c r="M51" i="1" s="1"/>
  <c r="J51" i="1"/>
  <c r="L51" i="1" s="1"/>
  <c r="N51" i="1" s="1"/>
  <c r="D52" i="1"/>
  <c r="U51" i="1"/>
  <c r="W51" i="1" s="1"/>
  <c r="T51" i="1"/>
  <c r="V51" i="1" s="1"/>
  <c r="X51" i="1" s="1"/>
  <c r="CZ47" i="1" l="1"/>
  <c r="BN49" i="1"/>
  <c r="BP49" i="1" s="1"/>
  <c r="BM49" i="1"/>
  <c r="BO49" i="1" s="1"/>
  <c r="BQ49" i="1" s="1"/>
  <c r="AT50" i="1"/>
  <c r="AV50" i="1" s="1"/>
  <c r="AS50" i="1"/>
  <c r="AU50" i="1" s="1"/>
  <c r="AW50" i="1" s="1"/>
  <c r="CG48" i="1"/>
  <c r="CI48" i="1" s="1"/>
  <c r="CK48" i="1" s="1"/>
  <c r="CH48" i="1"/>
  <c r="CJ48" i="1" s="1"/>
  <c r="P51" i="1"/>
  <c r="R51" i="1" s="1"/>
  <c r="Y51" i="1"/>
  <c r="AA51" i="1" s="1"/>
  <c r="AC51" i="1" s="1"/>
  <c r="Z51" i="1"/>
  <c r="AB51" i="1" s="1"/>
  <c r="E52" i="1"/>
  <c r="F52" i="1"/>
  <c r="H52" i="1" s="1"/>
  <c r="DA47" i="1" l="1"/>
  <c r="DC47" i="1" s="1"/>
  <c r="DB47" i="1"/>
  <c r="DD47" i="1" s="1"/>
  <c r="CL48" i="1"/>
  <c r="CN48" i="1" s="1"/>
  <c r="CP48" i="1" s="1"/>
  <c r="CM48" i="1"/>
  <c r="CO48" i="1" s="1"/>
  <c r="AX50" i="1"/>
  <c r="AZ50" i="1" s="1"/>
  <c r="BB50" i="1" s="1"/>
  <c r="AY50" i="1"/>
  <c r="BA50" i="1" s="1"/>
  <c r="BR49" i="1"/>
  <c r="BT49" i="1" s="1"/>
  <c r="BV49" i="1" s="1"/>
  <c r="BS49" i="1"/>
  <c r="BU49" i="1" s="1"/>
  <c r="O51" i="1"/>
  <c r="AE51" i="1"/>
  <c r="AG51" i="1" s="1"/>
  <c r="AD51" i="1"/>
  <c r="AF51" i="1" s="1"/>
  <c r="AH51" i="1" s="1"/>
  <c r="G52" i="1"/>
  <c r="I52" i="1" s="1"/>
  <c r="Q52" i="1"/>
  <c r="S52" i="1" s="1"/>
  <c r="BW49" i="1" l="1"/>
  <c r="BY49" i="1" s="1"/>
  <c r="CA49" i="1" s="1"/>
  <c r="BX49" i="1"/>
  <c r="BZ49" i="1" s="1"/>
  <c r="BD50" i="1"/>
  <c r="BF50" i="1" s="1"/>
  <c r="BC50" i="1"/>
  <c r="BE50" i="1" s="1"/>
  <c r="BG50" i="1" s="1"/>
  <c r="CR48" i="1"/>
  <c r="CT48" i="1" s="1"/>
  <c r="CQ48" i="1"/>
  <c r="CS48" i="1" s="1"/>
  <c r="CU48" i="1" s="1"/>
  <c r="AI51" i="1"/>
  <c r="AK51" i="1" s="1"/>
  <c r="AM51" i="1" s="1"/>
  <c r="AJ51" i="1"/>
  <c r="AL51" i="1" s="1"/>
  <c r="CC49" i="1" l="1"/>
  <c r="CE49" i="1" s="1"/>
  <c r="CB49" i="1"/>
  <c r="CD49" i="1" s="1"/>
  <c r="CF49" i="1" s="1"/>
  <c r="AO51" i="1"/>
  <c r="AQ51" i="1" s="1"/>
  <c r="AN51" i="1"/>
  <c r="AP51" i="1" s="1"/>
  <c r="AR51" i="1" s="1"/>
  <c r="CV48" i="1"/>
  <c r="CX48" i="1" s="1"/>
  <c r="CW48" i="1"/>
  <c r="CY48" i="1" s="1"/>
  <c r="BH50" i="1"/>
  <c r="BJ50" i="1" s="1"/>
  <c r="BL50" i="1" s="1"/>
  <c r="BI50" i="1"/>
  <c r="BK50" i="1" s="1"/>
  <c r="J52" i="1"/>
  <c r="L52" i="1" s="1"/>
  <c r="N52" i="1" s="1"/>
  <c r="K52" i="1"/>
  <c r="M52" i="1" s="1"/>
  <c r="D53" i="1"/>
  <c r="U52" i="1"/>
  <c r="W52" i="1" s="1"/>
  <c r="T52" i="1"/>
  <c r="V52" i="1" s="1"/>
  <c r="X52" i="1" s="1"/>
  <c r="CZ48" i="1" l="1"/>
  <c r="AT51" i="1"/>
  <c r="AV51" i="1" s="1"/>
  <c r="AS51" i="1"/>
  <c r="AU51" i="1" s="1"/>
  <c r="AW51" i="1" s="1"/>
  <c r="BM50" i="1"/>
  <c r="BO50" i="1" s="1"/>
  <c r="BQ50" i="1" s="1"/>
  <c r="BN50" i="1"/>
  <c r="BP50" i="1" s="1"/>
  <c r="CH49" i="1"/>
  <c r="CJ49" i="1" s="1"/>
  <c r="CG49" i="1"/>
  <c r="CI49" i="1" s="1"/>
  <c r="CK49" i="1" s="1"/>
  <c r="P52" i="1"/>
  <c r="R52" i="1" s="1"/>
  <c r="Y52" i="1"/>
  <c r="AA52" i="1" s="1"/>
  <c r="AC52" i="1" s="1"/>
  <c r="Z52" i="1"/>
  <c r="AB52" i="1" s="1"/>
  <c r="E53" i="1"/>
  <c r="F53" i="1"/>
  <c r="H53" i="1" s="1"/>
  <c r="BS50" i="1" l="1"/>
  <c r="BU50" i="1" s="1"/>
  <c r="BR50" i="1"/>
  <c r="BT50" i="1" s="1"/>
  <c r="BV50" i="1" s="1"/>
  <c r="DB48" i="1"/>
  <c r="DD48" i="1" s="1"/>
  <c r="DA48" i="1"/>
  <c r="DC48" i="1" s="1"/>
  <c r="CM49" i="1"/>
  <c r="CO49" i="1" s="1"/>
  <c r="CL49" i="1"/>
  <c r="CN49" i="1" s="1"/>
  <c r="CP49" i="1" s="1"/>
  <c r="AY51" i="1"/>
  <c r="BA51" i="1" s="1"/>
  <c r="AX51" i="1"/>
  <c r="AZ51" i="1" s="1"/>
  <c r="BB51" i="1" s="1"/>
  <c r="O52" i="1"/>
  <c r="AD52" i="1"/>
  <c r="AF52" i="1" s="1"/>
  <c r="AH52" i="1" s="1"/>
  <c r="AE52" i="1"/>
  <c r="AG52" i="1" s="1"/>
  <c r="G53" i="1"/>
  <c r="I53" i="1" s="1"/>
  <c r="Q53" i="1"/>
  <c r="S53" i="1" s="1"/>
  <c r="AJ52" i="1" l="1"/>
  <c r="AL52" i="1" s="1"/>
  <c r="AI52" i="1"/>
  <c r="AK52" i="1" s="1"/>
  <c r="AM52" i="1" s="1"/>
  <c r="BD51" i="1"/>
  <c r="BF51" i="1" s="1"/>
  <c r="BC51" i="1"/>
  <c r="BE51" i="1" s="1"/>
  <c r="BG51" i="1" s="1"/>
  <c r="CR49" i="1"/>
  <c r="CT49" i="1" s="1"/>
  <c r="CQ49" i="1"/>
  <c r="CS49" i="1" s="1"/>
  <c r="CU49" i="1" s="1"/>
  <c r="BW50" i="1"/>
  <c r="BY50" i="1" s="1"/>
  <c r="CA50" i="1" s="1"/>
  <c r="BX50" i="1"/>
  <c r="BZ50" i="1" s="1"/>
  <c r="CW49" i="1" l="1"/>
  <c r="CY49" i="1" s="1"/>
  <c r="CV49" i="1"/>
  <c r="CX49" i="1" s="1"/>
  <c r="BH51" i="1"/>
  <c r="BJ51" i="1" s="1"/>
  <c r="BL51" i="1" s="1"/>
  <c r="BI51" i="1"/>
  <c r="BK51" i="1" s="1"/>
  <c r="AN52" i="1"/>
  <c r="AP52" i="1" s="1"/>
  <c r="AR52" i="1" s="1"/>
  <c r="AO52" i="1"/>
  <c r="AQ52" i="1" s="1"/>
  <c r="CB50" i="1"/>
  <c r="CD50" i="1" s="1"/>
  <c r="CF50" i="1" s="1"/>
  <c r="CC50" i="1"/>
  <c r="CE50" i="1" s="1"/>
  <c r="U53" i="1"/>
  <c r="W53" i="1" s="1"/>
  <c r="T53" i="1"/>
  <c r="V53" i="1" s="1"/>
  <c r="X53" i="1" s="1"/>
  <c r="J53" i="1"/>
  <c r="L53" i="1" s="1"/>
  <c r="N53" i="1" s="1"/>
  <c r="K53" i="1"/>
  <c r="M53" i="1" s="1"/>
  <c r="D54" i="1"/>
  <c r="CZ49" i="1" l="1"/>
  <c r="CH50" i="1"/>
  <c r="CJ50" i="1" s="1"/>
  <c r="CG50" i="1"/>
  <c r="CI50" i="1" s="1"/>
  <c r="CK50" i="1" s="1"/>
  <c r="AT52" i="1"/>
  <c r="AV52" i="1" s="1"/>
  <c r="AS52" i="1"/>
  <c r="AU52" i="1" s="1"/>
  <c r="AW52" i="1" s="1"/>
  <c r="BN51" i="1"/>
  <c r="BP51" i="1" s="1"/>
  <c r="BM51" i="1"/>
  <c r="BO51" i="1" s="1"/>
  <c r="BQ51" i="1" s="1"/>
  <c r="P53" i="1"/>
  <c r="R53" i="1" s="1"/>
  <c r="O53" i="1"/>
  <c r="F54" i="1"/>
  <c r="H54" i="1" s="1"/>
  <c r="E54" i="1"/>
  <c r="Z53" i="1"/>
  <c r="AB53" i="1" s="1"/>
  <c r="Y53" i="1"/>
  <c r="AA53" i="1" s="1"/>
  <c r="AC53" i="1" s="1"/>
  <c r="DB49" i="1" l="1"/>
  <c r="DD49" i="1" s="1"/>
  <c r="DA49" i="1"/>
  <c r="DC49" i="1" s="1"/>
  <c r="BS51" i="1"/>
  <c r="BU51" i="1" s="1"/>
  <c r="BR51" i="1"/>
  <c r="BT51" i="1" s="1"/>
  <c r="BV51" i="1" s="1"/>
  <c r="AY52" i="1"/>
  <c r="BA52" i="1" s="1"/>
  <c r="AX52" i="1"/>
  <c r="AZ52" i="1" s="1"/>
  <c r="BB52" i="1" s="1"/>
  <c r="CM50" i="1"/>
  <c r="CO50" i="1" s="1"/>
  <c r="CL50" i="1"/>
  <c r="CN50" i="1" s="1"/>
  <c r="CP50" i="1" s="1"/>
  <c r="AE53" i="1"/>
  <c r="AG53" i="1" s="1"/>
  <c r="AD53" i="1"/>
  <c r="AF53" i="1" s="1"/>
  <c r="AH53" i="1" s="1"/>
  <c r="G54" i="1"/>
  <c r="I54" i="1" s="1"/>
  <c r="Q54" i="1"/>
  <c r="S54" i="1" s="1"/>
  <c r="AI53" i="1" l="1"/>
  <c r="AK53" i="1" s="1"/>
  <c r="AM53" i="1" s="1"/>
  <c r="AJ53" i="1"/>
  <c r="AL53" i="1" s="1"/>
  <c r="CQ50" i="1"/>
  <c r="CS50" i="1" s="1"/>
  <c r="CU50" i="1" s="1"/>
  <c r="CR50" i="1"/>
  <c r="CT50" i="1" s="1"/>
  <c r="BC52" i="1"/>
  <c r="BE52" i="1" s="1"/>
  <c r="BG52" i="1" s="1"/>
  <c r="BD52" i="1"/>
  <c r="BF52" i="1" s="1"/>
  <c r="BW51" i="1"/>
  <c r="BY51" i="1" s="1"/>
  <c r="CA51" i="1" s="1"/>
  <c r="BX51" i="1"/>
  <c r="BZ51" i="1" s="1"/>
  <c r="CC51" i="1" l="1"/>
  <c r="CE51" i="1" s="1"/>
  <c r="CB51" i="1"/>
  <c r="CD51" i="1" s="1"/>
  <c r="CF51" i="1" s="1"/>
  <c r="BI52" i="1"/>
  <c r="BK52" i="1" s="1"/>
  <c r="BH52" i="1"/>
  <c r="BJ52" i="1" s="1"/>
  <c r="BL52" i="1" s="1"/>
  <c r="CW50" i="1"/>
  <c r="CY50" i="1" s="1"/>
  <c r="CV50" i="1"/>
  <c r="CX50" i="1" s="1"/>
  <c r="CZ50" i="1" s="1"/>
  <c r="AO53" i="1"/>
  <c r="AQ53" i="1" s="1"/>
  <c r="AN53" i="1"/>
  <c r="AP53" i="1" s="1"/>
  <c r="AR53" i="1" s="1"/>
  <c r="K54" i="1"/>
  <c r="M54" i="1" s="1"/>
  <c r="J54" i="1"/>
  <c r="L54" i="1" s="1"/>
  <c r="N54" i="1" s="1"/>
  <c r="D55" i="1"/>
  <c r="U54" i="1"/>
  <c r="W54" i="1" s="1"/>
  <c r="T54" i="1"/>
  <c r="V54" i="1" s="1"/>
  <c r="X54" i="1" s="1"/>
  <c r="AT53" i="1" l="1"/>
  <c r="AV53" i="1" s="1"/>
  <c r="AS53" i="1"/>
  <c r="AU53" i="1" s="1"/>
  <c r="AW53" i="1" s="1"/>
  <c r="BM52" i="1"/>
  <c r="BO52" i="1" s="1"/>
  <c r="BQ52" i="1" s="1"/>
  <c r="BN52" i="1"/>
  <c r="BP52" i="1" s="1"/>
  <c r="CG51" i="1"/>
  <c r="CI51" i="1" s="1"/>
  <c r="CK51" i="1" s="1"/>
  <c r="CH51" i="1"/>
  <c r="CJ51" i="1" s="1"/>
  <c r="P54" i="1"/>
  <c r="R54" i="1" s="1"/>
  <c r="Z54" i="1"/>
  <c r="AB54" i="1" s="1"/>
  <c r="Y54" i="1"/>
  <c r="AA54" i="1" s="1"/>
  <c r="AC54" i="1" s="1"/>
  <c r="F55" i="1"/>
  <c r="H55" i="1" s="1"/>
  <c r="E55" i="1"/>
  <c r="DB50" i="1" l="1"/>
  <c r="DD50" i="1" s="1"/>
  <c r="DA50" i="1"/>
  <c r="DC50" i="1" s="1"/>
  <c r="CL51" i="1"/>
  <c r="CN51" i="1" s="1"/>
  <c r="CP51" i="1" s="1"/>
  <c r="CM51" i="1"/>
  <c r="CO51" i="1" s="1"/>
  <c r="BS52" i="1"/>
  <c r="BU52" i="1" s="1"/>
  <c r="BR52" i="1"/>
  <c r="BT52" i="1" s="1"/>
  <c r="BV52" i="1" s="1"/>
  <c r="AX53" i="1"/>
  <c r="AZ53" i="1" s="1"/>
  <c r="BB53" i="1" s="1"/>
  <c r="AY53" i="1"/>
  <c r="BA53" i="1" s="1"/>
  <c r="O54" i="1"/>
  <c r="AD54" i="1"/>
  <c r="AF54" i="1" s="1"/>
  <c r="AH54" i="1" s="1"/>
  <c r="AE54" i="1"/>
  <c r="AG54" i="1" s="1"/>
  <c r="Q55" i="1"/>
  <c r="S55" i="1" s="1"/>
  <c r="G55" i="1"/>
  <c r="I55" i="1" s="1"/>
  <c r="BC53" i="1" l="1"/>
  <c r="BE53" i="1" s="1"/>
  <c r="BG53" i="1" s="1"/>
  <c r="BD53" i="1"/>
  <c r="BF53" i="1" s="1"/>
  <c r="CR51" i="1"/>
  <c r="CT51" i="1" s="1"/>
  <c r="CQ51" i="1"/>
  <c r="CS51" i="1" s="1"/>
  <c r="CU51" i="1" s="1"/>
  <c r="AI54" i="1"/>
  <c r="AK54" i="1" s="1"/>
  <c r="AM54" i="1" s="1"/>
  <c r="AJ54" i="1"/>
  <c r="AL54" i="1" s="1"/>
  <c r="BW52" i="1"/>
  <c r="BY52" i="1" s="1"/>
  <c r="CA52" i="1" s="1"/>
  <c r="BX52" i="1"/>
  <c r="BZ52" i="1" s="1"/>
  <c r="BH53" i="1" l="1"/>
  <c r="BJ53" i="1" s="1"/>
  <c r="BL53" i="1" s="1"/>
  <c r="BI53" i="1"/>
  <c r="BK53" i="1" s="1"/>
  <c r="CB52" i="1"/>
  <c r="CD52" i="1" s="1"/>
  <c r="CF52" i="1" s="1"/>
  <c r="CC52" i="1"/>
  <c r="CE52" i="1" s="1"/>
  <c r="AN54" i="1"/>
  <c r="AP54" i="1" s="1"/>
  <c r="AR54" i="1" s="1"/>
  <c r="AO54" i="1"/>
  <c r="AQ54" i="1" s="1"/>
  <c r="CV51" i="1"/>
  <c r="CX51" i="1" s="1"/>
  <c r="CW51" i="1"/>
  <c r="CY51" i="1" s="1"/>
  <c r="J55" i="1"/>
  <c r="L55" i="1" s="1"/>
  <c r="N55" i="1" s="1"/>
  <c r="K55" i="1"/>
  <c r="M55" i="1" s="1"/>
  <c r="D56" i="1"/>
  <c r="T55" i="1"/>
  <c r="V55" i="1" s="1"/>
  <c r="X55" i="1" s="1"/>
  <c r="U55" i="1"/>
  <c r="W55" i="1" s="1"/>
  <c r="CZ51" i="1" l="1"/>
  <c r="DA51" i="1" s="1"/>
  <c r="DC51" i="1" s="1"/>
  <c r="AS54" i="1"/>
  <c r="AU54" i="1" s="1"/>
  <c r="AW54" i="1" s="1"/>
  <c r="AT54" i="1"/>
  <c r="AV54" i="1" s="1"/>
  <c r="CG52" i="1"/>
  <c r="CI52" i="1" s="1"/>
  <c r="CK52" i="1" s="1"/>
  <c r="CH52" i="1"/>
  <c r="CJ52" i="1" s="1"/>
  <c r="BN53" i="1"/>
  <c r="BP53" i="1" s="1"/>
  <c r="BM53" i="1"/>
  <c r="BO53" i="1" s="1"/>
  <c r="BQ53" i="1" s="1"/>
  <c r="O55" i="1"/>
  <c r="P55" i="1"/>
  <c r="R55" i="1" s="1"/>
  <c r="F56" i="1"/>
  <c r="H56" i="1" s="1"/>
  <c r="E56" i="1"/>
  <c r="Z55" i="1"/>
  <c r="AB55" i="1" s="1"/>
  <c r="Y55" i="1"/>
  <c r="AA55" i="1" s="1"/>
  <c r="AC55" i="1" s="1"/>
  <c r="DB51" i="1" l="1"/>
  <c r="DD51" i="1" s="1"/>
  <c r="CL52" i="1"/>
  <c r="CN52" i="1" s="1"/>
  <c r="CP52" i="1" s="1"/>
  <c r="CM52" i="1"/>
  <c r="CO52" i="1" s="1"/>
  <c r="AY54" i="1"/>
  <c r="BA54" i="1" s="1"/>
  <c r="AX54" i="1"/>
  <c r="AZ54" i="1" s="1"/>
  <c r="BB54" i="1" s="1"/>
  <c r="BR53" i="1"/>
  <c r="BT53" i="1" s="1"/>
  <c r="BV53" i="1" s="1"/>
  <c r="BS53" i="1"/>
  <c r="BU53" i="1" s="1"/>
  <c r="AE55" i="1"/>
  <c r="AG55" i="1" s="1"/>
  <c r="AD55" i="1"/>
  <c r="AF55" i="1" s="1"/>
  <c r="AH55" i="1" s="1"/>
  <c r="Q56" i="1"/>
  <c r="S56" i="1" s="1"/>
  <c r="G56" i="1"/>
  <c r="I56" i="1" s="1"/>
  <c r="BW53" i="1" l="1"/>
  <c r="BY53" i="1" s="1"/>
  <c r="CA53" i="1" s="1"/>
  <c r="BX53" i="1"/>
  <c r="BZ53" i="1" s="1"/>
  <c r="CQ52" i="1"/>
  <c r="CS52" i="1" s="1"/>
  <c r="CU52" i="1" s="1"/>
  <c r="CR52" i="1"/>
  <c r="CT52" i="1" s="1"/>
  <c r="AI55" i="1"/>
  <c r="AK55" i="1" s="1"/>
  <c r="AM55" i="1" s="1"/>
  <c r="AJ55" i="1"/>
  <c r="AL55" i="1" s="1"/>
  <c r="BD54" i="1"/>
  <c r="BF54" i="1" s="1"/>
  <c r="BC54" i="1"/>
  <c r="BE54" i="1" s="1"/>
  <c r="BG54" i="1" s="1"/>
  <c r="BH54" i="1" l="1"/>
  <c r="BJ54" i="1" s="1"/>
  <c r="BL54" i="1" s="1"/>
  <c r="BI54" i="1"/>
  <c r="BK54" i="1" s="1"/>
  <c r="CW52" i="1"/>
  <c r="CY52" i="1" s="1"/>
  <c r="CV52" i="1"/>
  <c r="CX52" i="1" s="1"/>
  <c r="CB53" i="1"/>
  <c r="CD53" i="1" s="1"/>
  <c r="CF53" i="1" s="1"/>
  <c r="CC53" i="1"/>
  <c r="CE53" i="1" s="1"/>
  <c r="AO55" i="1"/>
  <c r="AQ55" i="1" s="1"/>
  <c r="AN55" i="1"/>
  <c r="AP55" i="1" s="1"/>
  <c r="AR55" i="1" s="1"/>
  <c r="J56" i="1"/>
  <c r="L56" i="1" s="1"/>
  <c r="N56" i="1" s="1"/>
  <c r="K56" i="1"/>
  <c r="M56" i="1" s="1"/>
  <c r="D57" i="1"/>
  <c r="T56" i="1"/>
  <c r="V56" i="1" s="1"/>
  <c r="X56" i="1" s="1"/>
  <c r="U56" i="1"/>
  <c r="W56" i="1" s="1"/>
  <c r="CZ52" i="1" l="1"/>
  <c r="CG53" i="1"/>
  <c r="CI53" i="1" s="1"/>
  <c r="CK53" i="1" s="1"/>
  <c r="CH53" i="1"/>
  <c r="CJ53" i="1" s="1"/>
  <c r="BM54" i="1"/>
  <c r="BO54" i="1" s="1"/>
  <c r="BQ54" i="1" s="1"/>
  <c r="BN54" i="1"/>
  <c r="BP54" i="1" s="1"/>
  <c r="AS55" i="1"/>
  <c r="AU55" i="1" s="1"/>
  <c r="AW55" i="1" s="1"/>
  <c r="AT55" i="1"/>
  <c r="AV55" i="1" s="1"/>
  <c r="P56" i="1"/>
  <c r="R56" i="1" s="1"/>
  <c r="Z56" i="1"/>
  <c r="AB56" i="1" s="1"/>
  <c r="Y56" i="1"/>
  <c r="AA56" i="1" s="1"/>
  <c r="AC56" i="1" s="1"/>
  <c r="F57" i="1"/>
  <c r="H57" i="1" s="1"/>
  <c r="E57" i="1"/>
  <c r="DB52" i="1" l="1"/>
  <c r="DD52" i="1" s="1"/>
  <c r="DA52" i="1"/>
  <c r="DC52" i="1" s="1"/>
  <c r="AX55" i="1"/>
  <c r="AZ55" i="1" s="1"/>
  <c r="BB55" i="1" s="1"/>
  <c r="AY55" i="1"/>
  <c r="BA55" i="1" s="1"/>
  <c r="BS54" i="1"/>
  <c r="BU54" i="1" s="1"/>
  <c r="BR54" i="1"/>
  <c r="BT54" i="1" s="1"/>
  <c r="BV54" i="1" s="1"/>
  <c r="CM53" i="1"/>
  <c r="CO53" i="1" s="1"/>
  <c r="CL53" i="1"/>
  <c r="CN53" i="1" s="1"/>
  <c r="CP53" i="1" s="1"/>
  <c r="O56" i="1"/>
  <c r="AE56" i="1"/>
  <c r="AG56" i="1" s="1"/>
  <c r="AD56" i="1"/>
  <c r="AF56" i="1" s="1"/>
  <c r="AH56" i="1" s="1"/>
  <c r="Q57" i="1"/>
  <c r="S57" i="1" s="1"/>
  <c r="G57" i="1"/>
  <c r="I57" i="1" s="1"/>
  <c r="BC55" i="1" l="1"/>
  <c r="BE55" i="1" s="1"/>
  <c r="BG55" i="1" s="1"/>
  <c r="BD55" i="1"/>
  <c r="BF55" i="1" s="1"/>
  <c r="AJ56" i="1"/>
  <c r="AL56" i="1" s="1"/>
  <c r="AI56" i="1"/>
  <c r="AK56" i="1" s="1"/>
  <c r="AM56" i="1" s="1"/>
  <c r="CQ53" i="1"/>
  <c r="CS53" i="1" s="1"/>
  <c r="CU53" i="1" s="1"/>
  <c r="CR53" i="1"/>
  <c r="CT53" i="1" s="1"/>
  <c r="BW54" i="1"/>
  <c r="BY54" i="1" s="1"/>
  <c r="CA54" i="1" s="1"/>
  <c r="BX54" i="1"/>
  <c r="BZ54" i="1" s="1"/>
  <c r="AN56" i="1" l="1"/>
  <c r="AP56" i="1" s="1"/>
  <c r="AR56" i="1" s="1"/>
  <c r="AO56" i="1"/>
  <c r="AQ56" i="1" s="1"/>
  <c r="BH55" i="1"/>
  <c r="BJ55" i="1" s="1"/>
  <c r="BL55" i="1" s="1"/>
  <c r="BI55" i="1"/>
  <c r="BK55" i="1" s="1"/>
  <c r="CB54" i="1"/>
  <c r="CD54" i="1" s="1"/>
  <c r="CF54" i="1" s="1"/>
  <c r="CC54" i="1"/>
  <c r="CE54" i="1" s="1"/>
  <c r="CV53" i="1"/>
  <c r="CX53" i="1" s="1"/>
  <c r="CZ53" i="1" s="1"/>
  <c r="CW53" i="1"/>
  <c r="CY53" i="1" s="1"/>
  <c r="J57" i="1"/>
  <c r="L57" i="1" s="1"/>
  <c r="N57" i="1" s="1"/>
  <c r="K57" i="1"/>
  <c r="M57" i="1" s="1"/>
  <c r="D58" i="1"/>
  <c r="U57" i="1"/>
  <c r="W57" i="1" s="1"/>
  <c r="T57" i="1"/>
  <c r="V57" i="1" s="1"/>
  <c r="X57" i="1" s="1"/>
  <c r="DA53" i="1" l="1"/>
  <c r="DC53" i="1" s="1"/>
  <c r="DB53" i="1"/>
  <c r="DD53" i="1" s="1"/>
  <c r="CH54" i="1"/>
  <c r="CJ54" i="1" s="1"/>
  <c r="CG54" i="1"/>
  <c r="CI54" i="1" s="1"/>
  <c r="CK54" i="1" s="1"/>
  <c r="BN55" i="1"/>
  <c r="BP55" i="1" s="1"/>
  <c r="BM55" i="1"/>
  <c r="BO55" i="1" s="1"/>
  <c r="BQ55" i="1" s="1"/>
  <c r="AS56" i="1"/>
  <c r="AU56" i="1" s="1"/>
  <c r="AW56" i="1" s="1"/>
  <c r="AT56" i="1"/>
  <c r="AV56" i="1" s="1"/>
  <c r="P57" i="1"/>
  <c r="R57" i="1" s="1"/>
  <c r="Y57" i="1"/>
  <c r="AA57" i="1" s="1"/>
  <c r="AC57" i="1" s="1"/>
  <c r="Z57" i="1"/>
  <c r="AB57" i="1" s="1"/>
  <c r="E58" i="1"/>
  <c r="F58" i="1"/>
  <c r="H58" i="1" s="1"/>
  <c r="AY56" i="1" l="1"/>
  <c r="BA56" i="1" s="1"/>
  <c r="AX56" i="1"/>
  <c r="AZ56" i="1" s="1"/>
  <c r="BB56" i="1" s="1"/>
  <c r="CL54" i="1"/>
  <c r="CN54" i="1" s="1"/>
  <c r="CP54" i="1" s="1"/>
  <c r="CM54" i="1"/>
  <c r="CO54" i="1" s="1"/>
  <c r="BR55" i="1"/>
  <c r="BT55" i="1" s="1"/>
  <c r="BV55" i="1" s="1"/>
  <c r="BS55" i="1"/>
  <c r="BU55" i="1" s="1"/>
  <c r="O57" i="1"/>
  <c r="AD57" i="1"/>
  <c r="AF57" i="1" s="1"/>
  <c r="AH57" i="1" s="1"/>
  <c r="AE57" i="1"/>
  <c r="AG57" i="1" s="1"/>
  <c r="G58" i="1"/>
  <c r="I58" i="1" s="1"/>
  <c r="Q58" i="1"/>
  <c r="S58" i="1" s="1"/>
  <c r="CR54" i="1" l="1"/>
  <c r="CT54" i="1" s="1"/>
  <c r="CQ54" i="1"/>
  <c r="CS54" i="1" s="1"/>
  <c r="CU54" i="1" s="1"/>
  <c r="AJ57" i="1"/>
  <c r="AL57" i="1" s="1"/>
  <c r="AI57" i="1"/>
  <c r="AK57" i="1" s="1"/>
  <c r="AM57" i="1" s="1"/>
  <c r="BX55" i="1"/>
  <c r="BZ55" i="1" s="1"/>
  <c r="BW55" i="1"/>
  <c r="BY55" i="1" s="1"/>
  <c r="CA55" i="1" s="1"/>
  <c r="BD56" i="1"/>
  <c r="BF56" i="1" s="1"/>
  <c r="BC56" i="1"/>
  <c r="BE56" i="1" s="1"/>
  <c r="BG56" i="1" s="1"/>
  <c r="BH56" i="1" l="1"/>
  <c r="BJ56" i="1" s="1"/>
  <c r="BL56" i="1" s="1"/>
  <c r="BI56" i="1"/>
  <c r="BK56" i="1" s="1"/>
  <c r="CB55" i="1"/>
  <c r="CD55" i="1" s="1"/>
  <c r="CF55" i="1" s="1"/>
  <c r="CC55" i="1"/>
  <c r="CE55" i="1" s="1"/>
  <c r="AN57" i="1"/>
  <c r="AP57" i="1" s="1"/>
  <c r="AR57" i="1" s="1"/>
  <c r="AO57" i="1"/>
  <c r="AQ57" i="1" s="1"/>
  <c r="CW54" i="1"/>
  <c r="CY54" i="1" s="1"/>
  <c r="CV54" i="1"/>
  <c r="CX54" i="1" s="1"/>
  <c r="J58" i="1"/>
  <c r="L58" i="1" s="1"/>
  <c r="N58" i="1" s="1"/>
  <c r="K58" i="1"/>
  <c r="M58" i="1" s="1"/>
  <c r="D59" i="1"/>
  <c r="U58" i="1"/>
  <c r="W58" i="1" s="1"/>
  <c r="T58" i="1"/>
  <c r="V58" i="1" s="1"/>
  <c r="X58" i="1" s="1"/>
  <c r="CZ54" i="1" l="1"/>
  <c r="AT57" i="1"/>
  <c r="AV57" i="1" s="1"/>
  <c r="AS57" i="1"/>
  <c r="AU57" i="1" s="1"/>
  <c r="AW57" i="1" s="1"/>
  <c r="CH55" i="1"/>
  <c r="CJ55" i="1" s="1"/>
  <c r="CG55" i="1"/>
  <c r="CI55" i="1" s="1"/>
  <c r="CK55" i="1" s="1"/>
  <c r="BM56" i="1"/>
  <c r="BO56" i="1" s="1"/>
  <c r="BQ56" i="1" s="1"/>
  <c r="BN56" i="1"/>
  <c r="BP56" i="1" s="1"/>
  <c r="P58" i="1"/>
  <c r="R58" i="1" s="1"/>
  <c r="Z58" i="1"/>
  <c r="AB58" i="1" s="1"/>
  <c r="Y58" i="1"/>
  <c r="AA58" i="1" s="1"/>
  <c r="AC58" i="1" s="1"/>
  <c r="F59" i="1"/>
  <c r="H59" i="1" s="1"/>
  <c r="E59" i="1"/>
  <c r="BS56" i="1" l="1"/>
  <c r="BU56" i="1" s="1"/>
  <c r="BR56" i="1"/>
  <c r="BT56" i="1" s="1"/>
  <c r="BV56" i="1" s="1"/>
  <c r="DA54" i="1"/>
  <c r="DC54" i="1" s="1"/>
  <c r="DB54" i="1"/>
  <c r="DD54" i="1" s="1"/>
  <c r="CL55" i="1"/>
  <c r="CN55" i="1" s="1"/>
  <c r="CP55" i="1" s="1"/>
  <c r="CM55" i="1"/>
  <c r="CO55" i="1" s="1"/>
  <c r="AX57" i="1"/>
  <c r="AZ57" i="1" s="1"/>
  <c r="BB57" i="1" s="1"/>
  <c r="AY57" i="1"/>
  <c r="BA57" i="1" s="1"/>
  <c r="O58" i="1"/>
  <c r="AE58" i="1"/>
  <c r="AG58" i="1" s="1"/>
  <c r="AD58" i="1"/>
  <c r="AF58" i="1" s="1"/>
  <c r="AH58" i="1" s="1"/>
  <c r="G59" i="1"/>
  <c r="I59" i="1" s="1"/>
  <c r="Q59" i="1"/>
  <c r="S59" i="1" s="1"/>
  <c r="AJ58" i="1" l="1"/>
  <c r="AL58" i="1" s="1"/>
  <c r="AI58" i="1"/>
  <c r="AK58" i="1" s="1"/>
  <c r="AM58" i="1" s="1"/>
  <c r="BC57" i="1"/>
  <c r="BE57" i="1" s="1"/>
  <c r="BG57" i="1" s="1"/>
  <c r="BD57" i="1"/>
  <c r="BF57" i="1" s="1"/>
  <c r="CQ55" i="1"/>
  <c r="CS55" i="1" s="1"/>
  <c r="CU55" i="1" s="1"/>
  <c r="CR55" i="1"/>
  <c r="CT55" i="1" s="1"/>
  <c r="BX56" i="1"/>
  <c r="BZ56" i="1" s="1"/>
  <c r="BW56" i="1"/>
  <c r="BY56" i="1" s="1"/>
  <c r="CA56" i="1" s="1"/>
  <c r="AO58" i="1" l="1"/>
  <c r="AQ58" i="1" s="1"/>
  <c r="AN58" i="1"/>
  <c r="AP58" i="1" s="1"/>
  <c r="AR58" i="1" s="1"/>
  <c r="CB56" i="1"/>
  <c r="CD56" i="1" s="1"/>
  <c r="CF56" i="1" s="1"/>
  <c r="CC56" i="1"/>
  <c r="CE56" i="1" s="1"/>
  <c r="CV55" i="1"/>
  <c r="CX55" i="1" s="1"/>
  <c r="CZ55" i="1" s="1"/>
  <c r="CW55" i="1"/>
  <c r="CY55" i="1" s="1"/>
  <c r="BI57" i="1"/>
  <c r="BK57" i="1" s="1"/>
  <c r="BH57" i="1"/>
  <c r="BJ57" i="1" s="1"/>
  <c r="BL57" i="1" s="1"/>
  <c r="K59" i="1"/>
  <c r="M59" i="1" s="1"/>
  <c r="J59" i="1"/>
  <c r="L59" i="1" s="1"/>
  <c r="D60" i="1"/>
  <c r="T59" i="1"/>
  <c r="V59" i="1" s="1"/>
  <c r="X59" i="1" s="1"/>
  <c r="U59" i="1"/>
  <c r="W59" i="1" s="1"/>
  <c r="N59" i="1" l="1"/>
  <c r="P59" i="1" s="1"/>
  <c r="R59" i="1" s="1"/>
  <c r="BM57" i="1"/>
  <c r="BO57" i="1" s="1"/>
  <c r="BQ57" i="1" s="1"/>
  <c r="BN57" i="1"/>
  <c r="BP57" i="1" s="1"/>
  <c r="CG56" i="1"/>
  <c r="CI56" i="1" s="1"/>
  <c r="CK56" i="1" s="1"/>
  <c r="CH56" i="1"/>
  <c r="CJ56" i="1" s="1"/>
  <c r="AT58" i="1"/>
  <c r="AV58" i="1" s="1"/>
  <c r="AS58" i="1"/>
  <c r="AU58" i="1" s="1"/>
  <c r="AW58" i="1" s="1"/>
  <c r="O59" i="1"/>
  <c r="Y59" i="1"/>
  <c r="AA59" i="1" s="1"/>
  <c r="AC59" i="1" s="1"/>
  <c r="Z59" i="1"/>
  <c r="AB59" i="1" s="1"/>
  <c r="E60" i="1"/>
  <c r="F60" i="1"/>
  <c r="H60" i="1" s="1"/>
  <c r="DA55" i="1" l="1"/>
  <c r="DC55" i="1" s="1"/>
  <c r="DB55" i="1"/>
  <c r="DD55" i="1" s="1"/>
  <c r="AX58" i="1"/>
  <c r="AZ58" i="1" s="1"/>
  <c r="BB58" i="1" s="1"/>
  <c r="AY58" i="1"/>
  <c r="BA58" i="1" s="1"/>
  <c r="CM56" i="1"/>
  <c r="CO56" i="1" s="1"/>
  <c r="CL56" i="1"/>
  <c r="CN56" i="1" s="1"/>
  <c r="CP56" i="1" s="1"/>
  <c r="BS57" i="1"/>
  <c r="BU57" i="1" s="1"/>
  <c r="BR57" i="1"/>
  <c r="BT57" i="1" s="1"/>
  <c r="BV57" i="1" s="1"/>
  <c r="AD59" i="1"/>
  <c r="AF59" i="1" s="1"/>
  <c r="AH59" i="1" s="1"/>
  <c r="AE59" i="1"/>
  <c r="AG59" i="1" s="1"/>
  <c r="Q60" i="1"/>
  <c r="S60" i="1" s="1"/>
  <c r="G60" i="1"/>
  <c r="I60" i="1" s="1"/>
  <c r="AJ59" i="1" l="1"/>
  <c r="AL59" i="1" s="1"/>
  <c r="AI59" i="1"/>
  <c r="AK59" i="1" s="1"/>
  <c r="AM59" i="1" s="1"/>
  <c r="BD58" i="1"/>
  <c r="BF58" i="1" s="1"/>
  <c r="BC58" i="1"/>
  <c r="BE58" i="1" s="1"/>
  <c r="BG58" i="1" s="1"/>
  <c r="BX57" i="1"/>
  <c r="BZ57" i="1" s="1"/>
  <c r="BW57" i="1"/>
  <c r="BY57" i="1" s="1"/>
  <c r="CA57" i="1" s="1"/>
  <c r="CQ56" i="1"/>
  <c r="CS56" i="1" s="1"/>
  <c r="CU56" i="1" s="1"/>
  <c r="CR56" i="1"/>
  <c r="CT56" i="1" s="1"/>
  <c r="CB57" i="1" l="1"/>
  <c r="CD57" i="1" s="1"/>
  <c r="CF57" i="1" s="1"/>
  <c r="CC57" i="1"/>
  <c r="CE57" i="1" s="1"/>
  <c r="BI58" i="1"/>
  <c r="BK58" i="1" s="1"/>
  <c r="BH58" i="1"/>
  <c r="BJ58" i="1" s="1"/>
  <c r="BL58" i="1" s="1"/>
  <c r="AN59" i="1"/>
  <c r="AP59" i="1" s="1"/>
  <c r="AR59" i="1" s="1"/>
  <c r="AO59" i="1"/>
  <c r="AQ59" i="1" s="1"/>
  <c r="CV56" i="1"/>
  <c r="CX56" i="1" s="1"/>
  <c r="CW56" i="1"/>
  <c r="CY56" i="1" s="1"/>
  <c r="J60" i="1"/>
  <c r="L60" i="1" s="1"/>
  <c r="K60" i="1"/>
  <c r="M60" i="1" s="1"/>
  <c r="D61" i="1"/>
  <c r="T60" i="1"/>
  <c r="V60" i="1" s="1"/>
  <c r="X60" i="1" s="1"/>
  <c r="U60" i="1"/>
  <c r="W60" i="1" s="1"/>
  <c r="CZ56" i="1" l="1"/>
  <c r="N60" i="1"/>
  <c r="P60" i="1" s="1"/>
  <c r="R60" i="1" s="1"/>
  <c r="DA56" i="1"/>
  <c r="DC56" i="1" s="1"/>
  <c r="DB56" i="1"/>
  <c r="DD56" i="1" s="1"/>
  <c r="AT59" i="1"/>
  <c r="AV59" i="1" s="1"/>
  <c r="AS59" i="1"/>
  <c r="AU59" i="1" s="1"/>
  <c r="AW59" i="1" s="1"/>
  <c r="CH57" i="1"/>
  <c r="CJ57" i="1" s="1"/>
  <c r="CG57" i="1"/>
  <c r="CI57" i="1" s="1"/>
  <c r="CK57" i="1" s="1"/>
  <c r="BN58" i="1"/>
  <c r="BP58" i="1" s="1"/>
  <c r="BM58" i="1"/>
  <c r="BO58" i="1" s="1"/>
  <c r="BQ58" i="1" s="1"/>
  <c r="Z60" i="1"/>
  <c r="AB60" i="1" s="1"/>
  <c r="Y60" i="1"/>
  <c r="AA60" i="1" s="1"/>
  <c r="AC60" i="1" s="1"/>
  <c r="F61" i="1"/>
  <c r="H61" i="1" s="1"/>
  <c r="E61" i="1"/>
  <c r="O60" i="1" l="1"/>
  <c r="BR58" i="1"/>
  <c r="BT58" i="1" s="1"/>
  <c r="BV58" i="1" s="1"/>
  <c r="BS58" i="1"/>
  <c r="BU58" i="1" s="1"/>
  <c r="CM57" i="1"/>
  <c r="CO57" i="1" s="1"/>
  <c r="CL57" i="1"/>
  <c r="CN57" i="1" s="1"/>
  <c r="CP57" i="1" s="1"/>
  <c r="AY59" i="1"/>
  <c r="BA59" i="1" s="1"/>
  <c r="AX59" i="1"/>
  <c r="AZ59" i="1" s="1"/>
  <c r="BB59" i="1" s="1"/>
  <c r="AE60" i="1"/>
  <c r="AG60" i="1" s="1"/>
  <c r="AD60" i="1"/>
  <c r="AF60" i="1" s="1"/>
  <c r="AH60" i="1" s="1"/>
  <c r="Q61" i="1"/>
  <c r="S61" i="1" s="1"/>
  <c r="G61" i="1"/>
  <c r="I61" i="1" s="1"/>
  <c r="AI60" i="1" l="1"/>
  <c r="AK60" i="1" s="1"/>
  <c r="AM60" i="1" s="1"/>
  <c r="AJ60" i="1"/>
  <c r="AL60" i="1" s="1"/>
  <c r="BW58" i="1"/>
  <c r="BY58" i="1" s="1"/>
  <c r="CA58" i="1" s="1"/>
  <c r="BX58" i="1"/>
  <c r="BZ58" i="1" s="1"/>
  <c r="BD59" i="1"/>
  <c r="BF59" i="1" s="1"/>
  <c r="BC59" i="1"/>
  <c r="BE59" i="1" s="1"/>
  <c r="BG59" i="1" s="1"/>
  <c r="CQ57" i="1"/>
  <c r="CS57" i="1" s="1"/>
  <c r="CU57" i="1" s="1"/>
  <c r="CR57" i="1"/>
  <c r="CT57" i="1" s="1"/>
  <c r="BI59" i="1" l="1"/>
  <c r="BK59" i="1" s="1"/>
  <c r="BH59" i="1"/>
  <c r="BJ59" i="1" s="1"/>
  <c r="BL59" i="1" s="1"/>
  <c r="CV57" i="1"/>
  <c r="CX57" i="1" s="1"/>
  <c r="CW57" i="1"/>
  <c r="CY57" i="1" s="1"/>
  <c r="CB58" i="1"/>
  <c r="CD58" i="1" s="1"/>
  <c r="CF58" i="1" s="1"/>
  <c r="CC58" i="1"/>
  <c r="CE58" i="1" s="1"/>
  <c r="AO60" i="1"/>
  <c r="AQ60" i="1" s="1"/>
  <c r="AN60" i="1"/>
  <c r="AP60" i="1" s="1"/>
  <c r="AR60" i="1" s="1"/>
  <c r="U61" i="1"/>
  <c r="W61" i="1" s="1"/>
  <c r="T61" i="1"/>
  <c r="V61" i="1" s="1"/>
  <c r="X61" i="1" s="1"/>
  <c r="J61" i="1"/>
  <c r="L61" i="1" s="1"/>
  <c r="N61" i="1" s="1"/>
  <c r="K61" i="1"/>
  <c r="M61" i="1" s="1"/>
  <c r="D62" i="1"/>
  <c r="CZ57" i="1" l="1"/>
  <c r="CG58" i="1"/>
  <c r="CI58" i="1" s="1"/>
  <c r="CK58" i="1" s="1"/>
  <c r="CH58" i="1"/>
  <c r="CJ58" i="1" s="1"/>
  <c r="DA57" i="1"/>
  <c r="DC57" i="1" s="1"/>
  <c r="DB57" i="1"/>
  <c r="DD57" i="1" s="1"/>
  <c r="AT60" i="1"/>
  <c r="AV60" i="1" s="1"/>
  <c r="AS60" i="1"/>
  <c r="AU60" i="1" s="1"/>
  <c r="AW60" i="1" s="1"/>
  <c r="BM59" i="1"/>
  <c r="BO59" i="1" s="1"/>
  <c r="BQ59" i="1" s="1"/>
  <c r="BN59" i="1"/>
  <c r="BP59" i="1" s="1"/>
  <c r="P61" i="1"/>
  <c r="R61" i="1" s="1"/>
  <c r="E62" i="1"/>
  <c r="F62" i="1"/>
  <c r="H62" i="1" s="1"/>
  <c r="Z61" i="1"/>
  <c r="AB61" i="1" s="1"/>
  <c r="Y61" i="1"/>
  <c r="AA61" i="1" s="1"/>
  <c r="AC61" i="1" s="1"/>
  <c r="AY60" i="1" l="1"/>
  <c r="BA60" i="1" s="1"/>
  <c r="AX60" i="1"/>
  <c r="AZ60" i="1" s="1"/>
  <c r="BB60" i="1" s="1"/>
  <c r="CL58" i="1"/>
  <c r="CN58" i="1" s="1"/>
  <c r="CP58" i="1" s="1"/>
  <c r="CM58" i="1"/>
  <c r="CO58" i="1" s="1"/>
  <c r="BS59" i="1"/>
  <c r="BU59" i="1" s="1"/>
  <c r="BR59" i="1"/>
  <c r="BT59" i="1" s="1"/>
  <c r="BV59" i="1" s="1"/>
  <c r="O61" i="1"/>
  <c r="AD61" i="1"/>
  <c r="AF61" i="1" s="1"/>
  <c r="AH61" i="1" s="1"/>
  <c r="AE61" i="1"/>
  <c r="AG61" i="1" s="1"/>
  <c r="G62" i="1"/>
  <c r="I62" i="1" s="1"/>
  <c r="Q62" i="1"/>
  <c r="S62" i="1" s="1"/>
  <c r="CR58" i="1" l="1"/>
  <c r="CT58" i="1" s="1"/>
  <c r="CQ58" i="1"/>
  <c r="CS58" i="1" s="1"/>
  <c r="CU58" i="1" s="1"/>
  <c r="AJ61" i="1"/>
  <c r="AL61" i="1" s="1"/>
  <c r="AI61" i="1"/>
  <c r="AK61" i="1" s="1"/>
  <c r="AM61" i="1" s="1"/>
  <c r="BX59" i="1"/>
  <c r="BZ59" i="1" s="1"/>
  <c r="BW59" i="1"/>
  <c r="BY59" i="1" s="1"/>
  <c r="CA59" i="1" s="1"/>
  <c r="BD60" i="1"/>
  <c r="BF60" i="1" s="1"/>
  <c r="BC60" i="1"/>
  <c r="BE60" i="1" s="1"/>
  <c r="BG60" i="1" s="1"/>
  <c r="BI60" i="1" l="1"/>
  <c r="BK60" i="1" s="1"/>
  <c r="BH60" i="1"/>
  <c r="BJ60" i="1" s="1"/>
  <c r="BL60" i="1" s="1"/>
  <c r="CB59" i="1"/>
  <c r="CD59" i="1" s="1"/>
  <c r="CF59" i="1" s="1"/>
  <c r="CC59" i="1"/>
  <c r="CE59" i="1" s="1"/>
  <c r="AO61" i="1"/>
  <c r="AQ61" i="1" s="1"/>
  <c r="AN61" i="1"/>
  <c r="AP61" i="1" s="1"/>
  <c r="AR61" i="1" s="1"/>
  <c r="CV58" i="1"/>
  <c r="CX58" i="1" s="1"/>
  <c r="CW58" i="1"/>
  <c r="CY58" i="1" s="1"/>
  <c r="U62" i="1"/>
  <c r="W62" i="1" s="1"/>
  <c r="T62" i="1"/>
  <c r="V62" i="1" s="1"/>
  <c r="X62" i="1" s="1"/>
  <c r="J62" i="1"/>
  <c r="L62" i="1" s="1"/>
  <c r="N62" i="1" s="1"/>
  <c r="K62" i="1"/>
  <c r="M62" i="1" s="1"/>
  <c r="D63" i="1"/>
  <c r="CZ58" i="1" l="1"/>
  <c r="DB58" i="1"/>
  <c r="DD58" i="1" s="1"/>
  <c r="DA58" i="1"/>
  <c r="DC58" i="1" s="1"/>
  <c r="CH59" i="1"/>
  <c r="CJ59" i="1" s="1"/>
  <c r="CG59" i="1"/>
  <c r="CI59" i="1" s="1"/>
  <c r="CK59" i="1" s="1"/>
  <c r="AS61" i="1"/>
  <c r="AU61" i="1" s="1"/>
  <c r="AW61" i="1" s="1"/>
  <c r="AT61" i="1"/>
  <c r="AV61" i="1" s="1"/>
  <c r="BN60" i="1"/>
  <c r="BP60" i="1" s="1"/>
  <c r="BM60" i="1"/>
  <c r="BO60" i="1" s="1"/>
  <c r="BQ60" i="1" s="1"/>
  <c r="P62" i="1"/>
  <c r="R62" i="1" s="1"/>
  <c r="O62" i="1"/>
  <c r="E63" i="1"/>
  <c r="F63" i="1"/>
  <c r="H63" i="1" s="1"/>
  <c r="Y62" i="1"/>
  <c r="AA62" i="1" s="1"/>
  <c r="AC62" i="1" s="1"/>
  <c r="Z62" i="1"/>
  <c r="AB62" i="1" s="1"/>
  <c r="BR60" i="1" l="1"/>
  <c r="BT60" i="1" s="1"/>
  <c r="BV60" i="1" s="1"/>
  <c r="BS60" i="1"/>
  <c r="BU60" i="1" s="1"/>
  <c r="CL59" i="1"/>
  <c r="CN59" i="1" s="1"/>
  <c r="CP59" i="1" s="1"/>
  <c r="CM59" i="1"/>
  <c r="CO59" i="1" s="1"/>
  <c r="AX61" i="1"/>
  <c r="AZ61" i="1" s="1"/>
  <c r="BB61" i="1" s="1"/>
  <c r="AY61" i="1"/>
  <c r="BA61" i="1" s="1"/>
  <c r="AD62" i="1"/>
  <c r="AF62" i="1" s="1"/>
  <c r="AH62" i="1" s="1"/>
  <c r="AE62" i="1"/>
  <c r="AG62" i="1" s="1"/>
  <c r="G63" i="1"/>
  <c r="I63" i="1" s="1"/>
  <c r="Q63" i="1"/>
  <c r="S63" i="1" s="1"/>
  <c r="AI62" i="1" l="1"/>
  <c r="AK62" i="1" s="1"/>
  <c r="AM62" i="1" s="1"/>
  <c r="AJ62" i="1"/>
  <c r="AL62" i="1" s="1"/>
  <c r="BC61" i="1"/>
  <c r="BE61" i="1" s="1"/>
  <c r="BG61" i="1" s="1"/>
  <c r="BD61" i="1"/>
  <c r="BF61" i="1" s="1"/>
  <c r="CR59" i="1"/>
  <c r="CT59" i="1" s="1"/>
  <c r="CQ59" i="1"/>
  <c r="CS59" i="1" s="1"/>
  <c r="CU59" i="1" s="1"/>
  <c r="BW60" i="1"/>
  <c r="BY60" i="1" s="1"/>
  <c r="CA60" i="1" s="1"/>
  <c r="BX60" i="1"/>
  <c r="BZ60" i="1" s="1"/>
  <c r="CV59" i="1" l="1"/>
  <c r="CX59" i="1" s="1"/>
  <c r="CW59" i="1"/>
  <c r="CY59" i="1" s="1"/>
  <c r="CB60" i="1"/>
  <c r="CD60" i="1" s="1"/>
  <c r="CF60" i="1" s="1"/>
  <c r="CC60" i="1"/>
  <c r="CE60" i="1" s="1"/>
  <c r="BI61" i="1"/>
  <c r="BK61" i="1" s="1"/>
  <c r="BH61" i="1"/>
  <c r="BJ61" i="1" s="1"/>
  <c r="BL61" i="1" s="1"/>
  <c r="AO62" i="1"/>
  <c r="AQ62" i="1" s="1"/>
  <c r="AN62" i="1"/>
  <c r="AP62" i="1" s="1"/>
  <c r="AR62" i="1" s="1"/>
  <c r="J63" i="1"/>
  <c r="L63" i="1" s="1"/>
  <c r="N63" i="1" s="1"/>
  <c r="K63" i="1"/>
  <c r="M63" i="1" s="1"/>
  <c r="D64" i="1"/>
  <c r="U63" i="1"/>
  <c r="W63" i="1" s="1"/>
  <c r="T63" i="1"/>
  <c r="V63" i="1" s="1"/>
  <c r="X63" i="1" s="1"/>
  <c r="CZ59" i="1" l="1"/>
  <c r="CH60" i="1"/>
  <c r="CJ60" i="1" s="1"/>
  <c r="CG60" i="1"/>
  <c r="CI60" i="1" s="1"/>
  <c r="CK60" i="1" s="1"/>
  <c r="DB59" i="1"/>
  <c r="DD59" i="1" s="1"/>
  <c r="DA59" i="1"/>
  <c r="DC59" i="1" s="1"/>
  <c r="AS62" i="1"/>
  <c r="AU62" i="1" s="1"/>
  <c r="AW62" i="1" s="1"/>
  <c r="AT62" i="1"/>
  <c r="AV62" i="1" s="1"/>
  <c r="BM61" i="1"/>
  <c r="BO61" i="1" s="1"/>
  <c r="BQ61" i="1" s="1"/>
  <c r="BN61" i="1"/>
  <c r="BP61" i="1" s="1"/>
  <c r="P63" i="1"/>
  <c r="R63" i="1" s="1"/>
  <c r="Y63" i="1"/>
  <c r="AA63" i="1" s="1"/>
  <c r="AC63" i="1" s="1"/>
  <c r="Z63" i="1"/>
  <c r="AB63" i="1" s="1"/>
  <c r="F64" i="1"/>
  <c r="H64" i="1" s="1"/>
  <c r="E64" i="1"/>
  <c r="BS61" i="1" l="1"/>
  <c r="BU61" i="1" s="1"/>
  <c r="BR61" i="1"/>
  <c r="BT61" i="1" s="1"/>
  <c r="BV61" i="1" s="1"/>
  <c r="AY62" i="1"/>
  <c r="BA62" i="1" s="1"/>
  <c r="AX62" i="1"/>
  <c r="AZ62" i="1" s="1"/>
  <c r="BB62" i="1" s="1"/>
  <c r="CM60" i="1"/>
  <c r="CO60" i="1" s="1"/>
  <c r="CL60" i="1"/>
  <c r="CN60" i="1" s="1"/>
  <c r="CP60" i="1" s="1"/>
  <c r="O63" i="1"/>
  <c r="AD63" i="1"/>
  <c r="AF63" i="1" s="1"/>
  <c r="AH63" i="1" s="1"/>
  <c r="AE63" i="1"/>
  <c r="AG63" i="1" s="1"/>
  <c r="G64" i="1"/>
  <c r="I64" i="1" s="1"/>
  <c r="Q64" i="1"/>
  <c r="S64" i="1" s="1"/>
  <c r="AI63" i="1" l="1"/>
  <c r="AK63" i="1" s="1"/>
  <c r="AM63" i="1" s="1"/>
  <c r="AJ63" i="1"/>
  <c r="AL63" i="1" s="1"/>
  <c r="CR60" i="1"/>
  <c r="CT60" i="1" s="1"/>
  <c r="CQ60" i="1"/>
  <c r="CS60" i="1" s="1"/>
  <c r="CU60" i="1" s="1"/>
  <c r="BC62" i="1"/>
  <c r="BE62" i="1" s="1"/>
  <c r="BG62" i="1" s="1"/>
  <c r="BD62" i="1"/>
  <c r="BF62" i="1" s="1"/>
  <c r="BX61" i="1"/>
  <c r="BZ61" i="1" s="1"/>
  <c r="BW61" i="1"/>
  <c r="BY61" i="1" s="1"/>
  <c r="CA61" i="1" s="1"/>
  <c r="CB61" i="1" l="1"/>
  <c r="CD61" i="1" s="1"/>
  <c r="CF61" i="1" s="1"/>
  <c r="CC61" i="1"/>
  <c r="CE61" i="1" s="1"/>
  <c r="CW60" i="1"/>
  <c r="CY60" i="1" s="1"/>
  <c r="CV60" i="1"/>
  <c r="CX60" i="1" s="1"/>
  <c r="BI62" i="1"/>
  <c r="BK62" i="1" s="1"/>
  <c r="BH62" i="1"/>
  <c r="BJ62" i="1" s="1"/>
  <c r="BL62" i="1" s="1"/>
  <c r="AO63" i="1"/>
  <c r="AQ63" i="1" s="1"/>
  <c r="AN63" i="1"/>
  <c r="AP63" i="1" s="1"/>
  <c r="AR63" i="1" s="1"/>
  <c r="T64" i="1"/>
  <c r="V64" i="1" s="1"/>
  <c r="X64" i="1" s="1"/>
  <c r="U64" i="1"/>
  <c r="W64" i="1" s="1"/>
  <c r="J64" i="1"/>
  <c r="L64" i="1" s="1"/>
  <c r="N64" i="1" s="1"/>
  <c r="K64" i="1"/>
  <c r="M64" i="1" s="1"/>
  <c r="D65" i="1"/>
  <c r="CZ60" i="1" l="1"/>
  <c r="CH61" i="1"/>
  <c r="CJ61" i="1" s="1"/>
  <c r="CG61" i="1"/>
  <c r="CI61" i="1" s="1"/>
  <c r="CK61" i="1" s="1"/>
  <c r="AS63" i="1"/>
  <c r="AU63" i="1" s="1"/>
  <c r="AW63" i="1" s="1"/>
  <c r="AT63" i="1"/>
  <c r="AV63" i="1" s="1"/>
  <c r="BM62" i="1"/>
  <c r="BO62" i="1" s="1"/>
  <c r="BQ62" i="1" s="1"/>
  <c r="BN62" i="1"/>
  <c r="BP62" i="1" s="1"/>
  <c r="P64" i="1"/>
  <c r="R64" i="1" s="1"/>
  <c r="E65" i="1"/>
  <c r="F65" i="1"/>
  <c r="H65" i="1" s="1"/>
  <c r="Y64" i="1"/>
  <c r="AA64" i="1" s="1"/>
  <c r="AC64" i="1" s="1"/>
  <c r="Z64" i="1"/>
  <c r="AB64" i="1" s="1"/>
  <c r="DB60" i="1" l="1"/>
  <c r="DD60" i="1" s="1"/>
  <c r="DA60" i="1"/>
  <c r="DC60" i="1" s="1"/>
  <c r="BS62" i="1"/>
  <c r="BU62" i="1" s="1"/>
  <c r="BR62" i="1"/>
  <c r="BT62" i="1" s="1"/>
  <c r="BV62" i="1" s="1"/>
  <c r="AY63" i="1"/>
  <c r="BA63" i="1" s="1"/>
  <c r="AX63" i="1"/>
  <c r="AZ63" i="1" s="1"/>
  <c r="BB63" i="1" s="1"/>
  <c r="CL61" i="1"/>
  <c r="CN61" i="1" s="1"/>
  <c r="CP61" i="1" s="1"/>
  <c r="CM61" i="1"/>
  <c r="CO61" i="1" s="1"/>
  <c r="O64" i="1"/>
  <c r="AD64" i="1"/>
  <c r="AF64" i="1" s="1"/>
  <c r="AH64" i="1" s="1"/>
  <c r="AE64" i="1"/>
  <c r="AG64" i="1" s="1"/>
  <c r="G65" i="1"/>
  <c r="I65" i="1" s="1"/>
  <c r="Q65" i="1"/>
  <c r="S65" i="1" s="1"/>
  <c r="AI64" i="1" l="1"/>
  <c r="AK64" i="1" s="1"/>
  <c r="AM64" i="1" s="1"/>
  <c r="AJ64" i="1"/>
  <c r="AL64" i="1" s="1"/>
  <c r="CQ61" i="1"/>
  <c r="CS61" i="1" s="1"/>
  <c r="CU61" i="1" s="1"/>
  <c r="CR61" i="1"/>
  <c r="CT61" i="1" s="1"/>
  <c r="BC63" i="1"/>
  <c r="BE63" i="1" s="1"/>
  <c r="BG63" i="1" s="1"/>
  <c r="BD63" i="1"/>
  <c r="BF63" i="1" s="1"/>
  <c r="BX62" i="1"/>
  <c r="BZ62" i="1" s="1"/>
  <c r="BW62" i="1"/>
  <c r="BY62" i="1" s="1"/>
  <c r="CA62" i="1" s="1"/>
  <c r="CB62" i="1" l="1"/>
  <c r="CD62" i="1" s="1"/>
  <c r="CF62" i="1" s="1"/>
  <c r="CC62" i="1"/>
  <c r="CE62" i="1" s="1"/>
  <c r="BH63" i="1"/>
  <c r="BJ63" i="1" s="1"/>
  <c r="BL63" i="1" s="1"/>
  <c r="BI63" i="1"/>
  <c r="BK63" i="1" s="1"/>
  <c r="CW61" i="1"/>
  <c r="CY61" i="1" s="1"/>
  <c r="CV61" i="1"/>
  <c r="CX61" i="1" s="1"/>
  <c r="AN64" i="1"/>
  <c r="AP64" i="1" s="1"/>
  <c r="AR64" i="1" s="1"/>
  <c r="AO64" i="1"/>
  <c r="AQ64" i="1" s="1"/>
  <c r="K65" i="1"/>
  <c r="M65" i="1" s="1"/>
  <c r="J65" i="1"/>
  <c r="L65" i="1" s="1"/>
  <c r="D66" i="1"/>
  <c r="T65" i="1"/>
  <c r="V65" i="1" s="1"/>
  <c r="X65" i="1" s="1"/>
  <c r="U65" i="1"/>
  <c r="W65" i="1" s="1"/>
  <c r="CZ61" i="1" l="1"/>
  <c r="N65" i="1"/>
  <c r="O65" i="1" s="1"/>
  <c r="AS64" i="1"/>
  <c r="AU64" i="1" s="1"/>
  <c r="AW64" i="1" s="1"/>
  <c r="AT64" i="1"/>
  <c r="AV64" i="1" s="1"/>
  <c r="BN63" i="1"/>
  <c r="BP63" i="1" s="1"/>
  <c r="BM63" i="1"/>
  <c r="BO63" i="1" s="1"/>
  <c r="BQ63" i="1" s="1"/>
  <c r="CG62" i="1"/>
  <c r="CI62" i="1" s="1"/>
  <c r="CK62" i="1" s="1"/>
  <c r="CH62" i="1"/>
  <c r="CJ62" i="1" s="1"/>
  <c r="F66" i="1"/>
  <c r="H66" i="1" s="1"/>
  <c r="E66" i="1"/>
  <c r="Z65" i="1"/>
  <c r="AB65" i="1" s="1"/>
  <c r="Y65" i="1"/>
  <c r="AA65" i="1" s="1"/>
  <c r="AC65" i="1" s="1"/>
  <c r="P65" i="1" l="1"/>
  <c r="R65" i="1" s="1"/>
  <c r="DA61" i="1"/>
  <c r="DC61" i="1" s="1"/>
  <c r="DB61" i="1"/>
  <c r="DD61" i="1" s="1"/>
  <c r="CL62" i="1"/>
  <c r="CN62" i="1" s="1"/>
  <c r="CP62" i="1" s="1"/>
  <c r="CM62" i="1"/>
  <c r="CO62" i="1" s="1"/>
  <c r="AY64" i="1"/>
  <c r="BA64" i="1" s="1"/>
  <c r="AX64" i="1"/>
  <c r="AZ64" i="1" s="1"/>
  <c r="BB64" i="1" s="1"/>
  <c r="BS63" i="1"/>
  <c r="BU63" i="1" s="1"/>
  <c r="BR63" i="1"/>
  <c r="BT63" i="1" s="1"/>
  <c r="BV63" i="1" s="1"/>
  <c r="AD65" i="1"/>
  <c r="AF65" i="1" s="1"/>
  <c r="AH65" i="1" s="1"/>
  <c r="AE65" i="1"/>
  <c r="AG65" i="1" s="1"/>
  <c r="Q66" i="1"/>
  <c r="S66" i="1" s="1"/>
  <c r="G66" i="1"/>
  <c r="I66" i="1" s="1"/>
  <c r="AI65" i="1" l="1"/>
  <c r="AK65" i="1" s="1"/>
  <c r="AM65" i="1" s="1"/>
  <c r="AJ65" i="1"/>
  <c r="AL65" i="1" s="1"/>
  <c r="BX63" i="1"/>
  <c r="BZ63" i="1" s="1"/>
  <c r="BW63" i="1"/>
  <c r="BY63" i="1" s="1"/>
  <c r="CA63" i="1" s="1"/>
  <c r="BD64" i="1"/>
  <c r="BF64" i="1" s="1"/>
  <c r="BC64" i="1"/>
  <c r="BE64" i="1" s="1"/>
  <c r="BG64" i="1" s="1"/>
  <c r="CR62" i="1"/>
  <c r="CT62" i="1" s="1"/>
  <c r="CQ62" i="1"/>
  <c r="CS62" i="1" s="1"/>
  <c r="CU62" i="1" s="1"/>
  <c r="CV62" i="1" l="1"/>
  <c r="CX62" i="1" s="1"/>
  <c r="CW62" i="1"/>
  <c r="CY62" i="1" s="1"/>
  <c r="BI64" i="1"/>
  <c r="BK64" i="1" s="1"/>
  <c r="BH64" i="1"/>
  <c r="BJ64" i="1" s="1"/>
  <c r="BL64" i="1" s="1"/>
  <c r="CB63" i="1"/>
  <c r="CD63" i="1" s="1"/>
  <c r="CF63" i="1" s="1"/>
  <c r="CC63" i="1"/>
  <c r="CE63" i="1" s="1"/>
  <c r="AO65" i="1"/>
  <c r="AQ65" i="1" s="1"/>
  <c r="AN65" i="1"/>
  <c r="AP65" i="1" s="1"/>
  <c r="AR65" i="1" s="1"/>
  <c r="K66" i="1"/>
  <c r="M66" i="1" s="1"/>
  <c r="J66" i="1"/>
  <c r="L66" i="1" s="1"/>
  <c r="N66" i="1" s="1"/>
  <c r="D67" i="1"/>
  <c r="T66" i="1"/>
  <c r="V66" i="1" s="1"/>
  <c r="X66" i="1" s="1"/>
  <c r="U66" i="1"/>
  <c r="W66" i="1" s="1"/>
  <c r="CZ62" i="1" l="1"/>
  <c r="CG63" i="1"/>
  <c r="CI63" i="1" s="1"/>
  <c r="CK63" i="1" s="1"/>
  <c r="CH63" i="1"/>
  <c r="CJ63" i="1" s="1"/>
  <c r="DB62" i="1"/>
  <c r="DD62" i="1" s="1"/>
  <c r="DA62" i="1"/>
  <c r="DC62" i="1" s="1"/>
  <c r="AS65" i="1"/>
  <c r="AU65" i="1" s="1"/>
  <c r="AW65" i="1" s="1"/>
  <c r="AT65" i="1"/>
  <c r="AV65" i="1" s="1"/>
  <c r="BM64" i="1"/>
  <c r="BO64" i="1" s="1"/>
  <c r="BQ64" i="1" s="1"/>
  <c r="BN64" i="1"/>
  <c r="BP64" i="1" s="1"/>
  <c r="P66" i="1"/>
  <c r="R66" i="1" s="1"/>
  <c r="Y66" i="1"/>
  <c r="AA66" i="1" s="1"/>
  <c r="AC66" i="1" s="1"/>
  <c r="Z66" i="1"/>
  <c r="AB66" i="1" s="1"/>
  <c r="F67" i="1"/>
  <c r="H67" i="1" s="1"/>
  <c r="E67" i="1"/>
  <c r="BR64" i="1" l="1"/>
  <c r="BT64" i="1" s="1"/>
  <c r="BV64" i="1" s="1"/>
  <c r="BS64" i="1"/>
  <c r="BU64" i="1" s="1"/>
  <c r="AX65" i="1"/>
  <c r="AZ65" i="1" s="1"/>
  <c r="BB65" i="1" s="1"/>
  <c r="AY65" i="1"/>
  <c r="BA65" i="1" s="1"/>
  <c r="CM63" i="1"/>
  <c r="CO63" i="1" s="1"/>
  <c r="CL63" i="1"/>
  <c r="CN63" i="1" s="1"/>
  <c r="CP63" i="1" s="1"/>
  <c r="O66" i="1"/>
  <c r="AD66" i="1"/>
  <c r="AF66" i="1" s="1"/>
  <c r="AH66" i="1" s="1"/>
  <c r="AE66" i="1"/>
  <c r="AG66" i="1" s="1"/>
  <c r="Q67" i="1"/>
  <c r="S67" i="1" s="1"/>
  <c r="G67" i="1"/>
  <c r="I67" i="1" s="1"/>
  <c r="AJ66" i="1" l="1"/>
  <c r="AL66" i="1" s="1"/>
  <c r="AI66" i="1"/>
  <c r="AK66" i="1" s="1"/>
  <c r="AM66" i="1" s="1"/>
  <c r="CQ63" i="1"/>
  <c r="CS63" i="1" s="1"/>
  <c r="CU63" i="1" s="1"/>
  <c r="CR63" i="1"/>
  <c r="CT63" i="1" s="1"/>
  <c r="BX64" i="1"/>
  <c r="BZ64" i="1" s="1"/>
  <c r="BW64" i="1"/>
  <c r="BY64" i="1" s="1"/>
  <c r="CA64" i="1" s="1"/>
  <c r="BC65" i="1"/>
  <c r="BE65" i="1" s="1"/>
  <c r="BG65" i="1" s="1"/>
  <c r="BD65" i="1"/>
  <c r="BF65" i="1" s="1"/>
  <c r="CB64" i="1" l="1"/>
  <c r="CD64" i="1" s="1"/>
  <c r="CF64" i="1" s="1"/>
  <c r="CC64" i="1"/>
  <c r="CE64" i="1" s="1"/>
  <c r="AN66" i="1"/>
  <c r="AP66" i="1" s="1"/>
  <c r="AR66" i="1" s="1"/>
  <c r="AO66" i="1"/>
  <c r="AQ66" i="1" s="1"/>
  <c r="BI65" i="1"/>
  <c r="BK65" i="1" s="1"/>
  <c r="BH65" i="1"/>
  <c r="BJ65" i="1" s="1"/>
  <c r="BL65" i="1" s="1"/>
  <c r="CW63" i="1"/>
  <c r="CY63" i="1" s="1"/>
  <c r="CV63" i="1"/>
  <c r="CX63" i="1" s="1"/>
  <c r="J67" i="1"/>
  <c r="L67" i="1" s="1"/>
  <c r="N67" i="1" s="1"/>
  <c r="K67" i="1"/>
  <c r="M67" i="1" s="1"/>
  <c r="D68" i="1"/>
  <c r="U67" i="1"/>
  <c r="W67" i="1" s="1"/>
  <c r="T67" i="1"/>
  <c r="V67" i="1" s="1"/>
  <c r="X67" i="1" s="1"/>
  <c r="CZ63" i="1" l="1"/>
  <c r="BN65" i="1"/>
  <c r="BP65" i="1" s="1"/>
  <c r="BM65" i="1"/>
  <c r="BO65" i="1" s="1"/>
  <c r="BQ65" i="1" s="1"/>
  <c r="CH64" i="1"/>
  <c r="CJ64" i="1" s="1"/>
  <c r="CG64" i="1"/>
  <c r="CI64" i="1" s="1"/>
  <c r="CK64" i="1" s="1"/>
  <c r="AT66" i="1"/>
  <c r="AV66" i="1" s="1"/>
  <c r="AS66" i="1"/>
  <c r="AU66" i="1" s="1"/>
  <c r="AW66" i="1" s="1"/>
  <c r="P67" i="1"/>
  <c r="R67" i="1" s="1"/>
  <c r="Y67" i="1"/>
  <c r="AA67" i="1" s="1"/>
  <c r="AC67" i="1" s="1"/>
  <c r="Z67" i="1"/>
  <c r="AB67" i="1" s="1"/>
  <c r="E68" i="1"/>
  <c r="F68" i="1"/>
  <c r="H68" i="1" s="1"/>
  <c r="DA63" i="1" l="1"/>
  <c r="DC63" i="1" s="1"/>
  <c r="DB63" i="1"/>
  <c r="DD63" i="1" s="1"/>
  <c r="AY66" i="1"/>
  <c r="BA66" i="1" s="1"/>
  <c r="AX66" i="1"/>
  <c r="AZ66" i="1" s="1"/>
  <c r="BB66" i="1" s="1"/>
  <c r="CM64" i="1"/>
  <c r="CO64" i="1" s="1"/>
  <c r="CL64" i="1"/>
  <c r="CN64" i="1" s="1"/>
  <c r="CP64" i="1" s="1"/>
  <c r="BR65" i="1"/>
  <c r="BT65" i="1" s="1"/>
  <c r="BV65" i="1" s="1"/>
  <c r="BS65" i="1"/>
  <c r="BU65" i="1" s="1"/>
  <c r="O67" i="1"/>
  <c r="AD67" i="1"/>
  <c r="AF67" i="1" s="1"/>
  <c r="AH67" i="1" s="1"/>
  <c r="AE67" i="1"/>
  <c r="AG67" i="1" s="1"/>
  <c r="G68" i="1"/>
  <c r="I68" i="1" s="1"/>
  <c r="Q68" i="1"/>
  <c r="S68" i="1" s="1"/>
  <c r="AJ67" i="1" l="1"/>
  <c r="AL67" i="1" s="1"/>
  <c r="AI67" i="1"/>
  <c r="AK67" i="1" s="1"/>
  <c r="AM67" i="1" s="1"/>
  <c r="BX65" i="1"/>
  <c r="BZ65" i="1" s="1"/>
  <c r="BW65" i="1"/>
  <c r="BY65" i="1" s="1"/>
  <c r="CA65" i="1" s="1"/>
  <c r="CQ64" i="1"/>
  <c r="CS64" i="1" s="1"/>
  <c r="CU64" i="1" s="1"/>
  <c r="CR64" i="1"/>
  <c r="CT64" i="1" s="1"/>
  <c r="BD66" i="1"/>
  <c r="BF66" i="1" s="1"/>
  <c r="BC66" i="1"/>
  <c r="BE66" i="1" s="1"/>
  <c r="BG66" i="1" s="1"/>
  <c r="CC65" i="1" l="1"/>
  <c r="CE65" i="1" s="1"/>
  <c r="CB65" i="1"/>
  <c r="CD65" i="1" s="1"/>
  <c r="CF65" i="1" s="1"/>
  <c r="AO67" i="1"/>
  <c r="AQ67" i="1" s="1"/>
  <c r="AN67" i="1"/>
  <c r="AP67" i="1" s="1"/>
  <c r="AR67" i="1" s="1"/>
  <c r="BH66" i="1"/>
  <c r="BJ66" i="1" s="1"/>
  <c r="BL66" i="1" s="1"/>
  <c r="BI66" i="1"/>
  <c r="BK66" i="1" s="1"/>
  <c r="CV64" i="1"/>
  <c r="CX64" i="1" s="1"/>
  <c r="CZ64" i="1" s="1"/>
  <c r="CW64" i="1"/>
  <c r="CY64" i="1" s="1"/>
  <c r="J68" i="1"/>
  <c r="L68" i="1" s="1"/>
  <c r="K68" i="1"/>
  <c r="M68" i="1" s="1"/>
  <c r="D69" i="1"/>
  <c r="U68" i="1"/>
  <c r="W68" i="1" s="1"/>
  <c r="T68" i="1"/>
  <c r="V68" i="1" s="1"/>
  <c r="X68" i="1" s="1"/>
  <c r="N68" i="1" l="1"/>
  <c r="O68" i="1" s="1"/>
  <c r="DA64" i="1"/>
  <c r="DC64" i="1" s="1"/>
  <c r="DB64" i="1"/>
  <c r="DD64" i="1" s="1"/>
  <c r="BN66" i="1"/>
  <c r="BP66" i="1" s="1"/>
  <c r="BM66" i="1"/>
  <c r="BO66" i="1" s="1"/>
  <c r="BQ66" i="1" s="1"/>
  <c r="AT67" i="1"/>
  <c r="AV67" i="1" s="1"/>
  <c r="AS67" i="1"/>
  <c r="AU67" i="1" s="1"/>
  <c r="AW67" i="1" s="1"/>
  <c r="CG65" i="1"/>
  <c r="CI65" i="1" s="1"/>
  <c r="CK65" i="1" s="1"/>
  <c r="CH65" i="1"/>
  <c r="CJ65" i="1" s="1"/>
  <c r="Z68" i="1"/>
  <c r="AB68" i="1" s="1"/>
  <c r="Y68" i="1"/>
  <c r="AA68" i="1" s="1"/>
  <c r="AC68" i="1" s="1"/>
  <c r="E69" i="1"/>
  <c r="F69" i="1"/>
  <c r="H69" i="1" s="1"/>
  <c r="P68" i="1" l="1"/>
  <c r="R68" i="1" s="1"/>
  <c r="CM65" i="1"/>
  <c r="CO65" i="1" s="1"/>
  <c r="CL65" i="1"/>
  <c r="CN65" i="1" s="1"/>
  <c r="CP65" i="1" s="1"/>
  <c r="AX67" i="1"/>
  <c r="AZ67" i="1" s="1"/>
  <c r="BB67" i="1" s="1"/>
  <c r="AY67" i="1"/>
  <c r="BA67" i="1" s="1"/>
  <c r="BS66" i="1"/>
  <c r="BU66" i="1" s="1"/>
  <c r="BR66" i="1"/>
  <c r="BT66" i="1" s="1"/>
  <c r="BV66" i="1" s="1"/>
  <c r="AD68" i="1"/>
  <c r="AF68" i="1" s="1"/>
  <c r="AH68" i="1" s="1"/>
  <c r="AE68" i="1"/>
  <c r="AG68" i="1" s="1"/>
  <c r="Q69" i="1"/>
  <c r="S69" i="1" s="1"/>
  <c r="G69" i="1"/>
  <c r="I69" i="1" s="1"/>
  <c r="BC67" i="1" l="1"/>
  <c r="BE67" i="1" s="1"/>
  <c r="BG67" i="1" s="1"/>
  <c r="BD67" i="1"/>
  <c r="BF67" i="1" s="1"/>
  <c r="AJ68" i="1"/>
  <c r="AL68" i="1" s="1"/>
  <c r="AI68" i="1"/>
  <c r="AK68" i="1" s="1"/>
  <c r="AM68" i="1" s="1"/>
  <c r="BX66" i="1"/>
  <c r="BZ66" i="1" s="1"/>
  <c r="BW66" i="1"/>
  <c r="BY66" i="1" s="1"/>
  <c r="CA66" i="1" s="1"/>
  <c r="CQ65" i="1"/>
  <c r="CS65" i="1" s="1"/>
  <c r="CU65" i="1" s="1"/>
  <c r="CR65" i="1"/>
  <c r="CT65" i="1" s="1"/>
  <c r="CB66" i="1" l="1"/>
  <c r="CD66" i="1" s="1"/>
  <c r="CF66" i="1" s="1"/>
  <c r="CC66" i="1"/>
  <c r="CE66" i="1" s="1"/>
  <c r="AO68" i="1"/>
  <c r="AQ68" i="1" s="1"/>
  <c r="AN68" i="1"/>
  <c r="AP68" i="1" s="1"/>
  <c r="AR68" i="1" s="1"/>
  <c r="BH67" i="1"/>
  <c r="BJ67" i="1" s="1"/>
  <c r="BL67" i="1" s="1"/>
  <c r="BI67" i="1"/>
  <c r="BK67" i="1" s="1"/>
  <c r="CW65" i="1"/>
  <c r="CY65" i="1" s="1"/>
  <c r="CV65" i="1"/>
  <c r="CX65" i="1" s="1"/>
  <c r="J69" i="1"/>
  <c r="L69" i="1" s="1"/>
  <c r="N69" i="1" s="1"/>
  <c r="K69" i="1"/>
  <c r="M69" i="1" s="1"/>
  <c r="D70" i="1"/>
  <c r="U69" i="1"/>
  <c r="W69" i="1" s="1"/>
  <c r="T69" i="1"/>
  <c r="V69" i="1" s="1"/>
  <c r="X69" i="1" s="1"/>
  <c r="CZ65" i="1" l="1"/>
  <c r="BM67" i="1"/>
  <c r="BO67" i="1" s="1"/>
  <c r="BQ67" i="1" s="1"/>
  <c r="BN67" i="1"/>
  <c r="BP67" i="1" s="1"/>
  <c r="CH66" i="1"/>
  <c r="CJ66" i="1" s="1"/>
  <c r="CG66" i="1"/>
  <c r="CI66" i="1" s="1"/>
  <c r="CK66" i="1" s="1"/>
  <c r="AS68" i="1"/>
  <c r="AU68" i="1" s="1"/>
  <c r="AW68" i="1" s="1"/>
  <c r="AT68" i="1"/>
  <c r="AV68" i="1" s="1"/>
  <c r="P69" i="1"/>
  <c r="R69" i="1" s="1"/>
  <c r="Y69" i="1"/>
  <c r="AA69" i="1" s="1"/>
  <c r="AC69" i="1" s="1"/>
  <c r="Z69" i="1"/>
  <c r="AB69" i="1" s="1"/>
  <c r="F70" i="1"/>
  <c r="H70" i="1" s="1"/>
  <c r="E70" i="1"/>
  <c r="DB65" i="1" l="1"/>
  <c r="DD65" i="1" s="1"/>
  <c r="DA65" i="1"/>
  <c r="DC65" i="1" s="1"/>
  <c r="AY68" i="1"/>
  <c r="BA68" i="1" s="1"/>
  <c r="AX68" i="1"/>
  <c r="AZ68" i="1" s="1"/>
  <c r="BB68" i="1" s="1"/>
  <c r="BS67" i="1"/>
  <c r="BU67" i="1" s="1"/>
  <c r="BR67" i="1"/>
  <c r="BT67" i="1" s="1"/>
  <c r="BV67" i="1" s="1"/>
  <c r="CL66" i="1"/>
  <c r="CN66" i="1" s="1"/>
  <c r="CP66" i="1" s="1"/>
  <c r="CM66" i="1"/>
  <c r="CO66" i="1" s="1"/>
  <c r="O69" i="1"/>
  <c r="AE69" i="1"/>
  <c r="AG69" i="1" s="1"/>
  <c r="AD69" i="1"/>
  <c r="AF69" i="1" s="1"/>
  <c r="AH69" i="1" s="1"/>
  <c r="G70" i="1"/>
  <c r="I70" i="1" s="1"/>
  <c r="Q70" i="1"/>
  <c r="S70" i="1" s="1"/>
  <c r="CQ66" i="1" l="1"/>
  <c r="CS66" i="1" s="1"/>
  <c r="CU66" i="1" s="1"/>
  <c r="CR66" i="1"/>
  <c r="CT66" i="1" s="1"/>
  <c r="AJ69" i="1"/>
  <c r="AL69" i="1" s="1"/>
  <c r="AI69" i="1"/>
  <c r="AK69" i="1" s="1"/>
  <c r="AM69" i="1" s="1"/>
  <c r="BW67" i="1"/>
  <c r="BY67" i="1" s="1"/>
  <c r="CA67" i="1" s="1"/>
  <c r="BX67" i="1"/>
  <c r="BZ67" i="1" s="1"/>
  <c r="BC68" i="1"/>
  <c r="BE68" i="1" s="1"/>
  <c r="BG68" i="1" s="1"/>
  <c r="BD68" i="1"/>
  <c r="BF68" i="1" s="1"/>
  <c r="AO69" i="1" l="1"/>
  <c r="AQ69" i="1" s="1"/>
  <c r="AN69" i="1"/>
  <c r="AP69" i="1" s="1"/>
  <c r="AR69" i="1" s="1"/>
  <c r="CV66" i="1"/>
  <c r="CX66" i="1" s="1"/>
  <c r="CZ66" i="1" s="1"/>
  <c r="CW66" i="1"/>
  <c r="CY66" i="1" s="1"/>
  <c r="BH68" i="1"/>
  <c r="BJ68" i="1" s="1"/>
  <c r="BL68" i="1" s="1"/>
  <c r="BI68" i="1"/>
  <c r="BK68" i="1" s="1"/>
  <c r="CB67" i="1"/>
  <c r="CD67" i="1" s="1"/>
  <c r="CF67" i="1" s="1"/>
  <c r="CC67" i="1"/>
  <c r="CE67" i="1" s="1"/>
  <c r="J70" i="1"/>
  <c r="L70" i="1" s="1"/>
  <c r="K70" i="1"/>
  <c r="M70" i="1" s="1"/>
  <c r="D71" i="1"/>
  <c r="U70" i="1"/>
  <c r="W70" i="1" s="1"/>
  <c r="T70" i="1"/>
  <c r="V70" i="1" s="1"/>
  <c r="X70" i="1" s="1"/>
  <c r="N70" i="1" l="1"/>
  <c r="P70" i="1" s="1"/>
  <c r="R70" i="1" s="1"/>
  <c r="DA66" i="1"/>
  <c r="DC66" i="1" s="1"/>
  <c r="DB66" i="1"/>
  <c r="DD66" i="1" s="1"/>
  <c r="CG67" i="1"/>
  <c r="CI67" i="1" s="1"/>
  <c r="CK67" i="1" s="1"/>
  <c r="CH67" i="1"/>
  <c r="CJ67" i="1" s="1"/>
  <c r="BN68" i="1"/>
  <c r="BP68" i="1" s="1"/>
  <c r="BM68" i="1"/>
  <c r="BO68" i="1" s="1"/>
  <c r="BQ68" i="1" s="1"/>
  <c r="AT69" i="1"/>
  <c r="AV69" i="1" s="1"/>
  <c r="AS69" i="1"/>
  <c r="AU69" i="1" s="1"/>
  <c r="AW69" i="1" s="1"/>
  <c r="Z70" i="1"/>
  <c r="AB70" i="1" s="1"/>
  <c r="Y70" i="1"/>
  <c r="AA70" i="1" s="1"/>
  <c r="AC70" i="1" s="1"/>
  <c r="E71" i="1"/>
  <c r="F71" i="1"/>
  <c r="H71" i="1" s="1"/>
  <c r="O70" i="1" l="1"/>
  <c r="CL67" i="1"/>
  <c r="CN67" i="1" s="1"/>
  <c r="CP67" i="1" s="1"/>
  <c r="CM67" i="1"/>
  <c r="CO67" i="1" s="1"/>
  <c r="AX69" i="1"/>
  <c r="AZ69" i="1" s="1"/>
  <c r="BB69" i="1" s="1"/>
  <c r="AY69" i="1"/>
  <c r="BA69" i="1" s="1"/>
  <c r="BR68" i="1"/>
  <c r="BT68" i="1" s="1"/>
  <c r="BV68" i="1" s="1"/>
  <c r="BS68" i="1"/>
  <c r="BU68" i="1" s="1"/>
  <c r="AE70" i="1"/>
  <c r="AG70" i="1" s="1"/>
  <c r="AD70" i="1"/>
  <c r="AF70" i="1" s="1"/>
  <c r="AH70" i="1" s="1"/>
  <c r="Q71" i="1"/>
  <c r="S71" i="1" s="1"/>
  <c r="G71" i="1"/>
  <c r="I71" i="1" s="1"/>
  <c r="BX68" i="1" l="1"/>
  <c r="BZ68" i="1" s="1"/>
  <c r="BW68" i="1"/>
  <c r="BY68" i="1" s="1"/>
  <c r="CA68" i="1" s="1"/>
  <c r="BD69" i="1"/>
  <c r="BF69" i="1" s="1"/>
  <c r="BC69" i="1"/>
  <c r="BE69" i="1" s="1"/>
  <c r="BG69" i="1" s="1"/>
  <c r="CQ67" i="1"/>
  <c r="CS67" i="1" s="1"/>
  <c r="CU67" i="1" s="1"/>
  <c r="CR67" i="1"/>
  <c r="CT67" i="1" s="1"/>
  <c r="AI70" i="1"/>
  <c r="AK70" i="1" s="1"/>
  <c r="AM70" i="1" s="1"/>
  <c r="AJ70" i="1"/>
  <c r="AL70" i="1" s="1"/>
  <c r="CV67" i="1" l="1"/>
  <c r="CX67" i="1" s="1"/>
  <c r="CW67" i="1"/>
  <c r="CY67" i="1" s="1"/>
  <c r="AO70" i="1"/>
  <c r="AQ70" i="1" s="1"/>
  <c r="AN70" i="1"/>
  <c r="AP70" i="1" s="1"/>
  <c r="AR70" i="1" s="1"/>
  <c r="BH69" i="1"/>
  <c r="BJ69" i="1" s="1"/>
  <c r="BL69" i="1" s="1"/>
  <c r="BI69" i="1"/>
  <c r="BK69" i="1" s="1"/>
  <c r="CB68" i="1"/>
  <c r="CD68" i="1" s="1"/>
  <c r="CF68" i="1" s="1"/>
  <c r="CC68" i="1"/>
  <c r="CE68" i="1" s="1"/>
  <c r="J71" i="1"/>
  <c r="L71" i="1" s="1"/>
  <c r="N71" i="1" s="1"/>
  <c r="K71" i="1"/>
  <c r="M71" i="1" s="1"/>
  <c r="D72" i="1"/>
  <c r="U71" i="1"/>
  <c r="W71" i="1" s="1"/>
  <c r="T71" i="1"/>
  <c r="V71" i="1" s="1"/>
  <c r="X71" i="1" s="1"/>
  <c r="CZ67" i="1" l="1"/>
  <c r="DA67" i="1"/>
  <c r="DC67" i="1" s="1"/>
  <c r="CH68" i="1"/>
  <c r="CJ68" i="1" s="1"/>
  <c r="CG68" i="1"/>
  <c r="CI68" i="1" s="1"/>
  <c r="CK68" i="1" s="1"/>
  <c r="BM69" i="1"/>
  <c r="BO69" i="1" s="1"/>
  <c r="BQ69" i="1" s="1"/>
  <c r="BN69" i="1"/>
  <c r="BP69" i="1" s="1"/>
  <c r="DB67" i="1"/>
  <c r="DD67" i="1" s="1"/>
  <c r="AS70" i="1"/>
  <c r="AU70" i="1" s="1"/>
  <c r="AW70" i="1" s="1"/>
  <c r="AT70" i="1"/>
  <c r="AV70" i="1" s="1"/>
  <c r="P71" i="1"/>
  <c r="R71" i="1" s="1"/>
  <c r="Z71" i="1"/>
  <c r="AB71" i="1" s="1"/>
  <c r="Y71" i="1"/>
  <c r="AA71" i="1" s="1"/>
  <c r="AC71" i="1" s="1"/>
  <c r="F72" i="1"/>
  <c r="H72" i="1" s="1"/>
  <c r="E72" i="1"/>
  <c r="AY70" i="1" l="1"/>
  <c r="BA70" i="1" s="1"/>
  <c r="AX70" i="1"/>
  <c r="AZ70" i="1" s="1"/>
  <c r="BB70" i="1" s="1"/>
  <c r="BS69" i="1"/>
  <c r="BU69" i="1" s="1"/>
  <c r="BR69" i="1"/>
  <c r="BT69" i="1" s="1"/>
  <c r="BV69" i="1" s="1"/>
  <c r="CL68" i="1"/>
  <c r="CN68" i="1" s="1"/>
  <c r="CP68" i="1" s="1"/>
  <c r="CM68" i="1"/>
  <c r="CO68" i="1" s="1"/>
  <c r="O71" i="1"/>
  <c r="AD71" i="1"/>
  <c r="AF71" i="1" s="1"/>
  <c r="AH71" i="1" s="1"/>
  <c r="AE71" i="1"/>
  <c r="AG71" i="1" s="1"/>
  <c r="Q72" i="1"/>
  <c r="S72" i="1" s="1"/>
  <c r="G72" i="1"/>
  <c r="I72" i="1" s="1"/>
  <c r="CR68" i="1" l="1"/>
  <c r="CT68" i="1" s="1"/>
  <c r="CQ68" i="1"/>
  <c r="CS68" i="1" s="1"/>
  <c r="CU68" i="1" s="1"/>
  <c r="AJ71" i="1"/>
  <c r="AL71" i="1" s="1"/>
  <c r="AI71" i="1"/>
  <c r="AK71" i="1" s="1"/>
  <c r="AM71" i="1" s="1"/>
  <c r="BW69" i="1"/>
  <c r="BY69" i="1" s="1"/>
  <c r="CA69" i="1" s="1"/>
  <c r="BX69" i="1"/>
  <c r="BZ69" i="1" s="1"/>
  <c r="BD70" i="1"/>
  <c r="BF70" i="1" s="1"/>
  <c r="BC70" i="1"/>
  <c r="BE70" i="1" s="1"/>
  <c r="BG70" i="1" s="1"/>
  <c r="BH70" i="1" l="1"/>
  <c r="BJ70" i="1" s="1"/>
  <c r="BL70" i="1" s="1"/>
  <c r="BI70" i="1"/>
  <c r="BK70" i="1" s="1"/>
  <c r="AN71" i="1"/>
  <c r="AP71" i="1" s="1"/>
  <c r="AR71" i="1" s="1"/>
  <c r="AO71" i="1"/>
  <c r="AQ71" i="1" s="1"/>
  <c r="CC69" i="1"/>
  <c r="CE69" i="1" s="1"/>
  <c r="CB69" i="1"/>
  <c r="CD69" i="1" s="1"/>
  <c r="CF69" i="1" s="1"/>
  <c r="CW68" i="1"/>
  <c r="CY68" i="1" s="1"/>
  <c r="CV68" i="1"/>
  <c r="CX68" i="1" s="1"/>
  <c r="J72" i="1"/>
  <c r="L72" i="1" s="1"/>
  <c r="N72" i="1" s="1"/>
  <c r="K72" i="1"/>
  <c r="M72" i="1" s="1"/>
  <c r="D73" i="1"/>
  <c r="T72" i="1"/>
  <c r="V72" i="1" s="1"/>
  <c r="X72" i="1" s="1"/>
  <c r="U72" i="1"/>
  <c r="W72" i="1" s="1"/>
  <c r="CZ68" i="1" l="1"/>
  <c r="AT71" i="1"/>
  <c r="AV71" i="1" s="1"/>
  <c r="AS71" i="1"/>
  <c r="AU71" i="1" s="1"/>
  <c r="AW71" i="1" s="1"/>
  <c r="BN70" i="1"/>
  <c r="BP70" i="1" s="1"/>
  <c r="BM70" i="1"/>
  <c r="BO70" i="1" s="1"/>
  <c r="BQ70" i="1" s="1"/>
  <c r="CH69" i="1"/>
  <c r="CJ69" i="1" s="1"/>
  <c r="CG69" i="1"/>
  <c r="CI69" i="1" s="1"/>
  <c r="CK69" i="1" s="1"/>
  <c r="P72" i="1"/>
  <c r="R72" i="1" s="1"/>
  <c r="E73" i="1"/>
  <c r="F73" i="1"/>
  <c r="H73" i="1" s="1"/>
  <c r="Y72" i="1"/>
  <c r="AA72" i="1" s="1"/>
  <c r="AC72" i="1" s="1"/>
  <c r="Z72" i="1"/>
  <c r="AB72" i="1" s="1"/>
  <c r="DA68" i="1" l="1"/>
  <c r="DC68" i="1" s="1"/>
  <c r="DB68" i="1"/>
  <c r="DD68" i="1" s="1"/>
  <c r="CM69" i="1"/>
  <c r="CO69" i="1" s="1"/>
  <c r="CL69" i="1"/>
  <c r="CN69" i="1" s="1"/>
  <c r="CP69" i="1" s="1"/>
  <c r="BS70" i="1"/>
  <c r="BU70" i="1" s="1"/>
  <c r="BR70" i="1"/>
  <c r="BT70" i="1" s="1"/>
  <c r="BV70" i="1" s="1"/>
  <c r="AY71" i="1"/>
  <c r="BA71" i="1" s="1"/>
  <c r="AX71" i="1"/>
  <c r="AZ71" i="1" s="1"/>
  <c r="BB71" i="1" s="1"/>
  <c r="O72" i="1"/>
  <c r="AE72" i="1"/>
  <c r="AG72" i="1" s="1"/>
  <c r="AD72" i="1"/>
  <c r="AF72" i="1" s="1"/>
  <c r="AH72" i="1" s="1"/>
  <c r="G73" i="1"/>
  <c r="I73" i="1" s="1"/>
  <c r="Q73" i="1"/>
  <c r="S73" i="1" s="1"/>
  <c r="AI72" i="1" l="1"/>
  <c r="AK72" i="1" s="1"/>
  <c r="AM72" i="1" s="1"/>
  <c r="AJ72" i="1"/>
  <c r="AL72" i="1" s="1"/>
  <c r="BD71" i="1"/>
  <c r="BF71" i="1" s="1"/>
  <c r="BC71" i="1"/>
  <c r="BE71" i="1" s="1"/>
  <c r="BG71" i="1" s="1"/>
  <c r="BX70" i="1"/>
  <c r="BZ70" i="1" s="1"/>
  <c r="BW70" i="1"/>
  <c r="BY70" i="1" s="1"/>
  <c r="CA70" i="1" s="1"/>
  <c r="CR69" i="1"/>
  <c r="CT69" i="1" s="1"/>
  <c r="CQ69" i="1"/>
  <c r="CS69" i="1" s="1"/>
  <c r="CU69" i="1" s="1"/>
  <c r="CV69" i="1" l="1"/>
  <c r="CX69" i="1" s="1"/>
  <c r="CW69" i="1"/>
  <c r="CY69" i="1" s="1"/>
  <c r="CC70" i="1"/>
  <c r="CE70" i="1" s="1"/>
  <c r="CB70" i="1"/>
  <c r="CD70" i="1" s="1"/>
  <c r="CF70" i="1" s="1"/>
  <c r="BH71" i="1"/>
  <c r="BJ71" i="1" s="1"/>
  <c r="BL71" i="1" s="1"/>
  <c r="BI71" i="1"/>
  <c r="BK71" i="1" s="1"/>
  <c r="AN72" i="1"/>
  <c r="AP72" i="1" s="1"/>
  <c r="AR72" i="1" s="1"/>
  <c r="AO72" i="1"/>
  <c r="AQ72" i="1" s="1"/>
  <c r="T73" i="1"/>
  <c r="V73" i="1" s="1"/>
  <c r="X73" i="1" s="1"/>
  <c r="U73" i="1"/>
  <c r="W73" i="1" s="1"/>
  <c r="J73" i="1"/>
  <c r="L73" i="1" s="1"/>
  <c r="N73" i="1" s="1"/>
  <c r="K73" i="1"/>
  <c r="M73" i="1" s="1"/>
  <c r="D74" i="1"/>
  <c r="CZ69" i="1" l="1"/>
  <c r="AS72" i="1"/>
  <c r="AU72" i="1" s="1"/>
  <c r="AW72" i="1" s="1"/>
  <c r="AT72" i="1"/>
  <c r="AV72" i="1" s="1"/>
  <c r="BM71" i="1"/>
  <c r="BO71" i="1" s="1"/>
  <c r="BQ71" i="1" s="1"/>
  <c r="BN71" i="1"/>
  <c r="BP71" i="1" s="1"/>
  <c r="DB69" i="1"/>
  <c r="DD69" i="1" s="1"/>
  <c r="DA69" i="1"/>
  <c r="DC69" i="1" s="1"/>
  <c r="CH70" i="1"/>
  <c r="CJ70" i="1" s="1"/>
  <c r="CG70" i="1"/>
  <c r="CI70" i="1" s="1"/>
  <c r="CK70" i="1" s="1"/>
  <c r="P73" i="1"/>
  <c r="R73" i="1" s="1"/>
  <c r="E74" i="1"/>
  <c r="F74" i="1"/>
  <c r="H74" i="1" s="1"/>
  <c r="Y73" i="1"/>
  <c r="AA73" i="1" s="1"/>
  <c r="AC73" i="1" s="1"/>
  <c r="Z73" i="1"/>
  <c r="AB73" i="1" s="1"/>
  <c r="BS71" i="1" l="1"/>
  <c r="BU71" i="1" s="1"/>
  <c r="BR71" i="1"/>
  <c r="BT71" i="1" s="1"/>
  <c r="BV71" i="1" s="1"/>
  <c r="AY72" i="1"/>
  <c r="BA72" i="1" s="1"/>
  <c r="AX72" i="1"/>
  <c r="AZ72" i="1" s="1"/>
  <c r="BB72" i="1" s="1"/>
  <c r="CL70" i="1"/>
  <c r="CN70" i="1" s="1"/>
  <c r="CP70" i="1" s="1"/>
  <c r="CM70" i="1"/>
  <c r="CO70" i="1" s="1"/>
  <c r="O73" i="1"/>
  <c r="AE73" i="1"/>
  <c r="AG73" i="1" s="1"/>
  <c r="AD73" i="1"/>
  <c r="AF73" i="1" s="1"/>
  <c r="AH73" i="1" s="1"/>
  <c r="G74" i="1"/>
  <c r="I74" i="1" s="1"/>
  <c r="Q74" i="1"/>
  <c r="S74" i="1" s="1"/>
  <c r="AI73" i="1" l="1"/>
  <c r="AK73" i="1" s="1"/>
  <c r="AM73" i="1" s="1"/>
  <c r="AJ73" i="1"/>
  <c r="AL73" i="1" s="1"/>
  <c r="CQ70" i="1"/>
  <c r="CS70" i="1" s="1"/>
  <c r="CU70" i="1" s="1"/>
  <c r="CR70" i="1"/>
  <c r="CT70" i="1" s="1"/>
  <c r="BD72" i="1"/>
  <c r="BF72" i="1" s="1"/>
  <c r="BC72" i="1"/>
  <c r="BE72" i="1" s="1"/>
  <c r="BG72" i="1" s="1"/>
  <c r="BW71" i="1"/>
  <c r="BY71" i="1" s="1"/>
  <c r="CA71" i="1" s="1"/>
  <c r="BX71" i="1"/>
  <c r="BZ71" i="1" s="1"/>
  <c r="BI72" i="1" l="1"/>
  <c r="BK72" i="1" s="1"/>
  <c r="BH72" i="1"/>
  <c r="BJ72" i="1" s="1"/>
  <c r="BL72" i="1" s="1"/>
  <c r="CC71" i="1"/>
  <c r="CE71" i="1" s="1"/>
  <c r="CB71" i="1"/>
  <c r="CD71" i="1" s="1"/>
  <c r="CF71" i="1" s="1"/>
  <c r="CV70" i="1"/>
  <c r="CX70" i="1" s="1"/>
  <c r="CW70" i="1"/>
  <c r="CY70" i="1" s="1"/>
  <c r="AO73" i="1"/>
  <c r="AQ73" i="1" s="1"/>
  <c r="AN73" i="1"/>
  <c r="AP73" i="1" s="1"/>
  <c r="AR73" i="1" s="1"/>
  <c r="U74" i="1"/>
  <c r="W74" i="1" s="1"/>
  <c r="T74" i="1"/>
  <c r="V74" i="1" s="1"/>
  <c r="X74" i="1" s="1"/>
  <c r="J74" i="1"/>
  <c r="L74" i="1" s="1"/>
  <c r="N74" i="1" s="1"/>
  <c r="K74" i="1"/>
  <c r="M74" i="1" s="1"/>
  <c r="D75" i="1"/>
  <c r="CZ70" i="1" l="1"/>
  <c r="DB70" i="1"/>
  <c r="DD70" i="1" s="1"/>
  <c r="AS73" i="1"/>
  <c r="AU73" i="1" s="1"/>
  <c r="AW73" i="1" s="1"/>
  <c r="AT73" i="1"/>
  <c r="AV73" i="1" s="1"/>
  <c r="CG71" i="1"/>
  <c r="CI71" i="1" s="1"/>
  <c r="CK71" i="1" s="1"/>
  <c r="CH71" i="1"/>
  <c r="CJ71" i="1" s="1"/>
  <c r="BM72" i="1"/>
  <c r="BO72" i="1" s="1"/>
  <c r="BQ72" i="1" s="1"/>
  <c r="BN72" i="1"/>
  <c r="BP72" i="1" s="1"/>
  <c r="P74" i="1"/>
  <c r="R74" i="1" s="1"/>
  <c r="O74" i="1"/>
  <c r="F75" i="1"/>
  <c r="H75" i="1" s="1"/>
  <c r="E75" i="1"/>
  <c r="Z74" i="1"/>
  <c r="AB74" i="1" s="1"/>
  <c r="Y74" i="1"/>
  <c r="AA74" i="1" s="1"/>
  <c r="AC74" i="1" s="1"/>
  <c r="DA70" i="1" l="1"/>
  <c r="DC70" i="1" s="1"/>
  <c r="BR72" i="1"/>
  <c r="BT72" i="1" s="1"/>
  <c r="BV72" i="1" s="1"/>
  <c r="BS72" i="1"/>
  <c r="BU72" i="1" s="1"/>
  <c r="CM71" i="1"/>
  <c r="CO71" i="1" s="1"/>
  <c r="CL71" i="1"/>
  <c r="CN71" i="1" s="1"/>
  <c r="CP71" i="1" s="1"/>
  <c r="AX73" i="1"/>
  <c r="AZ73" i="1" s="1"/>
  <c r="BB73" i="1" s="1"/>
  <c r="AY73" i="1"/>
  <c r="BA73" i="1" s="1"/>
  <c r="AE74" i="1"/>
  <c r="AG74" i="1" s="1"/>
  <c r="AD74" i="1"/>
  <c r="AF74" i="1" s="1"/>
  <c r="AH74" i="1" s="1"/>
  <c r="Q75" i="1"/>
  <c r="S75" i="1" s="1"/>
  <c r="G75" i="1"/>
  <c r="I75" i="1" s="1"/>
  <c r="AJ74" i="1" l="1"/>
  <c r="AL74" i="1" s="1"/>
  <c r="AI74" i="1"/>
  <c r="AK74" i="1" s="1"/>
  <c r="AM74" i="1" s="1"/>
  <c r="BC73" i="1"/>
  <c r="BE73" i="1" s="1"/>
  <c r="BG73" i="1" s="1"/>
  <c r="BD73" i="1"/>
  <c r="BF73" i="1" s="1"/>
  <c r="BW72" i="1"/>
  <c r="BY72" i="1" s="1"/>
  <c r="CA72" i="1" s="1"/>
  <c r="BX72" i="1"/>
  <c r="BZ72" i="1" s="1"/>
  <c r="CR71" i="1"/>
  <c r="CT71" i="1" s="1"/>
  <c r="CQ71" i="1"/>
  <c r="CS71" i="1" s="1"/>
  <c r="CU71" i="1" s="1"/>
  <c r="CV71" i="1" l="1"/>
  <c r="CX71" i="1" s="1"/>
  <c r="CW71" i="1"/>
  <c r="CY71" i="1" s="1"/>
  <c r="AO74" i="1"/>
  <c r="AQ74" i="1" s="1"/>
  <c r="AN74" i="1"/>
  <c r="AP74" i="1" s="1"/>
  <c r="AR74" i="1" s="1"/>
  <c r="CB72" i="1"/>
  <c r="CD72" i="1" s="1"/>
  <c r="CF72" i="1" s="1"/>
  <c r="CC72" i="1"/>
  <c r="CE72" i="1" s="1"/>
  <c r="BH73" i="1"/>
  <c r="BJ73" i="1" s="1"/>
  <c r="BL73" i="1" s="1"/>
  <c r="BI73" i="1"/>
  <c r="BK73" i="1" s="1"/>
  <c r="J75" i="1"/>
  <c r="L75" i="1" s="1"/>
  <c r="N75" i="1" s="1"/>
  <c r="K75" i="1"/>
  <c r="M75" i="1" s="1"/>
  <c r="D76" i="1"/>
  <c r="U75" i="1"/>
  <c r="W75" i="1" s="1"/>
  <c r="T75" i="1"/>
  <c r="V75" i="1" s="1"/>
  <c r="X75" i="1" s="1"/>
  <c r="CZ71" i="1" l="1"/>
  <c r="DB71" i="1"/>
  <c r="DD71" i="1" s="1"/>
  <c r="BM73" i="1"/>
  <c r="BO73" i="1" s="1"/>
  <c r="BQ73" i="1" s="1"/>
  <c r="BN73" i="1"/>
  <c r="BP73" i="1" s="1"/>
  <c r="CG72" i="1"/>
  <c r="CI72" i="1" s="1"/>
  <c r="CK72" i="1" s="1"/>
  <c r="CH72" i="1"/>
  <c r="CJ72" i="1" s="1"/>
  <c r="DA71" i="1"/>
  <c r="DC71" i="1" s="1"/>
  <c r="AS74" i="1"/>
  <c r="AU74" i="1" s="1"/>
  <c r="AW74" i="1" s="1"/>
  <c r="AT74" i="1"/>
  <c r="AV74" i="1" s="1"/>
  <c r="P75" i="1"/>
  <c r="R75" i="1" s="1"/>
  <c r="Y75" i="1"/>
  <c r="AA75" i="1" s="1"/>
  <c r="AC75" i="1" s="1"/>
  <c r="Z75" i="1"/>
  <c r="AB75" i="1" s="1"/>
  <c r="E76" i="1"/>
  <c r="F76" i="1"/>
  <c r="H76" i="1" s="1"/>
  <c r="AY74" i="1" l="1"/>
  <c r="BA74" i="1" s="1"/>
  <c r="AX74" i="1"/>
  <c r="AZ74" i="1" s="1"/>
  <c r="BB74" i="1" s="1"/>
  <c r="CL72" i="1"/>
  <c r="CN72" i="1" s="1"/>
  <c r="CP72" i="1" s="1"/>
  <c r="CM72" i="1"/>
  <c r="CO72" i="1" s="1"/>
  <c r="BS73" i="1"/>
  <c r="BU73" i="1" s="1"/>
  <c r="BR73" i="1"/>
  <c r="BT73" i="1" s="1"/>
  <c r="BV73" i="1" s="1"/>
  <c r="O75" i="1"/>
  <c r="AE75" i="1"/>
  <c r="AG75" i="1" s="1"/>
  <c r="AD75" i="1"/>
  <c r="AF75" i="1" s="1"/>
  <c r="AH75" i="1" s="1"/>
  <c r="G76" i="1"/>
  <c r="I76" i="1" s="1"/>
  <c r="Q76" i="1"/>
  <c r="S76" i="1" s="1"/>
  <c r="AI75" i="1" l="1"/>
  <c r="AK75" i="1" s="1"/>
  <c r="AM75" i="1" s="1"/>
  <c r="AJ75" i="1"/>
  <c r="AL75" i="1" s="1"/>
  <c r="CQ72" i="1"/>
  <c r="CS72" i="1" s="1"/>
  <c r="CU72" i="1" s="1"/>
  <c r="CR72" i="1"/>
  <c r="CT72" i="1" s="1"/>
  <c r="BW73" i="1"/>
  <c r="BY73" i="1" s="1"/>
  <c r="CA73" i="1" s="1"/>
  <c r="BX73" i="1"/>
  <c r="BZ73" i="1" s="1"/>
  <c r="BC74" i="1"/>
  <c r="BE74" i="1" s="1"/>
  <c r="BG74" i="1" s="1"/>
  <c r="BD74" i="1"/>
  <c r="BF74" i="1" s="1"/>
  <c r="BI74" i="1" l="1"/>
  <c r="BK74" i="1" s="1"/>
  <c r="BH74" i="1"/>
  <c r="BJ74" i="1" s="1"/>
  <c r="BL74" i="1" s="1"/>
  <c r="CC73" i="1"/>
  <c r="CE73" i="1" s="1"/>
  <c r="CB73" i="1"/>
  <c r="CD73" i="1" s="1"/>
  <c r="CF73" i="1" s="1"/>
  <c r="CW72" i="1"/>
  <c r="CY72" i="1" s="1"/>
  <c r="CV72" i="1"/>
  <c r="CX72" i="1" s="1"/>
  <c r="AN75" i="1"/>
  <c r="AP75" i="1" s="1"/>
  <c r="AR75" i="1" s="1"/>
  <c r="AO75" i="1"/>
  <c r="AQ75" i="1" s="1"/>
  <c r="J76" i="1"/>
  <c r="L76" i="1" s="1"/>
  <c r="N76" i="1" s="1"/>
  <c r="K76" i="1"/>
  <c r="M76" i="1" s="1"/>
  <c r="D77" i="1"/>
  <c r="T76" i="1"/>
  <c r="V76" i="1" s="1"/>
  <c r="X76" i="1" s="1"/>
  <c r="U76" i="1"/>
  <c r="W76" i="1" s="1"/>
  <c r="CZ72" i="1" l="1"/>
  <c r="AT75" i="1"/>
  <c r="AV75" i="1" s="1"/>
  <c r="AS75" i="1"/>
  <c r="AU75" i="1" s="1"/>
  <c r="AW75" i="1" s="1"/>
  <c r="CG73" i="1"/>
  <c r="CI73" i="1" s="1"/>
  <c r="CK73" i="1" s="1"/>
  <c r="CH73" i="1"/>
  <c r="CJ73" i="1" s="1"/>
  <c r="BM74" i="1"/>
  <c r="BO74" i="1" s="1"/>
  <c r="BQ74" i="1" s="1"/>
  <c r="BN74" i="1"/>
  <c r="BP74" i="1" s="1"/>
  <c r="P76" i="1"/>
  <c r="R76" i="1" s="1"/>
  <c r="E77" i="1"/>
  <c r="F77" i="1"/>
  <c r="H77" i="1" s="1"/>
  <c r="Y76" i="1"/>
  <c r="AA76" i="1" s="1"/>
  <c r="AC76" i="1" s="1"/>
  <c r="Z76" i="1"/>
  <c r="AB76" i="1" s="1"/>
  <c r="DB72" i="1" l="1"/>
  <c r="DD72" i="1" s="1"/>
  <c r="DA72" i="1"/>
  <c r="DC72" i="1" s="1"/>
  <c r="BS74" i="1"/>
  <c r="BU74" i="1" s="1"/>
  <c r="BR74" i="1"/>
  <c r="BT74" i="1" s="1"/>
  <c r="BV74" i="1" s="1"/>
  <c r="CM73" i="1"/>
  <c r="CO73" i="1" s="1"/>
  <c r="CL73" i="1"/>
  <c r="CN73" i="1" s="1"/>
  <c r="CP73" i="1" s="1"/>
  <c r="AX75" i="1"/>
  <c r="AZ75" i="1" s="1"/>
  <c r="BB75" i="1" s="1"/>
  <c r="AY75" i="1"/>
  <c r="BA75" i="1" s="1"/>
  <c r="O76" i="1"/>
  <c r="AE76" i="1"/>
  <c r="AG76" i="1" s="1"/>
  <c r="AD76" i="1"/>
  <c r="AF76" i="1" s="1"/>
  <c r="AH76" i="1" s="1"/>
  <c r="Q77" i="1"/>
  <c r="S77" i="1" s="1"/>
  <c r="G77" i="1"/>
  <c r="I77" i="1" s="1"/>
  <c r="CQ73" i="1" l="1"/>
  <c r="CS73" i="1" s="1"/>
  <c r="CU73" i="1" s="1"/>
  <c r="CR73" i="1"/>
  <c r="CT73" i="1" s="1"/>
  <c r="BW74" i="1"/>
  <c r="BY74" i="1" s="1"/>
  <c r="CA74" i="1" s="1"/>
  <c r="BX74" i="1"/>
  <c r="BZ74" i="1" s="1"/>
  <c r="AJ76" i="1"/>
  <c r="AL76" i="1" s="1"/>
  <c r="AI76" i="1"/>
  <c r="AK76" i="1" s="1"/>
  <c r="AM76" i="1" s="1"/>
  <c r="BC75" i="1"/>
  <c r="BE75" i="1" s="1"/>
  <c r="BG75" i="1" s="1"/>
  <c r="BD75" i="1"/>
  <c r="BF75" i="1" s="1"/>
  <c r="AO76" i="1" l="1"/>
  <c r="AQ76" i="1" s="1"/>
  <c r="AN76" i="1"/>
  <c r="AP76" i="1" s="1"/>
  <c r="AR76" i="1" s="1"/>
  <c r="CB74" i="1"/>
  <c r="CD74" i="1" s="1"/>
  <c r="CF74" i="1" s="1"/>
  <c r="CC74" i="1"/>
  <c r="CE74" i="1" s="1"/>
  <c r="CV73" i="1"/>
  <c r="CX73" i="1" s="1"/>
  <c r="CZ73" i="1" s="1"/>
  <c r="CW73" i="1"/>
  <c r="CY73" i="1" s="1"/>
  <c r="BH75" i="1"/>
  <c r="BJ75" i="1" s="1"/>
  <c r="BL75" i="1" s="1"/>
  <c r="BI75" i="1"/>
  <c r="BK75" i="1" s="1"/>
  <c r="J77" i="1"/>
  <c r="L77" i="1" s="1"/>
  <c r="N77" i="1" s="1"/>
  <c r="K77" i="1"/>
  <c r="M77" i="1" s="1"/>
  <c r="D78" i="1"/>
  <c r="T77" i="1"/>
  <c r="V77" i="1" s="1"/>
  <c r="X77" i="1" s="1"/>
  <c r="U77" i="1"/>
  <c r="W77" i="1" s="1"/>
  <c r="BM75" i="1" l="1"/>
  <c r="BO75" i="1" s="1"/>
  <c r="BQ75" i="1" s="1"/>
  <c r="BN75" i="1"/>
  <c r="BP75" i="1" s="1"/>
  <c r="DA73" i="1"/>
  <c r="DC73" i="1" s="1"/>
  <c r="DB73" i="1"/>
  <c r="DD73" i="1" s="1"/>
  <c r="CH74" i="1"/>
  <c r="CJ74" i="1" s="1"/>
  <c r="CG74" i="1"/>
  <c r="CI74" i="1" s="1"/>
  <c r="CK74" i="1" s="1"/>
  <c r="AT76" i="1"/>
  <c r="AV76" i="1" s="1"/>
  <c r="AS76" i="1"/>
  <c r="AU76" i="1" s="1"/>
  <c r="AW76" i="1" s="1"/>
  <c r="P77" i="1"/>
  <c r="R77" i="1" s="1"/>
  <c r="Y77" i="1"/>
  <c r="AA77" i="1" s="1"/>
  <c r="AC77" i="1" s="1"/>
  <c r="Z77" i="1"/>
  <c r="AB77" i="1" s="1"/>
  <c r="E78" i="1"/>
  <c r="F78" i="1"/>
  <c r="H78" i="1" s="1"/>
  <c r="BR75" i="1" l="1"/>
  <c r="BT75" i="1" s="1"/>
  <c r="BV75" i="1" s="1"/>
  <c r="BS75" i="1"/>
  <c r="BU75" i="1" s="1"/>
  <c r="AX76" i="1"/>
  <c r="AZ76" i="1" s="1"/>
  <c r="BB76" i="1" s="1"/>
  <c r="AY76" i="1"/>
  <c r="BA76" i="1" s="1"/>
  <c r="CM74" i="1"/>
  <c r="CO74" i="1" s="1"/>
  <c r="CL74" i="1"/>
  <c r="CN74" i="1" s="1"/>
  <c r="CP74" i="1" s="1"/>
  <c r="O77" i="1"/>
  <c r="AE77" i="1"/>
  <c r="AG77" i="1" s="1"/>
  <c r="AD77" i="1"/>
  <c r="AF77" i="1" s="1"/>
  <c r="AH77" i="1" s="1"/>
  <c r="Q78" i="1"/>
  <c r="S78" i="1" s="1"/>
  <c r="G78" i="1"/>
  <c r="I78" i="1" s="1"/>
  <c r="AJ77" i="1" l="1"/>
  <c r="AL77" i="1" s="1"/>
  <c r="AI77" i="1"/>
  <c r="AK77" i="1" s="1"/>
  <c r="AM77" i="1" s="1"/>
  <c r="BC76" i="1"/>
  <c r="BE76" i="1" s="1"/>
  <c r="BG76" i="1" s="1"/>
  <c r="BD76" i="1"/>
  <c r="BF76" i="1" s="1"/>
  <c r="BW75" i="1"/>
  <c r="BY75" i="1" s="1"/>
  <c r="CA75" i="1" s="1"/>
  <c r="BX75" i="1"/>
  <c r="BZ75" i="1" s="1"/>
  <c r="CR74" i="1"/>
  <c r="CT74" i="1" s="1"/>
  <c r="CQ74" i="1"/>
  <c r="CS74" i="1" s="1"/>
  <c r="CU74" i="1" s="1"/>
  <c r="CV74" i="1" l="1"/>
  <c r="CX74" i="1" s="1"/>
  <c r="CW74" i="1"/>
  <c r="CY74" i="1" s="1"/>
  <c r="AO77" i="1"/>
  <c r="AQ77" i="1" s="1"/>
  <c r="AN77" i="1"/>
  <c r="AP77" i="1" s="1"/>
  <c r="AR77" i="1" s="1"/>
  <c r="CC75" i="1"/>
  <c r="CE75" i="1" s="1"/>
  <c r="CB75" i="1"/>
  <c r="CD75" i="1" s="1"/>
  <c r="CF75" i="1" s="1"/>
  <c r="BI76" i="1"/>
  <c r="BK76" i="1" s="1"/>
  <c r="BH76" i="1"/>
  <c r="BJ76" i="1" s="1"/>
  <c r="BL76" i="1" s="1"/>
  <c r="J78" i="1"/>
  <c r="L78" i="1" s="1"/>
  <c r="N78" i="1" s="1"/>
  <c r="K78" i="1"/>
  <c r="M78" i="1" s="1"/>
  <c r="D79" i="1"/>
  <c r="T78" i="1"/>
  <c r="V78" i="1" s="1"/>
  <c r="X78" i="1" s="1"/>
  <c r="U78" i="1"/>
  <c r="W78" i="1" s="1"/>
  <c r="CZ74" i="1" l="1"/>
  <c r="DB74" i="1"/>
  <c r="DD74" i="1" s="1"/>
  <c r="BM76" i="1"/>
  <c r="BO76" i="1" s="1"/>
  <c r="BQ76" i="1" s="1"/>
  <c r="BN76" i="1"/>
  <c r="BP76" i="1" s="1"/>
  <c r="CG75" i="1"/>
  <c r="CI75" i="1" s="1"/>
  <c r="CK75" i="1" s="1"/>
  <c r="CH75" i="1"/>
  <c r="CJ75" i="1" s="1"/>
  <c r="AT77" i="1"/>
  <c r="AV77" i="1" s="1"/>
  <c r="AS77" i="1"/>
  <c r="AU77" i="1" s="1"/>
  <c r="AW77" i="1" s="1"/>
  <c r="P78" i="1"/>
  <c r="R78" i="1" s="1"/>
  <c r="Z78" i="1"/>
  <c r="AB78" i="1" s="1"/>
  <c r="Y78" i="1"/>
  <c r="AA78" i="1" s="1"/>
  <c r="AC78" i="1" s="1"/>
  <c r="E79" i="1"/>
  <c r="F79" i="1"/>
  <c r="H79" i="1" s="1"/>
  <c r="DA74" i="1" l="1"/>
  <c r="DC74" i="1" s="1"/>
  <c r="AX77" i="1"/>
  <c r="AZ77" i="1" s="1"/>
  <c r="BB77" i="1" s="1"/>
  <c r="AY77" i="1"/>
  <c r="BA77" i="1" s="1"/>
  <c r="CL75" i="1"/>
  <c r="CN75" i="1" s="1"/>
  <c r="CP75" i="1" s="1"/>
  <c r="CM75" i="1"/>
  <c r="CO75" i="1" s="1"/>
  <c r="BR76" i="1"/>
  <c r="BT76" i="1" s="1"/>
  <c r="BV76" i="1" s="1"/>
  <c r="BS76" i="1"/>
  <c r="BU76" i="1" s="1"/>
  <c r="O78" i="1"/>
  <c r="AD78" i="1"/>
  <c r="AF78" i="1" s="1"/>
  <c r="AH78" i="1" s="1"/>
  <c r="AE78" i="1"/>
  <c r="AG78" i="1" s="1"/>
  <c r="Q79" i="1"/>
  <c r="S79" i="1" s="1"/>
  <c r="G79" i="1"/>
  <c r="I79" i="1" s="1"/>
  <c r="BW76" i="1" l="1"/>
  <c r="BY76" i="1" s="1"/>
  <c r="CA76" i="1" s="1"/>
  <c r="BX76" i="1"/>
  <c r="BZ76" i="1" s="1"/>
  <c r="CR75" i="1"/>
  <c r="CT75" i="1" s="1"/>
  <c r="CQ75" i="1"/>
  <c r="CS75" i="1" s="1"/>
  <c r="CU75" i="1" s="1"/>
  <c r="BD77" i="1"/>
  <c r="BF77" i="1" s="1"/>
  <c r="BC77" i="1"/>
  <c r="BE77" i="1" s="1"/>
  <c r="BG77" i="1" s="1"/>
  <c r="AJ78" i="1"/>
  <c r="AL78" i="1" s="1"/>
  <c r="AI78" i="1"/>
  <c r="AK78" i="1" s="1"/>
  <c r="AM78" i="1" s="1"/>
  <c r="AN78" i="1" l="1"/>
  <c r="AP78" i="1" s="1"/>
  <c r="AR78" i="1" s="1"/>
  <c r="AO78" i="1"/>
  <c r="AQ78" i="1" s="1"/>
  <c r="CC76" i="1"/>
  <c r="CE76" i="1" s="1"/>
  <c r="CB76" i="1"/>
  <c r="CD76" i="1" s="1"/>
  <c r="CF76" i="1" s="1"/>
  <c r="BH77" i="1"/>
  <c r="BJ77" i="1" s="1"/>
  <c r="BL77" i="1" s="1"/>
  <c r="BI77" i="1"/>
  <c r="BK77" i="1" s="1"/>
  <c r="CW75" i="1"/>
  <c r="CY75" i="1" s="1"/>
  <c r="CV75" i="1"/>
  <c r="CX75" i="1" s="1"/>
  <c r="K79" i="1"/>
  <c r="M79" i="1" s="1"/>
  <c r="J79" i="1"/>
  <c r="L79" i="1" s="1"/>
  <c r="N79" i="1" s="1"/>
  <c r="D80" i="1"/>
  <c r="U79" i="1"/>
  <c r="W79" i="1" s="1"/>
  <c r="T79" i="1"/>
  <c r="V79" i="1" s="1"/>
  <c r="X79" i="1" s="1"/>
  <c r="CZ75" i="1" l="1"/>
  <c r="BN77" i="1"/>
  <c r="BP77" i="1" s="1"/>
  <c r="BM77" i="1"/>
  <c r="BO77" i="1" s="1"/>
  <c r="BQ77" i="1" s="1"/>
  <c r="AT78" i="1"/>
  <c r="AV78" i="1" s="1"/>
  <c r="AS78" i="1"/>
  <c r="AU78" i="1" s="1"/>
  <c r="AW78" i="1" s="1"/>
  <c r="CG76" i="1"/>
  <c r="CI76" i="1" s="1"/>
  <c r="CK76" i="1" s="1"/>
  <c r="CH76" i="1"/>
  <c r="CJ76" i="1" s="1"/>
  <c r="O79" i="1"/>
  <c r="Y79" i="1"/>
  <c r="AA79" i="1" s="1"/>
  <c r="AC79" i="1" s="1"/>
  <c r="Z79" i="1"/>
  <c r="AB79" i="1" s="1"/>
  <c r="F80" i="1"/>
  <c r="H80" i="1" s="1"/>
  <c r="E80" i="1"/>
  <c r="DB75" i="1" l="1"/>
  <c r="DD75" i="1" s="1"/>
  <c r="DA75" i="1"/>
  <c r="DC75" i="1" s="1"/>
  <c r="CL76" i="1"/>
  <c r="CN76" i="1" s="1"/>
  <c r="CP76" i="1" s="1"/>
  <c r="CM76" i="1"/>
  <c r="CO76" i="1" s="1"/>
  <c r="AY78" i="1"/>
  <c r="BA78" i="1" s="1"/>
  <c r="AX78" i="1"/>
  <c r="AZ78" i="1" s="1"/>
  <c r="BB78" i="1" s="1"/>
  <c r="BS77" i="1"/>
  <c r="BU77" i="1" s="1"/>
  <c r="BR77" i="1"/>
  <c r="BT77" i="1" s="1"/>
  <c r="BV77" i="1" s="1"/>
  <c r="P79" i="1"/>
  <c r="R79" i="1" s="1"/>
  <c r="AE79" i="1"/>
  <c r="AG79" i="1" s="1"/>
  <c r="AD79" i="1"/>
  <c r="AF79" i="1" s="1"/>
  <c r="AH79" i="1" s="1"/>
  <c r="G80" i="1"/>
  <c r="I80" i="1" s="1"/>
  <c r="Q80" i="1"/>
  <c r="S80" i="1" s="1"/>
  <c r="AI79" i="1" l="1"/>
  <c r="AK79" i="1" s="1"/>
  <c r="AM79" i="1" s="1"/>
  <c r="AJ79" i="1"/>
  <c r="AL79" i="1" s="1"/>
  <c r="CR76" i="1"/>
  <c r="CT76" i="1" s="1"/>
  <c r="CQ76" i="1"/>
  <c r="CS76" i="1" s="1"/>
  <c r="CU76" i="1" s="1"/>
  <c r="BX77" i="1"/>
  <c r="BZ77" i="1" s="1"/>
  <c r="BW77" i="1"/>
  <c r="BY77" i="1" s="1"/>
  <c r="CA77" i="1" s="1"/>
  <c r="BD78" i="1"/>
  <c r="BF78" i="1" s="1"/>
  <c r="BC78" i="1"/>
  <c r="BE78" i="1" s="1"/>
  <c r="BG78" i="1" s="1"/>
  <c r="BH78" i="1" l="1"/>
  <c r="BJ78" i="1" s="1"/>
  <c r="BL78" i="1" s="1"/>
  <c r="BI78" i="1"/>
  <c r="BK78" i="1" s="1"/>
  <c r="CB77" i="1"/>
  <c r="CD77" i="1" s="1"/>
  <c r="CF77" i="1" s="1"/>
  <c r="CC77" i="1"/>
  <c r="CE77" i="1" s="1"/>
  <c r="CV76" i="1"/>
  <c r="CX76" i="1" s="1"/>
  <c r="CZ76" i="1" s="1"/>
  <c r="CW76" i="1"/>
  <c r="CY76" i="1" s="1"/>
  <c r="AN79" i="1"/>
  <c r="AP79" i="1" s="1"/>
  <c r="AR79" i="1" s="1"/>
  <c r="AO79" i="1"/>
  <c r="AQ79" i="1" s="1"/>
  <c r="T80" i="1"/>
  <c r="V80" i="1" s="1"/>
  <c r="X80" i="1" s="1"/>
  <c r="U80" i="1"/>
  <c r="W80" i="1" s="1"/>
  <c r="J80" i="1"/>
  <c r="L80" i="1" s="1"/>
  <c r="N80" i="1" s="1"/>
  <c r="K80" i="1"/>
  <c r="M80" i="1" s="1"/>
  <c r="D81" i="1"/>
  <c r="AS79" i="1" l="1"/>
  <c r="AU79" i="1" s="1"/>
  <c r="AW79" i="1" s="1"/>
  <c r="AT79" i="1"/>
  <c r="AV79" i="1" s="1"/>
  <c r="DA76" i="1"/>
  <c r="DC76" i="1" s="1"/>
  <c r="DB76" i="1"/>
  <c r="DD76" i="1" s="1"/>
  <c r="CG77" i="1"/>
  <c r="CI77" i="1" s="1"/>
  <c r="CK77" i="1" s="1"/>
  <c r="CH77" i="1"/>
  <c r="CJ77" i="1" s="1"/>
  <c r="BN78" i="1"/>
  <c r="BP78" i="1" s="1"/>
  <c r="BM78" i="1"/>
  <c r="BO78" i="1" s="1"/>
  <c r="BQ78" i="1" s="1"/>
  <c r="P80" i="1"/>
  <c r="R80" i="1" s="1"/>
  <c r="F81" i="1"/>
  <c r="H81" i="1" s="1"/>
  <c r="E81" i="1"/>
  <c r="Z80" i="1"/>
  <c r="AB80" i="1" s="1"/>
  <c r="Y80" i="1"/>
  <c r="AA80" i="1" s="1"/>
  <c r="AC80" i="1" s="1"/>
  <c r="CM77" i="1" l="1"/>
  <c r="CO77" i="1" s="1"/>
  <c r="CL77" i="1"/>
  <c r="CN77" i="1" s="1"/>
  <c r="CP77" i="1" s="1"/>
  <c r="AX79" i="1"/>
  <c r="AZ79" i="1" s="1"/>
  <c r="BB79" i="1" s="1"/>
  <c r="AY79" i="1"/>
  <c r="BA79" i="1" s="1"/>
  <c r="BS78" i="1"/>
  <c r="BU78" i="1" s="1"/>
  <c r="BR78" i="1"/>
  <c r="BT78" i="1" s="1"/>
  <c r="BV78" i="1" s="1"/>
  <c r="O80" i="1"/>
  <c r="AE80" i="1"/>
  <c r="AG80" i="1" s="1"/>
  <c r="AD80" i="1"/>
  <c r="AF80" i="1" s="1"/>
  <c r="AH80" i="1" s="1"/>
  <c r="Q81" i="1"/>
  <c r="S81" i="1" s="1"/>
  <c r="G81" i="1"/>
  <c r="I81" i="1" s="1"/>
  <c r="BD79" i="1" l="1"/>
  <c r="BF79" i="1" s="1"/>
  <c r="BC79" i="1"/>
  <c r="BE79" i="1" s="1"/>
  <c r="BG79" i="1" s="1"/>
  <c r="AI80" i="1"/>
  <c r="AK80" i="1" s="1"/>
  <c r="AM80" i="1" s="1"/>
  <c r="AJ80" i="1"/>
  <c r="AL80" i="1" s="1"/>
  <c r="BW78" i="1"/>
  <c r="BY78" i="1" s="1"/>
  <c r="CA78" i="1" s="1"/>
  <c r="BX78" i="1"/>
  <c r="BZ78" i="1" s="1"/>
  <c r="CQ77" i="1"/>
  <c r="CS77" i="1" s="1"/>
  <c r="CU77" i="1" s="1"/>
  <c r="CR77" i="1"/>
  <c r="CT77" i="1" s="1"/>
  <c r="CV77" i="1" l="1"/>
  <c r="CX77" i="1" s="1"/>
  <c r="CW77" i="1"/>
  <c r="CY77" i="1" s="1"/>
  <c r="CC78" i="1"/>
  <c r="CE78" i="1" s="1"/>
  <c r="CB78" i="1"/>
  <c r="CD78" i="1" s="1"/>
  <c r="CF78" i="1" s="1"/>
  <c r="AN80" i="1"/>
  <c r="AP80" i="1" s="1"/>
  <c r="AR80" i="1" s="1"/>
  <c r="AO80" i="1"/>
  <c r="AQ80" i="1" s="1"/>
  <c r="BI79" i="1"/>
  <c r="BK79" i="1" s="1"/>
  <c r="BH79" i="1"/>
  <c r="BJ79" i="1" s="1"/>
  <c r="BL79" i="1" s="1"/>
  <c r="U81" i="1"/>
  <c r="W81" i="1" s="1"/>
  <c r="T81" i="1"/>
  <c r="V81" i="1" s="1"/>
  <c r="X81" i="1" s="1"/>
  <c r="J81" i="1"/>
  <c r="L81" i="1" s="1"/>
  <c r="N81" i="1" s="1"/>
  <c r="K81" i="1"/>
  <c r="M81" i="1" s="1"/>
  <c r="D82" i="1"/>
  <c r="CZ77" i="1" l="1"/>
  <c r="DB77" i="1"/>
  <c r="DD77" i="1" s="1"/>
  <c r="AT80" i="1"/>
  <c r="AV80" i="1" s="1"/>
  <c r="AS80" i="1"/>
  <c r="AU80" i="1" s="1"/>
  <c r="AW80" i="1" s="1"/>
  <c r="BN79" i="1"/>
  <c r="BP79" i="1" s="1"/>
  <c r="BM79" i="1"/>
  <c r="BO79" i="1" s="1"/>
  <c r="BQ79" i="1" s="1"/>
  <c r="CG78" i="1"/>
  <c r="CI78" i="1" s="1"/>
  <c r="CK78" i="1" s="1"/>
  <c r="CH78" i="1"/>
  <c r="CJ78" i="1" s="1"/>
  <c r="P81" i="1"/>
  <c r="R81" i="1" s="1"/>
  <c r="F82" i="1"/>
  <c r="H82" i="1" s="1"/>
  <c r="E82" i="1"/>
  <c r="Z81" i="1"/>
  <c r="AB81" i="1" s="1"/>
  <c r="Y81" i="1"/>
  <c r="AA81" i="1" s="1"/>
  <c r="AC81" i="1" s="1"/>
  <c r="DA77" i="1" l="1"/>
  <c r="DC77" i="1" s="1"/>
  <c r="CL78" i="1"/>
  <c r="CN78" i="1" s="1"/>
  <c r="CP78" i="1" s="1"/>
  <c r="CM78" i="1"/>
  <c r="CO78" i="1" s="1"/>
  <c r="BR79" i="1"/>
  <c r="BT79" i="1" s="1"/>
  <c r="BV79" i="1" s="1"/>
  <c r="BS79" i="1"/>
  <c r="BU79" i="1" s="1"/>
  <c r="AX80" i="1"/>
  <c r="AZ80" i="1" s="1"/>
  <c r="BB80" i="1" s="1"/>
  <c r="AY80" i="1"/>
  <c r="BA80" i="1" s="1"/>
  <c r="O81" i="1"/>
  <c r="AD81" i="1"/>
  <c r="AF81" i="1" s="1"/>
  <c r="AH81" i="1" s="1"/>
  <c r="AE81" i="1"/>
  <c r="AG81" i="1" s="1"/>
  <c r="G82" i="1"/>
  <c r="I82" i="1" s="1"/>
  <c r="Q82" i="1"/>
  <c r="S82" i="1" s="1"/>
  <c r="AJ81" i="1" l="1"/>
  <c r="AL81" i="1" s="1"/>
  <c r="AI81" i="1"/>
  <c r="AK81" i="1" s="1"/>
  <c r="AM81" i="1" s="1"/>
  <c r="BD80" i="1"/>
  <c r="BF80" i="1" s="1"/>
  <c r="BC80" i="1"/>
  <c r="BE80" i="1" s="1"/>
  <c r="BG80" i="1" s="1"/>
  <c r="BX79" i="1"/>
  <c r="BZ79" i="1" s="1"/>
  <c r="BW79" i="1"/>
  <c r="BY79" i="1" s="1"/>
  <c r="CA79" i="1" s="1"/>
  <c r="CR78" i="1"/>
  <c r="CT78" i="1" s="1"/>
  <c r="CQ78" i="1"/>
  <c r="CS78" i="1" s="1"/>
  <c r="CU78" i="1" s="1"/>
  <c r="CV78" i="1" l="1"/>
  <c r="CX78" i="1" s="1"/>
  <c r="CW78" i="1"/>
  <c r="CY78" i="1" s="1"/>
  <c r="CC79" i="1"/>
  <c r="CE79" i="1" s="1"/>
  <c r="CB79" i="1"/>
  <c r="CD79" i="1" s="1"/>
  <c r="CF79" i="1" s="1"/>
  <c r="BI80" i="1"/>
  <c r="BK80" i="1" s="1"/>
  <c r="BH80" i="1"/>
  <c r="BJ80" i="1" s="1"/>
  <c r="BL80" i="1" s="1"/>
  <c r="AN81" i="1"/>
  <c r="AP81" i="1" s="1"/>
  <c r="AR81" i="1" s="1"/>
  <c r="AO81" i="1"/>
  <c r="AQ81" i="1" s="1"/>
  <c r="T82" i="1"/>
  <c r="V82" i="1" s="1"/>
  <c r="X82" i="1" s="1"/>
  <c r="U82" i="1"/>
  <c r="W82" i="1" s="1"/>
  <c r="J82" i="1"/>
  <c r="L82" i="1" s="1"/>
  <c r="N82" i="1" s="1"/>
  <c r="K82" i="1"/>
  <c r="M82" i="1" s="1"/>
  <c r="D83" i="1"/>
  <c r="CZ78" i="1" l="1"/>
  <c r="BN80" i="1"/>
  <c r="BP80" i="1" s="1"/>
  <c r="BM80" i="1"/>
  <c r="BO80" i="1" s="1"/>
  <c r="BQ80" i="1" s="1"/>
  <c r="CG79" i="1"/>
  <c r="CI79" i="1" s="1"/>
  <c r="CK79" i="1" s="1"/>
  <c r="CH79" i="1"/>
  <c r="CJ79" i="1" s="1"/>
  <c r="DA78" i="1"/>
  <c r="DC78" i="1" s="1"/>
  <c r="DB78" i="1"/>
  <c r="DD78" i="1" s="1"/>
  <c r="AS81" i="1"/>
  <c r="AU81" i="1" s="1"/>
  <c r="AW81" i="1" s="1"/>
  <c r="AT81" i="1"/>
  <c r="AV81" i="1" s="1"/>
  <c r="P82" i="1"/>
  <c r="R82" i="1" s="1"/>
  <c r="E83" i="1"/>
  <c r="F83" i="1"/>
  <c r="H83" i="1" s="1"/>
  <c r="Y82" i="1"/>
  <c r="AA82" i="1" s="1"/>
  <c r="AC82" i="1" s="1"/>
  <c r="Z82" i="1"/>
  <c r="AB82" i="1" s="1"/>
  <c r="AY81" i="1" l="1"/>
  <c r="BA81" i="1" s="1"/>
  <c r="AX81" i="1"/>
  <c r="AZ81" i="1" s="1"/>
  <c r="BB81" i="1" s="1"/>
  <c r="CL79" i="1"/>
  <c r="CN79" i="1" s="1"/>
  <c r="CP79" i="1" s="1"/>
  <c r="CM79" i="1"/>
  <c r="CO79" i="1" s="1"/>
  <c r="BR80" i="1"/>
  <c r="BT80" i="1" s="1"/>
  <c r="BV80" i="1" s="1"/>
  <c r="BS80" i="1"/>
  <c r="BU80" i="1" s="1"/>
  <c r="O82" i="1"/>
  <c r="AD82" i="1"/>
  <c r="AF82" i="1" s="1"/>
  <c r="AH82" i="1" s="1"/>
  <c r="AE82" i="1"/>
  <c r="AG82" i="1" s="1"/>
  <c r="G83" i="1"/>
  <c r="I83" i="1" s="1"/>
  <c r="Q83" i="1"/>
  <c r="S83" i="1" s="1"/>
  <c r="BX80" i="1" l="1"/>
  <c r="BZ80" i="1" s="1"/>
  <c r="BW80" i="1"/>
  <c r="BY80" i="1" s="1"/>
  <c r="CA80" i="1" s="1"/>
  <c r="CQ79" i="1"/>
  <c r="CS79" i="1" s="1"/>
  <c r="CU79" i="1" s="1"/>
  <c r="CR79" i="1"/>
  <c r="CT79" i="1" s="1"/>
  <c r="AI82" i="1"/>
  <c r="AK82" i="1" s="1"/>
  <c r="AM82" i="1" s="1"/>
  <c r="AJ82" i="1"/>
  <c r="AL82" i="1" s="1"/>
  <c r="BD81" i="1"/>
  <c r="BF81" i="1" s="1"/>
  <c r="BC81" i="1"/>
  <c r="BE81" i="1" s="1"/>
  <c r="BG81" i="1" s="1"/>
  <c r="BI81" i="1" l="1"/>
  <c r="BK81" i="1" s="1"/>
  <c r="BH81" i="1"/>
  <c r="BJ81" i="1" s="1"/>
  <c r="BL81" i="1" s="1"/>
  <c r="CW79" i="1"/>
  <c r="CY79" i="1" s="1"/>
  <c r="CV79" i="1"/>
  <c r="CX79" i="1" s="1"/>
  <c r="AO82" i="1"/>
  <c r="AQ82" i="1" s="1"/>
  <c r="AN82" i="1"/>
  <c r="AP82" i="1" s="1"/>
  <c r="AR82" i="1" s="1"/>
  <c r="CC80" i="1"/>
  <c r="CE80" i="1" s="1"/>
  <c r="CB80" i="1"/>
  <c r="CD80" i="1" s="1"/>
  <c r="CF80" i="1" s="1"/>
  <c r="T83" i="1"/>
  <c r="V83" i="1" s="1"/>
  <c r="X83" i="1" s="1"/>
  <c r="U83" i="1"/>
  <c r="W83" i="1" s="1"/>
  <c r="J83" i="1"/>
  <c r="L83" i="1" s="1"/>
  <c r="N83" i="1" s="1"/>
  <c r="K83" i="1"/>
  <c r="M83" i="1" s="1"/>
  <c r="D84" i="1"/>
  <c r="CZ79" i="1" l="1"/>
  <c r="CG80" i="1"/>
  <c r="CI80" i="1" s="1"/>
  <c r="CK80" i="1" s="1"/>
  <c r="CH80" i="1"/>
  <c r="CJ80" i="1" s="1"/>
  <c r="AT82" i="1"/>
  <c r="AV82" i="1" s="1"/>
  <c r="AS82" i="1"/>
  <c r="AU82" i="1" s="1"/>
  <c r="AW82" i="1" s="1"/>
  <c r="BM81" i="1"/>
  <c r="BO81" i="1" s="1"/>
  <c r="BQ81" i="1" s="1"/>
  <c r="BN81" i="1"/>
  <c r="BP81" i="1" s="1"/>
  <c r="P83" i="1"/>
  <c r="R83" i="1" s="1"/>
  <c r="O83" i="1"/>
  <c r="Y83" i="1"/>
  <c r="AA83" i="1" s="1"/>
  <c r="AC83" i="1" s="1"/>
  <c r="Z83" i="1"/>
  <c r="AB83" i="1" s="1"/>
  <c r="E84" i="1"/>
  <c r="F84" i="1"/>
  <c r="H84" i="1" s="1"/>
  <c r="DA79" i="1" l="1"/>
  <c r="DC79" i="1" s="1"/>
  <c r="DB79" i="1"/>
  <c r="DD79" i="1" s="1"/>
  <c r="BS81" i="1"/>
  <c r="BU81" i="1" s="1"/>
  <c r="BR81" i="1"/>
  <c r="BT81" i="1" s="1"/>
  <c r="BV81" i="1" s="1"/>
  <c r="CM80" i="1"/>
  <c r="CO80" i="1" s="1"/>
  <c r="CL80" i="1"/>
  <c r="CN80" i="1" s="1"/>
  <c r="CP80" i="1" s="1"/>
  <c r="AY82" i="1"/>
  <c r="BA82" i="1" s="1"/>
  <c r="AX82" i="1"/>
  <c r="AZ82" i="1" s="1"/>
  <c r="BB82" i="1" s="1"/>
  <c r="AE83" i="1"/>
  <c r="AG83" i="1" s="1"/>
  <c r="AD83" i="1"/>
  <c r="AF83" i="1" s="1"/>
  <c r="AH83" i="1" s="1"/>
  <c r="G84" i="1"/>
  <c r="I84" i="1" s="1"/>
  <c r="Q84" i="1"/>
  <c r="S84" i="1" s="1"/>
  <c r="AI83" i="1" l="1"/>
  <c r="AK83" i="1" s="1"/>
  <c r="AM83" i="1" s="1"/>
  <c r="AJ83" i="1"/>
  <c r="AL83" i="1" s="1"/>
  <c r="BD82" i="1"/>
  <c r="BF82" i="1" s="1"/>
  <c r="BC82" i="1"/>
  <c r="BE82" i="1" s="1"/>
  <c r="BG82" i="1" s="1"/>
  <c r="CQ80" i="1"/>
  <c r="CS80" i="1" s="1"/>
  <c r="CU80" i="1" s="1"/>
  <c r="CR80" i="1"/>
  <c r="CT80" i="1" s="1"/>
  <c r="BX81" i="1"/>
  <c r="BZ81" i="1" s="1"/>
  <c r="BW81" i="1"/>
  <c r="BY81" i="1" s="1"/>
  <c r="CA81" i="1" s="1"/>
  <c r="CC81" i="1" l="1"/>
  <c r="CE81" i="1" s="1"/>
  <c r="CB81" i="1"/>
  <c r="CD81" i="1" s="1"/>
  <c r="CF81" i="1" s="1"/>
  <c r="BI82" i="1"/>
  <c r="BK82" i="1" s="1"/>
  <c r="BH82" i="1"/>
  <c r="BJ82" i="1" s="1"/>
  <c r="BL82" i="1" s="1"/>
  <c r="CV80" i="1"/>
  <c r="CX80" i="1" s="1"/>
  <c r="CZ80" i="1" s="1"/>
  <c r="CW80" i="1"/>
  <c r="CY80" i="1" s="1"/>
  <c r="AO83" i="1"/>
  <c r="AQ83" i="1" s="1"/>
  <c r="AN83" i="1"/>
  <c r="AP83" i="1" s="1"/>
  <c r="AR83" i="1" s="1"/>
  <c r="K84" i="1"/>
  <c r="M84" i="1" s="1"/>
  <c r="J84" i="1"/>
  <c r="L84" i="1" s="1"/>
  <c r="D85" i="1"/>
  <c r="T84" i="1"/>
  <c r="V84" i="1" s="1"/>
  <c r="X84" i="1" s="1"/>
  <c r="U84" i="1"/>
  <c r="W84" i="1" s="1"/>
  <c r="N84" i="1" l="1"/>
  <c r="P84" i="1" s="1"/>
  <c r="R84" i="1" s="1"/>
  <c r="DB80" i="1"/>
  <c r="DD80" i="1" s="1"/>
  <c r="DA80" i="1"/>
  <c r="DC80" i="1" s="1"/>
  <c r="AS83" i="1"/>
  <c r="AU83" i="1" s="1"/>
  <c r="AW83" i="1" s="1"/>
  <c r="AT83" i="1"/>
  <c r="AV83" i="1" s="1"/>
  <c r="BM82" i="1"/>
  <c r="BO82" i="1" s="1"/>
  <c r="BQ82" i="1" s="1"/>
  <c r="BN82" i="1"/>
  <c r="BP82" i="1" s="1"/>
  <c r="CH81" i="1"/>
  <c r="CJ81" i="1" s="1"/>
  <c r="CG81" i="1"/>
  <c r="CI81" i="1" s="1"/>
  <c r="CK81" i="1" s="1"/>
  <c r="F85" i="1"/>
  <c r="H85" i="1" s="1"/>
  <c r="E85" i="1"/>
  <c r="Z84" i="1"/>
  <c r="AB84" i="1" s="1"/>
  <c r="Y84" i="1"/>
  <c r="AA84" i="1" s="1"/>
  <c r="AC84" i="1" s="1"/>
  <c r="O84" i="1" l="1"/>
  <c r="CL81" i="1"/>
  <c r="CN81" i="1" s="1"/>
  <c r="CP81" i="1" s="1"/>
  <c r="CM81" i="1"/>
  <c r="CO81" i="1" s="1"/>
  <c r="BR82" i="1"/>
  <c r="BT82" i="1" s="1"/>
  <c r="BV82" i="1" s="1"/>
  <c r="BS82" i="1"/>
  <c r="BU82" i="1" s="1"/>
  <c r="AY83" i="1"/>
  <c r="BA83" i="1" s="1"/>
  <c r="AX83" i="1"/>
  <c r="AZ83" i="1" s="1"/>
  <c r="BB83" i="1" s="1"/>
  <c r="AD84" i="1"/>
  <c r="AF84" i="1" s="1"/>
  <c r="AH84" i="1" s="1"/>
  <c r="AE84" i="1"/>
  <c r="AG84" i="1" s="1"/>
  <c r="G85" i="1"/>
  <c r="I85" i="1" s="1"/>
  <c r="Q85" i="1"/>
  <c r="S85" i="1" s="1"/>
  <c r="AJ84" i="1" l="1"/>
  <c r="AL84" i="1" s="1"/>
  <c r="AI84" i="1"/>
  <c r="AK84" i="1" s="1"/>
  <c r="AM84" i="1" s="1"/>
  <c r="BX82" i="1"/>
  <c r="BZ82" i="1" s="1"/>
  <c r="BW82" i="1"/>
  <c r="BY82" i="1" s="1"/>
  <c r="CA82" i="1" s="1"/>
  <c r="CR81" i="1"/>
  <c r="CT81" i="1" s="1"/>
  <c r="CQ81" i="1"/>
  <c r="CS81" i="1" s="1"/>
  <c r="CU81" i="1" s="1"/>
  <c r="BD83" i="1"/>
  <c r="BF83" i="1" s="1"/>
  <c r="BC83" i="1"/>
  <c r="BE83" i="1" s="1"/>
  <c r="BG83" i="1" s="1"/>
  <c r="BH83" i="1" l="1"/>
  <c r="BJ83" i="1" s="1"/>
  <c r="BL83" i="1" s="1"/>
  <c r="BI83" i="1"/>
  <c r="BK83" i="1" s="1"/>
  <c r="CW81" i="1"/>
  <c r="CY81" i="1" s="1"/>
  <c r="CV81" i="1"/>
  <c r="CX81" i="1" s="1"/>
  <c r="CC82" i="1"/>
  <c r="CE82" i="1" s="1"/>
  <c r="CB82" i="1"/>
  <c r="CD82" i="1" s="1"/>
  <c r="CF82" i="1" s="1"/>
  <c r="AN84" i="1"/>
  <c r="AP84" i="1" s="1"/>
  <c r="AR84" i="1" s="1"/>
  <c r="AO84" i="1"/>
  <c r="AQ84" i="1" s="1"/>
  <c r="U85" i="1"/>
  <c r="W85" i="1" s="1"/>
  <c r="T85" i="1"/>
  <c r="V85" i="1" s="1"/>
  <c r="X85" i="1" s="1"/>
  <c r="J85" i="1"/>
  <c r="L85" i="1" s="1"/>
  <c r="N85" i="1" s="1"/>
  <c r="K85" i="1"/>
  <c r="M85" i="1" s="1"/>
  <c r="D86" i="1"/>
  <c r="CZ81" i="1" l="1"/>
  <c r="AT84" i="1"/>
  <c r="AV84" i="1" s="1"/>
  <c r="AS84" i="1"/>
  <c r="AU84" i="1" s="1"/>
  <c r="AW84" i="1" s="1"/>
  <c r="BM83" i="1"/>
  <c r="BO83" i="1" s="1"/>
  <c r="BQ83" i="1" s="1"/>
  <c r="BN83" i="1"/>
  <c r="BP83" i="1" s="1"/>
  <c r="CG82" i="1"/>
  <c r="CI82" i="1" s="1"/>
  <c r="CK82" i="1" s="1"/>
  <c r="CH82" i="1"/>
  <c r="CJ82" i="1" s="1"/>
  <c r="P85" i="1"/>
  <c r="R85" i="1" s="1"/>
  <c r="F86" i="1"/>
  <c r="H86" i="1" s="1"/>
  <c r="E86" i="1"/>
  <c r="Y85" i="1"/>
  <c r="AA85" i="1" s="1"/>
  <c r="AC85" i="1" s="1"/>
  <c r="Z85" i="1"/>
  <c r="AB85" i="1" s="1"/>
  <c r="DB81" i="1" l="1"/>
  <c r="DD81" i="1" s="1"/>
  <c r="DA81" i="1"/>
  <c r="DC81" i="1" s="1"/>
  <c r="CL82" i="1"/>
  <c r="CN82" i="1" s="1"/>
  <c r="CP82" i="1" s="1"/>
  <c r="CM82" i="1"/>
  <c r="CO82" i="1" s="1"/>
  <c r="BR83" i="1"/>
  <c r="BT83" i="1" s="1"/>
  <c r="BV83" i="1" s="1"/>
  <c r="BS83" i="1"/>
  <c r="BU83" i="1" s="1"/>
  <c r="AY84" i="1"/>
  <c r="BA84" i="1" s="1"/>
  <c r="AX84" i="1"/>
  <c r="AZ84" i="1" s="1"/>
  <c r="BB84" i="1" s="1"/>
  <c r="O85" i="1"/>
  <c r="AD85" i="1"/>
  <c r="AF85" i="1" s="1"/>
  <c r="AH85" i="1" s="1"/>
  <c r="AE85" i="1"/>
  <c r="AG85" i="1" s="1"/>
  <c r="G86" i="1"/>
  <c r="I86" i="1" s="1"/>
  <c r="Q86" i="1"/>
  <c r="S86" i="1" s="1"/>
  <c r="AI85" i="1" l="1"/>
  <c r="AK85" i="1" s="1"/>
  <c r="AM85" i="1" s="1"/>
  <c r="AJ85" i="1"/>
  <c r="AL85" i="1" s="1"/>
  <c r="BX83" i="1"/>
  <c r="BZ83" i="1" s="1"/>
  <c r="BW83" i="1"/>
  <c r="BY83" i="1" s="1"/>
  <c r="CA83" i="1" s="1"/>
  <c r="CR82" i="1"/>
  <c r="CT82" i="1" s="1"/>
  <c r="CQ82" i="1"/>
  <c r="CS82" i="1" s="1"/>
  <c r="CU82" i="1" s="1"/>
  <c r="BC84" i="1"/>
  <c r="BE84" i="1" s="1"/>
  <c r="BG84" i="1" s="1"/>
  <c r="BD84" i="1"/>
  <c r="BF84" i="1" s="1"/>
  <c r="CW82" i="1" l="1"/>
  <c r="CY82" i="1" s="1"/>
  <c r="CV82" i="1"/>
  <c r="CX82" i="1" s="1"/>
  <c r="CC83" i="1"/>
  <c r="CE83" i="1" s="1"/>
  <c r="CB83" i="1"/>
  <c r="CD83" i="1" s="1"/>
  <c r="CF83" i="1" s="1"/>
  <c r="BH84" i="1"/>
  <c r="BJ84" i="1" s="1"/>
  <c r="BL84" i="1" s="1"/>
  <c r="BI84" i="1"/>
  <c r="BK84" i="1" s="1"/>
  <c r="AO85" i="1"/>
  <c r="AQ85" i="1" s="1"/>
  <c r="AN85" i="1"/>
  <c r="AP85" i="1" s="1"/>
  <c r="AR85" i="1" s="1"/>
  <c r="J86" i="1"/>
  <c r="L86" i="1" s="1"/>
  <c r="K86" i="1"/>
  <c r="M86" i="1" s="1"/>
  <c r="D87" i="1"/>
  <c r="T86" i="1"/>
  <c r="V86" i="1" s="1"/>
  <c r="X86" i="1" s="1"/>
  <c r="U86" i="1"/>
  <c r="W86" i="1" s="1"/>
  <c r="CZ82" i="1" l="1"/>
  <c r="N86" i="1"/>
  <c r="O86" i="1" s="1"/>
  <c r="BM84" i="1"/>
  <c r="BO84" i="1" s="1"/>
  <c r="BQ84" i="1" s="1"/>
  <c r="BN84" i="1"/>
  <c r="BP84" i="1" s="1"/>
  <c r="AT85" i="1"/>
  <c r="AV85" i="1" s="1"/>
  <c r="AS85" i="1"/>
  <c r="AU85" i="1" s="1"/>
  <c r="AW85" i="1" s="1"/>
  <c r="CG83" i="1"/>
  <c r="CI83" i="1" s="1"/>
  <c r="CK83" i="1" s="1"/>
  <c r="CH83" i="1"/>
  <c r="CJ83" i="1" s="1"/>
  <c r="Y86" i="1"/>
  <c r="AA86" i="1" s="1"/>
  <c r="AC86" i="1" s="1"/>
  <c r="Z86" i="1"/>
  <c r="AB86" i="1" s="1"/>
  <c r="E87" i="1"/>
  <c r="F87" i="1"/>
  <c r="H87" i="1" s="1"/>
  <c r="P86" i="1" l="1"/>
  <c r="R86" i="1" s="1"/>
  <c r="DB82" i="1"/>
  <c r="DD82" i="1" s="1"/>
  <c r="DA82" i="1"/>
  <c r="DC82" i="1" s="1"/>
  <c r="CM83" i="1"/>
  <c r="CO83" i="1" s="1"/>
  <c r="CL83" i="1"/>
  <c r="CN83" i="1" s="1"/>
  <c r="CP83" i="1" s="1"/>
  <c r="BS84" i="1"/>
  <c r="BU84" i="1" s="1"/>
  <c r="BR84" i="1"/>
  <c r="BT84" i="1" s="1"/>
  <c r="BV84" i="1" s="1"/>
  <c r="AY85" i="1"/>
  <c r="BA85" i="1" s="1"/>
  <c r="AX85" i="1"/>
  <c r="AZ85" i="1" s="1"/>
  <c r="BB85" i="1" s="1"/>
  <c r="AD86" i="1"/>
  <c r="AF86" i="1" s="1"/>
  <c r="AH86" i="1" s="1"/>
  <c r="AE86" i="1"/>
  <c r="AG86" i="1" s="1"/>
  <c r="G87" i="1"/>
  <c r="I87" i="1" s="1"/>
  <c r="Q87" i="1"/>
  <c r="S87" i="1" s="1"/>
  <c r="AJ86" i="1" l="1"/>
  <c r="AL86" i="1" s="1"/>
  <c r="AI86" i="1"/>
  <c r="AK86" i="1" s="1"/>
  <c r="AM86" i="1" s="1"/>
  <c r="BD85" i="1"/>
  <c r="BF85" i="1" s="1"/>
  <c r="BC85" i="1"/>
  <c r="BE85" i="1" s="1"/>
  <c r="BG85" i="1" s="1"/>
  <c r="BW84" i="1"/>
  <c r="BY84" i="1" s="1"/>
  <c r="CA84" i="1" s="1"/>
  <c r="BX84" i="1"/>
  <c r="BZ84" i="1" s="1"/>
  <c r="CR83" i="1"/>
  <c r="CT83" i="1" s="1"/>
  <c r="CQ83" i="1"/>
  <c r="CS83" i="1" s="1"/>
  <c r="CU83" i="1" s="1"/>
  <c r="CW83" i="1" l="1"/>
  <c r="CY83" i="1" s="1"/>
  <c r="CV83" i="1"/>
  <c r="CX83" i="1" s="1"/>
  <c r="BH85" i="1"/>
  <c r="BJ85" i="1" s="1"/>
  <c r="BL85" i="1" s="1"/>
  <c r="BI85" i="1"/>
  <c r="BK85" i="1" s="1"/>
  <c r="AN86" i="1"/>
  <c r="AP86" i="1" s="1"/>
  <c r="AR86" i="1" s="1"/>
  <c r="AO86" i="1"/>
  <c r="AQ86" i="1" s="1"/>
  <c r="CB84" i="1"/>
  <c r="CD84" i="1" s="1"/>
  <c r="CF84" i="1" s="1"/>
  <c r="CC84" i="1"/>
  <c r="CE84" i="1" s="1"/>
  <c r="U87" i="1"/>
  <c r="W87" i="1" s="1"/>
  <c r="T87" i="1"/>
  <c r="V87" i="1" s="1"/>
  <c r="X87" i="1" s="1"/>
  <c r="J87" i="1"/>
  <c r="L87" i="1" s="1"/>
  <c r="N87" i="1" s="1"/>
  <c r="K87" i="1"/>
  <c r="M87" i="1" s="1"/>
  <c r="D88" i="1"/>
  <c r="CZ83" i="1" l="1"/>
  <c r="CG84" i="1"/>
  <c r="CI84" i="1" s="1"/>
  <c r="CK84" i="1" s="1"/>
  <c r="CH84" i="1"/>
  <c r="CJ84" i="1" s="1"/>
  <c r="AS86" i="1"/>
  <c r="AU86" i="1" s="1"/>
  <c r="AW86" i="1" s="1"/>
  <c r="AT86" i="1"/>
  <c r="AV86" i="1" s="1"/>
  <c r="BM85" i="1"/>
  <c r="BO85" i="1" s="1"/>
  <c r="BQ85" i="1" s="1"/>
  <c r="BN85" i="1"/>
  <c r="BP85" i="1" s="1"/>
  <c r="P87" i="1"/>
  <c r="R87" i="1" s="1"/>
  <c r="E88" i="1"/>
  <c r="F88" i="1"/>
  <c r="H88" i="1" s="1"/>
  <c r="Y87" i="1"/>
  <c r="AA87" i="1" s="1"/>
  <c r="AC87" i="1" s="1"/>
  <c r="Z87" i="1"/>
  <c r="AB87" i="1" s="1"/>
  <c r="DB83" i="1" l="1"/>
  <c r="DD83" i="1" s="1"/>
  <c r="DA83" i="1"/>
  <c r="DC83" i="1" s="1"/>
  <c r="BS85" i="1"/>
  <c r="BU85" i="1" s="1"/>
  <c r="BR85" i="1"/>
  <c r="BT85" i="1" s="1"/>
  <c r="BV85" i="1" s="1"/>
  <c r="AX86" i="1"/>
  <c r="AZ86" i="1" s="1"/>
  <c r="BB86" i="1" s="1"/>
  <c r="AY86" i="1"/>
  <c r="BA86" i="1" s="1"/>
  <c r="CM84" i="1"/>
  <c r="CO84" i="1" s="1"/>
  <c r="CL84" i="1"/>
  <c r="CN84" i="1" s="1"/>
  <c r="CP84" i="1" s="1"/>
  <c r="O87" i="1"/>
  <c r="AD87" i="1"/>
  <c r="AF87" i="1" s="1"/>
  <c r="AH87" i="1" s="1"/>
  <c r="AE87" i="1"/>
  <c r="AG87" i="1" s="1"/>
  <c r="G88" i="1"/>
  <c r="I88" i="1" s="1"/>
  <c r="Q88" i="1"/>
  <c r="S88" i="1" s="1"/>
  <c r="AJ87" i="1" l="1"/>
  <c r="AL87" i="1" s="1"/>
  <c r="AI87" i="1"/>
  <c r="AK87" i="1" s="1"/>
  <c r="AM87" i="1" s="1"/>
  <c r="BD86" i="1"/>
  <c r="BF86" i="1" s="1"/>
  <c r="BC86" i="1"/>
  <c r="BE86" i="1" s="1"/>
  <c r="BG86" i="1" s="1"/>
  <c r="CQ84" i="1"/>
  <c r="CS84" i="1" s="1"/>
  <c r="CU84" i="1" s="1"/>
  <c r="CR84" i="1"/>
  <c r="CT84" i="1" s="1"/>
  <c r="BW85" i="1"/>
  <c r="BY85" i="1" s="1"/>
  <c r="CA85" i="1" s="1"/>
  <c r="BX85" i="1"/>
  <c r="BZ85" i="1" s="1"/>
  <c r="BI86" i="1" l="1"/>
  <c r="BK86" i="1" s="1"/>
  <c r="BH86" i="1"/>
  <c r="BJ86" i="1" s="1"/>
  <c r="BL86" i="1" s="1"/>
  <c r="AO87" i="1"/>
  <c r="AQ87" i="1" s="1"/>
  <c r="AN87" i="1"/>
  <c r="AP87" i="1" s="1"/>
  <c r="AR87" i="1" s="1"/>
  <c r="CC85" i="1"/>
  <c r="CE85" i="1" s="1"/>
  <c r="CB85" i="1"/>
  <c r="CD85" i="1" s="1"/>
  <c r="CF85" i="1" s="1"/>
  <c r="CV84" i="1"/>
  <c r="CX84" i="1" s="1"/>
  <c r="CW84" i="1"/>
  <c r="CY84" i="1" s="1"/>
  <c r="U88" i="1"/>
  <c r="W88" i="1" s="1"/>
  <c r="T88" i="1"/>
  <c r="V88" i="1" s="1"/>
  <c r="X88" i="1" s="1"/>
  <c r="J88" i="1"/>
  <c r="L88" i="1" s="1"/>
  <c r="N88" i="1" s="1"/>
  <c r="K88" i="1"/>
  <c r="M88" i="1" s="1"/>
  <c r="D89" i="1"/>
  <c r="CZ84" i="1" l="1"/>
  <c r="CH85" i="1"/>
  <c r="CJ85" i="1" s="1"/>
  <c r="CG85" i="1"/>
  <c r="CI85" i="1" s="1"/>
  <c r="CK85" i="1" s="1"/>
  <c r="AS87" i="1"/>
  <c r="AU87" i="1" s="1"/>
  <c r="AW87" i="1" s="1"/>
  <c r="AT87" i="1"/>
  <c r="AV87" i="1" s="1"/>
  <c r="BM86" i="1"/>
  <c r="BO86" i="1" s="1"/>
  <c r="BQ86" i="1" s="1"/>
  <c r="BN86" i="1"/>
  <c r="BP86" i="1" s="1"/>
  <c r="P88" i="1"/>
  <c r="R88" i="1" s="1"/>
  <c r="O88" i="1"/>
  <c r="F89" i="1"/>
  <c r="H89" i="1" s="1"/>
  <c r="E89" i="1"/>
  <c r="Z88" i="1"/>
  <c r="AB88" i="1" s="1"/>
  <c r="Y88" i="1"/>
  <c r="AA88" i="1" s="1"/>
  <c r="AC88" i="1" s="1"/>
  <c r="DA84" i="1" l="1"/>
  <c r="DC84" i="1" s="1"/>
  <c r="DB84" i="1"/>
  <c r="DD84" i="1" s="1"/>
  <c r="BS86" i="1"/>
  <c r="BU86" i="1" s="1"/>
  <c r="BR86" i="1"/>
  <c r="BT86" i="1" s="1"/>
  <c r="BV86" i="1" s="1"/>
  <c r="AY87" i="1"/>
  <c r="BA87" i="1" s="1"/>
  <c r="AX87" i="1"/>
  <c r="AZ87" i="1" s="1"/>
  <c r="BB87" i="1" s="1"/>
  <c r="CM85" i="1"/>
  <c r="CO85" i="1" s="1"/>
  <c r="CL85" i="1"/>
  <c r="CN85" i="1" s="1"/>
  <c r="CP85" i="1" s="1"/>
  <c r="AE88" i="1"/>
  <c r="AG88" i="1" s="1"/>
  <c r="AD88" i="1"/>
  <c r="AF88" i="1" s="1"/>
  <c r="AH88" i="1" s="1"/>
  <c r="G89" i="1"/>
  <c r="I89" i="1" s="1"/>
  <c r="Q89" i="1"/>
  <c r="S89" i="1" s="1"/>
  <c r="AJ88" i="1" l="1"/>
  <c r="AL88" i="1" s="1"/>
  <c r="AI88" i="1"/>
  <c r="AK88" i="1" s="1"/>
  <c r="AM88" i="1" s="1"/>
  <c r="CQ85" i="1"/>
  <c r="CS85" i="1" s="1"/>
  <c r="CU85" i="1" s="1"/>
  <c r="CR85" i="1"/>
  <c r="CT85" i="1" s="1"/>
  <c r="BC87" i="1"/>
  <c r="BE87" i="1" s="1"/>
  <c r="BG87" i="1" s="1"/>
  <c r="BD87" i="1"/>
  <c r="BF87" i="1" s="1"/>
  <c r="BX86" i="1"/>
  <c r="BZ86" i="1" s="1"/>
  <c r="BW86" i="1"/>
  <c r="BY86" i="1" s="1"/>
  <c r="CA86" i="1" s="1"/>
  <c r="CB86" i="1" l="1"/>
  <c r="CD86" i="1" s="1"/>
  <c r="CF86" i="1" s="1"/>
  <c r="CC86" i="1"/>
  <c r="CE86" i="1" s="1"/>
  <c r="AN88" i="1"/>
  <c r="AP88" i="1" s="1"/>
  <c r="AR88" i="1" s="1"/>
  <c r="AO88" i="1"/>
  <c r="AQ88" i="1" s="1"/>
  <c r="BH87" i="1"/>
  <c r="BJ87" i="1" s="1"/>
  <c r="BL87" i="1" s="1"/>
  <c r="BI87" i="1"/>
  <c r="BK87" i="1" s="1"/>
  <c r="CV85" i="1"/>
  <c r="CX85" i="1" s="1"/>
  <c r="CZ85" i="1" s="1"/>
  <c r="CW85" i="1"/>
  <c r="CY85" i="1" s="1"/>
  <c r="J89" i="1"/>
  <c r="L89" i="1" s="1"/>
  <c r="N89" i="1" s="1"/>
  <c r="K89" i="1"/>
  <c r="M89" i="1" s="1"/>
  <c r="D90" i="1"/>
  <c r="T89" i="1"/>
  <c r="V89" i="1" s="1"/>
  <c r="X89" i="1" s="1"/>
  <c r="U89" i="1"/>
  <c r="W89" i="1" s="1"/>
  <c r="DA85" i="1" l="1"/>
  <c r="DC85" i="1" s="1"/>
  <c r="DB85" i="1"/>
  <c r="DD85" i="1" s="1"/>
  <c r="BM87" i="1"/>
  <c r="BO87" i="1" s="1"/>
  <c r="BQ87" i="1" s="1"/>
  <c r="BN87" i="1"/>
  <c r="BP87" i="1" s="1"/>
  <c r="AS88" i="1"/>
  <c r="AU88" i="1" s="1"/>
  <c r="AW88" i="1" s="1"/>
  <c r="AT88" i="1"/>
  <c r="AV88" i="1" s="1"/>
  <c r="CH86" i="1"/>
  <c r="CJ86" i="1" s="1"/>
  <c r="CG86" i="1"/>
  <c r="CI86" i="1" s="1"/>
  <c r="CK86" i="1" s="1"/>
  <c r="O89" i="1"/>
  <c r="P89" i="1"/>
  <c r="R89" i="1" s="1"/>
  <c r="E90" i="1"/>
  <c r="F90" i="1"/>
  <c r="H90" i="1" s="1"/>
  <c r="Y89" i="1"/>
  <c r="AA89" i="1" s="1"/>
  <c r="AC89" i="1" s="1"/>
  <c r="Z89" i="1"/>
  <c r="AB89" i="1" s="1"/>
  <c r="AY88" i="1" l="1"/>
  <c r="BA88" i="1" s="1"/>
  <c r="AX88" i="1"/>
  <c r="AZ88" i="1" s="1"/>
  <c r="BB88" i="1" s="1"/>
  <c r="BR87" i="1"/>
  <c r="BT87" i="1" s="1"/>
  <c r="BV87" i="1" s="1"/>
  <c r="BS87" i="1"/>
  <c r="BU87" i="1" s="1"/>
  <c r="CM86" i="1"/>
  <c r="CO86" i="1" s="1"/>
  <c r="CL86" i="1"/>
  <c r="CN86" i="1" s="1"/>
  <c r="CP86" i="1" s="1"/>
  <c r="AE89" i="1"/>
  <c r="AG89" i="1" s="1"/>
  <c r="AD89" i="1"/>
  <c r="AF89" i="1" s="1"/>
  <c r="AH89" i="1" s="1"/>
  <c r="G90" i="1"/>
  <c r="I90" i="1" s="1"/>
  <c r="Q90" i="1"/>
  <c r="S90" i="1" s="1"/>
  <c r="BW87" i="1" l="1"/>
  <c r="BY87" i="1" s="1"/>
  <c r="CA87" i="1" s="1"/>
  <c r="BX87" i="1"/>
  <c r="BZ87" i="1" s="1"/>
  <c r="AJ89" i="1"/>
  <c r="AL89" i="1" s="1"/>
  <c r="AI89" i="1"/>
  <c r="AK89" i="1" s="1"/>
  <c r="AM89" i="1" s="1"/>
  <c r="CQ86" i="1"/>
  <c r="CS86" i="1" s="1"/>
  <c r="CU86" i="1" s="1"/>
  <c r="CR86" i="1"/>
  <c r="CT86" i="1" s="1"/>
  <c r="BD88" i="1"/>
  <c r="BF88" i="1" s="1"/>
  <c r="BC88" i="1"/>
  <c r="BE88" i="1" s="1"/>
  <c r="BG88" i="1" s="1"/>
  <c r="BH88" i="1" l="1"/>
  <c r="BJ88" i="1" s="1"/>
  <c r="BL88" i="1" s="1"/>
  <c r="BI88" i="1"/>
  <c r="BK88" i="1" s="1"/>
  <c r="AN89" i="1"/>
  <c r="AP89" i="1" s="1"/>
  <c r="AR89" i="1" s="1"/>
  <c r="AO89" i="1"/>
  <c r="AQ89" i="1" s="1"/>
  <c r="CC87" i="1"/>
  <c r="CE87" i="1" s="1"/>
  <c r="CB87" i="1"/>
  <c r="CD87" i="1" s="1"/>
  <c r="CF87" i="1" s="1"/>
  <c r="CW86" i="1"/>
  <c r="CY86" i="1" s="1"/>
  <c r="CV86" i="1"/>
  <c r="CX86" i="1" s="1"/>
  <c r="U90" i="1"/>
  <c r="W90" i="1" s="1"/>
  <c r="T90" i="1"/>
  <c r="V90" i="1" s="1"/>
  <c r="X90" i="1" s="1"/>
  <c r="K90" i="1"/>
  <c r="M90" i="1" s="1"/>
  <c r="J90" i="1"/>
  <c r="L90" i="1" s="1"/>
  <c r="N90" i="1" s="1"/>
  <c r="D91" i="1"/>
  <c r="CZ86" i="1" l="1"/>
  <c r="AT89" i="1"/>
  <c r="AV89" i="1" s="1"/>
  <c r="AS89" i="1"/>
  <c r="AU89" i="1" s="1"/>
  <c r="AW89" i="1" s="1"/>
  <c r="BN88" i="1"/>
  <c r="BP88" i="1" s="1"/>
  <c r="BM88" i="1"/>
  <c r="BO88" i="1" s="1"/>
  <c r="BQ88" i="1" s="1"/>
  <c r="CG87" i="1"/>
  <c r="CI87" i="1" s="1"/>
  <c r="CK87" i="1" s="1"/>
  <c r="CH87" i="1"/>
  <c r="CJ87" i="1" s="1"/>
  <c r="P90" i="1"/>
  <c r="R90" i="1" s="1"/>
  <c r="Y90" i="1"/>
  <c r="AA90" i="1" s="1"/>
  <c r="AC90" i="1" s="1"/>
  <c r="Z90" i="1"/>
  <c r="AB90" i="1" s="1"/>
  <c r="F91" i="1"/>
  <c r="H91" i="1" s="1"/>
  <c r="E91" i="1"/>
  <c r="DB86" i="1" l="1"/>
  <c r="DD86" i="1" s="1"/>
  <c r="DA86" i="1"/>
  <c r="DC86" i="1" s="1"/>
  <c r="CM87" i="1"/>
  <c r="CO87" i="1" s="1"/>
  <c r="CL87" i="1"/>
  <c r="CN87" i="1" s="1"/>
  <c r="CP87" i="1" s="1"/>
  <c r="BR88" i="1"/>
  <c r="BT88" i="1" s="1"/>
  <c r="BV88" i="1" s="1"/>
  <c r="BS88" i="1"/>
  <c r="BU88" i="1" s="1"/>
  <c r="AX89" i="1"/>
  <c r="AZ89" i="1" s="1"/>
  <c r="BB89" i="1" s="1"/>
  <c r="AY89" i="1"/>
  <c r="BA89" i="1" s="1"/>
  <c r="O90" i="1"/>
  <c r="AD90" i="1"/>
  <c r="AF90" i="1" s="1"/>
  <c r="AH90" i="1" s="1"/>
  <c r="AE90" i="1"/>
  <c r="AG90" i="1" s="1"/>
  <c r="Q91" i="1"/>
  <c r="S91" i="1" s="1"/>
  <c r="G91" i="1"/>
  <c r="I91" i="1" s="1"/>
  <c r="BC89" i="1" l="1"/>
  <c r="BE89" i="1" s="1"/>
  <c r="BG89" i="1" s="1"/>
  <c r="BD89" i="1"/>
  <c r="BF89" i="1" s="1"/>
  <c r="BX88" i="1"/>
  <c r="BZ88" i="1" s="1"/>
  <c r="BW88" i="1"/>
  <c r="BY88" i="1" s="1"/>
  <c r="CA88" i="1" s="1"/>
  <c r="AJ90" i="1"/>
  <c r="AL90" i="1" s="1"/>
  <c r="AI90" i="1"/>
  <c r="AK90" i="1" s="1"/>
  <c r="AM90" i="1" s="1"/>
  <c r="CQ87" i="1"/>
  <c r="CS87" i="1" s="1"/>
  <c r="CU87" i="1" s="1"/>
  <c r="CR87" i="1"/>
  <c r="CT87" i="1" s="1"/>
  <c r="AN90" i="1" l="1"/>
  <c r="AP90" i="1" s="1"/>
  <c r="AR90" i="1" s="1"/>
  <c r="AO90" i="1"/>
  <c r="AQ90" i="1" s="1"/>
  <c r="BI89" i="1"/>
  <c r="BK89" i="1" s="1"/>
  <c r="BH89" i="1"/>
  <c r="BJ89" i="1" s="1"/>
  <c r="BL89" i="1" s="1"/>
  <c r="CV87" i="1"/>
  <c r="CX87" i="1" s="1"/>
  <c r="CW87" i="1"/>
  <c r="CY87" i="1" s="1"/>
  <c r="CB88" i="1"/>
  <c r="CD88" i="1" s="1"/>
  <c r="CF88" i="1" s="1"/>
  <c r="CC88" i="1"/>
  <c r="CE88" i="1" s="1"/>
  <c r="J91" i="1"/>
  <c r="L91" i="1" s="1"/>
  <c r="N91" i="1" s="1"/>
  <c r="K91" i="1"/>
  <c r="M91" i="1" s="1"/>
  <c r="D92" i="1"/>
  <c r="U91" i="1"/>
  <c r="W91" i="1" s="1"/>
  <c r="T91" i="1"/>
  <c r="V91" i="1" s="1"/>
  <c r="X91" i="1" s="1"/>
  <c r="CZ87" i="1" l="1"/>
  <c r="CG88" i="1"/>
  <c r="CI88" i="1" s="1"/>
  <c r="CK88" i="1" s="1"/>
  <c r="CH88" i="1"/>
  <c r="CJ88" i="1" s="1"/>
  <c r="DA87" i="1"/>
  <c r="DC87" i="1" s="1"/>
  <c r="DB87" i="1"/>
  <c r="DD87" i="1" s="1"/>
  <c r="AT90" i="1"/>
  <c r="AV90" i="1" s="1"/>
  <c r="AS90" i="1"/>
  <c r="AU90" i="1" s="1"/>
  <c r="AW90" i="1" s="1"/>
  <c r="BN89" i="1"/>
  <c r="BP89" i="1" s="1"/>
  <c r="BM89" i="1"/>
  <c r="BO89" i="1" s="1"/>
  <c r="BQ89" i="1" s="1"/>
  <c r="P91" i="1"/>
  <c r="R91" i="1" s="1"/>
  <c r="Y91" i="1"/>
  <c r="AA91" i="1" s="1"/>
  <c r="AC91" i="1" s="1"/>
  <c r="Z91" i="1"/>
  <c r="AB91" i="1" s="1"/>
  <c r="E92" i="1"/>
  <c r="F92" i="1"/>
  <c r="H92" i="1" s="1"/>
  <c r="CM88" i="1" l="1"/>
  <c r="CO88" i="1" s="1"/>
  <c r="CL88" i="1"/>
  <c r="CN88" i="1" s="1"/>
  <c r="CP88" i="1" s="1"/>
  <c r="BR89" i="1"/>
  <c r="BT89" i="1" s="1"/>
  <c r="BV89" i="1" s="1"/>
  <c r="BS89" i="1"/>
  <c r="BU89" i="1" s="1"/>
  <c r="AX90" i="1"/>
  <c r="AZ90" i="1" s="1"/>
  <c r="BB90" i="1" s="1"/>
  <c r="AY90" i="1"/>
  <c r="BA90" i="1" s="1"/>
  <c r="O91" i="1"/>
  <c r="AD91" i="1"/>
  <c r="AF91" i="1" s="1"/>
  <c r="AH91" i="1" s="1"/>
  <c r="AE91" i="1"/>
  <c r="AG91" i="1" s="1"/>
  <c r="Q92" i="1"/>
  <c r="S92" i="1" s="1"/>
  <c r="G92" i="1"/>
  <c r="I92" i="1" s="1"/>
  <c r="BC90" i="1" l="1"/>
  <c r="BE90" i="1" s="1"/>
  <c r="BG90" i="1" s="1"/>
  <c r="BD90" i="1"/>
  <c r="BF90" i="1" s="1"/>
  <c r="BW89" i="1"/>
  <c r="BY89" i="1" s="1"/>
  <c r="CA89" i="1" s="1"/>
  <c r="BX89" i="1"/>
  <c r="BZ89" i="1" s="1"/>
  <c r="AI91" i="1"/>
  <c r="AK91" i="1" s="1"/>
  <c r="AM91" i="1" s="1"/>
  <c r="AJ91" i="1"/>
  <c r="AL91" i="1" s="1"/>
  <c r="CQ88" i="1"/>
  <c r="CS88" i="1" s="1"/>
  <c r="CU88" i="1" s="1"/>
  <c r="CR88" i="1"/>
  <c r="CT88" i="1" s="1"/>
  <c r="CB89" i="1" l="1"/>
  <c r="CD89" i="1" s="1"/>
  <c r="CF89" i="1" s="1"/>
  <c r="CC89" i="1"/>
  <c r="CE89" i="1" s="1"/>
  <c r="BH90" i="1"/>
  <c r="BJ90" i="1" s="1"/>
  <c r="BL90" i="1" s="1"/>
  <c r="BI90" i="1"/>
  <c r="BK90" i="1" s="1"/>
  <c r="CW88" i="1"/>
  <c r="CY88" i="1" s="1"/>
  <c r="CV88" i="1"/>
  <c r="CX88" i="1" s="1"/>
  <c r="AN91" i="1"/>
  <c r="AP91" i="1" s="1"/>
  <c r="AR91" i="1" s="1"/>
  <c r="AO91" i="1"/>
  <c r="AQ91" i="1" s="1"/>
  <c r="J92" i="1"/>
  <c r="L92" i="1" s="1"/>
  <c r="N92" i="1" s="1"/>
  <c r="K92" i="1"/>
  <c r="M92" i="1" s="1"/>
  <c r="D93" i="1"/>
  <c r="T92" i="1"/>
  <c r="V92" i="1" s="1"/>
  <c r="X92" i="1" s="1"/>
  <c r="U92" i="1"/>
  <c r="W92" i="1" s="1"/>
  <c r="CZ88" i="1" l="1"/>
  <c r="AT91" i="1"/>
  <c r="AV91" i="1" s="1"/>
  <c r="AS91" i="1"/>
  <c r="AU91" i="1" s="1"/>
  <c r="AW91" i="1" s="1"/>
  <c r="BM90" i="1"/>
  <c r="BO90" i="1" s="1"/>
  <c r="BQ90" i="1" s="1"/>
  <c r="BN90" i="1"/>
  <c r="BP90" i="1" s="1"/>
  <c r="CH89" i="1"/>
  <c r="CJ89" i="1" s="1"/>
  <c r="CG89" i="1"/>
  <c r="CI89" i="1" s="1"/>
  <c r="CK89" i="1" s="1"/>
  <c r="P92" i="1"/>
  <c r="R92" i="1" s="1"/>
  <c r="Y92" i="1"/>
  <c r="AA92" i="1" s="1"/>
  <c r="AC92" i="1" s="1"/>
  <c r="Z92" i="1"/>
  <c r="AB92" i="1" s="1"/>
  <c r="E93" i="1"/>
  <c r="F93" i="1"/>
  <c r="H93" i="1" s="1"/>
  <c r="DB88" i="1" l="1"/>
  <c r="DD88" i="1" s="1"/>
  <c r="DA88" i="1"/>
  <c r="DC88" i="1" s="1"/>
  <c r="BS90" i="1"/>
  <c r="BU90" i="1" s="1"/>
  <c r="BR90" i="1"/>
  <c r="BT90" i="1" s="1"/>
  <c r="BV90" i="1" s="1"/>
  <c r="CL89" i="1"/>
  <c r="CN89" i="1" s="1"/>
  <c r="CP89" i="1" s="1"/>
  <c r="CM89" i="1"/>
  <c r="CO89" i="1" s="1"/>
  <c r="AY91" i="1"/>
  <c r="BA91" i="1" s="1"/>
  <c r="AX91" i="1"/>
  <c r="AZ91" i="1" s="1"/>
  <c r="BB91" i="1" s="1"/>
  <c r="O92" i="1"/>
  <c r="AE92" i="1"/>
  <c r="AG92" i="1" s="1"/>
  <c r="AD92" i="1"/>
  <c r="AF92" i="1" s="1"/>
  <c r="AH92" i="1" s="1"/>
  <c r="G93" i="1"/>
  <c r="I93" i="1" s="1"/>
  <c r="Q93" i="1"/>
  <c r="S93" i="1" s="1"/>
  <c r="BC91" i="1" l="1"/>
  <c r="BE91" i="1" s="1"/>
  <c r="BG91" i="1" s="1"/>
  <c r="BD91" i="1"/>
  <c r="BF91" i="1" s="1"/>
  <c r="BW90" i="1"/>
  <c r="BY90" i="1" s="1"/>
  <c r="CA90" i="1" s="1"/>
  <c r="BX90" i="1"/>
  <c r="BZ90" i="1" s="1"/>
  <c r="AJ92" i="1"/>
  <c r="AL92" i="1" s="1"/>
  <c r="AI92" i="1"/>
  <c r="AK92" i="1" s="1"/>
  <c r="AM92" i="1" s="1"/>
  <c r="CR89" i="1"/>
  <c r="CT89" i="1" s="1"/>
  <c r="CQ89" i="1"/>
  <c r="CS89" i="1" s="1"/>
  <c r="CU89" i="1" s="1"/>
  <c r="AN92" i="1" l="1"/>
  <c r="AP92" i="1" s="1"/>
  <c r="AR92" i="1" s="1"/>
  <c r="AO92" i="1"/>
  <c r="AQ92" i="1" s="1"/>
  <c r="CC90" i="1"/>
  <c r="CE90" i="1" s="1"/>
  <c r="CB90" i="1"/>
  <c r="CD90" i="1" s="1"/>
  <c r="CF90" i="1" s="1"/>
  <c r="BI91" i="1"/>
  <c r="BK91" i="1" s="1"/>
  <c r="BH91" i="1"/>
  <c r="BJ91" i="1" s="1"/>
  <c r="BL91" i="1" s="1"/>
  <c r="CW89" i="1"/>
  <c r="CY89" i="1" s="1"/>
  <c r="CV89" i="1"/>
  <c r="CX89" i="1" s="1"/>
  <c r="J93" i="1"/>
  <c r="L93" i="1" s="1"/>
  <c r="N93" i="1" s="1"/>
  <c r="K93" i="1"/>
  <c r="M93" i="1" s="1"/>
  <c r="D94" i="1"/>
  <c r="U93" i="1"/>
  <c r="W93" i="1" s="1"/>
  <c r="T93" i="1"/>
  <c r="V93" i="1" s="1"/>
  <c r="X93" i="1" s="1"/>
  <c r="CZ89" i="1" l="1"/>
  <c r="AS92" i="1"/>
  <c r="AU92" i="1" s="1"/>
  <c r="AW92" i="1" s="1"/>
  <c r="AT92" i="1"/>
  <c r="AV92" i="1" s="1"/>
  <c r="BN91" i="1"/>
  <c r="BP91" i="1" s="1"/>
  <c r="BM91" i="1"/>
  <c r="BO91" i="1" s="1"/>
  <c r="BQ91" i="1" s="1"/>
  <c r="CH90" i="1"/>
  <c r="CJ90" i="1" s="1"/>
  <c r="CG90" i="1"/>
  <c r="CI90" i="1" s="1"/>
  <c r="CK90" i="1" s="1"/>
  <c r="P93" i="1"/>
  <c r="R93" i="1" s="1"/>
  <c r="Y93" i="1"/>
  <c r="AA93" i="1" s="1"/>
  <c r="AC93" i="1" s="1"/>
  <c r="Z93" i="1"/>
  <c r="AB93" i="1" s="1"/>
  <c r="E94" i="1"/>
  <c r="F94" i="1"/>
  <c r="H94" i="1" s="1"/>
  <c r="DA89" i="1" l="1"/>
  <c r="DC89" i="1" s="1"/>
  <c r="DB89" i="1"/>
  <c r="DD89" i="1" s="1"/>
  <c r="AX92" i="1"/>
  <c r="AZ92" i="1" s="1"/>
  <c r="BB92" i="1" s="1"/>
  <c r="AY92" i="1"/>
  <c r="BA92" i="1" s="1"/>
  <c r="CL90" i="1"/>
  <c r="CN90" i="1" s="1"/>
  <c r="CP90" i="1" s="1"/>
  <c r="CM90" i="1"/>
  <c r="CO90" i="1" s="1"/>
  <c r="BS91" i="1"/>
  <c r="BU91" i="1" s="1"/>
  <c r="BR91" i="1"/>
  <c r="BT91" i="1" s="1"/>
  <c r="BV91" i="1" s="1"/>
  <c r="O93" i="1"/>
  <c r="AD93" i="1"/>
  <c r="AF93" i="1" s="1"/>
  <c r="AH93" i="1" s="1"/>
  <c r="AE93" i="1"/>
  <c r="AG93" i="1" s="1"/>
  <c r="Q94" i="1"/>
  <c r="S94" i="1" s="1"/>
  <c r="G94" i="1"/>
  <c r="I94" i="1" s="1"/>
  <c r="AJ93" i="1" l="1"/>
  <c r="AL93" i="1" s="1"/>
  <c r="AI93" i="1"/>
  <c r="AK93" i="1" s="1"/>
  <c r="AM93" i="1" s="1"/>
  <c r="BX91" i="1"/>
  <c r="BZ91" i="1" s="1"/>
  <c r="BW91" i="1"/>
  <c r="BY91" i="1" s="1"/>
  <c r="CA91" i="1" s="1"/>
  <c r="CQ90" i="1"/>
  <c r="CS90" i="1" s="1"/>
  <c r="CU90" i="1" s="1"/>
  <c r="CR90" i="1"/>
  <c r="CT90" i="1" s="1"/>
  <c r="BC92" i="1"/>
  <c r="BE92" i="1" s="1"/>
  <c r="BG92" i="1" s="1"/>
  <c r="BD92" i="1"/>
  <c r="BF92" i="1" s="1"/>
  <c r="CB91" i="1" l="1"/>
  <c r="CD91" i="1" s="1"/>
  <c r="CF91" i="1" s="1"/>
  <c r="CC91" i="1"/>
  <c r="CE91" i="1" s="1"/>
  <c r="AO93" i="1"/>
  <c r="AQ93" i="1" s="1"/>
  <c r="AN93" i="1"/>
  <c r="AP93" i="1" s="1"/>
  <c r="AR93" i="1" s="1"/>
  <c r="BH92" i="1"/>
  <c r="BJ92" i="1" s="1"/>
  <c r="BL92" i="1" s="1"/>
  <c r="BI92" i="1"/>
  <c r="BK92" i="1" s="1"/>
  <c r="CV90" i="1"/>
  <c r="CX90" i="1" s="1"/>
  <c r="CW90" i="1"/>
  <c r="CY90" i="1" s="1"/>
  <c r="K94" i="1"/>
  <c r="M94" i="1" s="1"/>
  <c r="J94" i="1"/>
  <c r="L94" i="1" s="1"/>
  <c r="N94" i="1" s="1"/>
  <c r="D95" i="1"/>
  <c r="U94" i="1"/>
  <c r="W94" i="1" s="1"/>
  <c r="T94" i="1"/>
  <c r="V94" i="1" s="1"/>
  <c r="X94" i="1" s="1"/>
  <c r="CZ90" i="1" l="1"/>
  <c r="DA90" i="1" s="1"/>
  <c r="DC90" i="1" s="1"/>
  <c r="DB90" i="1"/>
  <c r="DD90" i="1" s="1"/>
  <c r="BN92" i="1"/>
  <c r="BP92" i="1" s="1"/>
  <c r="BM92" i="1"/>
  <c r="BO92" i="1" s="1"/>
  <c r="BQ92" i="1" s="1"/>
  <c r="CH91" i="1"/>
  <c r="CJ91" i="1" s="1"/>
  <c r="CG91" i="1"/>
  <c r="CI91" i="1" s="1"/>
  <c r="CK91" i="1" s="1"/>
  <c r="AS93" i="1"/>
  <c r="AU93" i="1" s="1"/>
  <c r="AW93" i="1" s="1"/>
  <c r="AT93" i="1"/>
  <c r="AV93" i="1" s="1"/>
  <c r="P94" i="1"/>
  <c r="R94" i="1" s="1"/>
  <c r="Y94" i="1"/>
  <c r="AA94" i="1" s="1"/>
  <c r="AC94" i="1" s="1"/>
  <c r="Z94" i="1"/>
  <c r="AB94" i="1" s="1"/>
  <c r="E95" i="1"/>
  <c r="F95" i="1"/>
  <c r="H95" i="1" s="1"/>
  <c r="AY93" i="1" l="1"/>
  <c r="BA93" i="1" s="1"/>
  <c r="AX93" i="1"/>
  <c r="AZ93" i="1" s="1"/>
  <c r="BB93" i="1" s="1"/>
  <c r="CL91" i="1"/>
  <c r="CN91" i="1" s="1"/>
  <c r="CP91" i="1" s="1"/>
  <c r="CM91" i="1"/>
  <c r="CO91" i="1" s="1"/>
  <c r="BS92" i="1"/>
  <c r="BU92" i="1" s="1"/>
  <c r="BR92" i="1"/>
  <c r="BT92" i="1" s="1"/>
  <c r="BV92" i="1" s="1"/>
  <c r="O94" i="1"/>
  <c r="AD94" i="1"/>
  <c r="AF94" i="1" s="1"/>
  <c r="AH94" i="1" s="1"/>
  <c r="AE94" i="1"/>
  <c r="AG94" i="1" s="1"/>
  <c r="Q95" i="1"/>
  <c r="S95" i="1" s="1"/>
  <c r="G95" i="1"/>
  <c r="I95" i="1" s="1"/>
  <c r="CQ91" i="1" l="1"/>
  <c r="CS91" i="1" s="1"/>
  <c r="CU91" i="1" s="1"/>
  <c r="CR91" i="1"/>
  <c r="CT91" i="1" s="1"/>
  <c r="AJ94" i="1"/>
  <c r="AL94" i="1" s="1"/>
  <c r="AI94" i="1"/>
  <c r="AK94" i="1" s="1"/>
  <c r="AM94" i="1" s="1"/>
  <c r="BX92" i="1"/>
  <c r="BZ92" i="1" s="1"/>
  <c r="BW92" i="1"/>
  <c r="BY92" i="1" s="1"/>
  <c r="CA92" i="1" s="1"/>
  <c r="BD93" i="1"/>
  <c r="BF93" i="1" s="1"/>
  <c r="BC93" i="1"/>
  <c r="BE93" i="1" s="1"/>
  <c r="BG93" i="1" s="1"/>
  <c r="CB92" i="1" l="1"/>
  <c r="CD92" i="1" s="1"/>
  <c r="CF92" i="1" s="1"/>
  <c r="CC92" i="1"/>
  <c r="CE92" i="1" s="1"/>
  <c r="AN94" i="1"/>
  <c r="AP94" i="1" s="1"/>
  <c r="AR94" i="1" s="1"/>
  <c r="AO94" i="1"/>
  <c r="AQ94" i="1" s="1"/>
  <c r="CW91" i="1"/>
  <c r="CY91" i="1" s="1"/>
  <c r="CV91" i="1"/>
  <c r="CX91" i="1" s="1"/>
  <c r="BI93" i="1"/>
  <c r="BK93" i="1" s="1"/>
  <c r="BH93" i="1"/>
  <c r="BJ93" i="1" s="1"/>
  <c r="BL93" i="1" s="1"/>
  <c r="J95" i="1"/>
  <c r="L95" i="1" s="1"/>
  <c r="N95" i="1" s="1"/>
  <c r="K95" i="1"/>
  <c r="M95" i="1" s="1"/>
  <c r="D96" i="1"/>
  <c r="U95" i="1"/>
  <c r="W95" i="1" s="1"/>
  <c r="T95" i="1"/>
  <c r="V95" i="1" s="1"/>
  <c r="X95" i="1" s="1"/>
  <c r="CZ91" i="1" l="1"/>
  <c r="AS94" i="1"/>
  <c r="AU94" i="1" s="1"/>
  <c r="AW94" i="1" s="1"/>
  <c r="AT94" i="1"/>
  <c r="AV94" i="1" s="1"/>
  <c r="CH92" i="1"/>
  <c r="CJ92" i="1" s="1"/>
  <c r="CG92" i="1"/>
  <c r="CI92" i="1" s="1"/>
  <c r="CK92" i="1" s="1"/>
  <c r="BM93" i="1"/>
  <c r="BO93" i="1" s="1"/>
  <c r="BQ93" i="1" s="1"/>
  <c r="BN93" i="1"/>
  <c r="BP93" i="1" s="1"/>
  <c r="P95" i="1"/>
  <c r="R95" i="1" s="1"/>
  <c r="O95" i="1"/>
  <c r="Y95" i="1"/>
  <c r="AA95" i="1" s="1"/>
  <c r="AC95" i="1" s="1"/>
  <c r="Z95" i="1"/>
  <c r="AB95" i="1" s="1"/>
  <c r="F96" i="1"/>
  <c r="H96" i="1" s="1"/>
  <c r="E96" i="1"/>
  <c r="DB91" i="1" l="1"/>
  <c r="DD91" i="1" s="1"/>
  <c r="DA91" i="1"/>
  <c r="DC91" i="1" s="1"/>
  <c r="BR93" i="1"/>
  <c r="BT93" i="1" s="1"/>
  <c r="BV93" i="1" s="1"/>
  <c r="BS93" i="1"/>
  <c r="BU93" i="1" s="1"/>
  <c r="AY94" i="1"/>
  <c r="BA94" i="1" s="1"/>
  <c r="AX94" i="1"/>
  <c r="AZ94" i="1" s="1"/>
  <c r="BB94" i="1" s="1"/>
  <c r="CM92" i="1"/>
  <c r="CO92" i="1" s="1"/>
  <c r="CL92" i="1"/>
  <c r="CN92" i="1" s="1"/>
  <c r="CP92" i="1" s="1"/>
  <c r="AE95" i="1"/>
  <c r="AG95" i="1" s="1"/>
  <c r="AD95" i="1"/>
  <c r="AF95" i="1" s="1"/>
  <c r="AH95" i="1" s="1"/>
  <c r="Q96" i="1"/>
  <c r="S96" i="1" s="1"/>
  <c r="G96" i="1"/>
  <c r="I96" i="1" s="1"/>
  <c r="BW93" i="1" l="1"/>
  <c r="BY93" i="1" s="1"/>
  <c r="CA93" i="1" s="1"/>
  <c r="BX93" i="1"/>
  <c r="BZ93" i="1" s="1"/>
  <c r="AJ95" i="1"/>
  <c r="AL95" i="1" s="1"/>
  <c r="AI95" i="1"/>
  <c r="AK95" i="1" s="1"/>
  <c r="AM95" i="1" s="1"/>
  <c r="CR92" i="1"/>
  <c r="CT92" i="1" s="1"/>
  <c r="CQ92" i="1"/>
  <c r="CS92" i="1" s="1"/>
  <c r="CU92" i="1" s="1"/>
  <c r="BD94" i="1"/>
  <c r="BF94" i="1" s="1"/>
  <c r="BC94" i="1"/>
  <c r="BE94" i="1" s="1"/>
  <c r="BG94" i="1" s="1"/>
  <c r="CW92" i="1" l="1"/>
  <c r="CY92" i="1" s="1"/>
  <c r="CV92" i="1"/>
  <c r="CX92" i="1" s="1"/>
  <c r="AN95" i="1"/>
  <c r="AP95" i="1" s="1"/>
  <c r="AR95" i="1" s="1"/>
  <c r="AO95" i="1"/>
  <c r="AQ95" i="1" s="1"/>
  <c r="CC93" i="1"/>
  <c r="CE93" i="1" s="1"/>
  <c r="CB93" i="1"/>
  <c r="CD93" i="1" s="1"/>
  <c r="CF93" i="1" s="1"/>
  <c r="BH94" i="1"/>
  <c r="BJ94" i="1" s="1"/>
  <c r="BL94" i="1" s="1"/>
  <c r="BI94" i="1"/>
  <c r="BK94" i="1" s="1"/>
  <c r="J96" i="1"/>
  <c r="L96" i="1" s="1"/>
  <c r="K96" i="1"/>
  <c r="M96" i="1" s="1"/>
  <c r="D97" i="1"/>
  <c r="U96" i="1"/>
  <c r="W96" i="1" s="1"/>
  <c r="T96" i="1"/>
  <c r="V96" i="1" s="1"/>
  <c r="X96" i="1" s="1"/>
  <c r="CZ92" i="1" l="1"/>
  <c r="N96" i="1"/>
  <c r="P96" i="1" s="1"/>
  <c r="R96" i="1" s="1"/>
  <c r="BN94" i="1"/>
  <c r="BP94" i="1" s="1"/>
  <c r="BM94" i="1"/>
  <c r="BO94" i="1" s="1"/>
  <c r="BQ94" i="1" s="1"/>
  <c r="AS95" i="1"/>
  <c r="AU95" i="1" s="1"/>
  <c r="AW95" i="1" s="1"/>
  <c r="AT95" i="1"/>
  <c r="AV95" i="1" s="1"/>
  <c r="CH93" i="1"/>
  <c r="CJ93" i="1" s="1"/>
  <c r="CG93" i="1"/>
  <c r="CI93" i="1" s="1"/>
  <c r="CK93" i="1" s="1"/>
  <c r="Y96" i="1"/>
  <c r="AA96" i="1" s="1"/>
  <c r="AC96" i="1" s="1"/>
  <c r="Z96" i="1"/>
  <c r="AB96" i="1" s="1"/>
  <c r="E97" i="1"/>
  <c r="F97" i="1"/>
  <c r="H97" i="1" s="1"/>
  <c r="O96" i="1" l="1"/>
  <c r="DB92" i="1"/>
  <c r="DD92" i="1" s="1"/>
  <c r="DA92" i="1"/>
  <c r="DC92" i="1" s="1"/>
  <c r="AX95" i="1"/>
  <c r="AZ95" i="1" s="1"/>
  <c r="BB95" i="1" s="1"/>
  <c r="AY95" i="1"/>
  <c r="BA95" i="1" s="1"/>
  <c r="CL93" i="1"/>
  <c r="CN93" i="1" s="1"/>
  <c r="CP93" i="1" s="1"/>
  <c r="CM93" i="1"/>
  <c r="CO93" i="1" s="1"/>
  <c r="BR94" i="1"/>
  <c r="BT94" i="1" s="1"/>
  <c r="BV94" i="1" s="1"/>
  <c r="BS94" i="1"/>
  <c r="BU94" i="1" s="1"/>
  <c r="AD96" i="1"/>
  <c r="AF96" i="1" s="1"/>
  <c r="AH96" i="1" s="1"/>
  <c r="AE96" i="1"/>
  <c r="AG96" i="1" s="1"/>
  <c r="Q97" i="1"/>
  <c r="S97" i="1" s="1"/>
  <c r="G97" i="1"/>
  <c r="I97" i="1" s="1"/>
  <c r="AJ96" i="1" l="1"/>
  <c r="AL96" i="1" s="1"/>
  <c r="AI96" i="1"/>
  <c r="AK96" i="1" s="1"/>
  <c r="AM96" i="1" s="1"/>
  <c r="BW94" i="1"/>
  <c r="BY94" i="1" s="1"/>
  <c r="CA94" i="1" s="1"/>
  <c r="BX94" i="1"/>
  <c r="BZ94" i="1" s="1"/>
  <c r="CR93" i="1"/>
  <c r="CT93" i="1" s="1"/>
  <c r="CQ93" i="1"/>
  <c r="CS93" i="1" s="1"/>
  <c r="CU93" i="1" s="1"/>
  <c r="BC95" i="1"/>
  <c r="BE95" i="1" s="1"/>
  <c r="BG95" i="1" s="1"/>
  <c r="BD95" i="1"/>
  <c r="BF95" i="1" s="1"/>
  <c r="CW93" i="1" l="1"/>
  <c r="CY93" i="1" s="1"/>
  <c r="CV93" i="1"/>
  <c r="CX93" i="1" s="1"/>
  <c r="AO96" i="1"/>
  <c r="AQ96" i="1" s="1"/>
  <c r="AN96" i="1"/>
  <c r="AP96" i="1" s="1"/>
  <c r="AR96" i="1" s="1"/>
  <c r="BI95" i="1"/>
  <c r="BK95" i="1" s="1"/>
  <c r="BH95" i="1"/>
  <c r="BJ95" i="1" s="1"/>
  <c r="BL95" i="1" s="1"/>
  <c r="CB94" i="1"/>
  <c r="CD94" i="1" s="1"/>
  <c r="CF94" i="1" s="1"/>
  <c r="CC94" i="1"/>
  <c r="CE94" i="1" s="1"/>
  <c r="J97" i="1"/>
  <c r="L97" i="1" s="1"/>
  <c r="N97" i="1" s="1"/>
  <c r="K97" i="1"/>
  <c r="M97" i="1" s="1"/>
  <c r="D98" i="1"/>
  <c r="T97" i="1"/>
  <c r="V97" i="1" s="1"/>
  <c r="X97" i="1" s="1"/>
  <c r="U97" i="1"/>
  <c r="W97" i="1" s="1"/>
  <c r="CZ93" i="1" l="1"/>
  <c r="CH94" i="1"/>
  <c r="CJ94" i="1" s="1"/>
  <c r="CG94" i="1"/>
  <c r="CI94" i="1" s="1"/>
  <c r="CK94" i="1" s="1"/>
  <c r="BM95" i="1"/>
  <c r="BO95" i="1" s="1"/>
  <c r="BQ95" i="1" s="1"/>
  <c r="BN95" i="1"/>
  <c r="BP95" i="1" s="1"/>
  <c r="AT96" i="1"/>
  <c r="AV96" i="1" s="1"/>
  <c r="AS96" i="1"/>
  <c r="AU96" i="1" s="1"/>
  <c r="AW96" i="1" s="1"/>
  <c r="P97" i="1"/>
  <c r="R97" i="1" s="1"/>
  <c r="Y97" i="1"/>
  <c r="AA97" i="1" s="1"/>
  <c r="AC97" i="1" s="1"/>
  <c r="Z97" i="1"/>
  <c r="AB97" i="1" s="1"/>
  <c r="E98" i="1"/>
  <c r="F98" i="1"/>
  <c r="H98" i="1" s="1"/>
  <c r="DB93" i="1" l="1"/>
  <c r="DD93" i="1" s="1"/>
  <c r="DA93" i="1"/>
  <c r="DC93" i="1" s="1"/>
  <c r="BS95" i="1"/>
  <c r="BU95" i="1" s="1"/>
  <c r="BR95" i="1"/>
  <c r="BT95" i="1" s="1"/>
  <c r="BV95" i="1" s="1"/>
  <c r="AY96" i="1"/>
  <c r="BA96" i="1" s="1"/>
  <c r="AX96" i="1"/>
  <c r="AZ96" i="1" s="1"/>
  <c r="BB96" i="1" s="1"/>
  <c r="CL94" i="1"/>
  <c r="CN94" i="1" s="1"/>
  <c r="CP94" i="1" s="1"/>
  <c r="CM94" i="1"/>
  <c r="CO94" i="1" s="1"/>
  <c r="O97" i="1"/>
  <c r="AD97" i="1"/>
  <c r="AF97" i="1" s="1"/>
  <c r="AH97" i="1" s="1"/>
  <c r="AE97" i="1"/>
  <c r="AG97" i="1" s="1"/>
  <c r="G98" i="1"/>
  <c r="I98" i="1" s="1"/>
  <c r="Q98" i="1"/>
  <c r="S98" i="1" s="1"/>
  <c r="AJ97" i="1" l="1"/>
  <c r="AL97" i="1" s="1"/>
  <c r="AI97" i="1"/>
  <c r="AK97" i="1" s="1"/>
  <c r="AM97" i="1" s="1"/>
  <c r="BD96" i="1"/>
  <c r="BF96" i="1" s="1"/>
  <c r="BC96" i="1"/>
  <c r="BE96" i="1" s="1"/>
  <c r="BG96" i="1" s="1"/>
  <c r="BW95" i="1"/>
  <c r="BY95" i="1" s="1"/>
  <c r="CA95" i="1" s="1"/>
  <c r="BX95" i="1"/>
  <c r="BZ95" i="1" s="1"/>
  <c r="CQ94" i="1"/>
  <c r="CS94" i="1" s="1"/>
  <c r="CU94" i="1" s="1"/>
  <c r="CR94" i="1"/>
  <c r="CT94" i="1" s="1"/>
  <c r="BI96" i="1" l="1"/>
  <c r="BK96" i="1" s="1"/>
  <c r="BH96" i="1"/>
  <c r="BJ96" i="1" s="1"/>
  <c r="BL96" i="1" s="1"/>
  <c r="AO97" i="1"/>
  <c r="AQ97" i="1" s="1"/>
  <c r="AN97" i="1"/>
  <c r="AP97" i="1" s="1"/>
  <c r="AR97" i="1" s="1"/>
  <c r="CW94" i="1"/>
  <c r="CY94" i="1" s="1"/>
  <c r="CV94" i="1"/>
  <c r="CX94" i="1" s="1"/>
  <c r="CC95" i="1"/>
  <c r="CE95" i="1" s="1"/>
  <c r="CB95" i="1"/>
  <c r="CD95" i="1" s="1"/>
  <c r="CF95" i="1" s="1"/>
  <c r="J98" i="1"/>
  <c r="L98" i="1" s="1"/>
  <c r="N98" i="1" s="1"/>
  <c r="K98" i="1"/>
  <c r="M98" i="1" s="1"/>
  <c r="D99" i="1"/>
  <c r="T98" i="1"/>
  <c r="V98" i="1" s="1"/>
  <c r="X98" i="1" s="1"/>
  <c r="U98" i="1"/>
  <c r="W98" i="1" s="1"/>
  <c r="CZ94" i="1" l="1"/>
  <c r="CG95" i="1"/>
  <c r="CI95" i="1" s="1"/>
  <c r="CK95" i="1" s="1"/>
  <c r="CH95" i="1"/>
  <c r="CJ95" i="1" s="1"/>
  <c r="AT97" i="1"/>
  <c r="AV97" i="1" s="1"/>
  <c r="AS97" i="1"/>
  <c r="AU97" i="1" s="1"/>
  <c r="AW97" i="1" s="1"/>
  <c r="BN96" i="1"/>
  <c r="BP96" i="1" s="1"/>
  <c r="BM96" i="1"/>
  <c r="BO96" i="1" s="1"/>
  <c r="BQ96" i="1" s="1"/>
  <c r="P98" i="1"/>
  <c r="R98" i="1" s="1"/>
  <c r="E99" i="1"/>
  <c r="F99" i="1"/>
  <c r="H99" i="1" s="1"/>
  <c r="Y98" i="1"/>
  <c r="AA98" i="1" s="1"/>
  <c r="AC98" i="1" s="1"/>
  <c r="Z98" i="1"/>
  <c r="AB98" i="1" s="1"/>
  <c r="DB94" i="1" l="1"/>
  <c r="DD94" i="1" s="1"/>
  <c r="DA94" i="1"/>
  <c r="DC94" i="1" s="1"/>
  <c r="CL95" i="1"/>
  <c r="CN95" i="1" s="1"/>
  <c r="CP95" i="1" s="1"/>
  <c r="CM95" i="1"/>
  <c r="CO95" i="1" s="1"/>
  <c r="BS96" i="1"/>
  <c r="BU96" i="1" s="1"/>
  <c r="BR96" i="1"/>
  <c r="BT96" i="1" s="1"/>
  <c r="BV96" i="1" s="1"/>
  <c r="AY97" i="1"/>
  <c r="BA97" i="1" s="1"/>
  <c r="AX97" i="1"/>
  <c r="AZ97" i="1" s="1"/>
  <c r="BB97" i="1" s="1"/>
  <c r="O98" i="1"/>
  <c r="AE98" i="1"/>
  <c r="AG98" i="1" s="1"/>
  <c r="AD98" i="1"/>
  <c r="AF98" i="1" s="1"/>
  <c r="AH98" i="1" s="1"/>
  <c r="G99" i="1"/>
  <c r="I99" i="1" s="1"/>
  <c r="Q99" i="1"/>
  <c r="S99" i="1" s="1"/>
  <c r="AJ98" i="1" l="1"/>
  <c r="AL98" i="1" s="1"/>
  <c r="AI98" i="1"/>
  <c r="AK98" i="1" s="1"/>
  <c r="AM98" i="1" s="1"/>
  <c r="CQ95" i="1"/>
  <c r="CS95" i="1" s="1"/>
  <c r="CU95" i="1" s="1"/>
  <c r="CR95" i="1"/>
  <c r="CT95" i="1" s="1"/>
  <c r="BC97" i="1"/>
  <c r="BE97" i="1" s="1"/>
  <c r="BG97" i="1" s="1"/>
  <c r="BD97" i="1"/>
  <c r="BF97" i="1" s="1"/>
  <c r="BX96" i="1"/>
  <c r="BZ96" i="1" s="1"/>
  <c r="BW96" i="1"/>
  <c r="BY96" i="1" s="1"/>
  <c r="CA96" i="1" s="1"/>
  <c r="CC96" i="1" l="1"/>
  <c r="CE96" i="1" s="1"/>
  <c r="CB96" i="1"/>
  <c r="CD96" i="1" s="1"/>
  <c r="CF96" i="1" s="1"/>
  <c r="AN98" i="1"/>
  <c r="AP98" i="1" s="1"/>
  <c r="AR98" i="1" s="1"/>
  <c r="AO98" i="1"/>
  <c r="AQ98" i="1" s="1"/>
  <c r="BI97" i="1"/>
  <c r="BK97" i="1" s="1"/>
  <c r="BH97" i="1"/>
  <c r="BJ97" i="1" s="1"/>
  <c r="BL97" i="1" s="1"/>
  <c r="CW95" i="1"/>
  <c r="CY95" i="1" s="1"/>
  <c r="CV95" i="1"/>
  <c r="CX95" i="1" s="1"/>
  <c r="T99" i="1"/>
  <c r="V99" i="1" s="1"/>
  <c r="X99" i="1" s="1"/>
  <c r="U99" i="1"/>
  <c r="W99" i="1" s="1"/>
  <c r="J99" i="1"/>
  <c r="L99" i="1" s="1"/>
  <c r="N99" i="1" s="1"/>
  <c r="K99" i="1"/>
  <c r="M99" i="1" s="1"/>
  <c r="D100" i="1"/>
  <c r="CZ95" i="1" l="1"/>
  <c r="AS98" i="1"/>
  <c r="AU98" i="1" s="1"/>
  <c r="AW98" i="1" s="1"/>
  <c r="AT98" i="1"/>
  <c r="AV98" i="1" s="1"/>
  <c r="BN97" i="1"/>
  <c r="BP97" i="1" s="1"/>
  <c r="BM97" i="1"/>
  <c r="BO97" i="1" s="1"/>
  <c r="BQ97" i="1" s="1"/>
  <c r="CG96" i="1"/>
  <c r="CI96" i="1" s="1"/>
  <c r="CK96" i="1" s="1"/>
  <c r="CH96" i="1"/>
  <c r="CJ96" i="1" s="1"/>
  <c r="O99" i="1"/>
  <c r="P99" i="1"/>
  <c r="R99" i="1" s="1"/>
  <c r="Z99" i="1"/>
  <c r="AB99" i="1" s="1"/>
  <c r="Y99" i="1"/>
  <c r="AA99" i="1" s="1"/>
  <c r="AC99" i="1" s="1"/>
  <c r="F100" i="1"/>
  <c r="H100" i="1" s="1"/>
  <c r="E100" i="1"/>
  <c r="DB95" i="1" l="1"/>
  <c r="DD95" i="1" s="1"/>
  <c r="DA95" i="1"/>
  <c r="DC95" i="1" s="1"/>
  <c r="CM96" i="1"/>
  <c r="CO96" i="1" s="1"/>
  <c r="CL96" i="1"/>
  <c r="CN96" i="1" s="1"/>
  <c r="CP96" i="1" s="1"/>
  <c r="AX98" i="1"/>
  <c r="AZ98" i="1" s="1"/>
  <c r="BB98" i="1" s="1"/>
  <c r="AY98" i="1"/>
  <c r="BA98" i="1" s="1"/>
  <c r="BS97" i="1"/>
  <c r="BU97" i="1" s="1"/>
  <c r="BR97" i="1"/>
  <c r="BT97" i="1" s="1"/>
  <c r="BV97" i="1" s="1"/>
  <c r="AD99" i="1"/>
  <c r="AF99" i="1" s="1"/>
  <c r="AH99" i="1" s="1"/>
  <c r="AE99" i="1"/>
  <c r="AG99" i="1" s="1"/>
  <c r="Q100" i="1"/>
  <c r="S100" i="1" s="1"/>
  <c r="G100" i="1"/>
  <c r="I100" i="1" s="1"/>
  <c r="AI99" i="1" l="1"/>
  <c r="AK99" i="1" s="1"/>
  <c r="AM99" i="1" s="1"/>
  <c r="AJ99" i="1"/>
  <c r="AL99" i="1" s="1"/>
  <c r="BD98" i="1"/>
  <c r="BF98" i="1" s="1"/>
  <c r="BC98" i="1"/>
  <c r="BE98" i="1" s="1"/>
  <c r="BG98" i="1" s="1"/>
  <c r="BX97" i="1"/>
  <c r="BZ97" i="1" s="1"/>
  <c r="BW97" i="1"/>
  <c r="BY97" i="1" s="1"/>
  <c r="CA97" i="1" s="1"/>
  <c r="CR96" i="1"/>
  <c r="CT96" i="1" s="1"/>
  <c r="CQ96" i="1"/>
  <c r="CS96" i="1" s="1"/>
  <c r="CU96" i="1" s="1"/>
  <c r="CV96" i="1" l="1"/>
  <c r="CX96" i="1" s="1"/>
  <c r="CW96" i="1"/>
  <c r="CY96" i="1" s="1"/>
  <c r="CC97" i="1"/>
  <c r="CE97" i="1" s="1"/>
  <c r="CB97" i="1"/>
  <c r="CD97" i="1" s="1"/>
  <c r="CF97" i="1" s="1"/>
  <c r="BH98" i="1"/>
  <c r="BJ98" i="1" s="1"/>
  <c r="BL98" i="1" s="1"/>
  <c r="BI98" i="1"/>
  <c r="BK98" i="1" s="1"/>
  <c r="AO99" i="1"/>
  <c r="AQ99" i="1" s="1"/>
  <c r="AN99" i="1"/>
  <c r="AP99" i="1" s="1"/>
  <c r="AR99" i="1" s="1"/>
  <c r="K100" i="1"/>
  <c r="M100" i="1" s="1"/>
  <c r="J100" i="1"/>
  <c r="L100" i="1" s="1"/>
  <c r="D101" i="1"/>
  <c r="T100" i="1"/>
  <c r="V100" i="1" s="1"/>
  <c r="X100" i="1" s="1"/>
  <c r="U100" i="1"/>
  <c r="W100" i="1" s="1"/>
  <c r="CZ96" i="1" l="1"/>
  <c r="N100" i="1"/>
  <c r="O100" i="1" s="1"/>
  <c r="BM98" i="1"/>
  <c r="BO98" i="1" s="1"/>
  <c r="BQ98" i="1" s="1"/>
  <c r="BN98" i="1"/>
  <c r="BP98" i="1" s="1"/>
  <c r="DB96" i="1"/>
  <c r="DD96" i="1" s="1"/>
  <c r="DA96" i="1"/>
  <c r="DC96" i="1" s="1"/>
  <c r="AT99" i="1"/>
  <c r="AV99" i="1" s="1"/>
  <c r="AS99" i="1"/>
  <c r="AU99" i="1" s="1"/>
  <c r="AW99" i="1" s="1"/>
  <c r="CH97" i="1"/>
  <c r="CJ97" i="1" s="1"/>
  <c r="CG97" i="1"/>
  <c r="CI97" i="1" s="1"/>
  <c r="CK97" i="1" s="1"/>
  <c r="F101" i="1"/>
  <c r="H101" i="1" s="1"/>
  <c r="E101" i="1"/>
  <c r="Z100" i="1"/>
  <c r="AB100" i="1" s="1"/>
  <c r="Y100" i="1"/>
  <c r="AA100" i="1" s="1"/>
  <c r="AC100" i="1" s="1"/>
  <c r="P100" i="1" l="1"/>
  <c r="R100" i="1" s="1"/>
  <c r="BS98" i="1"/>
  <c r="BU98" i="1" s="1"/>
  <c r="BR98" i="1"/>
  <c r="BT98" i="1" s="1"/>
  <c r="BV98" i="1" s="1"/>
  <c r="CM97" i="1"/>
  <c r="CO97" i="1" s="1"/>
  <c r="CL97" i="1"/>
  <c r="CN97" i="1" s="1"/>
  <c r="CP97" i="1" s="1"/>
  <c r="AY99" i="1"/>
  <c r="BA99" i="1" s="1"/>
  <c r="AX99" i="1"/>
  <c r="AZ99" i="1" s="1"/>
  <c r="BB99" i="1" s="1"/>
  <c r="AD100" i="1"/>
  <c r="AF100" i="1" s="1"/>
  <c r="AH100" i="1" s="1"/>
  <c r="AE100" i="1"/>
  <c r="AG100" i="1" s="1"/>
  <c r="G101" i="1"/>
  <c r="I101" i="1" s="1"/>
  <c r="Q101" i="1"/>
  <c r="S101" i="1" s="1"/>
  <c r="AJ100" i="1" l="1"/>
  <c r="AL100" i="1" s="1"/>
  <c r="AI100" i="1"/>
  <c r="AK100" i="1" s="1"/>
  <c r="AM100" i="1" s="1"/>
  <c r="BC99" i="1"/>
  <c r="BE99" i="1" s="1"/>
  <c r="BG99" i="1" s="1"/>
  <c r="BD99" i="1"/>
  <c r="BF99" i="1" s="1"/>
  <c r="CQ97" i="1"/>
  <c r="CS97" i="1" s="1"/>
  <c r="CU97" i="1" s="1"/>
  <c r="CR97" i="1"/>
  <c r="CT97" i="1" s="1"/>
  <c r="BX98" i="1"/>
  <c r="BZ98" i="1" s="1"/>
  <c r="BW98" i="1"/>
  <c r="BY98" i="1" s="1"/>
  <c r="CA98" i="1" s="1"/>
  <c r="CB98" i="1" l="1"/>
  <c r="CD98" i="1" s="1"/>
  <c r="CF98" i="1" s="1"/>
  <c r="CC98" i="1"/>
  <c r="CE98" i="1" s="1"/>
  <c r="AN100" i="1"/>
  <c r="AP100" i="1" s="1"/>
  <c r="AR100" i="1" s="1"/>
  <c r="AO100" i="1"/>
  <c r="AQ100" i="1" s="1"/>
  <c r="CW97" i="1"/>
  <c r="CY97" i="1" s="1"/>
  <c r="CV97" i="1"/>
  <c r="CX97" i="1" s="1"/>
  <c r="BH99" i="1"/>
  <c r="BJ99" i="1" s="1"/>
  <c r="BL99" i="1" s="1"/>
  <c r="BI99" i="1"/>
  <c r="BK99" i="1" s="1"/>
  <c r="J101" i="1"/>
  <c r="L101" i="1" s="1"/>
  <c r="K101" i="1"/>
  <c r="M101" i="1" s="1"/>
  <c r="D102" i="1"/>
  <c r="U101" i="1"/>
  <c r="W101" i="1" s="1"/>
  <c r="T101" i="1"/>
  <c r="V101" i="1" s="1"/>
  <c r="X101" i="1" s="1"/>
  <c r="CZ97" i="1" l="1"/>
  <c r="N101" i="1"/>
  <c r="P101" i="1" s="1"/>
  <c r="R101" i="1" s="1"/>
  <c r="BM99" i="1"/>
  <c r="BO99" i="1" s="1"/>
  <c r="BQ99" i="1" s="1"/>
  <c r="BN99" i="1"/>
  <c r="BP99" i="1" s="1"/>
  <c r="AS100" i="1"/>
  <c r="AU100" i="1" s="1"/>
  <c r="AW100" i="1" s="1"/>
  <c r="AT100" i="1"/>
  <c r="AV100" i="1" s="1"/>
  <c r="CG98" i="1"/>
  <c r="CI98" i="1" s="1"/>
  <c r="CK98" i="1" s="1"/>
  <c r="CH98" i="1"/>
  <c r="CJ98" i="1" s="1"/>
  <c r="Y101" i="1"/>
  <c r="AA101" i="1" s="1"/>
  <c r="AC101" i="1" s="1"/>
  <c r="Z101" i="1"/>
  <c r="AB101" i="1" s="1"/>
  <c r="E102" i="1"/>
  <c r="F102" i="1"/>
  <c r="H102" i="1" s="1"/>
  <c r="O101" i="1" l="1"/>
  <c r="CL98" i="1"/>
  <c r="CN98" i="1" s="1"/>
  <c r="CP98" i="1" s="1"/>
  <c r="CM98" i="1"/>
  <c r="CO98" i="1" s="1"/>
  <c r="AX100" i="1"/>
  <c r="AZ100" i="1" s="1"/>
  <c r="BB100" i="1" s="1"/>
  <c r="AY100" i="1"/>
  <c r="BA100" i="1" s="1"/>
  <c r="BR99" i="1"/>
  <c r="BT99" i="1" s="1"/>
  <c r="BV99" i="1" s="1"/>
  <c r="BS99" i="1"/>
  <c r="BU99" i="1" s="1"/>
  <c r="DB97" i="1"/>
  <c r="DD97" i="1" s="1"/>
  <c r="DA97" i="1"/>
  <c r="DC97" i="1" s="1"/>
  <c r="AE101" i="1"/>
  <c r="AG101" i="1" s="1"/>
  <c r="AD101" i="1"/>
  <c r="AF101" i="1" s="1"/>
  <c r="AH101" i="1" s="1"/>
  <c r="Q102" i="1"/>
  <c r="S102" i="1" s="1"/>
  <c r="G102" i="1"/>
  <c r="I102" i="1" s="1"/>
  <c r="AI101" i="1" l="1"/>
  <c r="AK101" i="1" s="1"/>
  <c r="AM101" i="1" s="1"/>
  <c r="AJ101" i="1"/>
  <c r="AL101" i="1" s="1"/>
  <c r="BW99" i="1"/>
  <c r="BY99" i="1" s="1"/>
  <c r="CA99" i="1" s="1"/>
  <c r="BX99" i="1"/>
  <c r="BZ99" i="1" s="1"/>
  <c r="BD100" i="1"/>
  <c r="BF100" i="1" s="1"/>
  <c r="BC100" i="1"/>
  <c r="BE100" i="1" s="1"/>
  <c r="BG100" i="1" s="1"/>
  <c r="CR98" i="1"/>
  <c r="CT98" i="1" s="1"/>
  <c r="CQ98" i="1"/>
  <c r="CS98" i="1" s="1"/>
  <c r="CU98" i="1" s="1"/>
  <c r="CW98" i="1" l="1"/>
  <c r="CY98" i="1" s="1"/>
  <c r="CV98" i="1"/>
  <c r="CX98" i="1" s="1"/>
  <c r="BI100" i="1"/>
  <c r="BK100" i="1" s="1"/>
  <c r="BH100" i="1"/>
  <c r="BJ100" i="1" s="1"/>
  <c r="BL100" i="1" s="1"/>
  <c r="CB99" i="1"/>
  <c r="CD99" i="1" s="1"/>
  <c r="CF99" i="1" s="1"/>
  <c r="CC99" i="1"/>
  <c r="CE99" i="1" s="1"/>
  <c r="AO101" i="1"/>
  <c r="AQ101" i="1" s="1"/>
  <c r="AN101" i="1"/>
  <c r="AP101" i="1" s="1"/>
  <c r="AR101" i="1" s="1"/>
  <c r="J102" i="1"/>
  <c r="L102" i="1" s="1"/>
  <c r="N102" i="1" s="1"/>
  <c r="K102" i="1"/>
  <c r="M102" i="1" s="1"/>
  <c r="D103" i="1"/>
  <c r="T102" i="1"/>
  <c r="V102" i="1" s="1"/>
  <c r="X102" i="1" s="1"/>
  <c r="U102" i="1"/>
  <c r="W102" i="1" s="1"/>
  <c r="CZ98" i="1" l="1"/>
  <c r="CG99" i="1"/>
  <c r="CI99" i="1" s="1"/>
  <c r="CK99" i="1" s="1"/>
  <c r="CH99" i="1"/>
  <c r="CJ99" i="1" s="1"/>
  <c r="AT101" i="1"/>
  <c r="AV101" i="1" s="1"/>
  <c r="AS101" i="1"/>
  <c r="AU101" i="1" s="1"/>
  <c r="AW101" i="1" s="1"/>
  <c r="BN100" i="1"/>
  <c r="BP100" i="1" s="1"/>
  <c r="BM100" i="1"/>
  <c r="BO100" i="1" s="1"/>
  <c r="BQ100" i="1" s="1"/>
  <c r="P102" i="1"/>
  <c r="R102" i="1" s="1"/>
  <c r="Y102" i="1"/>
  <c r="AA102" i="1" s="1"/>
  <c r="AC102" i="1" s="1"/>
  <c r="Z102" i="1"/>
  <c r="AB102" i="1" s="1"/>
  <c r="E103" i="1"/>
  <c r="F103" i="1"/>
  <c r="H103" i="1" s="1"/>
  <c r="DB98" i="1" l="1"/>
  <c r="DD98" i="1" s="1"/>
  <c r="DA98" i="1"/>
  <c r="DC98" i="1" s="1"/>
  <c r="CL99" i="1"/>
  <c r="CN99" i="1" s="1"/>
  <c r="CP99" i="1" s="1"/>
  <c r="CM99" i="1"/>
  <c r="CO99" i="1" s="1"/>
  <c r="BS100" i="1"/>
  <c r="BU100" i="1" s="1"/>
  <c r="BR100" i="1"/>
  <c r="BT100" i="1" s="1"/>
  <c r="BV100" i="1" s="1"/>
  <c r="AY101" i="1"/>
  <c r="BA101" i="1" s="1"/>
  <c r="AX101" i="1"/>
  <c r="AZ101" i="1" s="1"/>
  <c r="BB101" i="1" s="1"/>
  <c r="O102" i="1"/>
  <c r="AE102" i="1"/>
  <c r="AG102" i="1" s="1"/>
  <c r="AD102" i="1"/>
  <c r="AF102" i="1" s="1"/>
  <c r="AH102" i="1" s="1"/>
  <c r="Q103" i="1"/>
  <c r="S103" i="1" s="1"/>
  <c r="G103" i="1"/>
  <c r="I103" i="1" s="1"/>
  <c r="CQ99" i="1" l="1"/>
  <c r="CS99" i="1" s="1"/>
  <c r="CU99" i="1" s="1"/>
  <c r="CR99" i="1"/>
  <c r="CT99" i="1" s="1"/>
  <c r="AI102" i="1"/>
  <c r="AK102" i="1" s="1"/>
  <c r="AM102" i="1" s="1"/>
  <c r="AJ102" i="1"/>
  <c r="AL102" i="1" s="1"/>
  <c r="BD101" i="1"/>
  <c r="BF101" i="1" s="1"/>
  <c r="BC101" i="1"/>
  <c r="BE101" i="1" s="1"/>
  <c r="BG101" i="1" s="1"/>
  <c r="BW100" i="1"/>
  <c r="BY100" i="1" s="1"/>
  <c r="CA100" i="1" s="1"/>
  <c r="BX100" i="1"/>
  <c r="BZ100" i="1" s="1"/>
  <c r="BH101" i="1" l="1"/>
  <c r="BJ101" i="1" s="1"/>
  <c r="BL101" i="1" s="1"/>
  <c r="BI101" i="1"/>
  <c r="BK101" i="1" s="1"/>
  <c r="CV99" i="1"/>
  <c r="CX99" i="1" s="1"/>
  <c r="CW99" i="1"/>
  <c r="CY99" i="1" s="1"/>
  <c r="CB100" i="1"/>
  <c r="CD100" i="1" s="1"/>
  <c r="CF100" i="1" s="1"/>
  <c r="CC100" i="1"/>
  <c r="CE100" i="1" s="1"/>
  <c r="AN102" i="1"/>
  <c r="AP102" i="1" s="1"/>
  <c r="AR102" i="1" s="1"/>
  <c r="AO102" i="1"/>
  <c r="AQ102" i="1" s="1"/>
  <c r="J103" i="1"/>
  <c r="L103" i="1" s="1"/>
  <c r="N103" i="1" s="1"/>
  <c r="K103" i="1"/>
  <c r="M103" i="1" s="1"/>
  <c r="D104" i="1"/>
  <c r="T103" i="1"/>
  <c r="V103" i="1" s="1"/>
  <c r="X103" i="1" s="1"/>
  <c r="U103" i="1"/>
  <c r="W103" i="1" s="1"/>
  <c r="CZ99" i="1" l="1"/>
  <c r="DA99" i="1"/>
  <c r="DC99" i="1" s="1"/>
  <c r="DB99" i="1"/>
  <c r="DD99" i="1" s="1"/>
  <c r="BN101" i="1"/>
  <c r="BP101" i="1" s="1"/>
  <c r="BM101" i="1"/>
  <c r="BO101" i="1" s="1"/>
  <c r="BQ101" i="1" s="1"/>
  <c r="AS102" i="1"/>
  <c r="AU102" i="1" s="1"/>
  <c r="AW102" i="1" s="1"/>
  <c r="AT102" i="1"/>
  <c r="AV102" i="1" s="1"/>
  <c r="CG100" i="1"/>
  <c r="CI100" i="1" s="1"/>
  <c r="CK100" i="1" s="1"/>
  <c r="CH100" i="1"/>
  <c r="CJ100" i="1" s="1"/>
  <c r="P103" i="1"/>
  <c r="R103" i="1" s="1"/>
  <c r="Y103" i="1"/>
  <c r="AA103" i="1" s="1"/>
  <c r="AC103" i="1" s="1"/>
  <c r="Z103" i="1"/>
  <c r="AB103" i="1" s="1"/>
  <c r="E104" i="1"/>
  <c r="F104" i="1"/>
  <c r="H104" i="1" s="1"/>
  <c r="CL100" i="1" l="1"/>
  <c r="CN100" i="1" s="1"/>
  <c r="CP100" i="1" s="1"/>
  <c r="CM100" i="1"/>
  <c r="CO100" i="1" s="1"/>
  <c r="AX102" i="1"/>
  <c r="AZ102" i="1" s="1"/>
  <c r="BB102" i="1" s="1"/>
  <c r="AY102" i="1"/>
  <c r="BA102" i="1" s="1"/>
  <c r="BR101" i="1"/>
  <c r="BT101" i="1" s="1"/>
  <c r="BV101" i="1" s="1"/>
  <c r="BS101" i="1"/>
  <c r="BU101" i="1" s="1"/>
  <c r="O103" i="1"/>
  <c r="AD103" i="1"/>
  <c r="AF103" i="1" s="1"/>
  <c r="AH103" i="1" s="1"/>
  <c r="AE103" i="1"/>
  <c r="AG103" i="1" s="1"/>
  <c r="G104" i="1"/>
  <c r="I104" i="1" s="1"/>
  <c r="Q104" i="1"/>
  <c r="S104" i="1" s="1"/>
  <c r="AJ103" i="1" l="1"/>
  <c r="AL103" i="1" s="1"/>
  <c r="AI103" i="1"/>
  <c r="AK103" i="1" s="1"/>
  <c r="AM103" i="1" s="1"/>
  <c r="BX101" i="1"/>
  <c r="BZ101" i="1" s="1"/>
  <c r="BW101" i="1"/>
  <c r="BY101" i="1" s="1"/>
  <c r="CA101" i="1" s="1"/>
  <c r="BD102" i="1"/>
  <c r="BF102" i="1" s="1"/>
  <c r="BC102" i="1"/>
  <c r="BE102" i="1" s="1"/>
  <c r="BG102" i="1" s="1"/>
  <c r="CQ100" i="1"/>
  <c r="CS100" i="1" s="1"/>
  <c r="CU100" i="1" s="1"/>
  <c r="CR100" i="1"/>
  <c r="CT100" i="1" s="1"/>
  <c r="BH102" i="1" l="1"/>
  <c r="BJ102" i="1" s="1"/>
  <c r="BL102" i="1" s="1"/>
  <c r="BI102" i="1"/>
  <c r="BK102" i="1" s="1"/>
  <c r="CC101" i="1"/>
  <c r="CE101" i="1" s="1"/>
  <c r="CB101" i="1"/>
  <c r="CD101" i="1" s="1"/>
  <c r="CF101" i="1" s="1"/>
  <c r="AN103" i="1"/>
  <c r="AP103" i="1" s="1"/>
  <c r="AR103" i="1" s="1"/>
  <c r="AO103" i="1"/>
  <c r="AQ103" i="1" s="1"/>
  <c r="CV100" i="1"/>
  <c r="CX100" i="1" s="1"/>
  <c r="CW100" i="1"/>
  <c r="CY100" i="1" s="1"/>
  <c r="J104" i="1"/>
  <c r="L104" i="1" s="1"/>
  <c r="N104" i="1" s="1"/>
  <c r="K104" i="1"/>
  <c r="M104" i="1" s="1"/>
  <c r="D105" i="1"/>
  <c r="T104" i="1"/>
  <c r="V104" i="1" s="1"/>
  <c r="X104" i="1" s="1"/>
  <c r="U104" i="1"/>
  <c r="W104" i="1" s="1"/>
  <c r="CZ100" i="1" l="1"/>
  <c r="DA100" i="1"/>
  <c r="DC100" i="1" s="1"/>
  <c r="DB100" i="1"/>
  <c r="DD100" i="1" s="1"/>
  <c r="AS103" i="1"/>
  <c r="AU103" i="1" s="1"/>
  <c r="AW103" i="1" s="1"/>
  <c r="AT103" i="1"/>
  <c r="AV103" i="1" s="1"/>
  <c r="BN102" i="1"/>
  <c r="BP102" i="1" s="1"/>
  <c r="BM102" i="1"/>
  <c r="BO102" i="1" s="1"/>
  <c r="BQ102" i="1" s="1"/>
  <c r="CG101" i="1"/>
  <c r="CI101" i="1" s="1"/>
  <c r="CK101" i="1" s="1"/>
  <c r="CH101" i="1"/>
  <c r="CJ101" i="1" s="1"/>
  <c r="P104" i="1"/>
  <c r="R104" i="1" s="1"/>
  <c r="F105" i="1"/>
  <c r="H105" i="1" s="1"/>
  <c r="E105" i="1"/>
  <c r="Z104" i="1"/>
  <c r="AB104" i="1" s="1"/>
  <c r="Y104" i="1"/>
  <c r="AA104" i="1" s="1"/>
  <c r="AC104" i="1" s="1"/>
  <c r="CL101" i="1" l="1"/>
  <c r="CN101" i="1" s="1"/>
  <c r="CP101" i="1" s="1"/>
  <c r="CM101" i="1"/>
  <c r="CO101" i="1" s="1"/>
  <c r="AX103" i="1"/>
  <c r="AZ103" i="1" s="1"/>
  <c r="BB103" i="1" s="1"/>
  <c r="AY103" i="1"/>
  <c r="BA103" i="1" s="1"/>
  <c r="BR102" i="1"/>
  <c r="BT102" i="1" s="1"/>
  <c r="BV102" i="1" s="1"/>
  <c r="BS102" i="1"/>
  <c r="BU102" i="1" s="1"/>
  <c r="O104" i="1"/>
  <c r="AD104" i="1"/>
  <c r="AF104" i="1" s="1"/>
  <c r="AH104" i="1" s="1"/>
  <c r="AE104" i="1"/>
  <c r="AG104" i="1" s="1"/>
  <c r="G105" i="1"/>
  <c r="I105" i="1" s="1"/>
  <c r="Q105" i="1"/>
  <c r="S105" i="1" s="1"/>
  <c r="AI104" i="1" l="1"/>
  <c r="AK104" i="1" s="1"/>
  <c r="AM104" i="1" s="1"/>
  <c r="AJ104" i="1"/>
  <c r="AL104" i="1" s="1"/>
  <c r="BX102" i="1"/>
  <c r="BZ102" i="1" s="1"/>
  <c r="BW102" i="1"/>
  <c r="BY102" i="1" s="1"/>
  <c r="CA102" i="1" s="1"/>
  <c r="BD103" i="1"/>
  <c r="BF103" i="1" s="1"/>
  <c r="BC103" i="1"/>
  <c r="BE103" i="1" s="1"/>
  <c r="BG103" i="1" s="1"/>
  <c r="CR101" i="1"/>
  <c r="CT101" i="1" s="1"/>
  <c r="CQ101" i="1"/>
  <c r="CS101" i="1" s="1"/>
  <c r="CU101" i="1" s="1"/>
  <c r="CW101" i="1" l="1"/>
  <c r="CY101" i="1" s="1"/>
  <c r="CV101" i="1"/>
  <c r="CX101" i="1" s="1"/>
  <c r="BH103" i="1"/>
  <c r="BJ103" i="1" s="1"/>
  <c r="BL103" i="1" s="1"/>
  <c r="BI103" i="1"/>
  <c r="BK103" i="1" s="1"/>
  <c r="CC102" i="1"/>
  <c r="CE102" i="1" s="1"/>
  <c r="CB102" i="1"/>
  <c r="CD102" i="1" s="1"/>
  <c r="CF102" i="1" s="1"/>
  <c r="AN104" i="1"/>
  <c r="AP104" i="1" s="1"/>
  <c r="AR104" i="1" s="1"/>
  <c r="AO104" i="1"/>
  <c r="AQ104" i="1" s="1"/>
  <c r="J105" i="1"/>
  <c r="L105" i="1" s="1"/>
  <c r="K105" i="1"/>
  <c r="M105" i="1" s="1"/>
  <c r="D106" i="1"/>
  <c r="U105" i="1"/>
  <c r="W105" i="1" s="1"/>
  <c r="T105" i="1"/>
  <c r="V105" i="1" s="1"/>
  <c r="X105" i="1" s="1"/>
  <c r="CZ101" i="1" l="1"/>
  <c r="N105" i="1"/>
  <c r="P105" i="1" s="1"/>
  <c r="R105" i="1" s="1"/>
  <c r="AS104" i="1"/>
  <c r="AU104" i="1" s="1"/>
  <c r="AW104" i="1" s="1"/>
  <c r="AT104" i="1"/>
  <c r="AV104" i="1" s="1"/>
  <c r="BN103" i="1"/>
  <c r="BP103" i="1" s="1"/>
  <c r="BM103" i="1"/>
  <c r="BO103" i="1" s="1"/>
  <c r="BQ103" i="1" s="1"/>
  <c r="CH102" i="1"/>
  <c r="CJ102" i="1" s="1"/>
  <c r="CG102" i="1"/>
  <c r="CI102" i="1" s="1"/>
  <c r="CK102" i="1" s="1"/>
  <c r="Z105" i="1"/>
  <c r="AB105" i="1" s="1"/>
  <c r="Y105" i="1"/>
  <c r="AA105" i="1" s="1"/>
  <c r="AC105" i="1" s="1"/>
  <c r="F106" i="1"/>
  <c r="H106" i="1" s="1"/>
  <c r="E106" i="1"/>
  <c r="O105" i="1" l="1"/>
  <c r="DB101" i="1"/>
  <c r="DD101" i="1" s="1"/>
  <c r="DA101" i="1"/>
  <c r="DC101" i="1" s="1"/>
  <c r="AX104" i="1"/>
  <c r="AZ104" i="1" s="1"/>
  <c r="BB104" i="1" s="1"/>
  <c r="AY104" i="1"/>
  <c r="BA104" i="1" s="1"/>
  <c r="CL102" i="1"/>
  <c r="CN102" i="1" s="1"/>
  <c r="CP102" i="1" s="1"/>
  <c r="CM102" i="1"/>
  <c r="CO102" i="1" s="1"/>
  <c r="BS103" i="1"/>
  <c r="BU103" i="1" s="1"/>
  <c r="BR103" i="1"/>
  <c r="BT103" i="1" s="1"/>
  <c r="BV103" i="1" s="1"/>
  <c r="AD105" i="1"/>
  <c r="AF105" i="1" s="1"/>
  <c r="AH105" i="1" s="1"/>
  <c r="AE105" i="1"/>
  <c r="AG105" i="1" s="1"/>
  <c r="Q106" i="1"/>
  <c r="S106" i="1" s="1"/>
  <c r="G106" i="1"/>
  <c r="I106" i="1" s="1"/>
  <c r="BW103" i="1" l="1"/>
  <c r="BY103" i="1" s="1"/>
  <c r="CA103" i="1" s="1"/>
  <c r="BX103" i="1"/>
  <c r="BZ103" i="1" s="1"/>
  <c r="AI105" i="1"/>
  <c r="AK105" i="1" s="1"/>
  <c r="AM105" i="1" s="1"/>
  <c r="AJ105" i="1"/>
  <c r="AL105" i="1" s="1"/>
  <c r="CQ102" i="1"/>
  <c r="CS102" i="1" s="1"/>
  <c r="CU102" i="1" s="1"/>
  <c r="CR102" i="1"/>
  <c r="CT102" i="1" s="1"/>
  <c r="BC104" i="1"/>
  <c r="BE104" i="1" s="1"/>
  <c r="BG104" i="1" s="1"/>
  <c r="BD104" i="1"/>
  <c r="BF104" i="1" s="1"/>
  <c r="CC103" i="1" l="1"/>
  <c r="CE103" i="1" s="1"/>
  <c r="CB103" i="1"/>
  <c r="CD103" i="1" s="1"/>
  <c r="CF103" i="1" s="1"/>
  <c r="BI104" i="1"/>
  <c r="BK104" i="1" s="1"/>
  <c r="BH104" i="1"/>
  <c r="BJ104" i="1" s="1"/>
  <c r="BL104" i="1" s="1"/>
  <c r="CV102" i="1"/>
  <c r="CX102" i="1" s="1"/>
  <c r="CZ102" i="1" s="1"/>
  <c r="CW102" i="1"/>
  <c r="CY102" i="1" s="1"/>
  <c r="AO105" i="1"/>
  <c r="AQ105" i="1" s="1"/>
  <c r="AN105" i="1"/>
  <c r="AP105" i="1" s="1"/>
  <c r="AR105" i="1" s="1"/>
  <c r="U106" i="1"/>
  <c r="W106" i="1" s="1"/>
  <c r="T106" i="1"/>
  <c r="V106" i="1" s="1"/>
  <c r="X106" i="1" s="1"/>
  <c r="J106" i="1"/>
  <c r="L106" i="1" s="1"/>
  <c r="N106" i="1" s="1"/>
  <c r="K106" i="1"/>
  <c r="M106" i="1" s="1"/>
  <c r="D107" i="1"/>
  <c r="AT105" i="1" l="1"/>
  <c r="AV105" i="1" s="1"/>
  <c r="AS105" i="1"/>
  <c r="AU105" i="1" s="1"/>
  <c r="AW105" i="1" s="1"/>
  <c r="BM104" i="1"/>
  <c r="BO104" i="1" s="1"/>
  <c r="BQ104" i="1" s="1"/>
  <c r="BN104" i="1"/>
  <c r="BP104" i="1" s="1"/>
  <c r="CG103" i="1"/>
  <c r="CI103" i="1" s="1"/>
  <c r="CK103" i="1" s="1"/>
  <c r="CH103" i="1"/>
  <c r="CJ103" i="1" s="1"/>
  <c r="P106" i="1"/>
  <c r="R106" i="1" s="1"/>
  <c r="E107" i="1"/>
  <c r="F107" i="1"/>
  <c r="H107" i="1" s="1"/>
  <c r="Y106" i="1"/>
  <c r="AA106" i="1" s="1"/>
  <c r="AC106" i="1" s="1"/>
  <c r="Z106" i="1"/>
  <c r="AB106" i="1" s="1"/>
  <c r="DA102" i="1" l="1"/>
  <c r="DC102" i="1" s="1"/>
  <c r="DB102" i="1"/>
  <c r="DD102" i="1" s="1"/>
  <c r="CL103" i="1"/>
  <c r="CN103" i="1" s="1"/>
  <c r="CP103" i="1" s="1"/>
  <c r="CM103" i="1"/>
  <c r="CO103" i="1" s="1"/>
  <c r="BS104" i="1"/>
  <c r="BU104" i="1" s="1"/>
  <c r="BR104" i="1"/>
  <c r="BT104" i="1" s="1"/>
  <c r="BV104" i="1" s="1"/>
  <c r="AY105" i="1"/>
  <c r="BA105" i="1" s="1"/>
  <c r="AX105" i="1"/>
  <c r="AZ105" i="1" s="1"/>
  <c r="BB105" i="1" s="1"/>
  <c r="O106" i="1"/>
  <c r="AD106" i="1"/>
  <c r="AF106" i="1" s="1"/>
  <c r="AH106" i="1" s="1"/>
  <c r="AE106" i="1"/>
  <c r="AG106" i="1" s="1"/>
  <c r="G107" i="1"/>
  <c r="I107" i="1" s="1"/>
  <c r="Q107" i="1"/>
  <c r="S107" i="1" s="1"/>
  <c r="AJ106" i="1" l="1"/>
  <c r="AL106" i="1" s="1"/>
  <c r="AI106" i="1"/>
  <c r="AK106" i="1" s="1"/>
  <c r="AM106" i="1" s="1"/>
  <c r="CQ103" i="1"/>
  <c r="CS103" i="1" s="1"/>
  <c r="CU103" i="1" s="1"/>
  <c r="CR103" i="1"/>
  <c r="CT103" i="1" s="1"/>
  <c r="BD105" i="1"/>
  <c r="BF105" i="1" s="1"/>
  <c r="BC105" i="1"/>
  <c r="BE105" i="1" s="1"/>
  <c r="BG105" i="1" s="1"/>
  <c r="BW104" i="1"/>
  <c r="BY104" i="1" s="1"/>
  <c r="CA104" i="1" s="1"/>
  <c r="BX104" i="1"/>
  <c r="BZ104" i="1" s="1"/>
  <c r="BI105" i="1" l="1"/>
  <c r="BK105" i="1" s="1"/>
  <c r="BH105" i="1"/>
  <c r="BJ105" i="1" s="1"/>
  <c r="BL105" i="1" s="1"/>
  <c r="AO106" i="1"/>
  <c r="AQ106" i="1" s="1"/>
  <c r="AN106" i="1"/>
  <c r="AP106" i="1" s="1"/>
  <c r="AR106" i="1" s="1"/>
  <c r="CB104" i="1"/>
  <c r="CD104" i="1" s="1"/>
  <c r="CF104" i="1" s="1"/>
  <c r="CC104" i="1"/>
  <c r="CE104" i="1" s="1"/>
  <c r="CV103" i="1"/>
  <c r="CX103" i="1" s="1"/>
  <c r="CW103" i="1"/>
  <c r="CY103" i="1" s="1"/>
  <c r="J107" i="1"/>
  <c r="L107" i="1" s="1"/>
  <c r="N107" i="1" s="1"/>
  <c r="K107" i="1"/>
  <c r="M107" i="1" s="1"/>
  <c r="D108" i="1"/>
  <c r="T107" i="1"/>
  <c r="V107" i="1" s="1"/>
  <c r="X107" i="1" s="1"/>
  <c r="U107" i="1"/>
  <c r="W107" i="1" s="1"/>
  <c r="CZ103" i="1" l="1"/>
  <c r="DA103" i="1"/>
  <c r="DC103" i="1" s="1"/>
  <c r="DB103" i="1"/>
  <c r="DD103" i="1" s="1"/>
  <c r="CH104" i="1"/>
  <c r="CJ104" i="1" s="1"/>
  <c r="CG104" i="1"/>
  <c r="CI104" i="1" s="1"/>
  <c r="CK104" i="1" s="1"/>
  <c r="AT106" i="1"/>
  <c r="AV106" i="1" s="1"/>
  <c r="AS106" i="1"/>
  <c r="AU106" i="1" s="1"/>
  <c r="AW106" i="1" s="1"/>
  <c r="BM105" i="1"/>
  <c r="BO105" i="1" s="1"/>
  <c r="BQ105" i="1" s="1"/>
  <c r="BN105" i="1"/>
  <c r="BP105" i="1" s="1"/>
  <c r="P107" i="1"/>
  <c r="R107" i="1" s="1"/>
  <c r="E108" i="1"/>
  <c r="F108" i="1"/>
  <c r="H108" i="1" s="1"/>
  <c r="Y107" i="1"/>
  <c r="AA107" i="1" s="1"/>
  <c r="AC107" i="1" s="1"/>
  <c r="Z107" i="1"/>
  <c r="AB107" i="1" s="1"/>
  <c r="AY106" i="1" l="1"/>
  <c r="BA106" i="1" s="1"/>
  <c r="AX106" i="1"/>
  <c r="AZ106" i="1" s="1"/>
  <c r="BB106" i="1" s="1"/>
  <c r="CL104" i="1"/>
  <c r="CN104" i="1" s="1"/>
  <c r="CP104" i="1" s="1"/>
  <c r="CM104" i="1"/>
  <c r="CO104" i="1" s="1"/>
  <c r="BS105" i="1"/>
  <c r="BU105" i="1" s="1"/>
  <c r="BR105" i="1"/>
  <c r="BT105" i="1" s="1"/>
  <c r="BV105" i="1" s="1"/>
  <c r="O107" i="1"/>
  <c r="AE107" i="1"/>
  <c r="AG107" i="1" s="1"/>
  <c r="AD107" i="1"/>
  <c r="AF107" i="1" s="1"/>
  <c r="AH107" i="1" s="1"/>
  <c r="Q108" i="1"/>
  <c r="S108" i="1" s="1"/>
  <c r="G108" i="1"/>
  <c r="I108" i="1" s="1"/>
  <c r="AJ107" i="1" l="1"/>
  <c r="AL107" i="1" s="1"/>
  <c r="AI107" i="1"/>
  <c r="AK107" i="1" s="1"/>
  <c r="AM107" i="1" s="1"/>
  <c r="CR104" i="1"/>
  <c r="CT104" i="1" s="1"/>
  <c r="CQ104" i="1"/>
  <c r="CS104" i="1" s="1"/>
  <c r="CU104" i="1" s="1"/>
  <c r="BW105" i="1"/>
  <c r="BY105" i="1" s="1"/>
  <c r="CA105" i="1" s="1"/>
  <c r="BX105" i="1"/>
  <c r="BZ105" i="1" s="1"/>
  <c r="BD106" i="1"/>
  <c r="BF106" i="1" s="1"/>
  <c r="BC106" i="1"/>
  <c r="BE106" i="1" s="1"/>
  <c r="BG106" i="1" s="1"/>
  <c r="BH106" i="1" l="1"/>
  <c r="BJ106" i="1" s="1"/>
  <c r="BL106" i="1" s="1"/>
  <c r="BI106" i="1"/>
  <c r="BK106" i="1" s="1"/>
  <c r="CW104" i="1"/>
  <c r="CY104" i="1" s="1"/>
  <c r="CV104" i="1"/>
  <c r="CX104" i="1" s="1"/>
  <c r="AN107" i="1"/>
  <c r="AP107" i="1" s="1"/>
  <c r="AR107" i="1" s="1"/>
  <c r="AO107" i="1"/>
  <c r="AQ107" i="1" s="1"/>
  <c r="CB105" i="1"/>
  <c r="CD105" i="1" s="1"/>
  <c r="CF105" i="1" s="1"/>
  <c r="CC105" i="1"/>
  <c r="CE105" i="1" s="1"/>
  <c r="J108" i="1"/>
  <c r="L108" i="1" s="1"/>
  <c r="K108" i="1"/>
  <c r="M108" i="1" s="1"/>
  <c r="D109" i="1"/>
  <c r="U108" i="1"/>
  <c r="W108" i="1" s="1"/>
  <c r="T108" i="1"/>
  <c r="V108" i="1" s="1"/>
  <c r="X108" i="1" s="1"/>
  <c r="CZ104" i="1" l="1"/>
  <c r="N108" i="1"/>
  <c r="O108" i="1" s="1"/>
  <c r="CG105" i="1"/>
  <c r="CI105" i="1" s="1"/>
  <c r="CK105" i="1" s="1"/>
  <c r="CH105" i="1"/>
  <c r="CJ105" i="1" s="1"/>
  <c r="AS107" i="1"/>
  <c r="AU107" i="1" s="1"/>
  <c r="AW107" i="1" s="1"/>
  <c r="AT107" i="1"/>
  <c r="AV107" i="1" s="1"/>
  <c r="BM106" i="1"/>
  <c r="BO106" i="1" s="1"/>
  <c r="BQ106" i="1" s="1"/>
  <c r="BN106" i="1"/>
  <c r="BP106" i="1" s="1"/>
  <c r="Y108" i="1"/>
  <c r="AA108" i="1" s="1"/>
  <c r="AC108" i="1" s="1"/>
  <c r="Z108" i="1"/>
  <c r="AB108" i="1" s="1"/>
  <c r="E109" i="1"/>
  <c r="F109" i="1"/>
  <c r="H109" i="1" s="1"/>
  <c r="P108" i="1" l="1"/>
  <c r="R108" i="1" s="1"/>
  <c r="DA104" i="1"/>
  <c r="DC104" i="1" s="1"/>
  <c r="DB104" i="1"/>
  <c r="DD104" i="1" s="1"/>
  <c r="BS106" i="1"/>
  <c r="BU106" i="1" s="1"/>
  <c r="BR106" i="1"/>
  <c r="BT106" i="1" s="1"/>
  <c r="BV106" i="1" s="1"/>
  <c r="AY107" i="1"/>
  <c r="BA107" i="1" s="1"/>
  <c r="AX107" i="1"/>
  <c r="AZ107" i="1" s="1"/>
  <c r="BB107" i="1" s="1"/>
  <c r="CM105" i="1"/>
  <c r="CO105" i="1" s="1"/>
  <c r="CL105" i="1"/>
  <c r="CN105" i="1" s="1"/>
  <c r="CP105" i="1" s="1"/>
  <c r="AE108" i="1"/>
  <c r="AG108" i="1" s="1"/>
  <c r="AD108" i="1"/>
  <c r="AF108" i="1" s="1"/>
  <c r="AH108" i="1" s="1"/>
  <c r="G109" i="1"/>
  <c r="I109" i="1" s="1"/>
  <c r="Q109" i="1"/>
  <c r="S109" i="1" s="1"/>
  <c r="CQ105" i="1" l="1"/>
  <c r="CS105" i="1" s="1"/>
  <c r="CU105" i="1" s="1"/>
  <c r="CR105" i="1"/>
  <c r="CT105" i="1" s="1"/>
  <c r="BD107" i="1"/>
  <c r="BF107" i="1" s="1"/>
  <c r="BC107" i="1"/>
  <c r="BE107" i="1" s="1"/>
  <c r="BG107" i="1" s="1"/>
  <c r="BX106" i="1"/>
  <c r="BZ106" i="1" s="1"/>
  <c r="BW106" i="1"/>
  <c r="BY106" i="1" s="1"/>
  <c r="CA106" i="1" s="1"/>
  <c r="AJ108" i="1"/>
  <c r="AL108" i="1" s="1"/>
  <c r="AI108" i="1"/>
  <c r="AK108" i="1" s="1"/>
  <c r="AM108" i="1" s="1"/>
  <c r="AN108" i="1" l="1"/>
  <c r="AP108" i="1" s="1"/>
  <c r="AR108" i="1" s="1"/>
  <c r="AO108" i="1"/>
  <c r="AQ108" i="1" s="1"/>
  <c r="CW105" i="1"/>
  <c r="CY105" i="1" s="1"/>
  <c r="CV105" i="1"/>
  <c r="CX105" i="1" s="1"/>
  <c r="CC106" i="1"/>
  <c r="CE106" i="1" s="1"/>
  <c r="CB106" i="1"/>
  <c r="CD106" i="1" s="1"/>
  <c r="CF106" i="1" s="1"/>
  <c r="BI107" i="1"/>
  <c r="BK107" i="1" s="1"/>
  <c r="BH107" i="1"/>
  <c r="BJ107" i="1" s="1"/>
  <c r="BL107" i="1" s="1"/>
  <c r="U109" i="1"/>
  <c r="W109" i="1" s="1"/>
  <c r="T109" i="1"/>
  <c r="V109" i="1" s="1"/>
  <c r="X109" i="1" s="1"/>
  <c r="J109" i="1"/>
  <c r="L109" i="1" s="1"/>
  <c r="N109" i="1" s="1"/>
  <c r="K109" i="1"/>
  <c r="M109" i="1" s="1"/>
  <c r="D110" i="1"/>
  <c r="CZ105" i="1" l="1"/>
  <c r="AS108" i="1"/>
  <c r="AU108" i="1" s="1"/>
  <c r="AW108" i="1" s="1"/>
  <c r="AT108" i="1"/>
  <c r="AV108" i="1" s="1"/>
  <c r="BN107" i="1"/>
  <c r="BP107" i="1" s="1"/>
  <c r="BM107" i="1"/>
  <c r="BO107" i="1" s="1"/>
  <c r="BQ107" i="1" s="1"/>
  <c r="CG106" i="1"/>
  <c r="CI106" i="1" s="1"/>
  <c r="CK106" i="1" s="1"/>
  <c r="CH106" i="1"/>
  <c r="CJ106" i="1" s="1"/>
  <c r="P109" i="1"/>
  <c r="R109" i="1" s="1"/>
  <c r="O109" i="1"/>
  <c r="F110" i="1"/>
  <c r="H110" i="1" s="1"/>
  <c r="E110" i="1"/>
  <c r="Z109" i="1"/>
  <c r="AB109" i="1" s="1"/>
  <c r="Y109" i="1"/>
  <c r="AA109" i="1" s="1"/>
  <c r="AC109" i="1" s="1"/>
  <c r="DB105" i="1" l="1"/>
  <c r="DD105" i="1" s="1"/>
  <c r="DA105" i="1"/>
  <c r="DC105" i="1" s="1"/>
  <c r="CM106" i="1"/>
  <c r="CO106" i="1" s="1"/>
  <c r="CL106" i="1"/>
  <c r="CN106" i="1" s="1"/>
  <c r="CP106" i="1" s="1"/>
  <c r="AY108" i="1"/>
  <c r="BA108" i="1" s="1"/>
  <c r="AX108" i="1"/>
  <c r="AZ108" i="1" s="1"/>
  <c r="BB108" i="1" s="1"/>
  <c r="BR107" i="1"/>
  <c r="BT107" i="1" s="1"/>
  <c r="BV107" i="1" s="1"/>
  <c r="BS107" i="1"/>
  <c r="BU107" i="1" s="1"/>
  <c r="AE109" i="1"/>
  <c r="AG109" i="1" s="1"/>
  <c r="AD109" i="1"/>
  <c r="AF109" i="1" s="1"/>
  <c r="AH109" i="1" s="1"/>
  <c r="Q110" i="1"/>
  <c r="S110" i="1" s="1"/>
  <c r="G110" i="1"/>
  <c r="I110" i="1" s="1"/>
  <c r="AJ109" i="1" l="1"/>
  <c r="AL109" i="1" s="1"/>
  <c r="AI109" i="1"/>
  <c r="AK109" i="1" s="1"/>
  <c r="AM109" i="1" s="1"/>
  <c r="BW107" i="1"/>
  <c r="BY107" i="1" s="1"/>
  <c r="CA107" i="1" s="1"/>
  <c r="BX107" i="1"/>
  <c r="BZ107" i="1" s="1"/>
  <c r="BC108" i="1"/>
  <c r="BE108" i="1" s="1"/>
  <c r="BG108" i="1" s="1"/>
  <c r="BD108" i="1"/>
  <c r="BF108" i="1" s="1"/>
  <c r="CQ106" i="1"/>
  <c r="CS106" i="1" s="1"/>
  <c r="CU106" i="1" s="1"/>
  <c r="CR106" i="1"/>
  <c r="CT106" i="1" s="1"/>
  <c r="AN109" i="1" l="1"/>
  <c r="AP109" i="1" s="1"/>
  <c r="AR109" i="1" s="1"/>
  <c r="AO109" i="1"/>
  <c r="AQ109" i="1" s="1"/>
  <c r="CV106" i="1"/>
  <c r="CX106" i="1" s="1"/>
  <c r="CW106" i="1"/>
  <c r="CY106" i="1" s="1"/>
  <c r="BH108" i="1"/>
  <c r="BJ108" i="1" s="1"/>
  <c r="BL108" i="1" s="1"/>
  <c r="BI108" i="1"/>
  <c r="BK108" i="1" s="1"/>
  <c r="CB107" i="1"/>
  <c r="CD107" i="1" s="1"/>
  <c r="CF107" i="1" s="1"/>
  <c r="CC107" i="1"/>
  <c r="CE107" i="1" s="1"/>
  <c r="J110" i="1"/>
  <c r="L110" i="1" s="1"/>
  <c r="K110" i="1"/>
  <c r="M110" i="1" s="1"/>
  <c r="D111" i="1"/>
  <c r="U110" i="1"/>
  <c r="W110" i="1" s="1"/>
  <c r="T110" i="1"/>
  <c r="V110" i="1" s="1"/>
  <c r="X110" i="1" s="1"/>
  <c r="CZ106" i="1" l="1"/>
  <c r="N110" i="1"/>
  <c r="P110" i="1" s="1"/>
  <c r="R110" i="1" s="1"/>
  <c r="CG107" i="1"/>
  <c r="CI107" i="1" s="1"/>
  <c r="CK107" i="1" s="1"/>
  <c r="CH107" i="1"/>
  <c r="CJ107" i="1" s="1"/>
  <c r="BM108" i="1"/>
  <c r="BO108" i="1" s="1"/>
  <c r="BQ108" i="1" s="1"/>
  <c r="BN108" i="1"/>
  <c r="BP108" i="1" s="1"/>
  <c r="DA106" i="1"/>
  <c r="DC106" i="1" s="1"/>
  <c r="DB106" i="1"/>
  <c r="DD106" i="1" s="1"/>
  <c r="AT109" i="1"/>
  <c r="AV109" i="1" s="1"/>
  <c r="AS109" i="1"/>
  <c r="AU109" i="1" s="1"/>
  <c r="AW109" i="1" s="1"/>
  <c r="Z110" i="1"/>
  <c r="AB110" i="1" s="1"/>
  <c r="Y110" i="1"/>
  <c r="AA110" i="1" s="1"/>
  <c r="AC110" i="1" s="1"/>
  <c r="F111" i="1"/>
  <c r="H111" i="1" s="1"/>
  <c r="E111" i="1"/>
  <c r="O110" i="1" l="1"/>
  <c r="BS108" i="1"/>
  <c r="BU108" i="1" s="1"/>
  <c r="BR108" i="1"/>
  <c r="BT108" i="1" s="1"/>
  <c r="BV108" i="1" s="1"/>
  <c r="CL107" i="1"/>
  <c r="CN107" i="1" s="1"/>
  <c r="CP107" i="1" s="1"/>
  <c r="CM107" i="1"/>
  <c r="CO107" i="1" s="1"/>
  <c r="AY109" i="1"/>
  <c r="BA109" i="1" s="1"/>
  <c r="AX109" i="1"/>
  <c r="AZ109" i="1" s="1"/>
  <c r="BB109" i="1" s="1"/>
  <c r="AE110" i="1"/>
  <c r="AG110" i="1" s="1"/>
  <c r="AD110" i="1"/>
  <c r="AF110" i="1" s="1"/>
  <c r="AH110" i="1" s="1"/>
  <c r="G111" i="1"/>
  <c r="I111" i="1" s="1"/>
  <c r="Q111" i="1"/>
  <c r="S111" i="1" s="1"/>
  <c r="AJ110" i="1" l="1"/>
  <c r="AL110" i="1" s="1"/>
  <c r="AI110" i="1"/>
  <c r="AK110" i="1" s="1"/>
  <c r="AM110" i="1" s="1"/>
  <c r="CQ107" i="1"/>
  <c r="CS107" i="1" s="1"/>
  <c r="CU107" i="1" s="1"/>
  <c r="CR107" i="1"/>
  <c r="CT107" i="1" s="1"/>
  <c r="BD109" i="1"/>
  <c r="BF109" i="1" s="1"/>
  <c r="BC109" i="1"/>
  <c r="BE109" i="1" s="1"/>
  <c r="BG109" i="1" s="1"/>
  <c r="BW108" i="1"/>
  <c r="BY108" i="1" s="1"/>
  <c r="CA108" i="1" s="1"/>
  <c r="BX108" i="1"/>
  <c r="BZ108" i="1" s="1"/>
  <c r="BI109" i="1" l="1"/>
  <c r="BK109" i="1" s="1"/>
  <c r="BH109" i="1"/>
  <c r="BJ109" i="1" s="1"/>
  <c r="BL109" i="1" s="1"/>
  <c r="AN110" i="1"/>
  <c r="AP110" i="1" s="1"/>
  <c r="AR110" i="1" s="1"/>
  <c r="AO110" i="1"/>
  <c r="AQ110" i="1" s="1"/>
  <c r="CB108" i="1"/>
  <c r="CD108" i="1" s="1"/>
  <c r="CF108" i="1" s="1"/>
  <c r="CC108" i="1"/>
  <c r="CE108" i="1" s="1"/>
  <c r="CV107" i="1"/>
  <c r="CX107" i="1" s="1"/>
  <c r="CZ107" i="1" s="1"/>
  <c r="CW107" i="1"/>
  <c r="CY107" i="1" s="1"/>
  <c r="J111" i="1"/>
  <c r="L111" i="1" s="1"/>
  <c r="N111" i="1" s="1"/>
  <c r="K111" i="1"/>
  <c r="M111" i="1" s="1"/>
  <c r="D112" i="1"/>
  <c r="T111" i="1"/>
  <c r="V111" i="1" s="1"/>
  <c r="X111" i="1" s="1"/>
  <c r="U111" i="1"/>
  <c r="W111" i="1" s="1"/>
  <c r="DB107" i="1" l="1"/>
  <c r="DD107" i="1" s="1"/>
  <c r="DA107" i="1"/>
  <c r="DC107" i="1" s="1"/>
  <c r="CG108" i="1"/>
  <c r="CI108" i="1" s="1"/>
  <c r="CK108" i="1" s="1"/>
  <c r="CH108" i="1"/>
  <c r="CJ108" i="1" s="1"/>
  <c r="AS110" i="1"/>
  <c r="AU110" i="1" s="1"/>
  <c r="AW110" i="1" s="1"/>
  <c r="AT110" i="1"/>
  <c r="AV110" i="1" s="1"/>
  <c r="BN109" i="1"/>
  <c r="BP109" i="1" s="1"/>
  <c r="BM109" i="1"/>
  <c r="BO109" i="1" s="1"/>
  <c r="BQ109" i="1" s="1"/>
  <c r="P111" i="1"/>
  <c r="R111" i="1" s="1"/>
  <c r="Y111" i="1"/>
  <c r="AA111" i="1" s="1"/>
  <c r="AC111" i="1" s="1"/>
  <c r="Z111" i="1"/>
  <c r="AB111" i="1" s="1"/>
  <c r="E112" i="1"/>
  <c r="F112" i="1"/>
  <c r="H112" i="1" s="1"/>
  <c r="AY110" i="1" l="1"/>
  <c r="BA110" i="1" s="1"/>
  <c r="AX110" i="1"/>
  <c r="AZ110" i="1" s="1"/>
  <c r="BB110" i="1" s="1"/>
  <c r="CL108" i="1"/>
  <c r="CN108" i="1" s="1"/>
  <c r="CP108" i="1" s="1"/>
  <c r="CM108" i="1"/>
  <c r="CO108" i="1" s="1"/>
  <c r="BS109" i="1"/>
  <c r="BU109" i="1" s="1"/>
  <c r="BR109" i="1"/>
  <c r="BT109" i="1" s="1"/>
  <c r="BV109" i="1" s="1"/>
  <c r="O111" i="1"/>
  <c r="AD111" i="1"/>
  <c r="AF111" i="1" s="1"/>
  <c r="AH111" i="1" s="1"/>
  <c r="AE111" i="1"/>
  <c r="AG111" i="1" s="1"/>
  <c r="Q112" i="1"/>
  <c r="S112" i="1" s="1"/>
  <c r="G112" i="1"/>
  <c r="I112" i="1" s="1"/>
  <c r="AJ111" i="1" l="1"/>
  <c r="AL111" i="1" s="1"/>
  <c r="AI111" i="1"/>
  <c r="AK111" i="1" s="1"/>
  <c r="AM111" i="1" s="1"/>
  <c r="CQ108" i="1"/>
  <c r="CS108" i="1" s="1"/>
  <c r="CU108" i="1" s="1"/>
  <c r="CR108" i="1"/>
  <c r="CT108" i="1" s="1"/>
  <c r="BW109" i="1"/>
  <c r="BY109" i="1" s="1"/>
  <c r="CA109" i="1" s="1"/>
  <c r="BX109" i="1"/>
  <c r="BZ109" i="1" s="1"/>
  <c r="BD110" i="1"/>
  <c r="BF110" i="1" s="1"/>
  <c r="BC110" i="1"/>
  <c r="BE110" i="1" s="1"/>
  <c r="BG110" i="1" s="1"/>
  <c r="BH110" i="1" l="1"/>
  <c r="BJ110" i="1" s="1"/>
  <c r="BL110" i="1" s="1"/>
  <c r="BI110" i="1"/>
  <c r="BK110" i="1" s="1"/>
  <c r="AN111" i="1"/>
  <c r="AP111" i="1" s="1"/>
  <c r="AR111" i="1" s="1"/>
  <c r="AO111" i="1"/>
  <c r="AQ111" i="1" s="1"/>
  <c r="CB109" i="1"/>
  <c r="CD109" i="1" s="1"/>
  <c r="CF109" i="1" s="1"/>
  <c r="CC109" i="1"/>
  <c r="CE109" i="1" s="1"/>
  <c r="CV108" i="1"/>
  <c r="CX108" i="1" s="1"/>
  <c r="CZ108" i="1" s="1"/>
  <c r="CW108" i="1"/>
  <c r="CY108" i="1" s="1"/>
  <c r="J112" i="1"/>
  <c r="L112" i="1" s="1"/>
  <c r="N112" i="1" s="1"/>
  <c r="K112" i="1"/>
  <c r="M112" i="1" s="1"/>
  <c r="D113" i="1"/>
  <c r="U112" i="1"/>
  <c r="W112" i="1" s="1"/>
  <c r="T112" i="1"/>
  <c r="V112" i="1" s="1"/>
  <c r="X112" i="1" s="1"/>
  <c r="DA108" i="1" l="1"/>
  <c r="DC108" i="1" s="1"/>
  <c r="DB108" i="1"/>
  <c r="DD108" i="1" s="1"/>
  <c r="CH109" i="1"/>
  <c r="CJ109" i="1" s="1"/>
  <c r="CG109" i="1"/>
  <c r="CI109" i="1" s="1"/>
  <c r="CK109" i="1" s="1"/>
  <c r="AS111" i="1"/>
  <c r="AU111" i="1" s="1"/>
  <c r="AW111" i="1" s="1"/>
  <c r="AT111" i="1"/>
  <c r="AV111" i="1" s="1"/>
  <c r="BM110" i="1"/>
  <c r="BO110" i="1" s="1"/>
  <c r="BQ110" i="1" s="1"/>
  <c r="BN110" i="1"/>
  <c r="BP110" i="1" s="1"/>
  <c r="O112" i="1"/>
  <c r="P112" i="1"/>
  <c r="R112" i="1" s="1"/>
  <c r="Y112" i="1"/>
  <c r="AA112" i="1" s="1"/>
  <c r="AC112" i="1" s="1"/>
  <c r="Z112" i="1"/>
  <c r="AB112" i="1" s="1"/>
  <c r="F113" i="1"/>
  <c r="H113" i="1" s="1"/>
  <c r="E113" i="1"/>
  <c r="BS110" i="1" l="1"/>
  <c r="BU110" i="1" s="1"/>
  <c r="BR110" i="1"/>
  <c r="BT110" i="1" s="1"/>
  <c r="BV110" i="1" s="1"/>
  <c r="AX111" i="1"/>
  <c r="AZ111" i="1" s="1"/>
  <c r="BB111" i="1" s="1"/>
  <c r="AY111" i="1"/>
  <c r="BA111" i="1" s="1"/>
  <c r="CL109" i="1"/>
  <c r="CN109" i="1" s="1"/>
  <c r="CP109" i="1" s="1"/>
  <c r="CM109" i="1"/>
  <c r="CO109" i="1" s="1"/>
  <c r="AD112" i="1"/>
  <c r="AF112" i="1" s="1"/>
  <c r="AH112" i="1" s="1"/>
  <c r="AE112" i="1"/>
  <c r="AG112" i="1" s="1"/>
  <c r="G113" i="1"/>
  <c r="I113" i="1" s="1"/>
  <c r="Q113" i="1"/>
  <c r="S113" i="1" s="1"/>
  <c r="AJ112" i="1" l="1"/>
  <c r="AL112" i="1" s="1"/>
  <c r="AI112" i="1"/>
  <c r="AK112" i="1" s="1"/>
  <c r="AM112" i="1" s="1"/>
  <c r="CR109" i="1"/>
  <c r="CT109" i="1" s="1"/>
  <c r="CQ109" i="1"/>
  <c r="CS109" i="1" s="1"/>
  <c r="CU109" i="1" s="1"/>
  <c r="BC111" i="1"/>
  <c r="BE111" i="1" s="1"/>
  <c r="BG111" i="1" s="1"/>
  <c r="BD111" i="1"/>
  <c r="BF111" i="1" s="1"/>
  <c r="BW110" i="1"/>
  <c r="BY110" i="1" s="1"/>
  <c r="CA110" i="1" s="1"/>
  <c r="BX110" i="1"/>
  <c r="BZ110" i="1" s="1"/>
  <c r="CW109" i="1" l="1"/>
  <c r="CY109" i="1" s="1"/>
  <c r="CV109" i="1"/>
  <c r="CX109" i="1" s="1"/>
  <c r="AN112" i="1"/>
  <c r="AP112" i="1" s="1"/>
  <c r="AR112" i="1" s="1"/>
  <c r="AO112" i="1"/>
  <c r="AQ112" i="1" s="1"/>
  <c r="CB110" i="1"/>
  <c r="CD110" i="1" s="1"/>
  <c r="CF110" i="1" s="1"/>
  <c r="CC110" i="1"/>
  <c r="CE110" i="1" s="1"/>
  <c r="BH111" i="1"/>
  <c r="BJ111" i="1" s="1"/>
  <c r="BL111" i="1" s="1"/>
  <c r="BI111" i="1"/>
  <c r="BK111" i="1" s="1"/>
  <c r="T113" i="1"/>
  <c r="V113" i="1" s="1"/>
  <c r="X113" i="1" s="1"/>
  <c r="U113" i="1"/>
  <c r="W113" i="1" s="1"/>
  <c r="J113" i="1"/>
  <c r="L113" i="1" s="1"/>
  <c r="N113" i="1" s="1"/>
  <c r="K113" i="1"/>
  <c r="M113" i="1" s="1"/>
  <c r="D114" i="1"/>
  <c r="CZ109" i="1" l="1"/>
  <c r="BM111" i="1"/>
  <c r="BO111" i="1" s="1"/>
  <c r="BQ111" i="1" s="1"/>
  <c r="BN111" i="1"/>
  <c r="BP111" i="1" s="1"/>
  <c r="CG110" i="1"/>
  <c r="CI110" i="1" s="1"/>
  <c r="CK110" i="1" s="1"/>
  <c r="CH110" i="1"/>
  <c r="CJ110" i="1" s="1"/>
  <c r="AT112" i="1"/>
  <c r="AV112" i="1" s="1"/>
  <c r="AS112" i="1"/>
  <c r="AU112" i="1" s="1"/>
  <c r="AW112" i="1" s="1"/>
  <c r="P113" i="1"/>
  <c r="R113" i="1" s="1"/>
  <c r="F114" i="1"/>
  <c r="H114" i="1" s="1"/>
  <c r="E114" i="1"/>
  <c r="Z113" i="1"/>
  <c r="AB113" i="1" s="1"/>
  <c r="Y113" i="1"/>
  <c r="AA113" i="1" s="1"/>
  <c r="AC113" i="1" s="1"/>
  <c r="AY112" i="1" l="1"/>
  <c r="BA112" i="1" s="1"/>
  <c r="AX112" i="1"/>
  <c r="AZ112" i="1" s="1"/>
  <c r="BB112" i="1" s="1"/>
  <c r="CL110" i="1"/>
  <c r="CN110" i="1" s="1"/>
  <c r="CP110" i="1" s="1"/>
  <c r="CM110" i="1"/>
  <c r="CO110" i="1" s="1"/>
  <c r="BS111" i="1"/>
  <c r="BU111" i="1" s="1"/>
  <c r="BR111" i="1"/>
  <c r="BT111" i="1" s="1"/>
  <c r="BV111" i="1" s="1"/>
  <c r="DB109" i="1"/>
  <c r="DD109" i="1" s="1"/>
  <c r="DA109" i="1"/>
  <c r="DC109" i="1" s="1"/>
  <c r="O113" i="1"/>
  <c r="AE113" i="1"/>
  <c r="AG113" i="1" s="1"/>
  <c r="AD113" i="1"/>
  <c r="AF113" i="1" s="1"/>
  <c r="AH113" i="1" s="1"/>
  <c r="Q114" i="1"/>
  <c r="S114" i="1" s="1"/>
  <c r="G114" i="1"/>
  <c r="I114" i="1" s="1"/>
  <c r="AI113" i="1" l="1"/>
  <c r="AK113" i="1" s="1"/>
  <c r="AM113" i="1" s="1"/>
  <c r="AJ113" i="1"/>
  <c r="AL113" i="1" s="1"/>
  <c r="CR110" i="1"/>
  <c r="CT110" i="1" s="1"/>
  <c r="CQ110" i="1"/>
  <c r="CS110" i="1" s="1"/>
  <c r="CU110" i="1" s="1"/>
  <c r="BW111" i="1"/>
  <c r="BY111" i="1" s="1"/>
  <c r="CA111" i="1" s="1"/>
  <c r="BX111" i="1"/>
  <c r="BZ111" i="1" s="1"/>
  <c r="BC112" i="1"/>
  <c r="BE112" i="1" s="1"/>
  <c r="BG112" i="1" s="1"/>
  <c r="BD112" i="1"/>
  <c r="BF112" i="1" s="1"/>
  <c r="CW110" i="1" l="1"/>
  <c r="CY110" i="1" s="1"/>
  <c r="CV110" i="1"/>
  <c r="CX110" i="1" s="1"/>
  <c r="BI112" i="1"/>
  <c r="BK112" i="1" s="1"/>
  <c r="BH112" i="1"/>
  <c r="BJ112" i="1" s="1"/>
  <c r="BL112" i="1" s="1"/>
  <c r="CC111" i="1"/>
  <c r="CE111" i="1" s="1"/>
  <c r="CB111" i="1"/>
  <c r="CD111" i="1" s="1"/>
  <c r="CF111" i="1" s="1"/>
  <c r="AO113" i="1"/>
  <c r="AQ113" i="1" s="1"/>
  <c r="AN113" i="1"/>
  <c r="AP113" i="1" s="1"/>
  <c r="AR113" i="1" s="1"/>
  <c r="J114" i="1"/>
  <c r="L114" i="1" s="1"/>
  <c r="N114" i="1" s="1"/>
  <c r="K114" i="1"/>
  <c r="M114" i="1" s="1"/>
  <c r="D115" i="1"/>
  <c r="U114" i="1"/>
  <c r="W114" i="1" s="1"/>
  <c r="T114" i="1"/>
  <c r="V114" i="1" s="1"/>
  <c r="X114" i="1" s="1"/>
  <c r="CZ110" i="1" l="1"/>
  <c r="AS113" i="1"/>
  <c r="AU113" i="1" s="1"/>
  <c r="AW113" i="1" s="1"/>
  <c r="AT113" i="1"/>
  <c r="AV113" i="1" s="1"/>
  <c r="CG111" i="1"/>
  <c r="CI111" i="1" s="1"/>
  <c r="CK111" i="1" s="1"/>
  <c r="CH111" i="1"/>
  <c r="CJ111" i="1" s="1"/>
  <c r="BM112" i="1"/>
  <c r="BO112" i="1" s="1"/>
  <c r="BQ112" i="1" s="1"/>
  <c r="BN112" i="1"/>
  <c r="BP112" i="1" s="1"/>
  <c r="P114" i="1"/>
  <c r="R114" i="1" s="1"/>
  <c r="Z114" i="1"/>
  <c r="AB114" i="1" s="1"/>
  <c r="Y114" i="1"/>
  <c r="AA114" i="1" s="1"/>
  <c r="AC114" i="1" s="1"/>
  <c r="E115" i="1"/>
  <c r="F115" i="1"/>
  <c r="H115" i="1" s="1"/>
  <c r="DB110" i="1" l="1"/>
  <c r="DD110" i="1" s="1"/>
  <c r="DA110" i="1"/>
  <c r="DC110" i="1" s="1"/>
  <c r="BS112" i="1"/>
  <c r="BU112" i="1" s="1"/>
  <c r="BR112" i="1"/>
  <c r="BT112" i="1" s="1"/>
  <c r="BV112" i="1" s="1"/>
  <c r="CL111" i="1"/>
  <c r="CN111" i="1" s="1"/>
  <c r="CP111" i="1" s="1"/>
  <c r="CM111" i="1"/>
  <c r="CO111" i="1" s="1"/>
  <c r="AY113" i="1"/>
  <c r="BA113" i="1" s="1"/>
  <c r="AX113" i="1"/>
  <c r="AZ113" i="1" s="1"/>
  <c r="BB113" i="1" s="1"/>
  <c r="O114" i="1"/>
  <c r="AD114" i="1"/>
  <c r="AF114" i="1" s="1"/>
  <c r="AH114" i="1" s="1"/>
  <c r="AE114" i="1"/>
  <c r="AG114" i="1" s="1"/>
  <c r="Q115" i="1"/>
  <c r="S115" i="1" s="1"/>
  <c r="G115" i="1"/>
  <c r="I115" i="1" s="1"/>
  <c r="CQ111" i="1" l="1"/>
  <c r="CS111" i="1" s="1"/>
  <c r="CU111" i="1" s="1"/>
  <c r="CR111" i="1"/>
  <c r="CT111" i="1" s="1"/>
  <c r="AJ114" i="1"/>
  <c r="AL114" i="1" s="1"/>
  <c r="AI114" i="1"/>
  <c r="AK114" i="1" s="1"/>
  <c r="AM114" i="1" s="1"/>
  <c r="BD113" i="1"/>
  <c r="BF113" i="1" s="1"/>
  <c r="BC113" i="1"/>
  <c r="BE113" i="1" s="1"/>
  <c r="BG113" i="1" s="1"/>
  <c r="BX112" i="1"/>
  <c r="BZ112" i="1" s="1"/>
  <c r="BW112" i="1"/>
  <c r="BY112" i="1" s="1"/>
  <c r="CA112" i="1" s="1"/>
  <c r="BH113" i="1" l="1"/>
  <c r="BJ113" i="1" s="1"/>
  <c r="BL113" i="1" s="1"/>
  <c r="BI113" i="1"/>
  <c r="BK113" i="1" s="1"/>
  <c r="AO114" i="1"/>
  <c r="AQ114" i="1" s="1"/>
  <c r="AN114" i="1"/>
  <c r="AP114" i="1" s="1"/>
  <c r="AR114" i="1" s="1"/>
  <c r="CW111" i="1"/>
  <c r="CY111" i="1" s="1"/>
  <c r="CV111" i="1"/>
  <c r="CX111" i="1" s="1"/>
  <c r="CC112" i="1"/>
  <c r="CE112" i="1" s="1"/>
  <c r="CB112" i="1"/>
  <c r="CD112" i="1" s="1"/>
  <c r="CF112" i="1" s="1"/>
  <c r="K115" i="1"/>
  <c r="M115" i="1" s="1"/>
  <c r="J115" i="1"/>
  <c r="L115" i="1" s="1"/>
  <c r="N115" i="1" s="1"/>
  <c r="D116" i="1"/>
  <c r="U115" i="1"/>
  <c r="W115" i="1" s="1"/>
  <c r="T115" i="1"/>
  <c r="V115" i="1" s="1"/>
  <c r="X115" i="1" s="1"/>
  <c r="CZ111" i="1" l="1"/>
  <c r="BM113" i="1"/>
  <c r="BO113" i="1" s="1"/>
  <c r="BQ113" i="1" s="1"/>
  <c r="BN113" i="1"/>
  <c r="BP113" i="1" s="1"/>
  <c r="CH112" i="1"/>
  <c r="CJ112" i="1" s="1"/>
  <c r="CG112" i="1"/>
  <c r="CI112" i="1" s="1"/>
  <c r="CK112" i="1" s="1"/>
  <c r="AT114" i="1"/>
  <c r="AV114" i="1" s="1"/>
  <c r="AS114" i="1"/>
  <c r="AU114" i="1" s="1"/>
  <c r="AW114" i="1" s="1"/>
  <c r="O115" i="1"/>
  <c r="Z115" i="1"/>
  <c r="AB115" i="1" s="1"/>
  <c r="Y115" i="1"/>
  <c r="AA115" i="1" s="1"/>
  <c r="AC115" i="1" s="1"/>
  <c r="F116" i="1"/>
  <c r="H116" i="1" s="1"/>
  <c r="E116" i="1"/>
  <c r="DA111" i="1" l="1"/>
  <c r="DC111" i="1" s="1"/>
  <c r="DB111" i="1"/>
  <c r="DD111" i="1" s="1"/>
  <c r="BS113" i="1"/>
  <c r="BU113" i="1" s="1"/>
  <c r="BR113" i="1"/>
  <c r="BT113" i="1" s="1"/>
  <c r="BV113" i="1" s="1"/>
  <c r="AY114" i="1"/>
  <c r="BA114" i="1" s="1"/>
  <c r="AX114" i="1"/>
  <c r="AZ114" i="1" s="1"/>
  <c r="BB114" i="1" s="1"/>
  <c r="CL112" i="1"/>
  <c r="CN112" i="1" s="1"/>
  <c r="CP112" i="1" s="1"/>
  <c r="CM112" i="1"/>
  <c r="CO112" i="1" s="1"/>
  <c r="P115" i="1"/>
  <c r="R115" i="1" s="1"/>
  <c r="AD115" i="1"/>
  <c r="AF115" i="1" s="1"/>
  <c r="AH115" i="1" s="1"/>
  <c r="AE115" i="1"/>
  <c r="AG115" i="1" s="1"/>
  <c r="Q116" i="1"/>
  <c r="S116" i="1" s="1"/>
  <c r="G116" i="1"/>
  <c r="I116" i="1" s="1"/>
  <c r="CR112" i="1" l="1"/>
  <c r="CT112" i="1" s="1"/>
  <c r="CQ112" i="1"/>
  <c r="CS112" i="1" s="1"/>
  <c r="CU112" i="1" s="1"/>
  <c r="AJ115" i="1"/>
  <c r="AL115" i="1" s="1"/>
  <c r="AI115" i="1"/>
  <c r="AK115" i="1" s="1"/>
  <c r="AM115" i="1" s="1"/>
  <c r="BC114" i="1"/>
  <c r="BE114" i="1" s="1"/>
  <c r="BG114" i="1" s="1"/>
  <c r="BD114" i="1"/>
  <c r="BF114" i="1" s="1"/>
  <c r="BW113" i="1"/>
  <c r="BY113" i="1" s="1"/>
  <c r="CA113" i="1" s="1"/>
  <c r="BX113" i="1"/>
  <c r="BZ113" i="1" s="1"/>
  <c r="AO115" i="1" l="1"/>
  <c r="AQ115" i="1" s="1"/>
  <c r="AN115" i="1"/>
  <c r="AP115" i="1" s="1"/>
  <c r="AR115" i="1" s="1"/>
  <c r="CB113" i="1"/>
  <c r="CD113" i="1" s="1"/>
  <c r="CF113" i="1" s="1"/>
  <c r="CC113" i="1"/>
  <c r="CE113" i="1" s="1"/>
  <c r="BI114" i="1"/>
  <c r="BK114" i="1" s="1"/>
  <c r="BH114" i="1"/>
  <c r="BJ114" i="1" s="1"/>
  <c r="BL114" i="1" s="1"/>
  <c r="CV112" i="1"/>
  <c r="CX112" i="1" s="1"/>
  <c r="CW112" i="1"/>
  <c r="CY112" i="1" s="1"/>
  <c r="J116" i="1"/>
  <c r="L116" i="1" s="1"/>
  <c r="K116" i="1"/>
  <c r="M116" i="1" s="1"/>
  <c r="D117" i="1"/>
  <c r="U116" i="1"/>
  <c r="W116" i="1" s="1"/>
  <c r="T116" i="1"/>
  <c r="V116" i="1" s="1"/>
  <c r="X116" i="1" s="1"/>
  <c r="CZ112" i="1" l="1"/>
  <c r="N116" i="1"/>
  <c r="P116" i="1" s="1"/>
  <c r="R116" i="1" s="1"/>
  <c r="DB112" i="1"/>
  <c r="DD112" i="1" s="1"/>
  <c r="DA112" i="1"/>
  <c r="DC112" i="1" s="1"/>
  <c r="CG113" i="1"/>
  <c r="CI113" i="1" s="1"/>
  <c r="CK113" i="1" s="1"/>
  <c r="CH113" i="1"/>
  <c r="CJ113" i="1" s="1"/>
  <c r="BM114" i="1"/>
  <c r="BO114" i="1" s="1"/>
  <c r="BQ114" i="1" s="1"/>
  <c r="BN114" i="1"/>
  <c r="BP114" i="1" s="1"/>
  <c r="AS115" i="1"/>
  <c r="AU115" i="1" s="1"/>
  <c r="AW115" i="1" s="1"/>
  <c r="AT115" i="1"/>
  <c r="AV115" i="1" s="1"/>
  <c r="Z116" i="1"/>
  <c r="AB116" i="1" s="1"/>
  <c r="Y116" i="1"/>
  <c r="AA116" i="1" s="1"/>
  <c r="AC116" i="1" s="1"/>
  <c r="F117" i="1"/>
  <c r="H117" i="1" s="1"/>
  <c r="E117" i="1"/>
  <c r="O116" i="1" l="1"/>
  <c r="AY115" i="1"/>
  <c r="BA115" i="1" s="1"/>
  <c r="AX115" i="1"/>
  <c r="AZ115" i="1" s="1"/>
  <c r="BB115" i="1" s="1"/>
  <c r="BS114" i="1"/>
  <c r="BU114" i="1" s="1"/>
  <c r="BR114" i="1"/>
  <c r="BT114" i="1" s="1"/>
  <c r="BV114" i="1" s="1"/>
  <c r="CL113" i="1"/>
  <c r="CN113" i="1" s="1"/>
  <c r="CP113" i="1" s="1"/>
  <c r="CM113" i="1"/>
  <c r="CO113" i="1" s="1"/>
  <c r="AE116" i="1"/>
  <c r="AG116" i="1" s="1"/>
  <c r="AD116" i="1"/>
  <c r="AF116" i="1" s="1"/>
  <c r="AH116" i="1" s="1"/>
  <c r="G117" i="1"/>
  <c r="I117" i="1" s="1"/>
  <c r="Q117" i="1"/>
  <c r="S117" i="1" s="1"/>
  <c r="CR113" i="1" l="1"/>
  <c r="CT113" i="1" s="1"/>
  <c r="CQ113" i="1"/>
  <c r="CS113" i="1" s="1"/>
  <c r="CU113" i="1" s="1"/>
  <c r="AJ116" i="1"/>
  <c r="AL116" i="1" s="1"/>
  <c r="AI116" i="1"/>
  <c r="AK116" i="1" s="1"/>
  <c r="AM116" i="1" s="1"/>
  <c r="BX114" i="1"/>
  <c r="BZ114" i="1" s="1"/>
  <c r="BW114" i="1"/>
  <c r="BY114" i="1" s="1"/>
  <c r="CA114" i="1" s="1"/>
  <c r="BD115" i="1"/>
  <c r="BF115" i="1" s="1"/>
  <c r="BC115" i="1"/>
  <c r="BE115" i="1" s="1"/>
  <c r="BG115" i="1" s="1"/>
  <c r="BI115" i="1" l="1"/>
  <c r="BK115" i="1" s="1"/>
  <c r="BH115" i="1"/>
  <c r="BJ115" i="1" s="1"/>
  <c r="BL115" i="1" s="1"/>
  <c r="CC114" i="1"/>
  <c r="CE114" i="1" s="1"/>
  <c r="CB114" i="1"/>
  <c r="CD114" i="1" s="1"/>
  <c r="CF114" i="1" s="1"/>
  <c r="AN116" i="1"/>
  <c r="AP116" i="1" s="1"/>
  <c r="AR116" i="1" s="1"/>
  <c r="AO116" i="1"/>
  <c r="AQ116" i="1" s="1"/>
  <c r="CV113" i="1"/>
  <c r="CX113" i="1" s="1"/>
  <c r="CZ113" i="1" s="1"/>
  <c r="CW113" i="1"/>
  <c r="CY113" i="1" s="1"/>
  <c r="U117" i="1"/>
  <c r="W117" i="1" s="1"/>
  <c r="T117" i="1"/>
  <c r="V117" i="1" s="1"/>
  <c r="X117" i="1" s="1"/>
  <c r="J117" i="1"/>
  <c r="L117" i="1" s="1"/>
  <c r="N117" i="1" s="1"/>
  <c r="K117" i="1"/>
  <c r="M117" i="1" s="1"/>
  <c r="D118" i="1"/>
  <c r="DA113" i="1" l="1"/>
  <c r="DC113" i="1" s="1"/>
  <c r="DB113" i="1"/>
  <c r="DD113" i="1" s="1"/>
  <c r="AT116" i="1"/>
  <c r="AV116" i="1" s="1"/>
  <c r="AS116" i="1"/>
  <c r="AU116" i="1" s="1"/>
  <c r="AW116" i="1" s="1"/>
  <c r="CH114" i="1"/>
  <c r="CJ114" i="1" s="1"/>
  <c r="CG114" i="1"/>
  <c r="CI114" i="1" s="1"/>
  <c r="CK114" i="1" s="1"/>
  <c r="BM115" i="1"/>
  <c r="BO115" i="1" s="1"/>
  <c r="BQ115" i="1" s="1"/>
  <c r="BN115" i="1"/>
  <c r="BP115" i="1" s="1"/>
  <c r="P117" i="1"/>
  <c r="R117" i="1" s="1"/>
  <c r="F118" i="1"/>
  <c r="H118" i="1" s="1"/>
  <c r="E118" i="1"/>
  <c r="Z117" i="1"/>
  <c r="AB117" i="1" s="1"/>
  <c r="Y117" i="1"/>
  <c r="AA117" i="1" s="1"/>
  <c r="AC117" i="1" s="1"/>
  <c r="BS115" i="1" l="1"/>
  <c r="BU115" i="1" s="1"/>
  <c r="BR115" i="1"/>
  <c r="BT115" i="1" s="1"/>
  <c r="BV115" i="1" s="1"/>
  <c r="CL114" i="1"/>
  <c r="CN114" i="1" s="1"/>
  <c r="CP114" i="1" s="1"/>
  <c r="CM114" i="1"/>
  <c r="CO114" i="1" s="1"/>
  <c r="AY116" i="1"/>
  <c r="BA116" i="1" s="1"/>
  <c r="AX116" i="1"/>
  <c r="AZ116" i="1" s="1"/>
  <c r="BB116" i="1" s="1"/>
  <c r="O117" i="1"/>
  <c r="AD117" i="1"/>
  <c r="AF117" i="1" s="1"/>
  <c r="AH117" i="1" s="1"/>
  <c r="AE117" i="1"/>
  <c r="AG117" i="1" s="1"/>
  <c r="G118" i="1"/>
  <c r="I118" i="1" s="1"/>
  <c r="Q118" i="1"/>
  <c r="S118" i="1" s="1"/>
  <c r="CQ114" i="1" l="1"/>
  <c r="CS114" i="1" s="1"/>
  <c r="CU114" i="1" s="1"/>
  <c r="CR114" i="1"/>
  <c r="CT114" i="1" s="1"/>
  <c r="AI117" i="1"/>
  <c r="AK117" i="1" s="1"/>
  <c r="AM117" i="1" s="1"/>
  <c r="AJ117" i="1"/>
  <c r="AL117" i="1" s="1"/>
  <c r="BD116" i="1"/>
  <c r="BF116" i="1" s="1"/>
  <c r="BC116" i="1"/>
  <c r="BE116" i="1" s="1"/>
  <c r="BG116" i="1" s="1"/>
  <c r="BW115" i="1"/>
  <c r="BY115" i="1" s="1"/>
  <c r="CA115" i="1" s="1"/>
  <c r="BX115" i="1"/>
  <c r="BZ115" i="1" s="1"/>
  <c r="BI116" i="1" l="1"/>
  <c r="BK116" i="1" s="1"/>
  <c r="BH116" i="1"/>
  <c r="BJ116" i="1" s="1"/>
  <c r="BL116" i="1" s="1"/>
  <c r="CV114" i="1"/>
  <c r="CX114" i="1" s="1"/>
  <c r="CW114" i="1"/>
  <c r="CY114" i="1" s="1"/>
  <c r="CB115" i="1"/>
  <c r="CD115" i="1" s="1"/>
  <c r="CF115" i="1" s="1"/>
  <c r="CC115" i="1"/>
  <c r="CE115" i="1" s="1"/>
  <c r="AN117" i="1"/>
  <c r="AP117" i="1" s="1"/>
  <c r="AR117" i="1" s="1"/>
  <c r="AO117" i="1"/>
  <c r="AQ117" i="1" s="1"/>
  <c r="J118" i="1"/>
  <c r="L118" i="1" s="1"/>
  <c r="N118" i="1" s="1"/>
  <c r="K118" i="1"/>
  <c r="M118" i="1" s="1"/>
  <c r="D119" i="1"/>
  <c r="U118" i="1"/>
  <c r="W118" i="1" s="1"/>
  <c r="T118" i="1"/>
  <c r="V118" i="1" s="1"/>
  <c r="X118" i="1" s="1"/>
  <c r="CZ114" i="1" l="1"/>
  <c r="DA114" i="1" s="1"/>
  <c r="DC114" i="1" s="1"/>
  <c r="AT117" i="1"/>
  <c r="AV117" i="1" s="1"/>
  <c r="AS117" i="1"/>
  <c r="AU117" i="1" s="1"/>
  <c r="AW117" i="1" s="1"/>
  <c r="CG115" i="1"/>
  <c r="CI115" i="1" s="1"/>
  <c r="CK115" i="1" s="1"/>
  <c r="CH115" i="1"/>
  <c r="CJ115" i="1" s="1"/>
  <c r="DB114" i="1"/>
  <c r="DD114" i="1" s="1"/>
  <c r="BN116" i="1"/>
  <c r="BP116" i="1" s="1"/>
  <c r="BM116" i="1"/>
  <c r="BO116" i="1" s="1"/>
  <c r="BQ116" i="1" s="1"/>
  <c r="P118" i="1"/>
  <c r="R118" i="1" s="1"/>
  <c r="Y118" i="1"/>
  <c r="AA118" i="1" s="1"/>
  <c r="AC118" i="1" s="1"/>
  <c r="Z118" i="1"/>
  <c r="AB118" i="1" s="1"/>
  <c r="E119" i="1"/>
  <c r="F119" i="1"/>
  <c r="H119" i="1" s="1"/>
  <c r="CM115" i="1" l="1"/>
  <c r="CO115" i="1" s="1"/>
  <c r="CL115" i="1"/>
  <c r="CN115" i="1" s="1"/>
  <c r="CP115" i="1" s="1"/>
  <c r="BR116" i="1"/>
  <c r="BT116" i="1" s="1"/>
  <c r="BV116" i="1" s="1"/>
  <c r="BS116" i="1"/>
  <c r="BU116" i="1" s="1"/>
  <c r="AY117" i="1"/>
  <c r="BA117" i="1" s="1"/>
  <c r="AX117" i="1"/>
  <c r="AZ117" i="1" s="1"/>
  <c r="BB117" i="1" s="1"/>
  <c r="O118" i="1"/>
  <c r="AD118" i="1"/>
  <c r="AF118" i="1" s="1"/>
  <c r="AH118" i="1" s="1"/>
  <c r="AE118" i="1"/>
  <c r="AG118" i="1" s="1"/>
  <c r="Q119" i="1"/>
  <c r="S119" i="1" s="1"/>
  <c r="G119" i="1"/>
  <c r="I119" i="1" s="1"/>
  <c r="AJ118" i="1" l="1"/>
  <c r="AL118" i="1" s="1"/>
  <c r="AI118" i="1"/>
  <c r="AK118" i="1" s="1"/>
  <c r="AM118" i="1" s="1"/>
  <c r="BX116" i="1"/>
  <c r="BZ116" i="1" s="1"/>
  <c r="BW116" i="1"/>
  <c r="BY116" i="1" s="1"/>
  <c r="CA116" i="1" s="1"/>
  <c r="BC117" i="1"/>
  <c r="BE117" i="1" s="1"/>
  <c r="BG117" i="1" s="1"/>
  <c r="BD117" i="1"/>
  <c r="BF117" i="1" s="1"/>
  <c r="CQ115" i="1"/>
  <c r="CS115" i="1" s="1"/>
  <c r="CU115" i="1" s="1"/>
  <c r="CR115" i="1"/>
  <c r="CT115" i="1" s="1"/>
  <c r="CC116" i="1" l="1"/>
  <c r="CE116" i="1" s="1"/>
  <c r="CB116" i="1"/>
  <c r="CD116" i="1" s="1"/>
  <c r="CF116" i="1" s="1"/>
  <c r="AO118" i="1"/>
  <c r="AQ118" i="1" s="1"/>
  <c r="AN118" i="1"/>
  <c r="AP118" i="1" s="1"/>
  <c r="AR118" i="1" s="1"/>
  <c r="CW115" i="1"/>
  <c r="CY115" i="1" s="1"/>
  <c r="CV115" i="1"/>
  <c r="CX115" i="1" s="1"/>
  <c r="BH117" i="1"/>
  <c r="BJ117" i="1" s="1"/>
  <c r="BL117" i="1" s="1"/>
  <c r="BI117" i="1"/>
  <c r="BK117" i="1" s="1"/>
  <c r="J119" i="1"/>
  <c r="L119" i="1" s="1"/>
  <c r="N119" i="1" s="1"/>
  <c r="K119" i="1"/>
  <c r="M119" i="1" s="1"/>
  <c r="D120" i="1"/>
  <c r="U119" i="1"/>
  <c r="W119" i="1" s="1"/>
  <c r="T119" i="1"/>
  <c r="V119" i="1" s="1"/>
  <c r="X119" i="1" s="1"/>
  <c r="CZ115" i="1" l="1"/>
  <c r="BM117" i="1"/>
  <c r="BO117" i="1" s="1"/>
  <c r="BQ117" i="1" s="1"/>
  <c r="BN117" i="1"/>
  <c r="BP117" i="1" s="1"/>
  <c r="AS118" i="1"/>
  <c r="AU118" i="1" s="1"/>
  <c r="AW118" i="1" s="1"/>
  <c r="AT118" i="1"/>
  <c r="AV118" i="1" s="1"/>
  <c r="CG116" i="1"/>
  <c r="CI116" i="1" s="1"/>
  <c r="CK116" i="1" s="1"/>
  <c r="CH116" i="1"/>
  <c r="CJ116" i="1" s="1"/>
  <c r="P119" i="1"/>
  <c r="R119" i="1" s="1"/>
  <c r="Y119" i="1"/>
  <c r="AA119" i="1" s="1"/>
  <c r="AC119" i="1" s="1"/>
  <c r="Z119" i="1"/>
  <c r="AB119" i="1" s="1"/>
  <c r="E120" i="1"/>
  <c r="F120" i="1"/>
  <c r="H120" i="1" s="1"/>
  <c r="DB115" i="1" l="1"/>
  <c r="DD115" i="1" s="1"/>
  <c r="DA115" i="1"/>
  <c r="DC115" i="1" s="1"/>
  <c r="CM116" i="1"/>
  <c r="CO116" i="1" s="1"/>
  <c r="CL116" i="1"/>
  <c r="CN116" i="1" s="1"/>
  <c r="CP116" i="1" s="1"/>
  <c r="AY118" i="1"/>
  <c r="BA118" i="1" s="1"/>
  <c r="AX118" i="1"/>
  <c r="AZ118" i="1" s="1"/>
  <c r="BB118" i="1" s="1"/>
  <c r="BR117" i="1"/>
  <c r="BT117" i="1" s="1"/>
  <c r="BV117" i="1" s="1"/>
  <c r="BS117" i="1"/>
  <c r="BU117" i="1" s="1"/>
  <c r="O119" i="1"/>
  <c r="AE119" i="1"/>
  <c r="AG119" i="1" s="1"/>
  <c r="AD119" i="1"/>
  <c r="AF119" i="1" s="1"/>
  <c r="AH119" i="1" s="1"/>
  <c r="G120" i="1"/>
  <c r="I120" i="1" s="1"/>
  <c r="Q120" i="1"/>
  <c r="S120" i="1" s="1"/>
  <c r="AI119" i="1" l="1"/>
  <c r="AK119" i="1" s="1"/>
  <c r="AM119" i="1" s="1"/>
  <c r="AJ119" i="1"/>
  <c r="AL119" i="1" s="1"/>
  <c r="BW117" i="1"/>
  <c r="BY117" i="1" s="1"/>
  <c r="CA117" i="1" s="1"/>
  <c r="BX117" i="1"/>
  <c r="BZ117" i="1" s="1"/>
  <c r="BD118" i="1"/>
  <c r="BF118" i="1" s="1"/>
  <c r="BC118" i="1"/>
  <c r="BE118" i="1" s="1"/>
  <c r="BG118" i="1" s="1"/>
  <c r="CQ116" i="1"/>
  <c r="CS116" i="1" s="1"/>
  <c r="CU116" i="1" s="1"/>
  <c r="CR116" i="1"/>
  <c r="CT116" i="1" s="1"/>
  <c r="BI118" i="1" l="1"/>
  <c r="BK118" i="1" s="1"/>
  <c r="BH118" i="1"/>
  <c r="BJ118" i="1" s="1"/>
  <c r="BL118" i="1" s="1"/>
  <c r="CV116" i="1"/>
  <c r="CX116" i="1" s="1"/>
  <c r="CW116" i="1"/>
  <c r="CY116" i="1" s="1"/>
  <c r="CB117" i="1"/>
  <c r="CD117" i="1" s="1"/>
  <c r="CF117" i="1" s="1"/>
  <c r="CC117" i="1"/>
  <c r="CE117" i="1" s="1"/>
  <c r="AO119" i="1"/>
  <c r="AQ119" i="1" s="1"/>
  <c r="AN119" i="1"/>
  <c r="AP119" i="1" s="1"/>
  <c r="AR119" i="1" s="1"/>
  <c r="J120" i="1"/>
  <c r="L120" i="1" s="1"/>
  <c r="K120" i="1"/>
  <c r="M120" i="1" s="1"/>
  <c r="D121" i="1"/>
  <c r="U120" i="1"/>
  <c r="W120" i="1" s="1"/>
  <c r="T120" i="1"/>
  <c r="V120" i="1" s="1"/>
  <c r="X120" i="1" s="1"/>
  <c r="CZ116" i="1" l="1"/>
  <c r="N120" i="1"/>
  <c r="P120" i="1" s="1"/>
  <c r="R120" i="1" s="1"/>
  <c r="CH117" i="1"/>
  <c r="CJ117" i="1" s="1"/>
  <c r="CG117" i="1"/>
  <c r="CI117" i="1" s="1"/>
  <c r="CK117" i="1" s="1"/>
  <c r="DA116" i="1"/>
  <c r="DC116" i="1" s="1"/>
  <c r="DB116" i="1"/>
  <c r="DD116" i="1" s="1"/>
  <c r="AT119" i="1"/>
  <c r="AV119" i="1" s="1"/>
  <c r="AS119" i="1"/>
  <c r="AU119" i="1" s="1"/>
  <c r="AW119" i="1" s="1"/>
  <c r="BM118" i="1"/>
  <c r="BO118" i="1" s="1"/>
  <c r="BQ118" i="1" s="1"/>
  <c r="BN118" i="1"/>
  <c r="BP118" i="1" s="1"/>
  <c r="Z120" i="1"/>
  <c r="AB120" i="1" s="1"/>
  <c r="Y120" i="1"/>
  <c r="AA120" i="1" s="1"/>
  <c r="AC120" i="1" s="1"/>
  <c r="F121" i="1"/>
  <c r="H121" i="1" s="1"/>
  <c r="E121" i="1"/>
  <c r="O120" i="1" l="1"/>
  <c r="BS118" i="1"/>
  <c r="BU118" i="1" s="1"/>
  <c r="BR118" i="1"/>
  <c r="BT118" i="1" s="1"/>
  <c r="BV118" i="1" s="1"/>
  <c r="AX119" i="1"/>
  <c r="AZ119" i="1" s="1"/>
  <c r="BB119" i="1" s="1"/>
  <c r="AY119" i="1"/>
  <c r="BA119" i="1" s="1"/>
  <c r="CL117" i="1"/>
  <c r="CN117" i="1" s="1"/>
  <c r="CP117" i="1" s="1"/>
  <c r="CM117" i="1"/>
  <c r="CO117" i="1" s="1"/>
  <c r="AE120" i="1"/>
  <c r="AG120" i="1" s="1"/>
  <c r="AD120" i="1"/>
  <c r="AF120" i="1" s="1"/>
  <c r="AH120" i="1" s="1"/>
  <c r="Q121" i="1"/>
  <c r="S121" i="1" s="1"/>
  <c r="G121" i="1"/>
  <c r="I121" i="1" s="1"/>
  <c r="CQ117" i="1" l="1"/>
  <c r="CS117" i="1" s="1"/>
  <c r="CU117" i="1" s="1"/>
  <c r="CR117" i="1"/>
  <c r="CT117" i="1" s="1"/>
  <c r="BD119" i="1"/>
  <c r="BF119" i="1" s="1"/>
  <c r="BC119" i="1"/>
  <c r="BE119" i="1" s="1"/>
  <c r="BG119" i="1" s="1"/>
  <c r="AJ120" i="1"/>
  <c r="AL120" i="1" s="1"/>
  <c r="AI120" i="1"/>
  <c r="AK120" i="1" s="1"/>
  <c r="AM120" i="1" s="1"/>
  <c r="BX118" i="1"/>
  <c r="BZ118" i="1" s="1"/>
  <c r="BW118" i="1"/>
  <c r="BY118" i="1" s="1"/>
  <c r="CA118" i="1" s="1"/>
  <c r="CB118" i="1" l="1"/>
  <c r="CD118" i="1" s="1"/>
  <c r="CF118" i="1" s="1"/>
  <c r="CC118" i="1"/>
  <c r="CE118" i="1" s="1"/>
  <c r="AO120" i="1"/>
  <c r="AQ120" i="1" s="1"/>
  <c r="AN120" i="1"/>
  <c r="AP120" i="1" s="1"/>
  <c r="AR120" i="1" s="1"/>
  <c r="CV117" i="1"/>
  <c r="CX117" i="1" s="1"/>
  <c r="CW117" i="1"/>
  <c r="CY117" i="1" s="1"/>
  <c r="BI119" i="1"/>
  <c r="BK119" i="1" s="1"/>
  <c r="BH119" i="1"/>
  <c r="BJ119" i="1" s="1"/>
  <c r="BL119" i="1" s="1"/>
  <c r="K121" i="1"/>
  <c r="M121" i="1" s="1"/>
  <c r="J121" i="1"/>
  <c r="L121" i="1" s="1"/>
  <c r="N121" i="1" s="1"/>
  <c r="D122" i="1"/>
  <c r="U121" i="1"/>
  <c r="W121" i="1" s="1"/>
  <c r="T121" i="1"/>
  <c r="V121" i="1" s="1"/>
  <c r="X121" i="1" s="1"/>
  <c r="CZ117" i="1" l="1"/>
  <c r="DB117" i="1"/>
  <c r="DD117" i="1" s="1"/>
  <c r="DA117" i="1"/>
  <c r="DC117" i="1" s="1"/>
  <c r="CG118" i="1"/>
  <c r="CI118" i="1" s="1"/>
  <c r="CK118" i="1" s="1"/>
  <c r="CH118" i="1"/>
  <c r="CJ118" i="1" s="1"/>
  <c r="BN119" i="1"/>
  <c r="BP119" i="1" s="1"/>
  <c r="BM119" i="1"/>
  <c r="BO119" i="1" s="1"/>
  <c r="BQ119" i="1" s="1"/>
  <c r="AT120" i="1"/>
  <c r="AV120" i="1" s="1"/>
  <c r="AS120" i="1"/>
  <c r="AU120" i="1" s="1"/>
  <c r="AW120" i="1" s="1"/>
  <c r="P121" i="1"/>
  <c r="R121" i="1" s="1"/>
  <c r="Z121" i="1"/>
  <c r="AB121" i="1" s="1"/>
  <c r="Y121" i="1"/>
  <c r="AA121" i="1" s="1"/>
  <c r="AC121" i="1" s="1"/>
  <c r="F122" i="1"/>
  <c r="H122" i="1" s="1"/>
  <c r="E122" i="1"/>
  <c r="CM118" i="1" l="1"/>
  <c r="CO118" i="1" s="1"/>
  <c r="CL118" i="1"/>
  <c r="CN118" i="1" s="1"/>
  <c r="CP118" i="1" s="1"/>
  <c r="AY120" i="1"/>
  <c r="BA120" i="1" s="1"/>
  <c r="AX120" i="1"/>
  <c r="AZ120" i="1" s="1"/>
  <c r="BB120" i="1" s="1"/>
  <c r="BS119" i="1"/>
  <c r="BU119" i="1" s="1"/>
  <c r="BR119" i="1"/>
  <c r="BT119" i="1" s="1"/>
  <c r="BV119" i="1" s="1"/>
  <c r="O121" i="1"/>
  <c r="AE121" i="1"/>
  <c r="AG121" i="1" s="1"/>
  <c r="AD121" i="1"/>
  <c r="AF121" i="1" s="1"/>
  <c r="AH121" i="1" s="1"/>
  <c r="G122" i="1"/>
  <c r="I122" i="1" s="1"/>
  <c r="Q122" i="1"/>
  <c r="S122" i="1" s="1"/>
  <c r="AJ121" i="1" l="1"/>
  <c r="AL121" i="1" s="1"/>
  <c r="AI121" i="1"/>
  <c r="AK121" i="1" s="1"/>
  <c r="AM121" i="1" s="1"/>
  <c r="BW119" i="1"/>
  <c r="BY119" i="1" s="1"/>
  <c r="CA119" i="1" s="1"/>
  <c r="BX119" i="1"/>
  <c r="BZ119" i="1" s="1"/>
  <c r="BC120" i="1"/>
  <c r="BE120" i="1" s="1"/>
  <c r="BG120" i="1" s="1"/>
  <c r="BD120" i="1"/>
  <c r="BF120" i="1" s="1"/>
  <c r="CQ118" i="1"/>
  <c r="CS118" i="1" s="1"/>
  <c r="CU118" i="1" s="1"/>
  <c r="CR118" i="1"/>
  <c r="CT118" i="1" s="1"/>
  <c r="AN121" i="1" l="1"/>
  <c r="AP121" i="1" s="1"/>
  <c r="AR121" i="1" s="1"/>
  <c r="AO121" i="1"/>
  <c r="AQ121" i="1" s="1"/>
  <c r="CW118" i="1"/>
  <c r="CY118" i="1" s="1"/>
  <c r="CV118" i="1"/>
  <c r="CX118" i="1" s="1"/>
  <c r="BI120" i="1"/>
  <c r="BK120" i="1" s="1"/>
  <c r="BH120" i="1"/>
  <c r="BJ120" i="1" s="1"/>
  <c r="BL120" i="1" s="1"/>
  <c r="CB119" i="1"/>
  <c r="CD119" i="1" s="1"/>
  <c r="CF119" i="1" s="1"/>
  <c r="CC119" i="1"/>
  <c r="CE119" i="1" s="1"/>
  <c r="K122" i="1"/>
  <c r="M122" i="1" s="1"/>
  <c r="J122" i="1"/>
  <c r="L122" i="1" s="1"/>
  <c r="N122" i="1" s="1"/>
  <c r="D123" i="1"/>
  <c r="T122" i="1"/>
  <c r="V122" i="1" s="1"/>
  <c r="X122" i="1" s="1"/>
  <c r="U122" i="1"/>
  <c r="W122" i="1" s="1"/>
  <c r="CZ118" i="1" l="1"/>
  <c r="CG119" i="1"/>
  <c r="CI119" i="1" s="1"/>
  <c r="CK119" i="1" s="1"/>
  <c r="CH119" i="1"/>
  <c r="CJ119" i="1" s="1"/>
  <c r="AT121" i="1"/>
  <c r="AV121" i="1" s="1"/>
  <c r="AS121" i="1"/>
  <c r="AU121" i="1" s="1"/>
  <c r="AW121" i="1" s="1"/>
  <c r="BN120" i="1"/>
  <c r="BP120" i="1" s="1"/>
  <c r="BM120" i="1"/>
  <c r="BO120" i="1" s="1"/>
  <c r="BQ120" i="1" s="1"/>
  <c r="P122" i="1"/>
  <c r="R122" i="1" s="1"/>
  <c r="Y122" i="1"/>
  <c r="AA122" i="1" s="1"/>
  <c r="AC122" i="1" s="1"/>
  <c r="Z122" i="1"/>
  <c r="AB122" i="1" s="1"/>
  <c r="E123" i="1"/>
  <c r="F123" i="1"/>
  <c r="H123" i="1" s="1"/>
  <c r="DB118" i="1" l="1"/>
  <c r="DD118" i="1" s="1"/>
  <c r="DA118" i="1"/>
  <c r="DC118" i="1" s="1"/>
  <c r="CL119" i="1"/>
  <c r="CN119" i="1" s="1"/>
  <c r="CP119" i="1" s="1"/>
  <c r="CM119" i="1"/>
  <c r="CO119" i="1" s="1"/>
  <c r="BR120" i="1"/>
  <c r="BT120" i="1" s="1"/>
  <c r="BV120" i="1" s="1"/>
  <c r="BS120" i="1"/>
  <c r="BU120" i="1" s="1"/>
  <c r="AX121" i="1"/>
  <c r="AZ121" i="1" s="1"/>
  <c r="BB121" i="1" s="1"/>
  <c r="AY121" i="1"/>
  <c r="BA121" i="1" s="1"/>
  <c r="O122" i="1"/>
  <c r="AE122" i="1"/>
  <c r="AG122" i="1" s="1"/>
  <c r="AD122" i="1"/>
  <c r="AF122" i="1" s="1"/>
  <c r="AH122" i="1" s="1"/>
  <c r="G123" i="1"/>
  <c r="I123" i="1" s="1"/>
  <c r="Q123" i="1"/>
  <c r="S123" i="1" s="1"/>
  <c r="BD121" i="1" l="1"/>
  <c r="BF121" i="1" s="1"/>
  <c r="BC121" i="1"/>
  <c r="BE121" i="1" s="1"/>
  <c r="BG121" i="1" s="1"/>
  <c r="BW120" i="1"/>
  <c r="BY120" i="1" s="1"/>
  <c r="CA120" i="1" s="1"/>
  <c r="BX120" i="1"/>
  <c r="BZ120" i="1" s="1"/>
  <c r="CR119" i="1"/>
  <c r="CT119" i="1" s="1"/>
  <c r="CQ119" i="1"/>
  <c r="CS119" i="1" s="1"/>
  <c r="CU119" i="1" s="1"/>
  <c r="AJ122" i="1"/>
  <c r="AL122" i="1" s="1"/>
  <c r="AI122" i="1"/>
  <c r="AK122" i="1" s="1"/>
  <c r="AM122" i="1" s="1"/>
  <c r="AO122" i="1" l="1"/>
  <c r="AQ122" i="1" s="1"/>
  <c r="AN122" i="1"/>
  <c r="AP122" i="1" s="1"/>
  <c r="AR122" i="1" s="1"/>
  <c r="CC120" i="1"/>
  <c r="CE120" i="1" s="1"/>
  <c r="CB120" i="1"/>
  <c r="CD120" i="1" s="1"/>
  <c r="CF120" i="1" s="1"/>
  <c r="CW119" i="1"/>
  <c r="CY119" i="1" s="1"/>
  <c r="CV119" i="1"/>
  <c r="CX119" i="1" s="1"/>
  <c r="CZ119" i="1" s="1"/>
  <c r="BH121" i="1"/>
  <c r="BJ121" i="1" s="1"/>
  <c r="BL121" i="1" s="1"/>
  <c r="BI121" i="1"/>
  <c r="BK121" i="1" s="1"/>
  <c r="J123" i="1"/>
  <c r="L123" i="1" s="1"/>
  <c r="N123" i="1" s="1"/>
  <c r="K123" i="1"/>
  <c r="M123" i="1" s="1"/>
  <c r="D124" i="1"/>
  <c r="U123" i="1"/>
  <c r="W123" i="1" s="1"/>
  <c r="T123" i="1"/>
  <c r="V123" i="1" s="1"/>
  <c r="X123" i="1" s="1"/>
  <c r="BM121" i="1" l="1"/>
  <c r="BO121" i="1" s="1"/>
  <c r="BQ121" i="1" s="1"/>
  <c r="BN121" i="1"/>
  <c r="BP121" i="1" s="1"/>
  <c r="CH120" i="1"/>
  <c r="CJ120" i="1" s="1"/>
  <c r="CG120" i="1"/>
  <c r="CI120" i="1" s="1"/>
  <c r="CK120" i="1" s="1"/>
  <c r="AS122" i="1"/>
  <c r="AU122" i="1" s="1"/>
  <c r="AW122" i="1" s="1"/>
  <c r="AT122" i="1"/>
  <c r="AV122" i="1" s="1"/>
  <c r="P123" i="1"/>
  <c r="R123" i="1" s="1"/>
  <c r="Z123" i="1"/>
  <c r="AB123" i="1" s="1"/>
  <c r="Y123" i="1"/>
  <c r="AA123" i="1" s="1"/>
  <c r="AC123" i="1" s="1"/>
  <c r="F124" i="1"/>
  <c r="H124" i="1" s="1"/>
  <c r="E124" i="1"/>
  <c r="DA119" i="1" l="1"/>
  <c r="DC119" i="1" s="1"/>
  <c r="DB119" i="1"/>
  <c r="DD119" i="1" s="1"/>
  <c r="AY122" i="1"/>
  <c r="BA122" i="1" s="1"/>
  <c r="AX122" i="1"/>
  <c r="AZ122" i="1" s="1"/>
  <c r="BB122" i="1" s="1"/>
  <c r="BR121" i="1"/>
  <c r="BT121" i="1" s="1"/>
  <c r="BV121" i="1" s="1"/>
  <c r="BS121" i="1"/>
  <c r="BU121" i="1" s="1"/>
  <c r="CM120" i="1"/>
  <c r="CO120" i="1" s="1"/>
  <c r="CL120" i="1"/>
  <c r="CN120" i="1" s="1"/>
  <c r="CP120" i="1" s="1"/>
  <c r="O123" i="1"/>
  <c r="AE123" i="1"/>
  <c r="AG123" i="1" s="1"/>
  <c r="AD123" i="1"/>
  <c r="AF123" i="1" s="1"/>
  <c r="AH123" i="1" s="1"/>
  <c r="Q124" i="1"/>
  <c r="S124" i="1" s="1"/>
  <c r="G124" i="1"/>
  <c r="I124" i="1" s="1"/>
  <c r="BW121" i="1" l="1"/>
  <c r="BY121" i="1" s="1"/>
  <c r="CA121" i="1" s="1"/>
  <c r="BX121" i="1"/>
  <c r="BZ121" i="1" s="1"/>
  <c r="AI123" i="1"/>
  <c r="AK123" i="1" s="1"/>
  <c r="AM123" i="1" s="1"/>
  <c r="AJ123" i="1"/>
  <c r="AL123" i="1" s="1"/>
  <c r="CR120" i="1"/>
  <c r="CT120" i="1" s="1"/>
  <c r="CQ120" i="1"/>
  <c r="CS120" i="1" s="1"/>
  <c r="CU120" i="1" s="1"/>
  <c r="BD122" i="1"/>
  <c r="BF122" i="1" s="1"/>
  <c r="BC122" i="1"/>
  <c r="BE122" i="1" s="1"/>
  <c r="BG122" i="1" s="1"/>
  <c r="BH122" i="1" l="1"/>
  <c r="BJ122" i="1" s="1"/>
  <c r="BL122" i="1" s="1"/>
  <c r="BI122" i="1"/>
  <c r="BK122" i="1" s="1"/>
  <c r="CW120" i="1"/>
  <c r="CY120" i="1" s="1"/>
  <c r="CV120" i="1"/>
  <c r="CX120" i="1" s="1"/>
  <c r="CC121" i="1"/>
  <c r="CE121" i="1" s="1"/>
  <c r="CB121" i="1"/>
  <c r="CD121" i="1" s="1"/>
  <c r="CF121" i="1" s="1"/>
  <c r="AN123" i="1"/>
  <c r="AP123" i="1" s="1"/>
  <c r="AR123" i="1" s="1"/>
  <c r="AO123" i="1"/>
  <c r="AQ123" i="1" s="1"/>
  <c r="J124" i="1"/>
  <c r="L124" i="1" s="1"/>
  <c r="N124" i="1" s="1"/>
  <c r="K124" i="1"/>
  <c r="M124" i="1" s="1"/>
  <c r="D125" i="1"/>
  <c r="U124" i="1"/>
  <c r="W124" i="1" s="1"/>
  <c r="T124" i="1"/>
  <c r="V124" i="1" s="1"/>
  <c r="X124" i="1" s="1"/>
  <c r="CZ120" i="1" l="1"/>
  <c r="AS123" i="1"/>
  <c r="AU123" i="1" s="1"/>
  <c r="AW123" i="1" s="1"/>
  <c r="AT123" i="1"/>
  <c r="AV123" i="1" s="1"/>
  <c r="BM122" i="1"/>
  <c r="BO122" i="1" s="1"/>
  <c r="BQ122" i="1" s="1"/>
  <c r="BN122" i="1"/>
  <c r="BP122" i="1" s="1"/>
  <c r="CH121" i="1"/>
  <c r="CJ121" i="1" s="1"/>
  <c r="CG121" i="1"/>
  <c r="CI121" i="1" s="1"/>
  <c r="CK121" i="1" s="1"/>
  <c r="P124" i="1"/>
  <c r="R124" i="1" s="1"/>
  <c r="Y124" i="1"/>
  <c r="AA124" i="1" s="1"/>
  <c r="AC124" i="1" s="1"/>
  <c r="Z124" i="1"/>
  <c r="AB124" i="1" s="1"/>
  <c r="E125" i="1"/>
  <c r="F125" i="1"/>
  <c r="H125" i="1" s="1"/>
  <c r="DA120" i="1" l="1"/>
  <c r="DC120" i="1" s="1"/>
  <c r="DB120" i="1"/>
  <c r="DD120" i="1" s="1"/>
  <c r="BR122" i="1"/>
  <c r="BT122" i="1" s="1"/>
  <c r="BV122" i="1" s="1"/>
  <c r="BS122" i="1"/>
  <c r="BU122" i="1" s="1"/>
  <c r="AX123" i="1"/>
  <c r="AZ123" i="1" s="1"/>
  <c r="BB123" i="1" s="1"/>
  <c r="AY123" i="1"/>
  <c r="BA123" i="1" s="1"/>
  <c r="CL121" i="1"/>
  <c r="CN121" i="1" s="1"/>
  <c r="CP121" i="1" s="1"/>
  <c r="CM121" i="1"/>
  <c r="CO121" i="1" s="1"/>
  <c r="O124" i="1"/>
  <c r="AE124" i="1"/>
  <c r="AG124" i="1" s="1"/>
  <c r="AD124" i="1"/>
  <c r="AF124" i="1" s="1"/>
  <c r="AH124" i="1" s="1"/>
  <c r="Q125" i="1"/>
  <c r="S125" i="1" s="1"/>
  <c r="G125" i="1"/>
  <c r="I125" i="1" s="1"/>
  <c r="CR121" i="1" l="1"/>
  <c r="CT121" i="1" s="1"/>
  <c r="CQ121" i="1"/>
  <c r="CS121" i="1" s="1"/>
  <c r="CU121" i="1" s="1"/>
  <c r="BC123" i="1"/>
  <c r="BE123" i="1" s="1"/>
  <c r="BG123" i="1" s="1"/>
  <c r="BD123" i="1"/>
  <c r="BF123" i="1" s="1"/>
  <c r="BW122" i="1"/>
  <c r="BY122" i="1" s="1"/>
  <c r="CA122" i="1" s="1"/>
  <c r="BX122" i="1"/>
  <c r="BZ122" i="1" s="1"/>
  <c r="AJ124" i="1"/>
  <c r="AL124" i="1" s="1"/>
  <c r="AI124" i="1"/>
  <c r="AK124" i="1" s="1"/>
  <c r="AM124" i="1" s="1"/>
  <c r="AN124" i="1" l="1"/>
  <c r="AP124" i="1" s="1"/>
  <c r="AR124" i="1" s="1"/>
  <c r="AO124" i="1"/>
  <c r="AQ124" i="1" s="1"/>
  <c r="BI123" i="1"/>
  <c r="BK123" i="1" s="1"/>
  <c r="BH123" i="1"/>
  <c r="BJ123" i="1" s="1"/>
  <c r="BL123" i="1" s="1"/>
  <c r="CB122" i="1"/>
  <c r="CD122" i="1" s="1"/>
  <c r="CF122" i="1" s="1"/>
  <c r="CC122" i="1"/>
  <c r="CE122" i="1" s="1"/>
  <c r="CV121" i="1"/>
  <c r="CX121" i="1" s="1"/>
  <c r="CW121" i="1"/>
  <c r="CY121" i="1" s="1"/>
  <c r="J125" i="1"/>
  <c r="L125" i="1" s="1"/>
  <c r="N125" i="1" s="1"/>
  <c r="K125" i="1"/>
  <c r="M125" i="1" s="1"/>
  <c r="D126" i="1"/>
  <c r="U125" i="1"/>
  <c r="W125" i="1" s="1"/>
  <c r="T125" i="1"/>
  <c r="V125" i="1" s="1"/>
  <c r="X125" i="1" s="1"/>
  <c r="CZ121" i="1" l="1"/>
  <c r="DB121" i="1"/>
  <c r="DD121" i="1" s="1"/>
  <c r="DA121" i="1"/>
  <c r="DC121" i="1" s="1"/>
  <c r="CH122" i="1"/>
  <c r="CJ122" i="1" s="1"/>
  <c r="CG122" i="1"/>
  <c r="CI122" i="1" s="1"/>
  <c r="CK122" i="1" s="1"/>
  <c r="AS124" i="1"/>
  <c r="AU124" i="1" s="1"/>
  <c r="AW124" i="1" s="1"/>
  <c r="AT124" i="1"/>
  <c r="AV124" i="1" s="1"/>
  <c r="BM123" i="1"/>
  <c r="BO123" i="1" s="1"/>
  <c r="BQ123" i="1" s="1"/>
  <c r="BN123" i="1"/>
  <c r="BP123" i="1" s="1"/>
  <c r="P125" i="1"/>
  <c r="R125" i="1" s="1"/>
  <c r="O125" i="1"/>
  <c r="Y125" i="1"/>
  <c r="AA125" i="1" s="1"/>
  <c r="AC125" i="1" s="1"/>
  <c r="Z125" i="1"/>
  <c r="AB125" i="1" s="1"/>
  <c r="E126" i="1"/>
  <c r="F126" i="1"/>
  <c r="H126" i="1" s="1"/>
  <c r="BR123" i="1" l="1"/>
  <c r="BT123" i="1" s="1"/>
  <c r="BV123" i="1" s="1"/>
  <c r="BS123" i="1"/>
  <c r="BU123" i="1" s="1"/>
  <c r="AX124" i="1"/>
  <c r="AZ124" i="1" s="1"/>
  <c r="BB124" i="1" s="1"/>
  <c r="AY124" i="1"/>
  <c r="BA124" i="1" s="1"/>
  <c r="CM122" i="1"/>
  <c r="CO122" i="1" s="1"/>
  <c r="CL122" i="1"/>
  <c r="CN122" i="1" s="1"/>
  <c r="CP122" i="1" s="1"/>
  <c r="AD125" i="1"/>
  <c r="AF125" i="1" s="1"/>
  <c r="AH125" i="1" s="1"/>
  <c r="AE125" i="1"/>
  <c r="AG125" i="1" s="1"/>
  <c r="G126" i="1"/>
  <c r="I126" i="1" s="1"/>
  <c r="Q126" i="1"/>
  <c r="S126" i="1" s="1"/>
  <c r="AI125" i="1" l="1"/>
  <c r="AK125" i="1" s="1"/>
  <c r="AM125" i="1" s="1"/>
  <c r="AJ125" i="1"/>
  <c r="AL125" i="1" s="1"/>
  <c r="BC124" i="1"/>
  <c r="BE124" i="1" s="1"/>
  <c r="BG124" i="1" s="1"/>
  <c r="BD124" i="1"/>
  <c r="BF124" i="1" s="1"/>
  <c r="BX123" i="1"/>
  <c r="BZ123" i="1" s="1"/>
  <c r="BW123" i="1"/>
  <c r="BY123" i="1" s="1"/>
  <c r="CA123" i="1" s="1"/>
  <c r="CR122" i="1"/>
  <c r="CT122" i="1" s="1"/>
  <c r="CQ122" i="1"/>
  <c r="CS122" i="1" s="1"/>
  <c r="CU122" i="1" s="1"/>
  <c r="CV122" i="1" l="1"/>
  <c r="CX122" i="1" s="1"/>
  <c r="CW122" i="1"/>
  <c r="CY122" i="1" s="1"/>
  <c r="CB123" i="1"/>
  <c r="CD123" i="1" s="1"/>
  <c r="CF123" i="1" s="1"/>
  <c r="CC123" i="1"/>
  <c r="CE123" i="1" s="1"/>
  <c r="BI124" i="1"/>
  <c r="BK124" i="1" s="1"/>
  <c r="BH124" i="1"/>
  <c r="BJ124" i="1" s="1"/>
  <c r="BL124" i="1" s="1"/>
  <c r="AN125" i="1"/>
  <c r="AP125" i="1" s="1"/>
  <c r="AR125" i="1" s="1"/>
  <c r="AO125" i="1"/>
  <c r="AQ125" i="1" s="1"/>
  <c r="U126" i="1"/>
  <c r="W126" i="1" s="1"/>
  <c r="T126" i="1"/>
  <c r="V126" i="1" s="1"/>
  <c r="X126" i="1" s="1"/>
  <c r="J126" i="1"/>
  <c r="L126" i="1" s="1"/>
  <c r="N126" i="1" s="1"/>
  <c r="K126" i="1"/>
  <c r="M126" i="1" s="1"/>
  <c r="D127" i="1"/>
  <c r="CZ122" i="1" l="1"/>
  <c r="DB122" i="1"/>
  <c r="DD122" i="1" s="1"/>
  <c r="AS125" i="1"/>
  <c r="AU125" i="1" s="1"/>
  <c r="AW125" i="1" s="1"/>
  <c r="AT125" i="1"/>
  <c r="AV125" i="1" s="1"/>
  <c r="CG123" i="1"/>
  <c r="CI123" i="1" s="1"/>
  <c r="CK123" i="1" s="1"/>
  <c r="CH123" i="1"/>
  <c r="CJ123" i="1" s="1"/>
  <c r="DA122" i="1"/>
  <c r="DC122" i="1" s="1"/>
  <c r="BM124" i="1"/>
  <c r="BO124" i="1" s="1"/>
  <c r="BQ124" i="1" s="1"/>
  <c r="BN124" i="1"/>
  <c r="BP124" i="1" s="1"/>
  <c r="P126" i="1"/>
  <c r="R126" i="1" s="1"/>
  <c r="E127" i="1"/>
  <c r="F127" i="1"/>
  <c r="H127" i="1" s="1"/>
  <c r="Y126" i="1"/>
  <c r="AA126" i="1" s="1"/>
  <c r="AC126" i="1" s="1"/>
  <c r="Z126" i="1"/>
  <c r="AB126" i="1" s="1"/>
  <c r="BS124" i="1" l="1"/>
  <c r="BU124" i="1" s="1"/>
  <c r="BR124" i="1"/>
  <c r="BT124" i="1" s="1"/>
  <c r="BV124" i="1" s="1"/>
  <c r="CL123" i="1"/>
  <c r="CN123" i="1" s="1"/>
  <c r="CP123" i="1" s="1"/>
  <c r="CM123" i="1"/>
  <c r="CO123" i="1" s="1"/>
  <c r="AY125" i="1"/>
  <c r="BA125" i="1" s="1"/>
  <c r="AX125" i="1"/>
  <c r="AZ125" i="1" s="1"/>
  <c r="BB125" i="1" s="1"/>
  <c r="O126" i="1"/>
  <c r="AE126" i="1"/>
  <c r="AG126" i="1" s="1"/>
  <c r="AD126" i="1"/>
  <c r="AF126" i="1" s="1"/>
  <c r="AH126" i="1" s="1"/>
  <c r="Q127" i="1"/>
  <c r="S127" i="1" s="1"/>
  <c r="G127" i="1"/>
  <c r="I127" i="1" s="1"/>
  <c r="AJ126" i="1" l="1"/>
  <c r="AL126" i="1" s="1"/>
  <c r="AI126" i="1"/>
  <c r="AK126" i="1" s="1"/>
  <c r="AM126" i="1" s="1"/>
  <c r="CQ123" i="1"/>
  <c r="CS123" i="1" s="1"/>
  <c r="CU123" i="1" s="1"/>
  <c r="CR123" i="1"/>
  <c r="CT123" i="1" s="1"/>
  <c r="BD125" i="1"/>
  <c r="BF125" i="1" s="1"/>
  <c r="BC125" i="1"/>
  <c r="BE125" i="1" s="1"/>
  <c r="BG125" i="1" s="1"/>
  <c r="BW124" i="1"/>
  <c r="BY124" i="1" s="1"/>
  <c r="CA124" i="1" s="1"/>
  <c r="BX124" i="1"/>
  <c r="BZ124" i="1" s="1"/>
  <c r="BI125" i="1" l="1"/>
  <c r="BK125" i="1" s="1"/>
  <c r="BH125" i="1"/>
  <c r="BJ125" i="1" s="1"/>
  <c r="BL125" i="1" s="1"/>
  <c r="AN126" i="1"/>
  <c r="AP126" i="1" s="1"/>
  <c r="AR126" i="1" s="1"/>
  <c r="AO126" i="1"/>
  <c r="AQ126" i="1" s="1"/>
  <c r="CB124" i="1"/>
  <c r="CD124" i="1" s="1"/>
  <c r="CF124" i="1" s="1"/>
  <c r="CC124" i="1"/>
  <c r="CE124" i="1" s="1"/>
  <c r="CW123" i="1"/>
  <c r="CY123" i="1" s="1"/>
  <c r="CV123" i="1"/>
  <c r="CX123" i="1" s="1"/>
  <c r="J127" i="1"/>
  <c r="L127" i="1" s="1"/>
  <c r="K127" i="1"/>
  <c r="M127" i="1" s="1"/>
  <c r="D128" i="1"/>
  <c r="U127" i="1"/>
  <c r="W127" i="1" s="1"/>
  <c r="T127" i="1"/>
  <c r="V127" i="1" s="1"/>
  <c r="X127" i="1" s="1"/>
  <c r="CZ123" i="1" l="1"/>
  <c r="N127" i="1"/>
  <c r="P127" i="1" s="1"/>
  <c r="R127" i="1" s="1"/>
  <c r="CG124" i="1"/>
  <c r="CI124" i="1" s="1"/>
  <c r="CK124" i="1" s="1"/>
  <c r="CH124" i="1"/>
  <c r="CJ124" i="1" s="1"/>
  <c r="AS126" i="1"/>
  <c r="AU126" i="1" s="1"/>
  <c r="AW126" i="1" s="1"/>
  <c r="AT126" i="1"/>
  <c r="AV126" i="1" s="1"/>
  <c r="BN125" i="1"/>
  <c r="BP125" i="1" s="1"/>
  <c r="BM125" i="1"/>
  <c r="BO125" i="1" s="1"/>
  <c r="BQ125" i="1" s="1"/>
  <c r="O127" i="1"/>
  <c r="Y127" i="1"/>
  <c r="AA127" i="1" s="1"/>
  <c r="AC127" i="1" s="1"/>
  <c r="Z127" i="1"/>
  <c r="AB127" i="1" s="1"/>
  <c r="E128" i="1"/>
  <c r="F128" i="1"/>
  <c r="H128" i="1" s="1"/>
  <c r="DA123" i="1" l="1"/>
  <c r="DC123" i="1" s="1"/>
  <c r="DB123" i="1"/>
  <c r="DD123" i="1" s="1"/>
  <c r="AY126" i="1"/>
  <c r="BA126" i="1" s="1"/>
  <c r="AX126" i="1"/>
  <c r="AZ126" i="1" s="1"/>
  <c r="BB126" i="1" s="1"/>
  <c r="CL124" i="1"/>
  <c r="CN124" i="1" s="1"/>
  <c r="CP124" i="1" s="1"/>
  <c r="CM124" i="1"/>
  <c r="CO124" i="1" s="1"/>
  <c r="BS125" i="1"/>
  <c r="BU125" i="1" s="1"/>
  <c r="BR125" i="1"/>
  <c r="BT125" i="1" s="1"/>
  <c r="BV125" i="1" s="1"/>
  <c r="AE127" i="1"/>
  <c r="AG127" i="1" s="1"/>
  <c r="AD127" i="1"/>
  <c r="AF127" i="1" s="1"/>
  <c r="AH127" i="1" s="1"/>
  <c r="Q128" i="1"/>
  <c r="S128" i="1" s="1"/>
  <c r="G128" i="1"/>
  <c r="I128" i="1" s="1"/>
  <c r="CQ124" i="1" l="1"/>
  <c r="CS124" i="1" s="1"/>
  <c r="CU124" i="1" s="1"/>
  <c r="CR124" i="1"/>
  <c r="CT124" i="1" s="1"/>
  <c r="AI127" i="1"/>
  <c r="AK127" i="1" s="1"/>
  <c r="AM127" i="1" s="1"/>
  <c r="AJ127" i="1"/>
  <c r="AL127" i="1" s="1"/>
  <c r="BX125" i="1"/>
  <c r="BZ125" i="1" s="1"/>
  <c r="BW125" i="1"/>
  <c r="BY125" i="1" s="1"/>
  <c r="CA125" i="1" s="1"/>
  <c r="BC126" i="1"/>
  <c r="BE126" i="1" s="1"/>
  <c r="BG126" i="1" s="1"/>
  <c r="BD126" i="1"/>
  <c r="BF126" i="1" s="1"/>
  <c r="CC125" i="1" l="1"/>
  <c r="CE125" i="1" s="1"/>
  <c r="CB125" i="1"/>
  <c r="CD125" i="1" s="1"/>
  <c r="CF125" i="1" s="1"/>
  <c r="CV124" i="1"/>
  <c r="CX124" i="1" s="1"/>
  <c r="CW124" i="1"/>
  <c r="CY124" i="1" s="1"/>
  <c r="BH126" i="1"/>
  <c r="BJ126" i="1" s="1"/>
  <c r="BL126" i="1" s="1"/>
  <c r="BI126" i="1"/>
  <c r="BK126" i="1" s="1"/>
  <c r="AN127" i="1"/>
  <c r="AP127" i="1" s="1"/>
  <c r="AR127" i="1" s="1"/>
  <c r="AO127" i="1"/>
  <c r="AQ127" i="1" s="1"/>
  <c r="J128" i="1"/>
  <c r="L128" i="1" s="1"/>
  <c r="N128" i="1" s="1"/>
  <c r="K128" i="1"/>
  <c r="M128" i="1" s="1"/>
  <c r="D129" i="1"/>
  <c r="U128" i="1"/>
  <c r="W128" i="1" s="1"/>
  <c r="T128" i="1"/>
  <c r="V128" i="1" s="1"/>
  <c r="X128" i="1" s="1"/>
  <c r="CZ124" i="1" l="1"/>
  <c r="AS127" i="1"/>
  <c r="AU127" i="1" s="1"/>
  <c r="AW127" i="1" s="1"/>
  <c r="AT127" i="1"/>
  <c r="AV127" i="1" s="1"/>
  <c r="BN126" i="1"/>
  <c r="BP126" i="1" s="1"/>
  <c r="BM126" i="1"/>
  <c r="BO126" i="1" s="1"/>
  <c r="BQ126" i="1" s="1"/>
  <c r="DB124" i="1"/>
  <c r="DD124" i="1" s="1"/>
  <c r="DA124" i="1"/>
  <c r="DC124" i="1" s="1"/>
  <c r="CG125" i="1"/>
  <c r="CI125" i="1" s="1"/>
  <c r="CK125" i="1" s="1"/>
  <c r="CH125" i="1"/>
  <c r="CJ125" i="1" s="1"/>
  <c r="P128" i="1"/>
  <c r="R128" i="1" s="1"/>
  <c r="Z128" i="1"/>
  <c r="AB128" i="1" s="1"/>
  <c r="Y128" i="1"/>
  <c r="AA128" i="1" s="1"/>
  <c r="AC128" i="1" s="1"/>
  <c r="F129" i="1"/>
  <c r="H129" i="1" s="1"/>
  <c r="E129" i="1"/>
  <c r="AY127" i="1" l="1"/>
  <c r="BA127" i="1" s="1"/>
  <c r="AX127" i="1"/>
  <c r="AZ127" i="1" s="1"/>
  <c r="BB127" i="1" s="1"/>
  <c r="CM125" i="1"/>
  <c r="CO125" i="1" s="1"/>
  <c r="CL125" i="1"/>
  <c r="CN125" i="1" s="1"/>
  <c r="CP125" i="1" s="1"/>
  <c r="BR126" i="1"/>
  <c r="BT126" i="1" s="1"/>
  <c r="BV126" i="1" s="1"/>
  <c r="BS126" i="1"/>
  <c r="BU126" i="1" s="1"/>
  <c r="O128" i="1"/>
  <c r="AD128" i="1"/>
  <c r="AF128" i="1" s="1"/>
  <c r="AH128" i="1" s="1"/>
  <c r="AE128" i="1"/>
  <c r="AG128" i="1" s="1"/>
  <c r="G129" i="1"/>
  <c r="I129" i="1" s="1"/>
  <c r="Q129" i="1"/>
  <c r="S129" i="1" s="1"/>
  <c r="BX126" i="1" l="1"/>
  <c r="BZ126" i="1" s="1"/>
  <c r="BW126" i="1"/>
  <c r="BY126" i="1" s="1"/>
  <c r="CA126" i="1" s="1"/>
  <c r="AJ128" i="1"/>
  <c r="AL128" i="1" s="1"/>
  <c r="AI128" i="1"/>
  <c r="AK128" i="1" s="1"/>
  <c r="AM128" i="1" s="1"/>
  <c r="CQ125" i="1"/>
  <c r="CS125" i="1" s="1"/>
  <c r="CU125" i="1" s="1"/>
  <c r="CR125" i="1"/>
  <c r="CT125" i="1" s="1"/>
  <c r="BD127" i="1"/>
  <c r="BF127" i="1" s="1"/>
  <c r="BC127" i="1"/>
  <c r="BE127" i="1" s="1"/>
  <c r="BG127" i="1" s="1"/>
  <c r="BH127" i="1" l="1"/>
  <c r="BJ127" i="1" s="1"/>
  <c r="BL127" i="1" s="1"/>
  <c r="BI127" i="1"/>
  <c r="BK127" i="1" s="1"/>
  <c r="AO128" i="1"/>
  <c r="AQ128" i="1" s="1"/>
  <c r="AN128" i="1"/>
  <c r="AP128" i="1" s="1"/>
  <c r="AR128" i="1" s="1"/>
  <c r="CV125" i="1"/>
  <c r="CX125" i="1" s="1"/>
  <c r="CW125" i="1"/>
  <c r="CY125" i="1" s="1"/>
  <c r="CB126" i="1"/>
  <c r="CD126" i="1" s="1"/>
  <c r="CF126" i="1" s="1"/>
  <c r="CC126" i="1"/>
  <c r="CE126" i="1" s="1"/>
  <c r="J129" i="1"/>
  <c r="L129" i="1" s="1"/>
  <c r="N129" i="1" s="1"/>
  <c r="K129" i="1"/>
  <c r="M129" i="1" s="1"/>
  <c r="D130" i="1"/>
  <c r="T129" i="1"/>
  <c r="V129" i="1" s="1"/>
  <c r="X129" i="1" s="1"/>
  <c r="U129" i="1"/>
  <c r="W129" i="1" s="1"/>
  <c r="CZ125" i="1" l="1"/>
  <c r="DB125" i="1"/>
  <c r="DD125" i="1" s="1"/>
  <c r="CH126" i="1"/>
  <c r="CJ126" i="1" s="1"/>
  <c r="CG126" i="1"/>
  <c r="CI126" i="1" s="1"/>
  <c r="CK126" i="1" s="1"/>
  <c r="DA125" i="1"/>
  <c r="DC125" i="1" s="1"/>
  <c r="BM127" i="1"/>
  <c r="BO127" i="1" s="1"/>
  <c r="BQ127" i="1" s="1"/>
  <c r="BN127" i="1"/>
  <c r="BP127" i="1" s="1"/>
  <c r="AT128" i="1"/>
  <c r="AV128" i="1" s="1"/>
  <c r="AS128" i="1"/>
  <c r="AU128" i="1" s="1"/>
  <c r="AW128" i="1" s="1"/>
  <c r="P129" i="1"/>
  <c r="R129" i="1" s="1"/>
  <c r="E130" i="1"/>
  <c r="F130" i="1"/>
  <c r="H130" i="1" s="1"/>
  <c r="Y129" i="1"/>
  <c r="AA129" i="1" s="1"/>
  <c r="AC129" i="1" s="1"/>
  <c r="Z129" i="1"/>
  <c r="AB129" i="1" s="1"/>
  <c r="BS127" i="1" l="1"/>
  <c r="BU127" i="1" s="1"/>
  <c r="BR127" i="1"/>
  <c r="BT127" i="1" s="1"/>
  <c r="BV127" i="1" s="1"/>
  <c r="AX128" i="1"/>
  <c r="AZ128" i="1" s="1"/>
  <c r="BB128" i="1" s="1"/>
  <c r="AY128" i="1"/>
  <c r="BA128" i="1" s="1"/>
  <c r="CL126" i="1"/>
  <c r="CN126" i="1" s="1"/>
  <c r="CP126" i="1" s="1"/>
  <c r="CM126" i="1"/>
  <c r="CO126" i="1" s="1"/>
  <c r="O129" i="1"/>
  <c r="AE129" i="1"/>
  <c r="AG129" i="1" s="1"/>
  <c r="AD129" i="1"/>
  <c r="AF129" i="1" s="1"/>
  <c r="AH129" i="1" s="1"/>
  <c r="Q130" i="1"/>
  <c r="S130" i="1" s="1"/>
  <c r="G130" i="1"/>
  <c r="I130" i="1" s="1"/>
  <c r="AJ129" i="1" l="1"/>
  <c r="AL129" i="1" s="1"/>
  <c r="AI129" i="1"/>
  <c r="AK129" i="1" s="1"/>
  <c r="AM129" i="1" s="1"/>
  <c r="CR126" i="1"/>
  <c r="CT126" i="1" s="1"/>
  <c r="CQ126" i="1"/>
  <c r="CS126" i="1" s="1"/>
  <c r="CU126" i="1" s="1"/>
  <c r="BD128" i="1"/>
  <c r="BF128" i="1" s="1"/>
  <c r="BC128" i="1"/>
  <c r="BE128" i="1" s="1"/>
  <c r="BG128" i="1" s="1"/>
  <c r="BX127" i="1"/>
  <c r="BZ127" i="1" s="1"/>
  <c r="BW127" i="1"/>
  <c r="BY127" i="1" s="1"/>
  <c r="CA127" i="1" s="1"/>
  <c r="BH128" i="1" l="1"/>
  <c r="BJ128" i="1" s="1"/>
  <c r="BL128" i="1" s="1"/>
  <c r="BI128" i="1"/>
  <c r="BK128" i="1" s="1"/>
  <c r="CV126" i="1"/>
  <c r="CX126" i="1" s="1"/>
  <c r="CW126" i="1"/>
  <c r="CY126" i="1" s="1"/>
  <c r="AO129" i="1"/>
  <c r="AQ129" i="1" s="1"/>
  <c r="AN129" i="1"/>
  <c r="AP129" i="1" s="1"/>
  <c r="AR129" i="1" s="1"/>
  <c r="CB127" i="1"/>
  <c r="CD127" i="1" s="1"/>
  <c r="CF127" i="1" s="1"/>
  <c r="CC127" i="1"/>
  <c r="CE127" i="1" s="1"/>
  <c r="K130" i="1"/>
  <c r="M130" i="1" s="1"/>
  <c r="J130" i="1"/>
  <c r="L130" i="1" s="1"/>
  <c r="N130" i="1" s="1"/>
  <c r="O130" i="1" s="1"/>
  <c r="D131" i="1"/>
  <c r="U130" i="1"/>
  <c r="W130" i="1" s="1"/>
  <c r="T130" i="1"/>
  <c r="V130" i="1" s="1"/>
  <c r="X130" i="1" s="1"/>
  <c r="CZ126" i="1" l="1"/>
  <c r="P130" i="1"/>
  <c r="R130" i="1" s="1"/>
  <c r="CH127" i="1"/>
  <c r="CJ127" i="1" s="1"/>
  <c r="CG127" i="1"/>
  <c r="CI127" i="1" s="1"/>
  <c r="CK127" i="1" s="1"/>
  <c r="DA126" i="1"/>
  <c r="DC126" i="1" s="1"/>
  <c r="DB126" i="1"/>
  <c r="DD126" i="1" s="1"/>
  <c r="BM128" i="1"/>
  <c r="BO128" i="1" s="1"/>
  <c r="BQ128" i="1" s="1"/>
  <c r="BN128" i="1"/>
  <c r="BP128" i="1" s="1"/>
  <c r="AT129" i="1"/>
  <c r="AV129" i="1" s="1"/>
  <c r="AS129" i="1"/>
  <c r="AU129" i="1" s="1"/>
  <c r="AW129" i="1" s="1"/>
  <c r="Z130" i="1"/>
  <c r="AB130" i="1" s="1"/>
  <c r="Y130" i="1"/>
  <c r="AA130" i="1" s="1"/>
  <c r="AC130" i="1" s="1"/>
  <c r="F131" i="1"/>
  <c r="H131" i="1" s="1"/>
  <c r="E131" i="1"/>
  <c r="AY129" i="1" l="1"/>
  <c r="BA129" i="1" s="1"/>
  <c r="AX129" i="1"/>
  <c r="AZ129" i="1" s="1"/>
  <c r="BB129" i="1" s="1"/>
  <c r="BS128" i="1"/>
  <c r="BU128" i="1" s="1"/>
  <c r="BR128" i="1"/>
  <c r="BT128" i="1" s="1"/>
  <c r="BV128" i="1" s="1"/>
  <c r="CL127" i="1"/>
  <c r="CN127" i="1" s="1"/>
  <c r="CP127" i="1" s="1"/>
  <c r="CM127" i="1"/>
  <c r="CO127" i="1" s="1"/>
  <c r="AD130" i="1"/>
  <c r="AF130" i="1" s="1"/>
  <c r="AH130" i="1" s="1"/>
  <c r="AE130" i="1"/>
  <c r="AG130" i="1" s="1"/>
  <c r="Q131" i="1"/>
  <c r="S131" i="1" s="1"/>
  <c r="G131" i="1"/>
  <c r="I131" i="1" s="1"/>
  <c r="AJ130" i="1" l="1"/>
  <c r="AL130" i="1" s="1"/>
  <c r="AI130" i="1"/>
  <c r="AK130" i="1" s="1"/>
  <c r="AM130" i="1" s="1"/>
  <c r="CR127" i="1"/>
  <c r="CT127" i="1" s="1"/>
  <c r="CQ127" i="1"/>
  <c r="CS127" i="1" s="1"/>
  <c r="CU127" i="1" s="1"/>
  <c r="BW128" i="1"/>
  <c r="BY128" i="1" s="1"/>
  <c r="CA128" i="1" s="1"/>
  <c r="BX128" i="1"/>
  <c r="BZ128" i="1" s="1"/>
  <c r="BD129" i="1"/>
  <c r="BF129" i="1" s="1"/>
  <c r="BC129" i="1"/>
  <c r="BE129" i="1" s="1"/>
  <c r="BG129" i="1" s="1"/>
  <c r="CW127" i="1" l="1"/>
  <c r="CY127" i="1" s="1"/>
  <c r="CV127" i="1"/>
  <c r="CX127" i="1" s="1"/>
  <c r="AO130" i="1"/>
  <c r="AQ130" i="1" s="1"/>
  <c r="AN130" i="1"/>
  <c r="AP130" i="1" s="1"/>
  <c r="AR130" i="1" s="1"/>
  <c r="BH129" i="1"/>
  <c r="BJ129" i="1" s="1"/>
  <c r="BL129" i="1" s="1"/>
  <c r="BI129" i="1"/>
  <c r="BK129" i="1" s="1"/>
  <c r="CC128" i="1"/>
  <c r="CE128" i="1" s="1"/>
  <c r="CB128" i="1"/>
  <c r="CD128" i="1" s="1"/>
  <c r="CF128" i="1" s="1"/>
  <c r="J131" i="1"/>
  <c r="L131" i="1" s="1"/>
  <c r="N131" i="1" s="1"/>
  <c r="K131" i="1"/>
  <c r="M131" i="1" s="1"/>
  <c r="D132" i="1"/>
  <c r="U131" i="1"/>
  <c r="W131" i="1" s="1"/>
  <c r="T131" i="1"/>
  <c r="V131" i="1" s="1"/>
  <c r="X131" i="1" s="1"/>
  <c r="CZ127" i="1" l="1"/>
  <c r="BN129" i="1"/>
  <c r="BP129" i="1" s="1"/>
  <c r="BM129" i="1"/>
  <c r="BO129" i="1" s="1"/>
  <c r="BQ129" i="1" s="1"/>
  <c r="CG128" i="1"/>
  <c r="CI128" i="1" s="1"/>
  <c r="CK128" i="1" s="1"/>
  <c r="CH128" i="1"/>
  <c r="CJ128" i="1" s="1"/>
  <c r="AS130" i="1"/>
  <c r="AU130" i="1" s="1"/>
  <c r="AW130" i="1" s="1"/>
  <c r="AT130" i="1"/>
  <c r="AV130" i="1" s="1"/>
  <c r="P131" i="1"/>
  <c r="R131" i="1" s="1"/>
  <c r="Y131" i="1"/>
  <c r="AA131" i="1" s="1"/>
  <c r="AC131" i="1" s="1"/>
  <c r="Z131" i="1"/>
  <c r="AB131" i="1" s="1"/>
  <c r="F132" i="1"/>
  <c r="H132" i="1" s="1"/>
  <c r="E132" i="1"/>
  <c r="DA127" i="1" l="1"/>
  <c r="DC127" i="1" s="1"/>
  <c r="DB127" i="1"/>
  <c r="DD127" i="1" s="1"/>
  <c r="AX130" i="1"/>
  <c r="AZ130" i="1" s="1"/>
  <c r="BB130" i="1" s="1"/>
  <c r="AY130" i="1"/>
  <c r="BA130" i="1" s="1"/>
  <c r="CL128" i="1"/>
  <c r="CN128" i="1" s="1"/>
  <c r="CP128" i="1" s="1"/>
  <c r="CM128" i="1"/>
  <c r="CO128" i="1" s="1"/>
  <c r="BR129" i="1"/>
  <c r="BT129" i="1" s="1"/>
  <c r="BV129" i="1" s="1"/>
  <c r="BS129" i="1"/>
  <c r="BU129" i="1" s="1"/>
  <c r="O131" i="1"/>
  <c r="AD131" i="1"/>
  <c r="AF131" i="1" s="1"/>
  <c r="AH131" i="1" s="1"/>
  <c r="AE131" i="1"/>
  <c r="AG131" i="1" s="1"/>
  <c r="Q132" i="1"/>
  <c r="S132" i="1" s="1"/>
  <c r="G132" i="1"/>
  <c r="I132" i="1" s="1"/>
  <c r="BX129" i="1" l="1"/>
  <c r="BZ129" i="1" s="1"/>
  <c r="BW129" i="1"/>
  <c r="BY129" i="1" s="1"/>
  <c r="CA129" i="1" s="1"/>
  <c r="CR128" i="1"/>
  <c r="CT128" i="1" s="1"/>
  <c r="CQ128" i="1"/>
  <c r="CS128" i="1" s="1"/>
  <c r="CU128" i="1" s="1"/>
  <c r="BC130" i="1"/>
  <c r="BE130" i="1" s="1"/>
  <c r="BG130" i="1" s="1"/>
  <c r="BD130" i="1"/>
  <c r="BF130" i="1" s="1"/>
  <c r="AI131" i="1"/>
  <c r="AK131" i="1" s="1"/>
  <c r="AM131" i="1" s="1"/>
  <c r="AJ131" i="1"/>
  <c r="AL131" i="1" s="1"/>
  <c r="BH130" i="1" l="1"/>
  <c r="BJ130" i="1" s="1"/>
  <c r="BL130" i="1" s="1"/>
  <c r="BI130" i="1"/>
  <c r="BK130" i="1" s="1"/>
  <c r="AO131" i="1"/>
  <c r="AQ131" i="1" s="1"/>
  <c r="AN131" i="1"/>
  <c r="AP131" i="1" s="1"/>
  <c r="AR131" i="1" s="1"/>
  <c r="CW128" i="1"/>
  <c r="CY128" i="1" s="1"/>
  <c r="CV128" i="1"/>
  <c r="CX128" i="1" s="1"/>
  <c r="CC129" i="1"/>
  <c r="CE129" i="1" s="1"/>
  <c r="CB129" i="1"/>
  <c r="CD129" i="1" s="1"/>
  <c r="CF129" i="1" s="1"/>
  <c r="J132" i="1"/>
  <c r="L132" i="1" s="1"/>
  <c r="N132" i="1" s="1"/>
  <c r="K132" i="1"/>
  <c r="M132" i="1" s="1"/>
  <c r="D133" i="1"/>
  <c r="U132" i="1"/>
  <c r="W132" i="1" s="1"/>
  <c r="T132" i="1"/>
  <c r="V132" i="1" s="1"/>
  <c r="X132" i="1" s="1"/>
  <c r="CZ128" i="1" l="1"/>
  <c r="BM130" i="1"/>
  <c r="BO130" i="1" s="1"/>
  <c r="BQ130" i="1" s="1"/>
  <c r="BN130" i="1"/>
  <c r="BP130" i="1" s="1"/>
  <c r="CG129" i="1"/>
  <c r="CI129" i="1" s="1"/>
  <c r="CK129" i="1" s="1"/>
  <c r="CH129" i="1"/>
  <c r="CJ129" i="1" s="1"/>
  <c r="AT131" i="1"/>
  <c r="AV131" i="1" s="1"/>
  <c r="AS131" i="1"/>
  <c r="AU131" i="1" s="1"/>
  <c r="AW131" i="1" s="1"/>
  <c r="P132" i="1"/>
  <c r="R132" i="1" s="1"/>
  <c r="Z132" i="1"/>
  <c r="AB132" i="1" s="1"/>
  <c r="Y132" i="1"/>
  <c r="AA132" i="1" s="1"/>
  <c r="AC132" i="1" s="1"/>
  <c r="E133" i="1"/>
  <c r="F133" i="1"/>
  <c r="H133" i="1" s="1"/>
  <c r="DB128" i="1" l="1"/>
  <c r="DD128" i="1" s="1"/>
  <c r="DA128" i="1"/>
  <c r="DC128" i="1" s="1"/>
  <c r="CL129" i="1"/>
  <c r="CN129" i="1" s="1"/>
  <c r="CP129" i="1" s="1"/>
  <c r="CM129" i="1"/>
  <c r="CO129" i="1" s="1"/>
  <c r="BS130" i="1"/>
  <c r="BU130" i="1" s="1"/>
  <c r="BR130" i="1"/>
  <c r="BT130" i="1" s="1"/>
  <c r="BV130" i="1" s="1"/>
  <c r="AX131" i="1"/>
  <c r="AZ131" i="1" s="1"/>
  <c r="BB131" i="1" s="1"/>
  <c r="AY131" i="1"/>
  <c r="BA131" i="1" s="1"/>
  <c r="O132" i="1"/>
  <c r="AE132" i="1"/>
  <c r="AG132" i="1" s="1"/>
  <c r="AD132" i="1"/>
  <c r="AF132" i="1" s="1"/>
  <c r="AH132" i="1" s="1"/>
  <c r="Q133" i="1"/>
  <c r="S133" i="1" s="1"/>
  <c r="G133" i="1"/>
  <c r="I133" i="1" s="1"/>
  <c r="BD131" i="1" l="1"/>
  <c r="BF131" i="1" s="1"/>
  <c r="BC131" i="1"/>
  <c r="BE131" i="1" s="1"/>
  <c r="BG131" i="1" s="1"/>
  <c r="CR129" i="1"/>
  <c r="CT129" i="1" s="1"/>
  <c r="CQ129" i="1"/>
  <c r="CS129" i="1" s="1"/>
  <c r="CU129" i="1" s="1"/>
  <c r="AJ132" i="1"/>
  <c r="AL132" i="1" s="1"/>
  <c r="AI132" i="1"/>
  <c r="AK132" i="1" s="1"/>
  <c r="AM132" i="1" s="1"/>
  <c r="BX130" i="1"/>
  <c r="BZ130" i="1" s="1"/>
  <c r="BW130" i="1"/>
  <c r="BY130" i="1" s="1"/>
  <c r="CA130" i="1" s="1"/>
  <c r="CB130" i="1" l="1"/>
  <c r="CD130" i="1" s="1"/>
  <c r="CF130" i="1" s="1"/>
  <c r="CC130" i="1"/>
  <c r="CE130" i="1" s="1"/>
  <c r="AO132" i="1"/>
  <c r="AQ132" i="1" s="1"/>
  <c r="AN132" i="1"/>
  <c r="AP132" i="1" s="1"/>
  <c r="AR132" i="1" s="1"/>
  <c r="CV129" i="1"/>
  <c r="CX129" i="1" s="1"/>
  <c r="CW129" i="1"/>
  <c r="CY129" i="1" s="1"/>
  <c r="BH131" i="1"/>
  <c r="BJ131" i="1" s="1"/>
  <c r="BL131" i="1" s="1"/>
  <c r="BI131" i="1"/>
  <c r="BK131" i="1" s="1"/>
  <c r="J133" i="1"/>
  <c r="L133" i="1" s="1"/>
  <c r="N133" i="1" s="1"/>
  <c r="K133" i="1"/>
  <c r="M133" i="1" s="1"/>
  <c r="D134" i="1"/>
  <c r="U133" i="1"/>
  <c r="W133" i="1" s="1"/>
  <c r="T133" i="1"/>
  <c r="V133" i="1" s="1"/>
  <c r="X133" i="1" s="1"/>
  <c r="CZ129" i="1" l="1"/>
  <c r="DA129" i="1"/>
  <c r="DC129" i="1" s="1"/>
  <c r="BN131" i="1"/>
  <c r="BP131" i="1" s="1"/>
  <c r="BM131" i="1"/>
  <c r="BO131" i="1" s="1"/>
  <c r="BQ131" i="1" s="1"/>
  <c r="DB129" i="1"/>
  <c r="DD129" i="1" s="1"/>
  <c r="CH130" i="1"/>
  <c r="CJ130" i="1" s="1"/>
  <c r="CG130" i="1"/>
  <c r="CI130" i="1" s="1"/>
  <c r="CK130" i="1" s="1"/>
  <c r="AT132" i="1"/>
  <c r="AV132" i="1" s="1"/>
  <c r="AS132" i="1"/>
  <c r="AU132" i="1" s="1"/>
  <c r="AW132" i="1" s="1"/>
  <c r="P133" i="1"/>
  <c r="R133" i="1" s="1"/>
  <c r="Z133" i="1"/>
  <c r="AB133" i="1" s="1"/>
  <c r="Y133" i="1"/>
  <c r="AA133" i="1" s="1"/>
  <c r="AC133" i="1" s="1"/>
  <c r="F134" i="1"/>
  <c r="H134" i="1" s="1"/>
  <c r="E134" i="1"/>
  <c r="AX132" i="1" l="1"/>
  <c r="AZ132" i="1" s="1"/>
  <c r="BB132" i="1" s="1"/>
  <c r="AY132" i="1"/>
  <c r="BA132" i="1" s="1"/>
  <c r="CL130" i="1"/>
  <c r="CN130" i="1" s="1"/>
  <c r="CP130" i="1" s="1"/>
  <c r="CM130" i="1"/>
  <c r="CO130" i="1" s="1"/>
  <c r="BS131" i="1"/>
  <c r="BU131" i="1" s="1"/>
  <c r="BR131" i="1"/>
  <c r="BT131" i="1" s="1"/>
  <c r="BV131" i="1" s="1"/>
  <c r="O133" i="1"/>
  <c r="AE133" i="1"/>
  <c r="AG133" i="1" s="1"/>
  <c r="AD133" i="1"/>
  <c r="AF133" i="1" s="1"/>
  <c r="AH133" i="1" s="1"/>
  <c r="Q134" i="1"/>
  <c r="S134" i="1" s="1"/>
  <c r="G134" i="1"/>
  <c r="I134" i="1" s="1"/>
  <c r="CR130" i="1" l="1"/>
  <c r="CT130" i="1" s="1"/>
  <c r="CQ130" i="1"/>
  <c r="CS130" i="1" s="1"/>
  <c r="CU130" i="1" s="1"/>
  <c r="BD132" i="1"/>
  <c r="BF132" i="1" s="1"/>
  <c r="BC132" i="1"/>
  <c r="BE132" i="1" s="1"/>
  <c r="BG132" i="1" s="1"/>
  <c r="AI133" i="1"/>
  <c r="AK133" i="1" s="1"/>
  <c r="AM133" i="1" s="1"/>
  <c r="AJ133" i="1"/>
  <c r="AL133" i="1" s="1"/>
  <c r="BW131" i="1"/>
  <c r="BY131" i="1" s="1"/>
  <c r="CA131" i="1" s="1"/>
  <c r="BX131" i="1"/>
  <c r="BZ131" i="1" s="1"/>
  <c r="CC131" i="1" l="1"/>
  <c r="CE131" i="1" s="1"/>
  <c r="CB131" i="1"/>
  <c r="CD131" i="1" s="1"/>
  <c r="CF131" i="1" s="1"/>
  <c r="AN133" i="1"/>
  <c r="AP133" i="1" s="1"/>
  <c r="AR133" i="1" s="1"/>
  <c r="AO133" i="1"/>
  <c r="AQ133" i="1" s="1"/>
  <c r="BH132" i="1"/>
  <c r="BJ132" i="1" s="1"/>
  <c r="BL132" i="1" s="1"/>
  <c r="BI132" i="1"/>
  <c r="BK132" i="1" s="1"/>
  <c r="CW130" i="1"/>
  <c r="CY130" i="1" s="1"/>
  <c r="CV130" i="1"/>
  <c r="CX130" i="1" s="1"/>
  <c r="J134" i="1"/>
  <c r="L134" i="1" s="1"/>
  <c r="N134" i="1" s="1"/>
  <c r="K134" i="1"/>
  <c r="M134" i="1" s="1"/>
  <c r="D135" i="1"/>
  <c r="U134" i="1"/>
  <c r="W134" i="1" s="1"/>
  <c r="T134" i="1"/>
  <c r="V134" i="1" s="1"/>
  <c r="X134" i="1" s="1"/>
  <c r="CZ130" i="1" l="1"/>
  <c r="BN132" i="1"/>
  <c r="BP132" i="1" s="1"/>
  <c r="BM132" i="1"/>
  <c r="BO132" i="1" s="1"/>
  <c r="BQ132" i="1" s="1"/>
  <c r="AT133" i="1"/>
  <c r="AV133" i="1" s="1"/>
  <c r="AS133" i="1"/>
  <c r="AU133" i="1" s="1"/>
  <c r="AW133" i="1" s="1"/>
  <c r="CH131" i="1"/>
  <c r="CJ131" i="1" s="1"/>
  <c r="CG131" i="1"/>
  <c r="CI131" i="1" s="1"/>
  <c r="CK131" i="1" s="1"/>
  <c r="P134" i="1"/>
  <c r="R134" i="1" s="1"/>
  <c r="O134" i="1"/>
  <c r="Z134" i="1"/>
  <c r="AB134" i="1" s="1"/>
  <c r="Y134" i="1"/>
  <c r="AA134" i="1" s="1"/>
  <c r="AC134" i="1" s="1"/>
  <c r="F135" i="1"/>
  <c r="H135" i="1" s="1"/>
  <c r="E135" i="1"/>
  <c r="DB130" i="1" l="1"/>
  <c r="DD130" i="1" s="1"/>
  <c r="DA130" i="1"/>
  <c r="DC130" i="1" s="1"/>
  <c r="CM131" i="1"/>
  <c r="CO131" i="1" s="1"/>
  <c r="CL131" i="1"/>
  <c r="CN131" i="1" s="1"/>
  <c r="CP131" i="1" s="1"/>
  <c r="AX133" i="1"/>
  <c r="AZ133" i="1" s="1"/>
  <c r="BB133" i="1" s="1"/>
  <c r="AY133" i="1"/>
  <c r="BA133" i="1" s="1"/>
  <c r="BS132" i="1"/>
  <c r="BU132" i="1" s="1"/>
  <c r="BR132" i="1"/>
  <c r="BT132" i="1" s="1"/>
  <c r="BV132" i="1" s="1"/>
  <c r="AE134" i="1"/>
  <c r="AG134" i="1" s="1"/>
  <c r="AD134" i="1"/>
  <c r="AF134" i="1" s="1"/>
  <c r="AH134" i="1" s="1"/>
  <c r="G135" i="1"/>
  <c r="I135" i="1" s="1"/>
  <c r="Q135" i="1"/>
  <c r="S135" i="1" s="1"/>
  <c r="AJ134" i="1" l="1"/>
  <c r="AL134" i="1" s="1"/>
  <c r="AI134" i="1"/>
  <c r="AK134" i="1" s="1"/>
  <c r="AM134" i="1" s="1"/>
  <c r="BX132" i="1"/>
  <c r="BZ132" i="1" s="1"/>
  <c r="BW132" i="1"/>
  <c r="BY132" i="1" s="1"/>
  <c r="CA132" i="1" s="1"/>
  <c r="CQ131" i="1"/>
  <c r="CS131" i="1" s="1"/>
  <c r="CU131" i="1" s="1"/>
  <c r="CR131" i="1"/>
  <c r="CT131" i="1" s="1"/>
  <c r="BD133" i="1"/>
  <c r="BF133" i="1" s="1"/>
  <c r="BC133" i="1"/>
  <c r="BE133" i="1" s="1"/>
  <c r="BG133" i="1" s="1"/>
  <c r="BI133" i="1" l="1"/>
  <c r="BK133" i="1" s="1"/>
  <c r="BH133" i="1"/>
  <c r="BJ133" i="1" s="1"/>
  <c r="BL133" i="1" s="1"/>
  <c r="CC132" i="1"/>
  <c r="CE132" i="1" s="1"/>
  <c r="CB132" i="1"/>
  <c r="CD132" i="1" s="1"/>
  <c r="CF132" i="1" s="1"/>
  <c r="AO134" i="1"/>
  <c r="AQ134" i="1" s="1"/>
  <c r="AN134" i="1"/>
  <c r="AP134" i="1" s="1"/>
  <c r="AR134" i="1" s="1"/>
  <c r="CV131" i="1"/>
  <c r="CX131" i="1" s="1"/>
  <c r="CW131" i="1"/>
  <c r="CY131" i="1" s="1"/>
  <c r="U135" i="1"/>
  <c r="W135" i="1" s="1"/>
  <c r="T135" i="1"/>
  <c r="V135" i="1" s="1"/>
  <c r="X135" i="1" s="1"/>
  <c r="J135" i="1"/>
  <c r="L135" i="1" s="1"/>
  <c r="N135" i="1" s="1"/>
  <c r="K135" i="1"/>
  <c r="M135" i="1" s="1"/>
  <c r="D136" i="1"/>
  <c r="CZ131" i="1" l="1"/>
  <c r="AT134" i="1"/>
  <c r="AV134" i="1" s="1"/>
  <c r="AS134" i="1"/>
  <c r="AU134" i="1" s="1"/>
  <c r="AW134" i="1" s="1"/>
  <c r="CH132" i="1"/>
  <c r="CJ132" i="1" s="1"/>
  <c r="CG132" i="1"/>
  <c r="CI132" i="1" s="1"/>
  <c r="CK132" i="1" s="1"/>
  <c r="BN133" i="1"/>
  <c r="BP133" i="1" s="1"/>
  <c r="BM133" i="1"/>
  <c r="BO133" i="1" s="1"/>
  <c r="BQ133" i="1" s="1"/>
  <c r="P135" i="1"/>
  <c r="R135" i="1" s="1"/>
  <c r="O135" i="1"/>
  <c r="E136" i="1"/>
  <c r="F136" i="1"/>
  <c r="H136" i="1" s="1"/>
  <c r="Z135" i="1"/>
  <c r="AB135" i="1" s="1"/>
  <c r="Y135" i="1"/>
  <c r="AA135" i="1" s="1"/>
  <c r="AC135" i="1" s="1"/>
  <c r="DB131" i="1" l="1"/>
  <c r="DD131" i="1" s="1"/>
  <c r="DA131" i="1"/>
  <c r="DC131" i="1" s="1"/>
  <c r="BR133" i="1"/>
  <c r="BT133" i="1" s="1"/>
  <c r="BV133" i="1" s="1"/>
  <c r="BS133" i="1"/>
  <c r="BU133" i="1" s="1"/>
  <c r="CL132" i="1"/>
  <c r="CN132" i="1" s="1"/>
  <c r="CP132" i="1" s="1"/>
  <c r="CM132" i="1"/>
  <c r="CO132" i="1" s="1"/>
  <c r="AX134" i="1"/>
  <c r="AZ134" i="1" s="1"/>
  <c r="BB134" i="1" s="1"/>
  <c r="AY134" i="1"/>
  <c r="BA134" i="1" s="1"/>
  <c r="AD135" i="1"/>
  <c r="AF135" i="1" s="1"/>
  <c r="AH135" i="1" s="1"/>
  <c r="AE135" i="1"/>
  <c r="AG135" i="1" s="1"/>
  <c r="G136" i="1"/>
  <c r="I136" i="1" s="1"/>
  <c r="Q136" i="1"/>
  <c r="S136" i="1" s="1"/>
  <c r="AJ135" i="1" l="1"/>
  <c r="AL135" i="1" s="1"/>
  <c r="AI135" i="1"/>
  <c r="AK135" i="1" s="1"/>
  <c r="AM135" i="1" s="1"/>
  <c r="BD134" i="1"/>
  <c r="BF134" i="1" s="1"/>
  <c r="BC134" i="1"/>
  <c r="BE134" i="1" s="1"/>
  <c r="BG134" i="1" s="1"/>
  <c r="CR132" i="1"/>
  <c r="CT132" i="1" s="1"/>
  <c r="CQ132" i="1"/>
  <c r="CS132" i="1" s="1"/>
  <c r="CU132" i="1" s="1"/>
  <c r="BX133" i="1"/>
  <c r="BZ133" i="1" s="1"/>
  <c r="BW133" i="1"/>
  <c r="BY133" i="1" s="1"/>
  <c r="CA133" i="1" s="1"/>
  <c r="CV132" i="1" l="1"/>
  <c r="CX132" i="1" s="1"/>
  <c r="CZ132" i="1" s="1"/>
  <c r="CW132" i="1"/>
  <c r="CY132" i="1" s="1"/>
  <c r="BH134" i="1"/>
  <c r="BJ134" i="1" s="1"/>
  <c r="BL134" i="1" s="1"/>
  <c r="BI134" i="1"/>
  <c r="BK134" i="1" s="1"/>
  <c r="AO135" i="1"/>
  <c r="AQ135" i="1" s="1"/>
  <c r="AN135" i="1"/>
  <c r="AP135" i="1" s="1"/>
  <c r="AR135" i="1" s="1"/>
  <c r="CC133" i="1"/>
  <c r="CE133" i="1" s="1"/>
  <c r="CB133" i="1"/>
  <c r="CD133" i="1" s="1"/>
  <c r="CF133" i="1" s="1"/>
  <c r="J136" i="1"/>
  <c r="L136" i="1" s="1"/>
  <c r="K136" i="1"/>
  <c r="M136" i="1" s="1"/>
  <c r="D137" i="1"/>
  <c r="T136" i="1"/>
  <c r="V136" i="1" s="1"/>
  <c r="X136" i="1" s="1"/>
  <c r="U136" i="1"/>
  <c r="W136" i="1" s="1"/>
  <c r="N136" i="1" l="1"/>
  <c r="O136" i="1" s="1"/>
  <c r="BM134" i="1"/>
  <c r="BO134" i="1" s="1"/>
  <c r="BQ134" i="1" s="1"/>
  <c r="BN134" i="1"/>
  <c r="BP134" i="1" s="1"/>
  <c r="DA132" i="1"/>
  <c r="DC132" i="1" s="1"/>
  <c r="DB132" i="1"/>
  <c r="DD132" i="1" s="1"/>
  <c r="CG133" i="1"/>
  <c r="CI133" i="1" s="1"/>
  <c r="CK133" i="1" s="1"/>
  <c r="CH133" i="1"/>
  <c r="CJ133" i="1" s="1"/>
  <c r="AT135" i="1"/>
  <c r="AV135" i="1" s="1"/>
  <c r="AS135" i="1"/>
  <c r="AU135" i="1" s="1"/>
  <c r="AW135" i="1" s="1"/>
  <c r="E137" i="1"/>
  <c r="F137" i="1"/>
  <c r="H137" i="1" s="1"/>
  <c r="Y136" i="1"/>
  <c r="AA136" i="1" s="1"/>
  <c r="AC136" i="1" s="1"/>
  <c r="Z136" i="1"/>
  <c r="AB136" i="1" s="1"/>
  <c r="P136" i="1" l="1"/>
  <c r="R136" i="1" s="1"/>
  <c r="CM133" i="1"/>
  <c r="CO133" i="1" s="1"/>
  <c r="CL133" i="1"/>
  <c r="CN133" i="1" s="1"/>
  <c r="CP133" i="1" s="1"/>
  <c r="BR134" i="1"/>
  <c r="BT134" i="1" s="1"/>
  <c r="BV134" i="1" s="1"/>
  <c r="BS134" i="1"/>
  <c r="BU134" i="1" s="1"/>
  <c r="AY135" i="1"/>
  <c r="BA135" i="1" s="1"/>
  <c r="AX135" i="1"/>
  <c r="AZ135" i="1" s="1"/>
  <c r="BB135" i="1" s="1"/>
  <c r="AE136" i="1"/>
  <c r="AG136" i="1" s="1"/>
  <c r="AD136" i="1"/>
  <c r="AF136" i="1" s="1"/>
  <c r="AH136" i="1" s="1"/>
  <c r="G137" i="1"/>
  <c r="I137" i="1" s="1"/>
  <c r="Q137" i="1"/>
  <c r="S137" i="1" s="1"/>
  <c r="AI136" i="1" l="1"/>
  <c r="AK136" i="1" s="1"/>
  <c r="AM136" i="1" s="1"/>
  <c r="AJ136" i="1"/>
  <c r="AL136" i="1" s="1"/>
  <c r="BW134" i="1"/>
  <c r="BY134" i="1" s="1"/>
  <c r="CA134" i="1" s="1"/>
  <c r="BX134" i="1"/>
  <c r="BZ134" i="1" s="1"/>
  <c r="BC135" i="1"/>
  <c r="BE135" i="1" s="1"/>
  <c r="BG135" i="1" s="1"/>
  <c r="BD135" i="1"/>
  <c r="BF135" i="1" s="1"/>
  <c r="CQ133" i="1"/>
  <c r="CS133" i="1" s="1"/>
  <c r="CU133" i="1" s="1"/>
  <c r="CR133" i="1"/>
  <c r="CT133" i="1" s="1"/>
  <c r="CW133" i="1" l="1"/>
  <c r="CY133" i="1" s="1"/>
  <c r="CV133" i="1"/>
  <c r="CX133" i="1" s="1"/>
  <c r="BI135" i="1"/>
  <c r="BK135" i="1" s="1"/>
  <c r="BH135" i="1"/>
  <c r="BJ135" i="1" s="1"/>
  <c r="BL135" i="1" s="1"/>
  <c r="CC134" i="1"/>
  <c r="CE134" i="1" s="1"/>
  <c r="CB134" i="1"/>
  <c r="CD134" i="1" s="1"/>
  <c r="CF134" i="1" s="1"/>
  <c r="AO136" i="1"/>
  <c r="AQ136" i="1" s="1"/>
  <c r="AN136" i="1"/>
  <c r="AP136" i="1" s="1"/>
  <c r="AR136" i="1" s="1"/>
  <c r="T137" i="1"/>
  <c r="V137" i="1" s="1"/>
  <c r="X137" i="1" s="1"/>
  <c r="U137" i="1"/>
  <c r="W137" i="1" s="1"/>
  <c r="J137" i="1"/>
  <c r="L137" i="1" s="1"/>
  <c r="N137" i="1" s="1"/>
  <c r="K137" i="1"/>
  <c r="M137" i="1" s="1"/>
  <c r="D138" i="1"/>
  <c r="CZ133" i="1" l="1"/>
  <c r="AT136" i="1"/>
  <c r="AV136" i="1" s="1"/>
  <c r="AS136" i="1"/>
  <c r="AU136" i="1" s="1"/>
  <c r="AW136" i="1" s="1"/>
  <c r="CH134" i="1"/>
  <c r="CJ134" i="1" s="1"/>
  <c r="CG134" i="1"/>
  <c r="CI134" i="1" s="1"/>
  <c r="CK134" i="1" s="1"/>
  <c r="BM135" i="1"/>
  <c r="BO135" i="1" s="1"/>
  <c r="BQ135" i="1" s="1"/>
  <c r="BN135" i="1"/>
  <c r="BP135" i="1" s="1"/>
  <c r="O137" i="1"/>
  <c r="P137" i="1"/>
  <c r="R137" i="1" s="1"/>
  <c r="Z137" i="1"/>
  <c r="AB137" i="1" s="1"/>
  <c r="Y137" i="1"/>
  <c r="AA137" i="1" s="1"/>
  <c r="AC137" i="1" s="1"/>
  <c r="F138" i="1"/>
  <c r="H138" i="1" s="1"/>
  <c r="E138" i="1"/>
  <c r="DB133" i="1" l="1"/>
  <c r="DD133" i="1" s="1"/>
  <c r="DA133" i="1"/>
  <c r="DC133" i="1" s="1"/>
  <c r="BS135" i="1"/>
  <c r="BU135" i="1" s="1"/>
  <c r="BR135" i="1"/>
  <c r="BT135" i="1" s="1"/>
  <c r="BV135" i="1" s="1"/>
  <c r="CL134" i="1"/>
  <c r="CN134" i="1" s="1"/>
  <c r="CP134" i="1" s="1"/>
  <c r="CM134" i="1"/>
  <c r="CO134" i="1" s="1"/>
  <c r="AX136" i="1"/>
  <c r="AZ136" i="1" s="1"/>
  <c r="BB136" i="1" s="1"/>
  <c r="AY136" i="1"/>
  <c r="BA136" i="1" s="1"/>
  <c r="AE137" i="1"/>
  <c r="AG137" i="1" s="1"/>
  <c r="AD137" i="1"/>
  <c r="AF137" i="1" s="1"/>
  <c r="AH137" i="1" s="1"/>
  <c r="Q138" i="1"/>
  <c r="S138" i="1" s="1"/>
  <c r="G138" i="1"/>
  <c r="I138" i="1" s="1"/>
  <c r="BC136" i="1" l="1"/>
  <c r="BE136" i="1" s="1"/>
  <c r="BG136" i="1" s="1"/>
  <c r="BD136" i="1"/>
  <c r="BF136" i="1" s="1"/>
  <c r="CQ134" i="1"/>
  <c r="CS134" i="1" s="1"/>
  <c r="CU134" i="1" s="1"/>
  <c r="CR134" i="1"/>
  <c r="CT134" i="1" s="1"/>
  <c r="AJ137" i="1"/>
  <c r="AL137" i="1" s="1"/>
  <c r="AI137" i="1"/>
  <c r="AK137" i="1" s="1"/>
  <c r="AM137" i="1" s="1"/>
  <c r="BW135" i="1"/>
  <c r="BY135" i="1" s="1"/>
  <c r="CA135" i="1" s="1"/>
  <c r="BX135" i="1"/>
  <c r="BZ135" i="1" s="1"/>
  <c r="AN137" i="1" l="1"/>
  <c r="AP137" i="1" s="1"/>
  <c r="AR137" i="1" s="1"/>
  <c r="AO137" i="1"/>
  <c r="AQ137" i="1" s="1"/>
  <c r="CV134" i="1"/>
  <c r="CX134" i="1" s="1"/>
  <c r="CW134" i="1"/>
  <c r="CY134" i="1" s="1"/>
  <c r="BH136" i="1"/>
  <c r="BJ136" i="1" s="1"/>
  <c r="BL136" i="1" s="1"/>
  <c r="BI136" i="1"/>
  <c r="BK136" i="1" s="1"/>
  <c r="CB135" i="1"/>
  <c r="CD135" i="1" s="1"/>
  <c r="CF135" i="1" s="1"/>
  <c r="CC135" i="1"/>
  <c r="CE135" i="1" s="1"/>
  <c r="J138" i="1"/>
  <c r="L138" i="1" s="1"/>
  <c r="N138" i="1" s="1"/>
  <c r="K138" i="1"/>
  <c r="M138" i="1" s="1"/>
  <c r="D139" i="1"/>
  <c r="U138" i="1"/>
  <c r="W138" i="1" s="1"/>
  <c r="T138" i="1"/>
  <c r="V138" i="1" s="1"/>
  <c r="X138" i="1" s="1"/>
  <c r="CZ134" i="1" l="1"/>
  <c r="CH135" i="1"/>
  <c r="CJ135" i="1" s="1"/>
  <c r="CG135" i="1"/>
  <c r="CI135" i="1" s="1"/>
  <c r="CK135" i="1" s="1"/>
  <c r="BN136" i="1"/>
  <c r="BP136" i="1" s="1"/>
  <c r="BM136" i="1"/>
  <c r="BO136" i="1" s="1"/>
  <c r="BQ136" i="1" s="1"/>
  <c r="DA134" i="1"/>
  <c r="DC134" i="1" s="1"/>
  <c r="DB134" i="1"/>
  <c r="DD134" i="1" s="1"/>
  <c r="AT137" i="1"/>
  <c r="AV137" i="1" s="1"/>
  <c r="AS137" i="1"/>
  <c r="AU137" i="1" s="1"/>
  <c r="AW137" i="1" s="1"/>
  <c r="P138" i="1"/>
  <c r="R138" i="1" s="1"/>
  <c r="Y138" i="1"/>
  <c r="AA138" i="1" s="1"/>
  <c r="AC138" i="1" s="1"/>
  <c r="Z138" i="1"/>
  <c r="AB138" i="1" s="1"/>
  <c r="E139" i="1"/>
  <c r="F139" i="1"/>
  <c r="H139" i="1" s="1"/>
  <c r="AY137" i="1" l="1"/>
  <c r="BA137" i="1" s="1"/>
  <c r="AX137" i="1"/>
  <c r="AZ137" i="1" s="1"/>
  <c r="BB137" i="1" s="1"/>
  <c r="BS136" i="1"/>
  <c r="BU136" i="1" s="1"/>
  <c r="BR136" i="1"/>
  <c r="BT136" i="1" s="1"/>
  <c r="BV136" i="1" s="1"/>
  <c r="CM135" i="1"/>
  <c r="CO135" i="1" s="1"/>
  <c r="CL135" i="1"/>
  <c r="CN135" i="1" s="1"/>
  <c r="CP135" i="1" s="1"/>
  <c r="O138" i="1"/>
  <c r="AD138" i="1"/>
  <c r="AF138" i="1" s="1"/>
  <c r="AH138" i="1" s="1"/>
  <c r="AE138" i="1"/>
  <c r="AG138" i="1" s="1"/>
  <c r="G139" i="1"/>
  <c r="I139" i="1" s="1"/>
  <c r="Q139" i="1"/>
  <c r="S139" i="1" s="1"/>
  <c r="AJ138" i="1" l="1"/>
  <c r="AL138" i="1" s="1"/>
  <c r="AI138" i="1"/>
  <c r="AK138" i="1" s="1"/>
  <c r="AM138" i="1" s="1"/>
  <c r="CQ135" i="1"/>
  <c r="CS135" i="1" s="1"/>
  <c r="CU135" i="1" s="1"/>
  <c r="CR135" i="1"/>
  <c r="CT135" i="1" s="1"/>
  <c r="BX136" i="1"/>
  <c r="BZ136" i="1" s="1"/>
  <c r="BW136" i="1"/>
  <c r="BY136" i="1" s="1"/>
  <c r="CA136" i="1" s="1"/>
  <c r="BC137" i="1"/>
  <c r="BE137" i="1" s="1"/>
  <c r="BG137" i="1" s="1"/>
  <c r="BD137" i="1"/>
  <c r="BF137" i="1" s="1"/>
  <c r="CB136" i="1" l="1"/>
  <c r="CD136" i="1" s="1"/>
  <c r="CF136" i="1" s="1"/>
  <c r="CC136" i="1"/>
  <c r="CE136" i="1" s="1"/>
  <c r="AN138" i="1"/>
  <c r="AP138" i="1" s="1"/>
  <c r="AR138" i="1" s="1"/>
  <c r="AO138" i="1"/>
  <c r="AQ138" i="1" s="1"/>
  <c r="BH137" i="1"/>
  <c r="BJ137" i="1" s="1"/>
  <c r="BL137" i="1" s="1"/>
  <c r="BI137" i="1"/>
  <c r="BK137" i="1" s="1"/>
  <c r="CV135" i="1"/>
  <c r="CX135" i="1" s="1"/>
  <c r="CW135" i="1"/>
  <c r="CY135" i="1" s="1"/>
  <c r="J139" i="1"/>
  <c r="L139" i="1" s="1"/>
  <c r="N139" i="1" s="1"/>
  <c r="K139" i="1"/>
  <c r="M139" i="1" s="1"/>
  <c r="D140" i="1"/>
  <c r="T139" i="1"/>
  <c r="V139" i="1" s="1"/>
  <c r="X139" i="1" s="1"/>
  <c r="U139" i="1"/>
  <c r="W139" i="1" s="1"/>
  <c r="CZ135" i="1" l="1"/>
  <c r="DB135" i="1" s="1"/>
  <c r="DD135" i="1" s="1"/>
  <c r="DA135" i="1"/>
  <c r="DC135" i="1" s="1"/>
  <c r="BM137" i="1"/>
  <c r="BO137" i="1" s="1"/>
  <c r="BQ137" i="1" s="1"/>
  <c r="BN137" i="1"/>
  <c r="BP137" i="1" s="1"/>
  <c r="AS138" i="1"/>
  <c r="AU138" i="1" s="1"/>
  <c r="AW138" i="1" s="1"/>
  <c r="AT138" i="1"/>
  <c r="AV138" i="1" s="1"/>
  <c r="CH136" i="1"/>
  <c r="CJ136" i="1" s="1"/>
  <c r="CG136" i="1"/>
  <c r="CI136" i="1" s="1"/>
  <c r="CK136" i="1" s="1"/>
  <c r="P139" i="1"/>
  <c r="R139" i="1" s="1"/>
  <c r="F140" i="1"/>
  <c r="H140" i="1" s="1"/>
  <c r="E140" i="1"/>
  <c r="Z139" i="1"/>
  <c r="AB139" i="1" s="1"/>
  <c r="Y139" i="1"/>
  <c r="AA139" i="1" s="1"/>
  <c r="AC139" i="1" s="1"/>
  <c r="CM136" i="1" l="1"/>
  <c r="CO136" i="1" s="1"/>
  <c r="CL136" i="1"/>
  <c r="CN136" i="1" s="1"/>
  <c r="CP136" i="1" s="1"/>
  <c r="AY138" i="1"/>
  <c r="BA138" i="1" s="1"/>
  <c r="AX138" i="1"/>
  <c r="AZ138" i="1" s="1"/>
  <c r="BB138" i="1" s="1"/>
  <c r="BR137" i="1"/>
  <c r="BT137" i="1" s="1"/>
  <c r="BV137" i="1" s="1"/>
  <c r="BS137" i="1"/>
  <c r="BU137" i="1" s="1"/>
  <c r="O139" i="1"/>
  <c r="AD139" i="1"/>
  <c r="AF139" i="1" s="1"/>
  <c r="AH139" i="1" s="1"/>
  <c r="AE139" i="1"/>
  <c r="AG139" i="1" s="1"/>
  <c r="G140" i="1"/>
  <c r="I140" i="1" s="1"/>
  <c r="Q140" i="1"/>
  <c r="S140" i="1" s="1"/>
  <c r="BW137" i="1" l="1"/>
  <c r="BY137" i="1" s="1"/>
  <c r="CA137" i="1" s="1"/>
  <c r="BX137" i="1"/>
  <c r="BZ137" i="1" s="1"/>
  <c r="AJ139" i="1"/>
  <c r="AL139" i="1" s="1"/>
  <c r="AI139" i="1"/>
  <c r="AK139" i="1" s="1"/>
  <c r="AM139" i="1" s="1"/>
  <c r="BC138" i="1"/>
  <c r="BE138" i="1" s="1"/>
  <c r="BG138" i="1" s="1"/>
  <c r="BD138" i="1"/>
  <c r="BF138" i="1" s="1"/>
  <c r="CR136" i="1"/>
  <c r="CT136" i="1" s="1"/>
  <c r="CQ136" i="1"/>
  <c r="CS136" i="1" s="1"/>
  <c r="CU136" i="1" s="1"/>
  <c r="CV136" i="1" l="1"/>
  <c r="CX136" i="1" s="1"/>
  <c r="CW136" i="1"/>
  <c r="CY136" i="1" s="1"/>
  <c r="AN139" i="1"/>
  <c r="AP139" i="1" s="1"/>
  <c r="AR139" i="1" s="1"/>
  <c r="AO139" i="1"/>
  <c r="AQ139" i="1" s="1"/>
  <c r="CC137" i="1"/>
  <c r="CE137" i="1" s="1"/>
  <c r="CB137" i="1"/>
  <c r="CD137" i="1" s="1"/>
  <c r="CF137" i="1" s="1"/>
  <c r="BH138" i="1"/>
  <c r="BJ138" i="1" s="1"/>
  <c r="BL138" i="1" s="1"/>
  <c r="BI138" i="1"/>
  <c r="BK138" i="1" s="1"/>
  <c r="J140" i="1"/>
  <c r="L140" i="1" s="1"/>
  <c r="K140" i="1"/>
  <c r="M140" i="1" s="1"/>
  <c r="D141" i="1"/>
  <c r="U140" i="1"/>
  <c r="W140" i="1" s="1"/>
  <c r="T140" i="1"/>
  <c r="V140" i="1" s="1"/>
  <c r="X140" i="1" s="1"/>
  <c r="CZ136" i="1" l="1"/>
  <c r="N140" i="1"/>
  <c r="P140" i="1" s="1"/>
  <c r="R140" i="1" s="1"/>
  <c r="BM138" i="1"/>
  <c r="BO138" i="1" s="1"/>
  <c r="BQ138" i="1" s="1"/>
  <c r="BN138" i="1"/>
  <c r="BP138" i="1" s="1"/>
  <c r="AS139" i="1"/>
  <c r="AU139" i="1" s="1"/>
  <c r="AW139" i="1" s="1"/>
  <c r="AT139" i="1"/>
  <c r="AV139" i="1" s="1"/>
  <c r="DB136" i="1"/>
  <c r="DD136" i="1" s="1"/>
  <c r="DA136" i="1"/>
  <c r="DC136" i="1" s="1"/>
  <c r="CG137" i="1"/>
  <c r="CI137" i="1" s="1"/>
  <c r="CK137" i="1" s="1"/>
  <c r="CH137" i="1"/>
  <c r="CJ137" i="1" s="1"/>
  <c r="Y140" i="1"/>
  <c r="AA140" i="1" s="1"/>
  <c r="AC140" i="1" s="1"/>
  <c r="Z140" i="1"/>
  <c r="AB140" i="1" s="1"/>
  <c r="E141" i="1"/>
  <c r="F141" i="1"/>
  <c r="H141" i="1" s="1"/>
  <c r="O140" i="1" l="1"/>
  <c r="CL137" i="1"/>
  <c r="CN137" i="1" s="1"/>
  <c r="CP137" i="1" s="1"/>
  <c r="CM137" i="1"/>
  <c r="CO137" i="1" s="1"/>
  <c r="AY139" i="1"/>
  <c r="BA139" i="1" s="1"/>
  <c r="AX139" i="1"/>
  <c r="AZ139" i="1" s="1"/>
  <c r="BB139" i="1" s="1"/>
  <c r="BS138" i="1"/>
  <c r="BU138" i="1" s="1"/>
  <c r="BR138" i="1"/>
  <c r="BT138" i="1" s="1"/>
  <c r="BV138" i="1" s="1"/>
  <c r="AE140" i="1"/>
  <c r="AG140" i="1" s="1"/>
  <c r="AD140" i="1"/>
  <c r="AF140" i="1" s="1"/>
  <c r="AH140" i="1" s="1"/>
  <c r="G141" i="1"/>
  <c r="I141" i="1" s="1"/>
  <c r="Q141" i="1"/>
  <c r="S141" i="1" s="1"/>
  <c r="BW138" i="1" l="1"/>
  <c r="BY138" i="1" s="1"/>
  <c r="CA138" i="1" s="1"/>
  <c r="BX138" i="1"/>
  <c r="BZ138" i="1" s="1"/>
  <c r="CR137" i="1"/>
  <c r="CT137" i="1" s="1"/>
  <c r="CQ137" i="1"/>
  <c r="CS137" i="1" s="1"/>
  <c r="CU137" i="1" s="1"/>
  <c r="AI140" i="1"/>
  <c r="AK140" i="1" s="1"/>
  <c r="AM140" i="1" s="1"/>
  <c r="AJ140" i="1"/>
  <c r="AL140" i="1" s="1"/>
  <c r="BC139" i="1"/>
  <c r="BE139" i="1" s="1"/>
  <c r="BG139" i="1" s="1"/>
  <c r="BD139" i="1"/>
  <c r="BF139" i="1" s="1"/>
  <c r="AN140" i="1" l="1"/>
  <c r="AP140" i="1" s="1"/>
  <c r="AR140" i="1" s="1"/>
  <c r="AO140" i="1"/>
  <c r="AQ140" i="1" s="1"/>
  <c r="CW137" i="1"/>
  <c r="CY137" i="1" s="1"/>
  <c r="CV137" i="1"/>
  <c r="CX137" i="1" s="1"/>
  <c r="CB138" i="1"/>
  <c r="CD138" i="1" s="1"/>
  <c r="CF138" i="1" s="1"/>
  <c r="CC138" i="1"/>
  <c r="CE138" i="1" s="1"/>
  <c r="BI139" i="1"/>
  <c r="BK139" i="1" s="1"/>
  <c r="BH139" i="1"/>
  <c r="BJ139" i="1" s="1"/>
  <c r="BL139" i="1" s="1"/>
  <c r="U141" i="1"/>
  <c r="W141" i="1" s="1"/>
  <c r="T141" i="1"/>
  <c r="V141" i="1" s="1"/>
  <c r="X141" i="1" s="1"/>
  <c r="J141" i="1"/>
  <c r="L141" i="1" s="1"/>
  <c r="N141" i="1" s="1"/>
  <c r="K141" i="1"/>
  <c r="M141" i="1" s="1"/>
  <c r="D142" i="1"/>
  <c r="CZ137" i="1" l="1"/>
  <c r="CH138" i="1"/>
  <c r="CJ138" i="1" s="1"/>
  <c r="CG138" i="1"/>
  <c r="CI138" i="1" s="1"/>
  <c r="CK138" i="1" s="1"/>
  <c r="AS140" i="1"/>
  <c r="AU140" i="1" s="1"/>
  <c r="AW140" i="1" s="1"/>
  <c r="AT140" i="1"/>
  <c r="AV140" i="1" s="1"/>
  <c r="BM139" i="1"/>
  <c r="BO139" i="1" s="1"/>
  <c r="BQ139" i="1" s="1"/>
  <c r="BN139" i="1"/>
  <c r="BP139" i="1" s="1"/>
  <c r="P141" i="1"/>
  <c r="R141" i="1" s="1"/>
  <c r="O141" i="1"/>
  <c r="F142" i="1"/>
  <c r="H142" i="1" s="1"/>
  <c r="E142" i="1"/>
  <c r="Z141" i="1"/>
  <c r="AB141" i="1" s="1"/>
  <c r="Y141" i="1"/>
  <c r="AA141" i="1" s="1"/>
  <c r="AC141" i="1" s="1"/>
  <c r="DA137" i="1" l="1"/>
  <c r="DC137" i="1" s="1"/>
  <c r="DB137" i="1"/>
  <c r="DD137" i="1" s="1"/>
  <c r="BS139" i="1"/>
  <c r="BU139" i="1" s="1"/>
  <c r="BR139" i="1"/>
  <c r="BT139" i="1" s="1"/>
  <c r="BV139" i="1" s="1"/>
  <c r="AY140" i="1"/>
  <c r="BA140" i="1" s="1"/>
  <c r="AX140" i="1"/>
  <c r="AZ140" i="1" s="1"/>
  <c r="BB140" i="1" s="1"/>
  <c r="CL138" i="1"/>
  <c r="CN138" i="1" s="1"/>
  <c r="CP138" i="1" s="1"/>
  <c r="CM138" i="1"/>
  <c r="CO138" i="1" s="1"/>
  <c r="AD141" i="1"/>
  <c r="AF141" i="1" s="1"/>
  <c r="AH141" i="1" s="1"/>
  <c r="AE141" i="1"/>
  <c r="AG141" i="1" s="1"/>
  <c r="Q142" i="1"/>
  <c r="S142" i="1" s="1"/>
  <c r="G142" i="1"/>
  <c r="I142" i="1" s="1"/>
  <c r="AI141" i="1" l="1"/>
  <c r="AK141" i="1" s="1"/>
  <c r="AM141" i="1" s="1"/>
  <c r="AJ141" i="1"/>
  <c r="AL141" i="1" s="1"/>
  <c r="CR138" i="1"/>
  <c r="CT138" i="1" s="1"/>
  <c r="CQ138" i="1"/>
  <c r="CS138" i="1" s="1"/>
  <c r="CU138" i="1" s="1"/>
  <c r="BD140" i="1"/>
  <c r="BF140" i="1" s="1"/>
  <c r="BC140" i="1"/>
  <c r="BE140" i="1" s="1"/>
  <c r="BG140" i="1" s="1"/>
  <c r="BW139" i="1"/>
  <c r="BY139" i="1" s="1"/>
  <c r="CA139" i="1" s="1"/>
  <c r="BX139" i="1"/>
  <c r="BZ139" i="1" s="1"/>
  <c r="BI140" i="1" l="1"/>
  <c r="BK140" i="1" s="1"/>
  <c r="BH140" i="1"/>
  <c r="BJ140" i="1" s="1"/>
  <c r="BL140" i="1" s="1"/>
  <c r="CV138" i="1"/>
  <c r="CX138" i="1" s="1"/>
  <c r="CZ138" i="1" s="1"/>
  <c r="CW138" i="1"/>
  <c r="CY138" i="1" s="1"/>
  <c r="CB139" i="1"/>
  <c r="CD139" i="1" s="1"/>
  <c r="CF139" i="1" s="1"/>
  <c r="CC139" i="1"/>
  <c r="CE139" i="1" s="1"/>
  <c r="AN141" i="1"/>
  <c r="AP141" i="1" s="1"/>
  <c r="AR141" i="1" s="1"/>
  <c r="AO141" i="1"/>
  <c r="AQ141" i="1" s="1"/>
  <c r="J142" i="1"/>
  <c r="L142" i="1" s="1"/>
  <c r="N142" i="1" s="1"/>
  <c r="K142" i="1"/>
  <c r="M142" i="1" s="1"/>
  <c r="D143" i="1"/>
  <c r="T142" i="1"/>
  <c r="V142" i="1" s="1"/>
  <c r="X142" i="1" s="1"/>
  <c r="U142" i="1"/>
  <c r="W142" i="1" s="1"/>
  <c r="AS141" i="1" l="1"/>
  <c r="AU141" i="1" s="1"/>
  <c r="AW141" i="1" s="1"/>
  <c r="AT141" i="1"/>
  <c r="AV141" i="1" s="1"/>
  <c r="CG139" i="1"/>
  <c r="CI139" i="1" s="1"/>
  <c r="CK139" i="1" s="1"/>
  <c r="CH139" i="1"/>
  <c r="CJ139" i="1" s="1"/>
  <c r="DB138" i="1"/>
  <c r="DD138" i="1" s="1"/>
  <c r="DA138" i="1"/>
  <c r="DC138" i="1" s="1"/>
  <c r="BN140" i="1"/>
  <c r="BP140" i="1" s="1"/>
  <c r="BM140" i="1"/>
  <c r="BO140" i="1" s="1"/>
  <c r="BQ140" i="1" s="1"/>
  <c r="P142" i="1"/>
  <c r="R142" i="1" s="1"/>
  <c r="Z142" i="1"/>
  <c r="AB142" i="1" s="1"/>
  <c r="Y142" i="1"/>
  <c r="AA142" i="1" s="1"/>
  <c r="AC142" i="1" s="1"/>
  <c r="F143" i="1"/>
  <c r="H143" i="1" s="1"/>
  <c r="E143" i="1"/>
  <c r="CM139" i="1" l="1"/>
  <c r="CO139" i="1" s="1"/>
  <c r="CL139" i="1"/>
  <c r="CN139" i="1" s="1"/>
  <c r="CP139" i="1" s="1"/>
  <c r="AX141" i="1"/>
  <c r="AZ141" i="1" s="1"/>
  <c r="BB141" i="1" s="1"/>
  <c r="AY141" i="1"/>
  <c r="BA141" i="1" s="1"/>
  <c r="BS140" i="1"/>
  <c r="BU140" i="1" s="1"/>
  <c r="BR140" i="1"/>
  <c r="BT140" i="1" s="1"/>
  <c r="BV140" i="1" s="1"/>
  <c r="O142" i="1"/>
  <c r="AE142" i="1"/>
  <c r="AG142" i="1" s="1"/>
  <c r="AD142" i="1"/>
  <c r="AF142" i="1" s="1"/>
  <c r="AH142" i="1" s="1"/>
  <c r="G143" i="1"/>
  <c r="I143" i="1" s="1"/>
  <c r="Q143" i="1"/>
  <c r="S143" i="1" s="1"/>
  <c r="BC141" i="1" l="1"/>
  <c r="BE141" i="1" s="1"/>
  <c r="BG141" i="1" s="1"/>
  <c r="BD141" i="1"/>
  <c r="BF141" i="1" s="1"/>
  <c r="AI142" i="1"/>
  <c r="AK142" i="1" s="1"/>
  <c r="AM142" i="1" s="1"/>
  <c r="AJ142" i="1"/>
  <c r="AL142" i="1" s="1"/>
  <c r="BX140" i="1"/>
  <c r="BZ140" i="1" s="1"/>
  <c r="BW140" i="1"/>
  <c r="BY140" i="1" s="1"/>
  <c r="CA140" i="1" s="1"/>
  <c r="CQ139" i="1"/>
  <c r="CS139" i="1" s="1"/>
  <c r="CU139" i="1" s="1"/>
  <c r="CR139" i="1"/>
  <c r="CT139" i="1" s="1"/>
  <c r="CB140" i="1" l="1"/>
  <c r="CD140" i="1" s="1"/>
  <c r="CF140" i="1" s="1"/>
  <c r="CC140" i="1"/>
  <c r="CE140" i="1" s="1"/>
  <c r="BI141" i="1"/>
  <c r="BK141" i="1" s="1"/>
  <c r="BH141" i="1"/>
  <c r="BJ141" i="1" s="1"/>
  <c r="BL141" i="1" s="1"/>
  <c r="CV139" i="1"/>
  <c r="CX139" i="1" s="1"/>
  <c r="CW139" i="1"/>
  <c r="CY139" i="1" s="1"/>
  <c r="AN142" i="1"/>
  <c r="AP142" i="1" s="1"/>
  <c r="AR142" i="1" s="1"/>
  <c r="AO142" i="1"/>
  <c r="AQ142" i="1" s="1"/>
  <c r="J143" i="1"/>
  <c r="L143" i="1" s="1"/>
  <c r="N143" i="1" s="1"/>
  <c r="K143" i="1"/>
  <c r="M143" i="1" s="1"/>
  <c r="D144" i="1"/>
  <c r="U143" i="1"/>
  <c r="W143" i="1" s="1"/>
  <c r="T143" i="1"/>
  <c r="V143" i="1" s="1"/>
  <c r="X143" i="1" s="1"/>
  <c r="CZ139" i="1" l="1"/>
  <c r="AS142" i="1"/>
  <c r="AU142" i="1" s="1"/>
  <c r="AW142" i="1" s="1"/>
  <c r="AT142" i="1"/>
  <c r="AV142" i="1" s="1"/>
  <c r="DB139" i="1"/>
  <c r="DD139" i="1" s="1"/>
  <c r="DA139" i="1"/>
  <c r="DC139" i="1" s="1"/>
  <c r="CG140" i="1"/>
  <c r="CI140" i="1" s="1"/>
  <c r="CK140" i="1" s="1"/>
  <c r="CH140" i="1"/>
  <c r="CJ140" i="1" s="1"/>
  <c r="BN141" i="1"/>
  <c r="BP141" i="1" s="1"/>
  <c r="BM141" i="1"/>
  <c r="BO141" i="1" s="1"/>
  <c r="BQ141" i="1" s="1"/>
  <c r="P143" i="1"/>
  <c r="R143" i="1" s="1"/>
  <c r="O143" i="1"/>
  <c r="Y143" i="1"/>
  <c r="AA143" i="1" s="1"/>
  <c r="AC143" i="1" s="1"/>
  <c r="Z143" i="1"/>
  <c r="AB143" i="1" s="1"/>
  <c r="E144" i="1"/>
  <c r="F144" i="1"/>
  <c r="H144" i="1" s="1"/>
  <c r="BS141" i="1" l="1"/>
  <c r="BU141" i="1" s="1"/>
  <c r="BR141" i="1"/>
  <c r="BT141" i="1" s="1"/>
  <c r="BV141" i="1" s="1"/>
  <c r="AX142" i="1"/>
  <c r="AZ142" i="1" s="1"/>
  <c r="BB142" i="1" s="1"/>
  <c r="AY142" i="1"/>
  <c r="BA142" i="1" s="1"/>
  <c r="CM140" i="1"/>
  <c r="CO140" i="1" s="1"/>
  <c r="CL140" i="1"/>
  <c r="CN140" i="1" s="1"/>
  <c r="CP140" i="1" s="1"/>
  <c r="AD143" i="1"/>
  <c r="AF143" i="1" s="1"/>
  <c r="AH143" i="1" s="1"/>
  <c r="AE143" i="1"/>
  <c r="AG143" i="1" s="1"/>
  <c r="Q144" i="1"/>
  <c r="S144" i="1" s="1"/>
  <c r="G144" i="1"/>
  <c r="I144" i="1" s="1"/>
  <c r="AI143" i="1" l="1"/>
  <c r="AK143" i="1" s="1"/>
  <c r="AM143" i="1" s="1"/>
  <c r="AJ143" i="1"/>
  <c r="AL143" i="1" s="1"/>
  <c r="BC142" i="1"/>
  <c r="BE142" i="1" s="1"/>
  <c r="BG142" i="1" s="1"/>
  <c r="BD142" i="1"/>
  <c r="BF142" i="1" s="1"/>
  <c r="CR140" i="1"/>
  <c r="CT140" i="1" s="1"/>
  <c r="CQ140" i="1"/>
  <c r="CS140" i="1" s="1"/>
  <c r="CU140" i="1" s="1"/>
  <c r="BW141" i="1"/>
  <c r="BY141" i="1" s="1"/>
  <c r="CA141" i="1" s="1"/>
  <c r="BX141" i="1"/>
  <c r="BZ141" i="1" s="1"/>
  <c r="CV140" i="1" l="1"/>
  <c r="CX140" i="1" s="1"/>
  <c r="CZ140" i="1" s="1"/>
  <c r="CW140" i="1"/>
  <c r="CY140" i="1" s="1"/>
  <c r="CB141" i="1"/>
  <c r="CD141" i="1" s="1"/>
  <c r="CF141" i="1" s="1"/>
  <c r="CC141" i="1"/>
  <c r="CE141" i="1" s="1"/>
  <c r="BH142" i="1"/>
  <c r="BJ142" i="1" s="1"/>
  <c r="BL142" i="1" s="1"/>
  <c r="BI142" i="1"/>
  <c r="BK142" i="1" s="1"/>
  <c r="AO143" i="1"/>
  <c r="AQ143" i="1" s="1"/>
  <c r="AN143" i="1"/>
  <c r="AP143" i="1" s="1"/>
  <c r="AR143" i="1" s="1"/>
  <c r="J144" i="1"/>
  <c r="L144" i="1" s="1"/>
  <c r="N144" i="1" s="1"/>
  <c r="K144" i="1"/>
  <c r="M144" i="1" s="1"/>
  <c r="D145" i="1"/>
  <c r="U144" i="1"/>
  <c r="W144" i="1" s="1"/>
  <c r="T144" i="1"/>
  <c r="V144" i="1" s="1"/>
  <c r="X144" i="1" s="1"/>
  <c r="BN142" i="1" l="1"/>
  <c r="BP142" i="1" s="1"/>
  <c r="BM142" i="1"/>
  <c r="BO142" i="1" s="1"/>
  <c r="BQ142" i="1" s="1"/>
  <c r="CH141" i="1"/>
  <c r="CJ141" i="1" s="1"/>
  <c r="CG141" i="1"/>
  <c r="CI141" i="1" s="1"/>
  <c r="CK141" i="1" s="1"/>
  <c r="DB140" i="1"/>
  <c r="DD140" i="1" s="1"/>
  <c r="DA140" i="1"/>
  <c r="DC140" i="1" s="1"/>
  <c r="AS143" i="1"/>
  <c r="AU143" i="1" s="1"/>
  <c r="AW143" i="1" s="1"/>
  <c r="AT143" i="1"/>
  <c r="AV143" i="1" s="1"/>
  <c r="P144" i="1"/>
  <c r="R144" i="1" s="1"/>
  <c r="Y144" i="1"/>
  <c r="AA144" i="1" s="1"/>
  <c r="AC144" i="1" s="1"/>
  <c r="Z144" i="1"/>
  <c r="AB144" i="1" s="1"/>
  <c r="E145" i="1"/>
  <c r="F145" i="1"/>
  <c r="H145" i="1" s="1"/>
  <c r="AY143" i="1" l="1"/>
  <c r="BA143" i="1" s="1"/>
  <c r="AX143" i="1"/>
  <c r="AZ143" i="1" s="1"/>
  <c r="BB143" i="1" s="1"/>
  <c r="CM141" i="1"/>
  <c r="CO141" i="1" s="1"/>
  <c r="CL141" i="1"/>
  <c r="CN141" i="1" s="1"/>
  <c r="CP141" i="1" s="1"/>
  <c r="BS142" i="1"/>
  <c r="BU142" i="1" s="1"/>
  <c r="BR142" i="1"/>
  <c r="BT142" i="1" s="1"/>
  <c r="BV142" i="1" s="1"/>
  <c r="O144" i="1"/>
  <c r="AD144" i="1"/>
  <c r="AF144" i="1" s="1"/>
  <c r="AH144" i="1" s="1"/>
  <c r="AE144" i="1"/>
  <c r="AG144" i="1" s="1"/>
  <c r="G145" i="1"/>
  <c r="I145" i="1" s="1"/>
  <c r="Q145" i="1"/>
  <c r="S145" i="1" s="1"/>
  <c r="AI144" i="1" l="1"/>
  <c r="AK144" i="1" s="1"/>
  <c r="AM144" i="1" s="1"/>
  <c r="AJ144" i="1"/>
  <c r="AL144" i="1" s="1"/>
  <c r="BW142" i="1"/>
  <c r="BY142" i="1" s="1"/>
  <c r="CA142" i="1" s="1"/>
  <c r="BX142" i="1"/>
  <c r="BZ142" i="1" s="1"/>
  <c r="CQ141" i="1"/>
  <c r="CS141" i="1" s="1"/>
  <c r="CU141" i="1" s="1"/>
  <c r="CR141" i="1"/>
  <c r="CT141" i="1" s="1"/>
  <c r="BC143" i="1"/>
  <c r="BE143" i="1" s="1"/>
  <c r="BG143" i="1" s="1"/>
  <c r="BD143" i="1"/>
  <c r="BF143" i="1" s="1"/>
  <c r="BH143" i="1" l="1"/>
  <c r="BJ143" i="1" s="1"/>
  <c r="BL143" i="1" s="1"/>
  <c r="BI143" i="1"/>
  <c r="BK143" i="1" s="1"/>
  <c r="CW141" i="1"/>
  <c r="CY141" i="1" s="1"/>
  <c r="CV141" i="1"/>
  <c r="CX141" i="1" s="1"/>
  <c r="CB142" i="1"/>
  <c r="CD142" i="1" s="1"/>
  <c r="CF142" i="1" s="1"/>
  <c r="CC142" i="1"/>
  <c r="CE142" i="1" s="1"/>
  <c r="AO144" i="1"/>
  <c r="AQ144" i="1" s="1"/>
  <c r="AN144" i="1"/>
  <c r="AP144" i="1" s="1"/>
  <c r="AR144" i="1" s="1"/>
  <c r="K145" i="1"/>
  <c r="M145" i="1" s="1"/>
  <c r="J145" i="1"/>
  <c r="L145" i="1" s="1"/>
  <c r="N145" i="1" s="1"/>
  <c r="D146" i="1"/>
  <c r="T145" i="1"/>
  <c r="V145" i="1" s="1"/>
  <c r="X145" i="1" s="1"/>
  <c r="U145" i="1"/>
  <c r="W145" i="1" s="1"/>
  <c r="CZ141" i="1" l="1"/>
  <c r="CH142" i="1"/>
  <c r="CJ142" i="1" s="1"/>
  <c r="CG142" i="1"/>
  <c r="CI142" i="1" s="1"/>
  <c r="CK142" i="1" s="1"/>
  <c r="BN143" i="1"/>
  <c r="BP143" i="1" s="1"/>
  <c r="BM143" i="1"/>
  <c r="BO143" i="1" s="1"/>
  <c r="BQ143" i="1" s="1"/>
  <c r="AT144" i="1"/>
  <c r="AV144" i="1" s="1"/>
  <c r="AS144" i="1"/>
  <c r="AU144" i="1" s="1"/>
  <c r="AW144" i="1" s="1"/>
  <c r="P145" i="1"/>
  <c r="R145" i="1" s="1"/>
  <c r="E146" i="1"/>
  <c r="F146" i="1"/>
  <c r="H146" i="1" s="1"/>
  <c r="Y145" i="1"/>
  <c r="AA145" i="1" s="1"/>
  <c r="AC145" i="1" s="1"/>
  <c r="Z145" i="1"/>
  <c r="AB145" i="1" s="1"/>
  <c r="DB141" i="1" l="1"/>
  <c r="DD141" i="1" s="1"/>
  <c r="DA141" i="1"/>
  <c r="DC141" i="1" s="1"/>
  <c r="AY144" i="1"/>
  <c r="BA144" i="1" s="1"/>
  <c r="AX144" i="1"/>
  <c r="AZ144" i="1" s="1"/>
  <c r="BB144" i="1" s="1"/>
  <c r="BR143" i="1"/>
  <c r="BT143" i="1" s="1"/>
  <c r="BV143" i="1" s="1"/>
  <c r="BS143" i="1"/>
  <c r="BU143" i="1" s="1"/>
  <c r="CL142" i="1"/>
  <c r="CN142" i="1" s="1"/>
  <c r="CP142" i="1" s="1"/>
  <c r="CM142" i="1"/>
  <c r="CO142" i="1" s="1"/>
  <c r="O145" i="1"/>
  <c r="AD145" i="1"/>
  <c r="AF145" i="1" s="1"/>
  <c r="AH145" i="1" s="1"/>
  <c r="AE145" i="1"/>
  <c r="AG145" i="1" s="1"/>
  <c r="G146" i="1"/>
  <c r="I146" i="1" s="1"/>
  <c r="Q146" i="1"/>
  <c r="S146" i="1" s="1"/>
  <c r="BD144" i="1" l="1"/>
  <c r="BF144" i="1" s="1"/>
  <c r="BC144" i="1"/>
  <c r="BE144" i="1" s="1"/>
  <c r="BG144" i="1" s="1"/>
  <c r="AJ145" i="1"/>
  <c r="AL145" i="1" s="1"/>
  <c r="AI145" i="1"/>
  <c r="AK145" i="1" s="1"/>
  <c r="AM145" i="1" s="1"/>
  <c r="CQ142" i="1"/>
  <c r="CS142" i="1" s="1"/>
  <c r="CU142" i="1" s="1"/>
  <c r="CR142" i="1"/>
  <c r="CT142" i="1" s="1"/>
  <c r="BX143" i="1"/>
  <c r="BZ143" i="1" s="1"/>
  <c r="BW143" i="1"/>
  <c r="BY143" i="1" s="1"/>
  <c r="CA143" i="1" s="1"/>
  <c r="CC143" i="1" l="1"/>
  <c r="CE143" i="1" s="1"/>
  <c r="CB143" i="1"/>
  <c r="CD143" i="1" s="1"/>
  <c r="CF143" i="1" s="1"/>
  <c r="AO145" i="1"/>
  <c r="AQ145" i="1" s="1"/>
  <c r="AN145" i="1"/>
  <c r="AP145" i="1" s="1"/>
  <c r="AR145" i="1" s="1"/>
  <c r="CV142" i="1"/>
  <c r="CX142" i="1" s="1"/>
  <c r="CW142" i="1"/>
  <c r="CY142" i="1" s="1"/>
  <c r="BI144" i="1"/>
  <c r="BK144" i="1" s="1"/>
  <c r="BH144" i="1"/>
  <c r="BJ144" i="1" s="1"/>
  <c r="BL144" i="1" s="1"/>
  <c r="U146" i="1"/>
  <c r="W146" i="1" s="1"/>
  <c r="T146" i="1"/>
  <c r="V146" i="1" s="1"/>
  <c r="X146" i="1" s="1"/>
  <c r="J146" i="1"/>
  <c r="L146" i="1" s="1"/>
  <c r="N146" i="1" s="1"/>
  <c r="K146" i="1"/>
  <c r="M146" i="1" s="1"/>
  <c r="D147" i="1"/>
  <c r="CZ142" i="1" l="1"/>
  <c r="DA142" i="1"/>
  <c r="DC142" i="1" s="1"/>
  <c r="DB142" i="1"/>
  <c r="DD142" i="1" s="1"/>
  <c r="BN144" i="1"/>
  <c r="BP144" i="1" s="1"/>
  <c r="BM144" i="1"/>
  <c r="BO144" i="1" s="1"/>
  <c r="BQ144" i="1" s="1"/>
  <c r="AS145" i="1"/>
  <c r="AU145" i="1" s="1"/>
  <c r="AW145" i="1" s="1"/>
  <c r="AT145" i="1"/>
  <c r="AV145" i="1" s="1"/>
  <c r="CH143" i="1"/>
  <c r="CJ143" i="1" s="1"/>
  <c r="CG143" i="1"/>
  <c r="CI143" i="1" s="1"/>
  <c r="CK143" i="1" s="1"/>
  <c r="P146" i="1"/>
  <c r="R146" i="1" s="1"/>
  <c r="O146" i="1"/>
  <c r="E147" i="1"/>
  <c r="F147" i="1"/>
  <c r="H147" i="1" s="1"/>
  <c r="Y146" i="1"/>
  <c r="AA146" i="1" s="1"/>
  <c r="AC146" i="1" s="1"/>
  <c r="Z146" i="1"/>
  <c r="AB146" i="1" s="1"/>
  <c r="CL143" i="1" l="1"/>
  <c r="CN143" i="1" s="1"/>
  <c r="CP143" i="1" s="1"/>
  <c r="CM143" i="1"/>
  <c r="CO143" i="1" s="1"/>
  <c r="BS144" i="1"/>
  <c r="BU144" i="1" s="1"/>
  <c r="BR144" i="1"/>
  <c r="BT144" i="1" s="1"/>
  <c r="BV144" i="1" s="1"/>
  <c r="AX145" i="1"/>
  <c r="AZ145" i="1" s="1"/>
  <c r="BB145" i="1" s="1"/>
  <c r="AY145" i="1"/>
  <c r="BA145" i="1" s="1"/>
  <c r="AD146" i="1"/>
  <c r="AF146" i="1" s="1"/>
  <c r="AH146" i="1" s="1"/>
  <c r="AE146" i="1"/>
  <c r="AG146" i="1" s="1"/>
  <c r="G147" i="1"/>
  <c r="I147" i="1" s="1"/>
  <c r="Q147" i="1"/>
  <c r="S147" i="1" s="1"/>
  <c r="AJ146" i="1" l="1"/>
  <c r="AL146" i="1" s="1"/>
  <c r="AI146" i="1"/>
  <c r="AK146" i="1" s="1"/>
  <c r="AM146" i="1" s="1"/>
  <c r="BC145" i="1"/>
  <c r="BE145" i="1" s="1"/>
  <c r="BG145" i="1" s="1"/>
  <c r="BD145" i="1"/>
  <c r="BF145" i="1" s="1"/>
  <c r="CR143" i="1"/>
  <c r="CT143" i="1" s="1"/>
  <c r="CQ143" i="1"/>
  <c r="CS143" i="1" s="1"/>
  <c r="CU143" i="1" s="1"/>
  <c r="BX144" i="1"/>
  <c r="BZ144" i="1" s="1"/>
  <c r="BW144" i="1"/>
  <c r="BY144" i="1" s="1"/>
  <c r="CA144" i="1" s="1"/>
  <c r="CC144" i="1" l="1"/>
  <c r="CE144" i="1" s="1"/>
  <c r="CB144" i="1"/>
  <c r="CD144" i="1" s="1"/>
  <c r="CF144" i="1" s="1"/>
  <c r="CV143" i="1"/>
  <c r="CX143" i="1" s="1"/>
  <c r="CZ143" i="1" s="1"/>
  <c r="CW143" i="1"/>
  <c r="CY143" i="1" s="1"/>
  <c r="AO146" i="1"/>
  <c r="AQ146" i="1" s="1"/>
  <c r="AN146" i="1"/>
  <c r="AP146" i="1" s="1"/>
  <c r="AR146" i="1" s="1"/>
  <c r="BI145" i="1"/>
  <c r="BK145" i="1" s="1"/>
  <c r="BH145" i="1"/>
  <c r="BJ145" i="1" s="1"/>
  <c r="BL145" i="1" s="1"/>
  <c r="J147" i="1"/>
  <c r="L147" i="1" s="1"/>
  <c r="K147" i="1"/>
  <c r="M147" i="1" s="1"/>
  <c r="D148" i="1"/>
  <c r="U147" i="1"/>
  <c r="W147" i="1" s="1"/>
  <c r="T147" i="1"/>
  <c r="V147" i="1" s="1"/>
  <c r="X147" i="1" s="1"/>
  <c r="N147" i="1" l="1"/>
  <c r="O147" i="1" s="1"/>
  <c r="DA143" i="1"/>
  <c r="DC143" i="1" s="1"/>
  <c r="DB143" i="1"/>
  <c r="DD143" i="1" s="1"/>
  <c r="BM145" i="1"/>
  <c r="BO145" i="1" s="1"/>
  <c r="BQ145" i="1" s="1"/>
  <c r="BN145" i="1"/>
  <c r="BP145" i="1" s="1"/>
  <c r="AT146" i="1"/>
  <c r="AV146" i="1" s="1"/>
  <c r="AS146" i="1"/>
  <c r="AU146" i="1" s="1"/>
  <c r="AW146" i="1" s="1"/>
  <c r="CG144" i="1"/>
  <c r="CI144" i="1" s="1"/>
  <c r="CK144" i="1" s="1"/>
  <c r="CH144" i="1"/>
  <c r="CJ144" i="1" s="1"/>
  <c r="Y147" i="1"/>
  <c r="AA147" i="1" s="1"/>
  <c r="AC147" i="1" s="1"/>
  <c r="Z147" i="1"/>
  <c r="AB147" i="1" s="1"/>
  <c r="E148" i="1"/>
  <c r="F148" i="1"/>
  <c r="H148" i="1" s="1"/>
  <c r="P147" i="1" l="1"/>
  <c r="R147" i="1" s="1"/>
  <c r="CL144" i="1"/>
  <c r="CN144" i="1" s="1"/>
  <c r="CP144" i="1" s="1"/>
  <c r="CM144" i="1"/>
  <c r="CO144" i="1" s="1"/>
  <c r="BR145" i="1"/>
  <c r="BT145" i="1" s="1"/>
  <c r="BV145" i="1" s="1"/>
  <c r="BS145" i="1"/>
  <c r="BU145" i="1" s="1"/>
  <c r="AY146" i="1"/>
  <c r="BA146" i="1" s="1"/>
  <c r="AX146" i="1"/>
  <c r="AZ146" i="1" s="1"/>
  <c r="BB146" i="1" s="1"/>
  <c r="AE147" i="1"/>
  <c r="AG147" i="1" s="1"/>
  <c r="AD147" i="1"/>
  <c r="AF147" i="1" s="1"/>
  <c r="AH147" i="1" s="1"/>
  <c r="G148" i="1"/>
  <c r="I148" i="1" s="1"/>
  <c r="Q148" i="1"/>
  <c r="S148" i="1" s="1"/>
  <c r="BW145" i="1" l="1"/>
  <c r="BY145" i="1" s="1"/>
  <c r="CA145" i="1" s="1"/>
  <c r="BX145" i="1"/>
  <c r="BZ145" i="1" s="1"/>
  <c r="CQ144" i="1"/>
  <c r="CS144" i="1" s="1"/>
  <c r="CU144" i="1" s="1"/>
  <c r="CR144" i="1"/>
  <c r="CT144" i="1" s="1"/>
  <c r="AI147" i="1"/>
  <c r="AK147" i="1" s="1"/>
  <c r="AM147" i="1" s="1"/>
  <c r="AJ147" i="1"/>
  <c r="AL147" i="1" s="1"/>
  <c r="BD146" i="1"/>
  <c r="BF146" i="1" s="1"/>
  <c r="BC146" i="1"/>
  <c r="BE146" i="1" s="1"/>
  <c r="BG146" i="1" s="1"/>
  <c r="BH146" i="1" l="1"/>
  <c r="BJ146" i="1" s="1"/>
  <c r="BL146" i="1" s="1"/>
  <c r="BI146" i="1"/>
  <c r="BK146" i="1" s="1"/>
  <c r="CV144" i="1"/>
  <c r="CX144" i="1" s="1"/>
  <c r="CZ144" i="1" s="1"/>
  <c r="CW144" i="1"/>
  <c r="CY144" i="1" s="1"/>
  <c r="CC145" i="1"/>
  <c r="CE145" i="1" s="1"/>
  <c r="CB145" i="1"/>
  <c r="CD145" i="1" s="1"/>
  <c r="CF145" i="1" s="1"/>
  <c r="AN147" i="1"/>
  <c r="AP147" i="1" s="1"/>
  <c r="AR147" i="1" s="1"/>
  <c r="AO147" i="1"/>
  <c r="AQ147" i="1" s="1"/>
  <c r="T148" i="1"/>
  <c r="V148" i="1" s="1"/>
  <c r="X148" i="1" s="1"/>
  <c r="U148" i="1"/>
  <c r="W148" i="1" s="1"/>
  <c r="J148" i="1"/>
  <c r="L148" i="1" s="1"/>
  <c r="N148" i="1" s="1"/>
  <c r="K148" i="1"/>
  <c r="M148" i="1" s="1"/>
  <c r="D149" i="1"/>
  <c r="AS147" i="1" l="1"/>
  <c r="AU147" i="1" s="1"/>
  <c r="AW147" i="1" s="1"/>
  <c r="AT147" i="1"/>
  <c r="AV147" i="1" s="1"/>
  <c r="DA144" i="1"/>
  <c r="DC144" i="1" s="1"/>
  <c r="DB144" i="1"/>
  <c r="DD144" i="1" s="1"/>
  <c r="BN146" i="1"/>
  <c r="BP146" i="1" s="1"/>
  <c r="BM146" i="1"/>
  <c r="BO146" i="1" s="1"/>
  <c r="BQ146" i="1" s="1"/>
  <c r="CG145" i="1"/>
  <c r="CI145" i="1" s="1"/>
  <c r="CK145" i="1" s="1"/>
  <c r="CH145" i="1"/>
  <c r="CJ145" i="1" s="1"/>
  <c r="O148" i="1"/>
  <c r="P148" i="1"/>
  <c r="R148" i="1" s="1"/>
  <c r="Y148" i="1"/>
  <c r="AA148" i="1" s="1"/>
  <c r="AC148" i="1" s="1"/>
  <c r="Z148" i="1"/>
  <c r="AB148" i="1" s="1"/>
  <c r="E149" i="1"/>
  <c r="F149" i="1"/>
  <c r="H149" i="1" s="1"/>
  <c r="CL145" i="1" l="1"/>
  <c r="CN145" i="1" s="1"/>
  <c r="CP145" i="1" s="1"/>
  <c r="CM145" i="1"/>
  <c r="CO145" i="1" s="1"/>
  <c r="AY147" i="1"/>
  <c r="BA147" i="1" s="1"/>
  <c r="AX147" i="1"/>
  <c r="AZ147" i="1" s="1"/>
  <c r="BB147" i="1" s="1"/>
  <c r="BR146" i="1"/>
  <c r="BT146" i="1" s="1"/>
  <c r="BV146" i="1" s="1"/>
  <c r="BS146" i="1"/>
  <c r="BU146" i="1" s="1"/>
  <c r="AE148" i="1"/>
  <c r="AG148" i="1" s="1"/>
  <c r="AD148" i="1"/>
  <c r="AF148" i="1" s="1"/>
  <c r="AH148" i="1" s="1"/>
  <c r="Q149" i="1"/>
  <c r="S149" i="1" s="1"/>
  <c r="G149" i="1"/>
  <c r="I149" i="1" s="1"/>
  <c r="BW146" i="1" l="1"/>
  <c r="BY146" i="1" s="1"/>
  <c r="CA146" i="1" s="1"/>
  <c r="BX146" i="1"/>
  <c r="BZ146" i="1" s="1"/>
  <c r="CR145" i="1"/>
  <c r="CT145" i="1" s="1"/>
  <c r="CQ145" i="1"/>
  <c r="CS145" i="1" s="1"/>
  <c r="CU145" i="1" s="1"/>
  <c r="AJ148" i="1"/>
  <c r="AL148" i="1" s="1"/>
  <c r="AI148" i="1"/>
  <c r="AK148" i="1" s="1"/>
  <c r="AM148" i="1" s="1"/>
  <c r="BD147" i="1"/>
  <c r="BF147" i="1" s="1"/>
  <c r="BC147" i="1"/>
  <c r="BE147" i="1" s="1"/>
  <c r="BG147" i="1" s="1"/>
  <c r="BH147" i="1" l="1"/>
  <c r="BJ147" i="1" s="1"/>
  <c r="BL147" i="1" s="1"/>
  <c r="BI147" i="1"/>
  <c r="BK147" i="1" s="1"/>
  <c r="AN148" i="1"/>
  <c r="AP148" i="1" s="1"/>
  <c r="AR148" i="1" s="1"/>
  <c r="AO148" i="1"/>
  <c r="AQ148" i="1" s="1"/>
  <c r="CB146" i="1"/>
  <c r="CD146" i="1" s="1"/>
  <c r="CF146" i="1" s="1"/>
  <c r="CC146" i="1"/>
  <c r="CE146" i="1" s="1"/>
  <c r="CV145" i="1"/>
  <c r="CX145" i="1" s="1"/>
  <c r="CZ145" i="1" s="1"/>
  <c r="CW145" i="1"/>
  <c r="CY145" i="1" s="1"/>
  <c r="J149" i="1"/>
  <c r="L149" i="1" s="1"/>
  <c r="N149" i="1" s="1"/>
  <c r="K149" i="1"/>
  <c r="M149" i="1" s="1"/>
  <c r="D150" i="1"/>
  <c r="U149" i="1"/>
  <c r="W149" i="1" s="1"/>
  <c r="T149" i="1"/>
  <c r="V149" i="1" s="1"/>
  <c r="X149" i="1" s="1"/>
  <c r="DB145" i="1" l="1"/>
  <c r="DD145" i="1" s="1"/>
  <c r="DA145" i="1"/>
  <c r="DC145" i="1" s="1"/>
  <c r="CG146" i="1"/>
  <c r="CI146" i="1" s="1"/>
  <c r="CK146" i="1" s="1"/>
  <c r="CH146" i="1"/>
  <c r="CJ146" i="1" s="1"/>
  <c r="AT148" i="1"/>
  <c r="AV148" i="1" s="1"/>
  <c r="AS148" i="1"/>
  <c r="AU148" i="1" s="1"/>
  <c r="AW148" i="1" s="1"/>
  <c r="BM147" i="1"/>
  <c r="BO147" i="1" s="1"/>
  <c r="BQ147" i="1" s="1"/>
  <c r="BN147" i="1"/>
  <c r="BP147" i="1" s="1"/>
  <c r="P149" i="1"/>
  <c r="R149" i="1" s="1"/>
  <c r="O149" i="1"/>
  <c r="Y149" i="1"/>
  <c r="AA149" i="1" s="1"/>
  <c r="AC149" i="1" s="1"/>
  <c r="Z149" i="1"/>
  <c r="AB149" i="1" s="1"/>
  <c r="F150" i="1"/>
  <c r="H150" i="1" s="1"/>
  <c r="E150" i="1"/>
  <c r="BS147" i="1" l="1"/>
  <c r="BU147" i="1" s="1"/>
  <c r="BR147" i="1"/>
  <c r="BT147" i="1" s="1"/>
  <c r="BV147" i="1" s="1"/>
  <c r="CL146" i="1"/>
  <c r="CN146" i="1" s="1"/>
  <c r="CP146" i="1" s="1"/>
  <c r="CM146" i="1"/>
  <c r="CO146" i="1" s="1"/>
  <c r="AY148" i="1"/>
  <c r="BA148" i="1" s="1"/>
  <c r="AX148" i="1"/>
  <c r="AZ148" i="1" s="1"/>
  <c r="BB148" i="1" s="1"/>
  <c r="AE149" i="1"/>
  <c r="AG149" i="1" s="1"/>
  <c r="AD149" i="1"/>
  <c r="AF149" i="1" s="1"/>
  <c r="AH149" i="1" s="1"/>
  <c r="G150" i="1"/>
  <c r="I150" i="1" s="1"/>
  <c r="Q150" i="1"/>
  <c r="S150" i="1" s="1"/>
  <c r="CR146" i="1" l="1"/>
  <c r="CT146" i="1" s="1"/>
  <c r="CQ146" i="1"/>
  <c r="CS146" i="1" s="1"/>
  <c r="CU146" i="1" s="1"/>
  <c r="AJ149" i="1"/>
  <c r="AL149" i="1" s="1"/>
  <c r="AI149" i="1"/>
  <c r="AK149" i="1" s="1"/>
  <c r="AM149" i="1" s="1"/>
  <c r="BC148" i="1"/>
  <c r="BE148" i="1" s="1"/>
  <c r="BG148" i="1" s="1"/>
  <c r="BD148" i="1"/>
  <c r="BF148" i="1" s="1"/>
  <c r="BX147" i="1"/>
  <c r="BZ147" i="1" s="1"/>
  <c r="BW147" i="1"/>
  <c r="BY147" i="1" s="1"/>
  <c r="CA147" i="1" s="1"/>
  <c r="CB147" i="1" l="1"/>
  <c r="CD147" i="1" s="1"/>
  <c r="CF147" i="1" s="1"/>
  <c r="CC147" i="1"/>
  <c r="CE147" i="1" s="1"/>
  <c r="AO149" i="1"/>
  <c r="AQ149" i="1" s="1"/>
  <c r="AN149" i="1"/>
  <c r="AP149" i="1" s="1"/>
  <c r="AR149" i="1" s="1"/>
  <c r="BH148" i="1"/>
  <c r="BJ148" i="1" s="1"/>
  <c r="BL148" i="1" s="1"/>
  <c r="BI148" i="1"/>
  <c r="BK148" i="1" s="1"/>
  <c r="CV146" i="1"/>
  <c r="CX146" i="1" s="1"/>
  <c r="CZ146" i="1" s="1"/>
  <c r="CW146" i="1"/>
  <c r="CY146" i="1" s="1"/>
  <c r="U150" i="1"/>
  <c r="W150" i="1" s="1"/>
  <c r="T150" i="1"/>
  <c r="V150" i="1" s="1"/>
  <c r="X150" i="1" s="1"/>
  <c r="J150" i="1"/>
  <c r="L150" i="1" s="1"/>
  <c r="N150" i="1" s="1"/>
  <c r="K150" i="1"/>
  <c r="M150" i="1" s="1"/>
  <c r="D151" i="1"/>
  <c r="DA146" i="1" l="1"/>
  <c r="DC146" i="1" s="1"/>
  <c r="DB146" i="1"/>
  <c r="DD146" i="1" s="1"/>
  <c r="BN148" i="1"/>
  <c r="BP148" i="1" s="1"/>
  <c r="BM148" i="1"/>
  <c r="BO148" i="1" s="1"/>
  <c r="BQ148" i="1" s="1"/>
  <c r="CG147" i="1"/>
  <c r="CI147" i="1" s="1"/>
  <c r="CK147" i="1" s="1"/>
  <c r="CH147" i="1"/>
  <c r="CJ147" i="1" s="1"/>
  <c r="AT149" i="1"/>
  <c r="AV149" i="1" s="1"/>
  <c r="AS149" i="1"/>
  <c r="AU149" i="1" s="1"/>
  <c r="AW149" i="1" s="1"/>
  <c r="P150" i="1"/>
  <c r="R150" i="1" s="1"/>
  <c r="O150" i="1"/>
  <c r="E151" i="1"/>
  <c r="F151" i="1"/>
  <c r="H151" i="1" s="1"/>
  <c r="Y150" i="1"/>
  <c r="AA150" i="1" s="1"/>
  <c r="AC150" i="1" s="1"/>
  <c r="Z150" i="1"/>
  <c r="AB150" i="1" s="1"/>
  <c r="CL147" i="1" l="1"/>
  <c r="CN147" i="1" s="1"/>
  <c r="CP147" i="1" s="1"/>
  <c r="CM147" i="1"/>
  <c r="CO147" i="1" s="1"/>
  <c r="AX149" i="1"/>
  <c r="AZ149" i="1" s="1"/>
  <c r="BB149" i="1" s="1"/>
  <c r="AY149" i="1"/>
  <c r="BA149" i="1" s="1"/>
  <c r="BS148" i="1"/>
  <c r="BU148" i="1" s="1"/>
  <c r="BR148" i="1"/>
  <c r="BT148" i="1" s="1"/>
  <c r="BV148" i="1" s="1"/>
  <c r="AD150" i="1"/>
  <c r="AF150" i="1" s="1"/>
  <c r="AH150" i="1" s="1"/>
  <c r="AE150" i="1"/>
  <c r="AG150" i="1" s="1"/>
  <c r="Q151" i="1"/>
  <c r="S151" i="1" s="1"/>
  <c r="G151" i="1"/>
  <c r="I151" i="1" s="1"/>
  <c r="AJ150" i="1" l="1"/>
  <c r="AL150" i="1" s="1"/>
  <c r="AI150" i="1"/>
  <c r="AK150" i="1" s="1"/>
  <c r="AM150" i="1" s="1"/>
  <c r="BC149" i="1"/>
  <c r="BE149" i="1" s="1"/>
  <c r="BG149" i="1" s="1"/>
  <c r="BD149" i="1"/>
  <c r="BF149" i="1" s="1"/>
  <c r="CQ147" i="1"/>
  <c r="CS147" i="1" s="1"/>
  <c r="CU147" i="1" s="1"/>
  <c r="CR147" i="1"/>
  <c r="CT147" i="1" s="1"/>
  <c r="BW148" i="1"/>
  <c r="BY148" i="1" s="1"/>
  <c r="CA148" i="1" s="1"/>
  <c r="BX148" i="1"/>
  <c r="BZ148" i="1" s="1"/>
  <c r="AO150" i="1" l="1"/>
  <c r="AQ150" i="1" s="1"/>
  <c r="AN150" i="1"/>
  <c r="AP150" i="1" s="1"/>
  <c r="AR150" i="1" s="1"/>
  <c r="CB148" i="1"/>
  <c r="CD148" i="1" s="1"/>
  <c r="CF148" i="1" s="1"/>
  <c r="CC148" i="1"/>
  <c r="CE148" i="1" s="1"/>
  <c r="CW147" i="1"/>
  <c r="CY147" i="1" s="1"/>
  <c r="CV147" i="1"/>
  <c r="CX147" i="1" s="1"/>
  <c r="BH149" i="1"/>
  <c r="BJ149" i="1" s="1"/>
  <c r="BL149" i="1" s="1"/>
  <c r="BI149" i="1"/>
  <c r="BK149" i="1" s="1"/>
  <c r="J151" i="1"/>
  <c r="L151" i="1" s="1"/>
  <c r="N151" i="1" s="1"/>
  <c r="K151" i="1"/>
  <c r="M151" i="1" s="1"/>
  <c r="D152" i="1"/>
  <c r="T151" i="1"/>
  <c r="V151" i="1" s="1"/>
  <c r="X151" i="1" s="1"/>
  <c r="U151" i="1"/>
  <c r="W151" i="1" s="1"/>
  <c r="CZ147" i="1" l="1"/>
  <c r="BN149" i="1"/>
  <c r="BP149" i="1" s="1"/>
  <c r="BM149" i="1"/>
  <c r="BO149" i="1" s="1"/>
  <c r="BQ149" i="1" s="1"/>
  <c r="CH148" i="1"/>
  <c r="CJ148" i="1" s="1"/>
  <c r="CG148" i="1"/>
  <c r="CI148" i="1" s="1"/>
  <c r="CK148" i="1" s="1"/>
  <c r="AS150" i="1"/>
  <c r="AU150" i="1" s="1"/>
  <c r="AW150" i="1" s="1"/>
  <c r="AT150" i="1"/>
  <c r="AV150" i="1" s="1"/>
  <c r="P151" i="1"/>
  <c r="R151" i="1" s="1"/>
  <c r="Z151" i="1"/>
  <c r="AB151" i="1" s="1"/>
  <c r="Y151" i="1"/>
  <c r="AA151" i="1" s="1"/>
  <c r="AC151" i="1" s="1"/>
  <c r="F152" i="1"/>
  <c r="H152" i="1" s="1"/>
  <c r="E152" i="1"/>
  <c r="DA147" i="1" l="1"/>
  <c r="DC147" i="1" s="1"/>
  <c r="DB147" i="1"/>
  <c r="DD147" i="1" s="1"/>
  <c r="AX150" i="1"/>
  <c r="AZ150" i="1" s="1"/>
  <c r="BB150" i="1" s="1"/>
  <c r="AY150" i="1"/>
  <c r="BA150" i="1" s="1"/>
  <c r="CM148" i="1"/>
  <c r="CO148" i="1" s="1"/>
  <c r="CL148" i="1"/>
  <c r="CN148" i="1" s="1"/>
  <c r="CP148" i="1" s="1"/>
  <c r="BR149" i="1"/>
  <c r="BT149" i="1" s="1"/>
  <c r="BV149" i="1" s="1"/>
  <c r="BS149" i="1"/>
  <c r="BU149" i="1" s="1"/>
  <c r="O151" i="1"/>
  <c r="AE151" i="1"/>
  <c r="AG151" i="1" s="1"/>
  <c r="AD151" i="1"/>
  <c r="AF151" i="1" s="1"/>
  <c r="AH151" i="1" s="1"/>
  <c r="Q152" i="1"/>
  <c r="S152" i="1" s="1"/>
  <c r="G152" i="1"/>
  <c r="I152" i="1" s="1"/>
  <c r="AI151" i="1" l="1"/>
  <c r="AK151" i="1" s="1"/>
  <c r="AM151" i="1" s="1"/>
  <c r="AJ151" i="1"/>
  <c r="AL151" i="1" s="1"/>
  <c r="BX149" i="1"/>
  <c r="BZ149" i="1" s="1"/>
  <c r="BW149" i="1"/>
  <c r="BY149" i="1" s="1"/>
  <c r="CA149" i="1" s="1"/>
  <c r="BC150" i="1"/>
  <c r="BE150" i="1" s="1"/>
  <c r="BG150" i="1" s="1"/>
  <c r="BD150" i="1"/>
  <c r="BF150" i="1" s="1"/>
  <c r="CQ148" i="1"/>
  <c r="CS148" i="1" s="1"/>
  <c r="CU148" i="1" s="1"/>
  <c r="CR148" i="1"/>
  <c r="CT148" i="1" s="1"/>
  <c r="CC149" i="1" l="1"/>
  <c r="CE149" i="1" s="1"/>
  <c r="CB149" i="1"/>
  <c r="CD149" i="1" s="1"/>
  <c r="CF149" i="1" s="1"/>
  <c r="CV148" i="1"/>
  <c r="CX148" i="1" s="1"/>
  <c r="CW148" i="1"/>
  <c r="CY148" i="1" s="1"/>
  <c r="BI150" i="1"/>
  <c r="BK150" i="1" s="1"/>
  <c r="BH150" i="1"/>
  <c r="BJ150" i="1" s="1"/>
  <c r="BL150" i="1" s="1"/>
  <c r="AO151" i="1"/>
  <c r="AQ151" i="1" s="1"/>
  <c r="AN151" i="1"/>
  <c r="AP151" i="1" s="1"/>
  <c r="AR151" i="1" s="1"/>
  <c r="J152" i="1"/>
  <c r="L152" i="1" s="1"/>
  <c r="N152" i="1" s="1"/>
  <c r="K152" i="1"/>
  <c r="M152" i="1" s="1"/>
  <c r="D153" i="1"/>
  <c r="U152" i="1"/>
  <c r="W152" i="1" s="1"/>
  <c r="T152" i="1"/>
  <c r="V152" i="1" s="1"/>
  <c r="X152" i="1" s="1"/>
  <c r="CZ148" i="1" l="1"/>
  <c r="DA148" i="1"/>
  <c r="DC148" i="1" s="1"/>
  <c r="DB148" i="1"/>
  <c r="DD148" i="1" s="1"/>
  <c r="AT151" i="1"/>
  <c r="AV151" i="1" s="1"/>
  <c r="AS151" i="1"/>
  <c r="AU151" i="1" s="1"/>
  <c r="AW151" i="1" s="1"/>
  <c r="BM150" i="1"/>
  <c r="BO150" i="1" s="1"/>
  <c r="BQ150" i="1" s="1"/>
  <c r="BN150" i="1"/>
  <c r="BP150" i="1" s="1"/>
  <c r="CH149" i="1"/>
  <c r="CJ149" i="1" s="1"/>
  <c r="CG149" i="1"/>
  <c r="CI149" i="1" s="1"/>
  <c r="CK149" i="1" s="1"/>
  <c r="P152" i="1"/>
  <c r="R152" i="1" s="1"/>
  <c r="Z152" i="1"/>
  <c r="AB152" i="1" s="1"/>
  <c r="Y152" i="1"/>
  <c r="AA152" i="1" s="1"/>
  <c r="AC152" i="1" s="1"/>
  <c r="F153" i="1"/>
  <c r="H153" i="1" s="1"/>
  <c r="E153" i="1"/>
  <c r="BS150" i="1" l="1"/>
  <c r="BU150" i="1" s="1"/>
  <c r="BR150" i="1"/>
  <c r="BT150" i="1" s="1"/>
  <c r="BV150" i="1" s="1"/>
  <c r="CL149" i="1"/>
  <c r="CN149" i="1" s="1"/>
  <c r="CP149" i="1" s="1"/>
  <c r="CM149" i="1"/>
  <c r="CO149" i="1" s="1"/>
  <c r="AY151" i="1"/>
  <c r="BA151" i="1" s="1"/>
  <c r="AX151" i="1"/>
  <c r="AZ151" i="1" s="1"/>
  <c r="BB151" i="1" s="1"/>
  <c r="O152" i="1"/>
  <c r="AE152" i="1"/>
  <c r="AG152" i="1" s="1"/>
  <c r="AD152" i="1"/>
  <c r="AF152" i="1" s="1"/>
  <c r="AH152" i="1" s="1"/>
  <c r="G153" i="1"/>
  <c r="I153" i="1" s="1"/>
  <c r="Q153" i="1"/>
  <c r="S153" i="1" s="1"/>
  <c r="AJ152" i="1" l="1"/>
  <c r="AL152" i="1" s="1"/>
  <c r="AI152" i="1"/>
  <c r="AK152" i="1" s="1"/>
  <c r="AM152" i="1" s="1"/>
  <c r="CR149" i="1"/>
  <c r="CT149" i="1" s="1"/>
  <c r="CQ149" i="1"/>
  <c r="CS149" i="1" s="1"/>
  <c r="CU149" i="1" s="1"/>
  <c r="BC151" i="1"/>
  <c r="BE151" i="1" s="1"/>
  <c r="BG151" i="1" s="1"/>
  <c r="BD151" i="1"/>
  <c r="BF151" i="1" s="1"/>
  <c r="BX150" i="1"/>
  <c r="BZ150" i="1" s="1"/>
  <c r="BW150" i="1"/>
  <c r="BY150" i="1" s="1"/>
  <c r="CA150" i="1" s="1"/>
  <c r="CB150" i="1" l="1"/>
  <c r="CD150" i="1" s="1"/>
  <c r="CF150" i="1" s="1"/>
  <c r="CC150" i="1"/>
  <c r="CE150" i="1" s="1"/>
  <c r="CW149" i="1"/>
  <c r="CY149" i="1" s="1"/>
  <c r="CV149" i="1"/>
  <c r="CX149" i="1" s="1"/>
  <c r="AO152" i="1"/>
  <c r="AQ152" i="1" s="1"/>
  <c r="AN152" i="1"/>
  <c r="AP152" i="1" s="1"/>
  <c r="AR152" i="1" s="1"/>
  <c r="BI151" i="1"/>
  <c r="BK151" i="1" s="1"/>
  <c r="BH151" i="1"/>
  <c r="BJ151" i="1" s="1"/>
  <c r="BL151" i="1" s="1"/>
  <c r="J153" i="1"/>
  <c r="L153" i="1" s="1"/>
  <c r="N153" i="1" s="1"/>
  <c r="K153" i="1"/>
  <c r="M153" i="1" s="1"/>
  <c r="D154" i="1"/>
  <c r="T153" i="1"/>
  <c r="V153" i="1" s="1"/>
  <c r="X153" i="1" s="1"/>
  <c r="U153" i="1"/>
  <c r="W153" i="1" s="1"/>
  <c r="CZ149" i="1" l="1"/>
  <c r="CG150" i="1"/>
  <c r="CI150" i="1" s="1"/>
  <c r="CK150" i="1" s="1"/>
  <c r="CH150" i="1"/>
  <c r="CJ150" i="1" s="1"/>
  <c r="BN151" i="1"/>
  <c r="BP151" i="1" s="1"/>
  <c r="BM151" i="1"/>
  <c r="BO151" i="1" s="1"/>
  <c r="BQ151" i="1" s="1"/>
  <c r="AS152" i="1"/>
  <c r="AU152" i="1" s="1"/>
  <c r="AW152" i="1" s="1"/>
  <c r="AT152" i="1"/>
  <c r="AV152" i="1" s="1"/>
  <c r="P153" i="1"/>
  <c r="R153" i="1" s="1"/>
  <c r="Y153" i="1"/>
  <c r="AA153" i="1" s="1"/>
  <c r="AC153" i="1" s="1"/>
  <c r="Z153" i="1"/>
  <c r="AB153" i="1" s="1"/>
  <c r="E154" i="1"/>
  <c r="F154" i="1"/>
  <c r="H154" i="1" s="1"/>
  <c r="DA149" i="1" l="1"/>
  <c r="DC149" i="1" s="1"/>
  <c r="DB149" i="1"/>
  <c r="DD149" i="1" s="1"/>
  <c r="AX152" i="1"/>
  <c r="AZ152" i="1" s="1"/>
  <c r="BB152" i="1" s="1"/>
  <c r="AY152" i="1"/>
  <c r="BA152" i="1" s="1"/>
  <c r="CM150" i="1"/>
  <c r="CO150" i="1" s="1"/>
  <c r="CL150" i="1"/>
  <c r="CN150" i="1" s="1"/>
  <c r="CP150" i="1" s="1"/>
  <c r="BR151" i="1"/>
  <c r="BT151" i="1" s="1"/>
  <c r="BV151" i="1" s="1"/>
  <c r="BS151" i="1"/>
  <c r="BU151" i="1" s="1"/>
  <c r="O153" i="1"/>
  <c r="AE153" i="1"/>
  <c r="AG153" i="1" s="1"/>
  <c r="AD153" i="1"/>
  <c r="AF153" i="1" s="1"/>
  <c r="AH153" i="1" s="1"/>
  <c r="G154" i="1"/>
  <c r="I154" i="1" s="1"/>
  <c r="Q154" i="1"/>
  <c r="S154" i="1" s="1"/>
  <c r="AI153" i="1" l="1"/>
  <c r="AK153" i="1" s="1"/>
  <c r="AM153" i="1" s="1"/>
  <c r="AJ153" i="1"/>
  <c r="AL153" i="1" s="1"/>
  <c r="BX151" i="1"/>
  <c r="BZ151" i="1" s="1"/>
  <c r="BW151" i="1"/>
  <c r="BY151" i="1" s="1"/>
  <c r="CA151" i="1" s="1"/>
  <c r="BD152" i="1"/>
  <c r="BF152" i="1" s="1"/>
  <c r="BC152" i="1"/>
  <c r="BE152" i="1" s="1"/>
  <c r="BG152" i="1" s="1"/>
  <c r="CR150" i="1"/>
  <c r="CT150" i="1" s="1"/>
  <c r="CQ150" i="1"/>
  <c r="CS150" i="1" s="1"/>
  <c r="CU150" i="1" s="1"/>
  <c r="CV150" i="1" l="1"/>
  <c r="CX150" i="1" s="1"/>
  <c r="CW150" i="1"/>
  <c r="CY150" i="1" s="1"/>
  <c r="BI152" i="1"/>
  <c r="BK152" i="1" s="1"/>
  <c r="BH152" i="1"/>
  <c r="BJ152" i="1" s="1"/>
  <c r="BL152" i="1" s="1"/>
  <c r="CB151" i="1"/>
  <c r="CD151" i="1" s="1"/>
  <c r="CF151" i="1" s="1"/>
  <c r="CC151" i="1"/>
  <c r="CE151" i="1" s="1"/>
  <c r="AN153" i="1"/>
  <c r="AP153" i="1" s="1"/>
  <c r="AR153" i="1" s="1"/>
  <c r="AO153" i="1"/>
  <c r="AQ153" i="1" s="1"/>
  <c r="J154" i="1"/>
  <c r="L154" i="1" s="1"/>
  <c r="K154" i="1"/>
  <c r="M154" i="1" s="1"/>
  <c r="D155" i="1"/>
  <c r="T154" i="1"/>
  <c r="V154" i="1" s="1"/>
  <c r="X154" i="1" s="1"/>
  <c r="U154" i="1"/>
  <c r="W154" i="1" s="1"/>
  <c r="CZ150" i="1" l="1"/>
  <c r="N154" i="1"/>
  <c r="P154" i="1" s="1"/>
  <c r="R154" i="1" s="1"/>
  <c r="AT153" i="1"/>
  <c r="AV153" i="1" s="1"/>
  <c r="AS153" i="1"/>
  <c r="AU153" i="1" s="1"/>
  <c r="AW153" i="1" s="1"/>
  <c r="CH151" i="1"/>
  <c r="CJ151" i="1" s="1"/>
  <c r="CG151" i="1"/>
  <c r="CI151" i="1" s="1"/>
  <c r="CK151" i="1" s="1"/>
  <c r="DB150" i="1"/>
  <c r="DD150" i="1" s="1"/>
  <c r="DA150" i="1"/>
  <c r="DC150" i="1" s="1"/>
  <c r="BM152" i="1"/>
  <c r="BO152" i="1" s="1"/>
  <c r="BQ152" i="1" s="1"/>
  <c r="BN152" i="1"/>
  <c r="BP152" i="1" s="1"/>
  <c r="O154" i="1"/>
  <c r="E155" i="1"/>
  <c r="F155" i="1"/>
  <c r="H155" i="1" s="1"/>
  <c r="Y154" i="1"/>
  <c r="AA154" i="1" s="1"/>
  <c r="AC154" i="1" s="1"/>
  <c r="Z154" i="1"/>
  <c r="AB154" i="1" s="1"/>
  <c r="BS152" i="1" l="1"/>
  <c r="BU152" i="1" s="1"/>
  <c r="BR152" i="1"/>
  <c r="BT152" i="1" s="1"/>
  <c r="BV152" i="1" s="1"/>
  <c r="CM151" i="1"/>
  <c r="CO151" i="1" s="1"/>
  <c r="CL151" i="1"/>
  <c r="CN151" i="1" s="1"/>
  <c r="CP151" i="1" s="1"/>
  <c r="AY153" i="1"/>
  <c r="BA153" i="1" s="1"/>
  <c r="AX153" i="1"/>
  <c r="AZ153" i="1" s="1"/>
  <c r="BB153" i="1" s="1"/>
  <c r="AD154" i="1"/>
  <c r="AF154" i="1" s="1"/>
  <c r="AH154" i="1" s="1"/>
  <c r="AE154" i="1"/>
  <c r="AG154" i="1" s="1"/>
  <c r="G155" i="1"/>
  <c r="I155" i="1" s="1"/>
  <c r="Q155" i="1"/>
  <c r="S155" i="1" s="1"/>
  <c r="AJ154" i="1" l="1"/>
  <c r="AL154" i="1" s="1"/>
  <c r="AI154" i="1"/>
  <c r="AK154" i="1" s="1"/>
  <c r="AM154" i="1" s="1"/>
  <c r="BC153" i="1"/>
  <c r="BE153" i="1" s="1"/>
  <c r="BG153" i="1" s="1"/>
  <c r="BD153" i="1"/>
  <c r="BF153" i="1" s="1"/>
  <c r="CR151" i="1"/>
  <c r="CT151" i="1" s="1"/>
  <c r="CQ151" i="1"/>
  <c r="CS151" i="1" s="1"/>
  <c r="CU151" i="1" s="1"/>
  <c r="BX152" i="1"/>
  <c r="BZ152" i="1" s="1"/>
  <c r="BW152" i="1"/>
  <c r="BY152" i="1" s="1"/>
  <c r="CA152" i="1" s="1"/>
  <c r="CV151" i="1" l="1"/>
  <c r="CX151" i="1" s="1"/>
  <c r="CW151" i="1"/>
  <c r="CY151" i="1" s="1"/>
  <c r="AN154" i="1"/>
  <c r="AP154" i="1" s="1"/>
  <c r="AR154" i="1" s="1"/>
  <c r="AO154" i="1"/>
  <c r="AQ154" i="1" s="1"/>
  <c r="CB152" i="1"/>
  <c r="CD152" i="1" s="1"/>
  <c r="CF152" i="1" s="1"/>
  <c r="CC152" i="1"/>
  <c r="CE152" i="1" s="1"/>
  <c r="BI153" i="1"/>
  <c r="BK153" i="1" s="1"/>
  <c r="BH153" i="1"/>
  <c r="BJ153" i="1" s="1"/>
  <c r="BL153" i="1" s="1"/>
  <c r="U155" i="1"/>
  <c r="W155" i="1" s="1"/>
  <c r="T155" i="1"/>
  <c r="V155" i="1" s="1"/>
  <c r="X155" i="1" s="1"/>
  <c r="J155" i="1"/>
  <c r="L155" i="1" s="1"/>
  <c r="N155" i="1" s="1"/>
  <c r="K155" i="1"/>
  <c r="M155" i="1" s="1"/>
  <c r="D156" i="1"/>
  <c r="CZ151" i="1" l="1"/>
  <c r="CH152" i="1"/>
  <c r="CJ152" i="1" s="1"/>
  <c r="CG152" i="1"/>
  <c r="CI152" i="1" s="1"/>
  <c r="CK152" i="1" s="1"/>
  <c r="AS154" i="1"/>
  <c r="AU154" i="1" s="1"/>
  <c r="AW154" i="1" s="1"/>
  <c r="AT154" i="1"/>
  <c r="AV154" i="1" s="1"/>
  <c r="DA151" i="1"/>
  <c r="DC151" i="1" s="1"/>
  <c r="DB151" i="1"/>
  <c r="DD151" i="1" s="1"/>
  <c r="BN153" i="1"/>
  <c r="BP153" i="1" s="1"/>
  <c r="BM153" i="1"/>
  <c r="BO153" i="1" s="1"/>
  <c r="BQ153" i="1" s="1"/>
  <c r="P155" i="1"/>
  <c r="R155" i="1" s="1"/>
  <c r="Y155" i="1"/>
  <c r="AA155" i="1" s="1"/>
  <c r="AC155" i="1" s="1"/>
  <c r="Z155" i="1"/>
  <c r="AB155" i="1" s="1"/>
  <c r="E156" i="1"/>
  <c r="F156" i="1"/>
  <c r="H156" i="1" s="1"/>
  <c r="AY154" i="1" l="1"/>
  <c r="BA154" i="1" s="1"/>
  <c r="AX154" i="1"/>
  <c r="AZ154" i="1" s="1"/>
  <c r="BB154" i="1" s="1"/>
  <c r="BR153" i="1"/>
  <c r="BT153" i="1" s="1"/>
  <c r="BV153" i="1" s="1"/>
  <c r="BS153" i="1"/>
  <c r="BU153" i="1" s="1"/>
  <c r="CL152" i="1"/>
  <c r="CN152" i="1" s="1"/>
  <c r="CP152" i="1" s="1"/>
  <c r="CM152" i="1"/>
  <c r="CO152" i="1" s="1"/>
  <c r="O155" i="1"/>
  <c r="AD155" i="1"/>
  <c r="AF155" i="1" s="1"/>
  <c r="AH155" i="1" s="1"/>
  <c r="AE155" i="1"/>
  <c r="AG155" i="1" s="1"/>
  <c r="Q156" i="1"/>
  <c r="S156" i="1" s="1"/>
  <c r="G156" i="1"/>
  <c r="I156" i="1" s="1"/>
  <c r="AJ155" i="1" l="1"/>
  <c r="AL155" i="1" s="1"/>
  <c r="AI155" i="1"/>
  <c r="AK155" i="1" s="1"/>
  <c r="AM155" i="1" s="1"/>
  <c r="CQ152" i="1"/>
  <c r="CS152" i="1" s="1"/>
  <c r="CU152" i="1" s="1"/>
  <c r="CR152" i="1"/>
  <c r="CT152" i="1" s="1"/>
  <c r="BX153" i="1"/>
  <c r="BZ153" i="1" s="1"/>
  <c r="BW153" i="1"/>
  <c r="BY153" i="1" s="1"/>
  <c r="CA153" i="1" s="1"/>
  <c r="BD154" i="1"/>
  <c r="BF154" i="1" s="1"/>
  <c r="BC154" i="1"/>
  <c r="BE154" i="1" s="1"/>
  <c r="BG154" i="1" s="1"/>
  <c r="CC153" i="1" l="1"/>
  <c r="CE153" i="1" s="1"/>
  <c r="CB153" i="1"/>
  <c r="CD153" i="1" s="1"/>
  <c r="CF153" i="1" s="1"/>
  <c r="AN155" i="1"/>
  <c r="AP155" i="1" s="1"/>
  <c r="AR155" i="1" s="1"/>
  <c r="AO155" i="1"/>
  <c r="AQ155" i="1" s="1"/>
  <c r="BI154" i="1"/>
  <c r="BK154" i="1" s="1"/>
  <c r="BH154" i="1"/>
  <c r="BJ154" i="1" s="1"/>
  <c r="BL154" i="1" s="1"/>
  <c r="CW152" i="1"/>
  <c r="CY152" i="1" s="1"/>
  <c r="CV152" i="1"/>
  <c r="CX152" i="1" s="1"/>
  <c r="J156" i="1"/>
  <c r="L156" i="1" s="1"/>
  <c r="K156" i="1"/>
  <c r="M156" i="1" s="1"/>
  <c r="D157" i="1"/>
  <c r="U156" i="1"/>
  <c r="W156" i="1" s="1"/>
  <c r="T156" i="1"/>
  <c r="V156" i="1" s="1"/>
  <c r="X156" i="1" s="1"/>
  <c r="CZ152" i="1" l="1"/>
  <c r="N156" i="1"/>
  <c r="O156" i="1" s="1"/>
  <c r="AT155" i="1"/>
  <c r="AV155" i="1" s="1"/>
  <c r="AS155" i="1"/>
  <c r="AU155" i="1" s="1"/>
  <c r="AW155" i="1" s="1"/>
  <c r="BM154" i="1"/>
  <c r="BO154" i="1" s="1"/>
  <c r="BQ154" i="1" s="1"/>
  <c r="BN154" i="1"/>
  <c r="BP154" i="1" s="1"/>
  <c r="CG153" i="1"/>
  <c r="CI153" i="1" s="1"/>
  <c r="CK153" i="1" s="1"/>
  <c r="CH153" i="1"/>
  <c r="CJ153" i="1" s="1"/>
  <c r="Y156" i="1"/>
  <c r="AA156" i="1" s="1"/>
  <c r="AC156" i="1" s="1"/>
  <c r="Z156" i="1"/>
  <c r="AB156" i="1" s="1"/>
  <c r="F157" i="1"/>
  <c r="H157" i="1" s="1"/>
  <c r="E157" i="1"/>
  <c r="P156" i="1" l="1"/>
  <c r="R156" i="1" s="1"/>
  <c r="DA152" i="1"/>
  <c r="DC152" i="1" s="1"/>
  <c r="DB152" i="1"/>
  <c r="DD152" i="1" s="1"/>
  <c r="CM153" i="1"/>
  <c r="CO153" i="1" s="1"/>
  <c r="CL153" i="1"/>
  <c r="CN153" i="1" s="1"/>
  <c r="CP153" i="1" s="1"/>
  <c r="BS154" i="1"/>
  <c r="BU154" i="1" s="1"/>
  <c r="BR154" i="1"/>
  <c r="BT154" i="1" s="1"/>
  <c r="BV154" i="1" s="1"/>
  <c r="AX155" i="1"/>
  <c r="AZ155" i="1" s="1"/>
  <c r="BB155" i="1" s="1"/>
  <c r="AY155" i="1"/>
  <c r="BA155" i="1" s="1"/>
  <c r="AD156" i="1"/>
  <c r="AF156" i="1" s="1"/>
  <c r="AH156" i="1" s="1"/>
  <c r="AE156" i="1"/>
  <c r="AG156" i="1" s="1"/>
  <c r="G157" i="1"/>
  <c r="I157" i="1" s="1"/>
  <c r="Q157" i="1"/>
  <c r="S157" i="1" s="1"/>
  <c r="AJ156" i="1" l="1"/>
  <c r="AL156" i="1" s="1"/>
  <c r="AI156" i="1"/>
  <c r="AK156" i="1" s="1"/>
  <c r="AM156" i="1" s="1"/>
  <c r="BX154" i="1"/>
  <c r="BZ154" i="1" s="1"/>
  <c r="BW154" i="1"/>
  <c r="BY154" i="1" s="1"/>
  <c r="CA154" i="1" s="1"/>
  <c r="CQ153" i="1"/>
  <c r="CS153" i="1" s="1"/>
  <c r="CU153" i="1" s="1"/>
  <c r="CR153" i="1"/>
  <c r="CT153" i="1" s="1"/>
  <c r="BD155" i="1"/>
  <c r="BF155" i="1" s="1"/>
  <c r="BC155" i="1"/>
  <c r="BE155" i="1" s="1"/>
  <c r="BG155" i="1" s="1"/>
  <c r="BH155" i="1" l="1"/>
  <c r="BJ155" i="1" s="1"/>
  <c r="BL155" i="1" s="1"/>
  <c r="BI155" i="1"/>
  <c r="BK155" i="1" s="1"/>
  <c r="CB154" i="1"/>
  <c r="CD154" i="1" s="1"/>
  <c r="CF154" i="1" s="1"/>
  <c r="CC154" i="1"/>
  <c r="CE154" i="1" s="1"/>
  <c r="AN156" i="1"/>
  <c r="AP156" i="1" s="1"/>
  <c r="AR156" i="1" s="1"/>
  <c r="AO156" i="1"/>
  <c r="AQ156" i="1" s="1"/>
  <c r="CW153" i="1"/>
  <c r="CY153" i="1" s="1"/>
  <c r="CV153" i="1"/>
  <c r="CX153" i="1" s="1"/>
  <c r="T157" i="1"/>
  <c r="V157" i="1" s="1"/>
  <c r="X157" i="1" s="1"/>
  <c r="U157" i="1"/>
  <c r="W157" i="1" s="1"/>
  <c r="J157" i="1"/>
  <c r="L157" i="1" s="1"/>
  <c r="N157" i="1" s="1"/>
  <c r="K157" i="1"/>
  <c r="M157" i="1" s="1"/>
  <c r="D158" i="1"/>
  <c r="CZ153" i="1" l="1"/>
  <c r="AS156" i="1"/>
  <c r="AU156" i="1" s="1"/>
  <c r="AW156" i="1" s="1"/>
  <c r="AT156" i="1"/>
  <c r="AV156" i="1" s="1"/>
  <c r="CG154" i="1"/>
  <c r="CI154" i="1" s="1"/>
  <c r="CK154" i="1" s="1"/>
  <c r="CH154" i="1"/>
  <c r="CJ154" i="1" s="1"/>
  <c r="BN155" i="1"/>
  <c r="BP155" i="1" s="1"/>
  <c r="BM155" i="1"/>
  <c r="BO155" i="1" s="1"/>
  <c r="BQ155" i="1" s="1"/>
  <c r="P157" i="1"/>
  <c r="R157" i="1" s="1"/>
  <c r="Z157" i="1"/>
  <c r="AB157" i="1" s="1"/>
  <c r="Y157" i="1"/>
  <c r="AA157" i="1" s="1"/>
  <c r="AC157" i="1" s="1"/>
  <c r="F158" i="1"/>
  <c r="H158" i="1" s="1"/>
  <c r="E158" i="1"/>
  <c r="DA153" i="1" l="1"/>
  <c r="DC153" i="1" s="1"/>
  <c r="DB153" i="1"/>
  <c r="DD153" i="1" s="1"/>
  <c r="CL154" i="1"/>
  <c r="CN154" i="1" s="1"/>
  <c r="CP154" i="1" s="1"/>
  <c r="CM154" i="1"/>
  <c r="CO154" i="1" s="1"/>
  <c r="AX156" i="1"/>
  <c r="AZ156" i="1" s="1"/>
  <c r="BB156" i="1" s="1"/>
  <c r="AY156" i="1"/>
  <c r="BA156" i="1" s="1"/>
  <c r="BS155" i="1"/>
  <c r="BU155" i="1" s="1"/>
  <c r="BR155" i="1"/>
  <c r="BT155" i="1" s="1"/>
  <c r="BV155" i="1" s="1"/>
  <c r="O157" i="1"/>
  <c r="AE157" i="1"/>
  <c r="AG157" i="1" s="1"/>
  <c r="AD157" i="1"/>
  <c r="AF157" i="1" s="1"/>
  <c r="AH157" i="1" s="1"/>
  <c r="Q158" i="1"/>
  <c r="S158" i="1" s="1"/>
  <c r="G158" i="1"/>
  <c r="I158" i="1" s="1"/>
  <c r="BD156" i="1" l="1"/>
  <c r="BF156" i="1" s="1"/>
  <c r="BC156" i="1"/>
  <c r="BE156" i="1" s="1"/>
  <c r="BG156" i="1" s="1"/>
  <c r="CR154" i="1"/>
  <c r="CT154" i="1" s="1"/>
  <c r="CQ154" i="1"/>
  <c r="CS154" i="1" s="1"/>
  <c r="CU154" i="1" s="1"/>
  <c r="AI157" i="1"/>
  <c r="AK157" i="1" s="1"/>
  <c r="AM157" i="1" s="1"/>
  <c r="AJ157" i="1"/>
  <c r="AL157" i="1" s="1"/>
  <c r="BX155" i="1"/>
  <c r="BZ155" i="1" s="1"/>
  <c r="BW155" i="1"/>
  <c r="BY155" i="1" s="1"/>
  <c r="CA155" i="1" s="1"/>
  <c r="CC155" i="1" l="1"/>
  <c r="CE155" i="1" s="1"/>
  <c r="CB155" i="1"/>
  <c r="CD155" i="1" s="1"/>
  <c r="CF155" i="1" s="1"/>
  <c r="AO157" i="1"/>
  <c r="AQ157" i="1" s="1"/>
  <c r="AN157" i="1"/>
  <c r="AP157" i="1" s="1"/>
  <c r="AR157" i="1" s="1"/>
  <c r="CV154" i="1"/>
  <c r="CX154" i="1" s="1"/>
  <c r="CZ154" i="1" s="1"/>
  <c r="CW154" i="1"/>
  <c r="CY154" i="1" s="1"/>
  <c r="BI156" i="1"/>
  <c r="BK156" i="1" s="1"/>
  <c r="BH156" i="1"/>
  <c r="BJ156" i="1" s="1"/>
  <c r="BL156" i="1" s="1"/>
  <c r="J158" i="1"/>
  <c r="L158" i="1" s="1"/>
  <c r="K158" i="1"/>
  <c r="M158" i="1" s="1"/>
  <c r="D159" i="1"/>
  <c r="U158" i="1"/>
  <c r="W158" i="1" s="1"/>
  <c r="T158" i="1"/>
  <c r="V158" i="1" s="1"/>
  <c r="X158" i="1" s="1"/>
  <c r="N158" i="1" l="1"/>
  <c r="P158" i="1" s="1"/>
  <c r="R158" i="1" s="1"/>
  <c r="DA154" i="1"/>
  <c r="DC154" i="1" s="1"/>
  <c r="DB154" i="1"/>
  <c r="DD154" i="1" s="1"/>
  <c r="BM156" i="1"/>
  <c r="BO156" i="1" s="1"/>
  <c r="BQ156" i="1" s="1"/>
  <c r="BN156" i="1"/>
  <c r="BP156" i="1" s="1"/>
  <c r="AS157" i="1"/>
  <c r="AU157" i="1" s="1"/>
  <c r="AW157" i="1" s="1"/>
  <c r="AT157" i="1"/>
  <c r="AV157" i="1" s="1"/>
  <c r="CH155" i="1"/>
  <c r="CJ155" i="1" s="1"/>
  <c r="CG155" i="1"/>
  <c r="CI155" i="1" s="1"/>
  <c r="CK155" i="1" s="1"/>
  <c r="Z158" i="1"/>
  <c r="AB158" i="1" s="1"/>
  <c r="Y158" i="1"/>
  <c r="AA158" i="1" s="1"/>
  <c r="AC158" i="1" s="1"/>
  <c r="E159" i="1"/>
  <c r="F159" i="1"/>
  <c r="H159" i="1" s="1"/>
  <c r="O158" i="1" l="1"/>
  <c r="AY157" i="1"/>
  <c r="BA157" i="1" s="1"/>
  <c r="AX157" i="1"/>
  <c r="AZ157" i="1" s="1"/>
  <c r="BB157" i="1" s="1"/>
  <c r="BR156" i="1"/>
  <c r="BT156" i="1" s="1"/>
  <c r="BV156" i="1" s="1"/>
  <c r="BS156" i="1"/>
  <c r="BU156" i="1" s="1"/>
  <c r="CM155" i="1"/>
  <c r="CO155" i="1" s="1"/>
  <c r="CL155" i="1"/>
  <c r="CN155" i="1" s="1"/>
  <c r="CP155" i="1" s="1"/>
  <c r="AE158" i="1"/>
  <c r="AG158" i="1" s="1"/>
  <c r="AD158" i="1"/>
  <c r="AF158" i="1" s="1"/>
  <c r="AH158" i="1" s="1"/>
  <c r="Q159" i="1"/>
  <c r="S159" i="1" s="1"/>
  <c r="G159" i="1"/>
  <c r="I159" i="1" s="1"/>
  <c r="AJ158" i="1" l="1"/>
  <c r="AL158" i="1" s="1"/>
  <c r="AI158" i="1"/>
  <c r="AK158" i="1" s="1"/>
  <c r="AM158" i="1" s="1"/>
  <c r="BX156" i="1"/>
  <c r="BZ156" i="1" s="1"/>
  <c r="BW156" i="1"/>
  <c r="BY156" i="1" s="1"/>
  <c r="CA156" i="1" s="1"/>
  <c r="CR155" i="1"/>
  <c r="CT155" i="1" s="1"/>
  <c r="CQ155" i="1"/>
  <c r="CS155" i="1" s="1"/>
  <c r="CU155" i="1" s="1"/>
  <c r="BD157" i="1"/>
  <c r="BF157" i="1" s="1"/>
  <c r="BC157" i="1"/>
  <c r="BE157" i="1" s="1"/>
  <c r="BG157" i="1" s="1"/>
  <c r="CV155" i="1" l="1"/>
  <c r="CX155" i="1" s="1"/>
  <c r="CW155" i="1"/>
  <c r="CY155" i="1" s="1"/>
  <c r="CC156" i="1"/>
  <c r="CE156" i="1" s="1"/>
  <c r="CB156" i="1"/>
  <c r="CD156" i="1" s="1"/>
  <c r="CF156" i="1" s="1"/>
  <c r="AN158" i="1"/>
  <c r="AP158" i="1" s="1"/>
  <c r="AR158" i="1" s="1"/>
  <c r="AO158" i="1"/>
  <c r="AQ158" i="1" s="1"/>
  <c r="BI157" i="1"/>
  <c r="BK157" i="1" s="1"/>
  <c r="BH157" i="1"/>
  <c r="BJ157" i="1" s="1"/>
  <c r="BL157" i="1" s="1"/>
  <c r="J159" i="1"/>
  <c r="L159" i="1" s="1"/>
  <c r="K159" i="1"/>
  <c r="M159" i="1" s="1"/>
  <c r="D160" i="1"/>
  <c r="U159" i="1"/>
  <c r="W159" i="1" s="1"/>
  <c r="T159" i="1"/>
  <c r="V159" i="1" s="1"/>
  <c r="X159" i="1" s="1"/>
  <c r="CZ155" i="1" l="1"/>
  <c r="N159" i="1"/>
  <c r="O159" i="1" s="1"/>
  <c r="AT158" i="1"/>
  <c r="AV158" i="1" s="1"/>
  <c r="AS158" i="1"/>
  <c r="AU158" i="1" s="1"/>
  <c r="AW158" i="1" s="1"/>
  <c r="DB155" i="1"/>
  <c r="DD155" i="1" s="1"/>
  <c r="DA155" i="1"/>
  <c r="DC155" i="1" s="1"/>
  <c r="BM157" i="1"/>
  <c r="BO157" i="1" s="1"/>
  <c r="BQ157" i="1" s="1"/>
  <c r="BN157" i="1"/>
  <c r="BP157" i="1" s="1"/>
  <c r="CG156" i="1"/>
  <c r="CI156" i="1" s="1"/>
  <c r="CK156" i="1" s="1"/>
  <c r="CH156" i="1"/>
  <c r="CJ156" i="1" s="1"/>
  <c r="Z159" i="1"/>
  <c r="AB159" i="1" s="1"/>
  <c r="Y159" i="1"/>
  <c r="AA159" i="1" s="1"/>
  <c r="AC159" i="1" s="1"/>
  <c r="F160" i="1"/>
  <c r="H160" i="1" s="1"/>
  <c r="E160" i="1"/>
  <c r="P159" i="1" l="1"/>
  <c r="R159" i="1" s="1"/>
  <c r="CM156" i="1"/>
  <c r="CO156" i="1" s="1"/>
  <c r="CL156" i="1"/>
  <c r="CN156" i="1" s="1"/>
  <c r="CP156" i="1" s="1"/>
  <c r="BS157" i="1"/>
  <c r="BU157" i="1" s="1"/>
  <c r="BR157" i="1"/>
  <c r="BT157" i="1" s="1"/>
  <c r="BV157" i="1" s="1"/>
  <c r="AY158" i="1"/>
  <c r="BA158" i="1" s="1"/>
  <c r="AX158" i="1"/>
  <c r="AZ158" i="1" s="1"/>
  <c r="BB158" i="1" s="1"/>
  <c r="AE159" i="1"/>
  <c r="AG159" i="1" s="1"/>
  <c r="AD159" i="1"/>
  <c r="AF159" i="1" s="1"/>
  <c r="AH159" i="1" s="1"/>
  <c r="G160" i="1"/>
  <c r="I160" i="1" s="1"/>
  <c r="Q160" i="1"/>
  <c r="S160" i="1" s="1"/>
  <c r="AJ159" i="1" l="1"/>
  <c r="AL159" i="1" s="1"/>
  <c r="AI159" i="1"/>
  <c r="AK159" i="1" s="1"/>
  <c r="AM159" i="1" s="1"/>
  <c r="BD158" i="1"/>
  <c r="BF158" i="1" s="1"/>
  <c r="BC158" i="1"/>
  <c r="BE158" i="1" s="1"/>
  <c r="BG158" i="1" s="1"/>
  <c r="BW157" i="1"/>
  <c r="BY157" i="1" s="1"/>
  <c r="CA157" i="1" s="1"/>
  <c r="BX157" i="1"/>
  <c r="BZ157" i="1" s="1"/>
  <c r="CR156" i="1"/>
  <c r="CT156" i="1" s="1"/>
  <c r="CQ156" i="1"/>
  <c r="CS156" i="1" s="1"/>
  <c r="CU156" i="1" s="1"/>
  <c r="CV156" i="1" l="1"/>
  <c r="CX156" i="1" s="1"/>
  <c r="CW156" i="1"/>
  <c r="CY156" i="1" s="1"/>
  <c r="BI158" i="1"/>
  <c r="BK158" i="1" s="1"/>
  <c r="BH158" i="1"/>
  <c r="BJ158" i="1" s="1"/>
  <c r="BL158" i="1" s="1"/>
  <c r="AO159" i="1"/>
  <c r="AQ159" i="1" s="1"/>
  <c r="AN159" i="1"/>
  <c r="AP159" i="1" s="1"/>
  <c r="AR159" i="1" s="1"/>
  <c r="CC157" i="1"/>
  <c r="CE157" i="1" s="1"/>
  <c r="CB157" i="1"/>
  <c r="CD157" i="1" s="1"/>
  <c r="CF157" i="1" s="1"/>
  <c r="J160" i="1"/>
  <c r="L160" i="1" s="1"/>
  <c r="K160" i="1"/>
  <c r="M160" i="1" s="1"/>
  <c r="D161" i="1"/>
  <c r="U160" i="1"/>
  <c r="W160" i="1" s="1"/>
  <c r="T160" i="1"/>
  <c r="V160" i="1" s="1"/>
  <c r="X160" i="1" s="1"/>
  <c r="CZ156" i="1" l="1"/>
  <c r="N160" i="1"/>
  <c r="P160" i="1" s="1"/>
  <c r="R160" i="1" s="1"/>
  <c r="DA156" i="1"/>
  <c r="DC156" i="1" s="1"/>
  <c r="DB156" i="1"/>
  <c r="DD156" i="1" s="1"/>
  <c r="CG157" i="1"/>
  <c r="CI157" i="1" s="1"/>
  <c r="CK157" i="1" s="1"/>
  <c r="CH157" i="1"/>
  <c r="CJ157" i="1" s="1"/>
  <c r="AT159" i="1"/>
  <c r="AV159" i="1" s="1"/>
  <c r="AS159" i="1"/>
  <c r="AU159" i="1" s="1"/>
  <c r="AW159" i="1" s="1"/>
  <c r="BN158" i="1"/>
  <c r="BP158" i="1" s="1"/>
  <c r="BM158" i="1"/>
  <c r="BO158" i="1" s="1"/>
  <c r="BQ158" i="1" s="1"/>
  <c r="Z160" i="1"/>
  <c r="AB160" i="1" s="1"/>
  <c r="Y160" i="1"/>
  <c r="AA160" i="1" s="1"/>
  <c r="AC160" i="1" s="1"/>
  <c r="F161" i="1"/>
  <c r="H161" i="1" s="1"/>
  <c r="E161" i="1"/>
  <c r="O160" i="1" l="1"/>
  <c r="CM157" i="1"/>
  <c r="CO157" i="1" s="1"/>
  <c r="CL157" i="1"/>
  <c r="CN157" i="1" s="1"/>
  <c r="CP157" i="1" s="1"/>
  <c r="BR158" i="1"/>
  <c r="BT158" i="1" s="1"/>
  <c r="BV158" i="1" s="1"/>
  <c r="BS158" i="1"/>
  <c r="BU158" i="1" s="1"/>
  <c r="AX159" i="1"/>
  <c r="AZ159" i="1" s="1"/>
  <c r="BB159" i="1" s="1"/>
  <c r="AY159" i="1"/>
  <c r="BA159" i="1" s="1"/>
  <c r="AD160" i="1"/>
  <c r="AF160" i="1" s="1"/>
  <c r="AH160" i="1" s="1"/>
  <c r="AE160" i="1"/>
  <c r="AG160" i="1" s="1"/>
  <c r="G161" i="1"/>
  <c r="I161" i="1" s="1"/>
  <c r="Q161" i="1"/>
  <c r="S161" i="1" s="1"/>
  <c r="AI160" i="1" l="1"/>
  <c r="AK160" i="1" s="1"/>
  <c r="AM160" i="1" s="1"/>
  <c r="AJ160" i="1"/>
  <c r="AL160" i="1" s="1"/>
  <c r="BD159" i="1"/>
  <c r="BF159" i="1" s="1"/>
  <c r="BC159" i="1"/>
  <c r="BE159" i="1" s="1"/>
  <c r="BG159" i="1" s="1"/>
  <c r="BW158" i="1"/>
  <c r="BY158" i="1" s="1"/>
  <c r="CA158" i="1" s="1"/>
  <c r="BX158" i="1"/>
  <c r="BZ158" i="1" s="1"/>
  <c r="CR157" i="1"/>
  <c r="CT157" i="1" s="1"/>
  <c r="CQ157" i="1"/>
  <c r="CS157" i="1" s="1"/>
  <c r="CU157" i="1" s="1"/>
  <c r="CV157" i="1" l="1"/>
  <c r="CX157" i="1" s="1"/>
  <c r="CW157" i="1"/>
  <c r="CY157" i="1" s="1"/>
  <c r="BI159" i="1"/>
  <c r="BK159" i="1" s="1"/>
  <c r="BH159" i="1"/>
  <c r="BJ159" i="1" s="1"/>
  <c r="BL159" i="1" s="1"/>
  <c r="CB158" i="1"/>
  <c r="CD158" i="1" s="1"/>
  <c r="CF158" i="1" s="1"/>
  <c r="CC158" i="1"/>
  <c r="CE158" i="1" s="1"/>
  <c r="AO160" i="1"/>
  <c r="AQ160" i="1" s="1"/>
  <c r="AN160" i="1"/>
  <c r="AP160" i="1" s="1"/>
  <c r="AR160" i="1" s="1"/>
  <c r="U161" i="1"/>
  <c r="W161" i="1" s="1"/>
  <c r="T161" i="1"/>
  <c r="V161" i="1" s="1"/>
  <c r="X161" i="1" s="1"/>
  <c r="J161" i="1"/>
  <c r="L161" i="1" s="1"/>
  <c r="N161" i="1" s="1"/>
  <c r="K161" i="1"/>
  <c r="M161" i="1" s="1"/>
  <c r="D162" i="1"/>
  <c r="CZ157" i="1" l="1"/>
  <c r="CG158" i="1"/>
  <c r="CI158" i="1" s="1"/>
  <c r="CK158" i="1" s="1"/>
  <c r="CH158" i="1"/>
  <c r="CJ158" i="1" s="1"/>
  <c r="DB157" i="1"/>
  <c r="DD157" i="1" s="1"/>
  <c r="DA157" i="1"/>
  <c r="DC157" i="1" s="1"/>
  <c r="AS160" i="1"/>
  <c r="AU160" i="1" s="1"/>
  <c r="AW160" i="1" s="1"/>
  <c r="AT160" i="1"/>
  <c r="AV160" i="1" s="1"/>
  <c r="BN159" i="1"/>
  <c r="BP159" i="1" s="1"/>
  <c r="BM159" i="1"/>
  <c r="BO159" i="1" s="1"/>
  <c r="BQ159" i="1" s="1"/>
  <c r="P161" i="1"/>
  <c r="R161" i="1" s="1"/>
  <c r="Z161" i="1"/>
  <c r="AB161" i="1" s="1"/>
  <c r="Y161" i="1"/>
  <c r="AA161" i="1" s="1"/>
  <c r="AC161" i="1" s="1"/>
  <c r="E162" i="1"/>
  <c r="F162" i="1"/>
  <c r="H162" i="1" s="1"/>
  <c r="AY160" i="1" l="1"/>
  <c r="BA160" i="1" s="1"/>
  <c r="AX160" i="1"/>
  <c r="AZ160" i="1" s="1"/>
  <c r="BB160" i="1" s="1"/>
  <c r="CM158" i="1"/>
  <c r="CO158" i="1" s="1"/>
  <c r="CL158" i="1"/>
  <c r="CN158" i="1" s="1"/>
  <c r="CP158" i="1" s="1"/>
  <c r="BS159" i="1"/>
  <c r="BU159" i="1" s="1"/>
  <c r="BR159" i="1"/>
  <c r="BT159" i="1" s="1"/>
  <c r="BV159" i="1" s="1"/>
  <c r="O161" i="1"/>
  <c r="AE161" i="1"/>
  <c r="AG161" i="1" s="1"/>
  <c r="AD161" i="1"/>
  <c r="AF161" i="1" s="1"/>
  <c r="AH161" i="1" s="1"/>
  <c r="G162" i="1"/>
  <c r="I162" i="1" s="1"/>
  <c r="Q162" i="1"/>
  <c r="S162" i="1" s="1"/>
  <c r="AI161" i="1" l="1"/>
  <c r="AK161" i="1" s="1"/>
  <c r="AM161" i="1" s="1"/>
  <c r="AJ161" i="1"/>
  <c r="AL161" i="1" s="1"/>
  <c r="BW159" i="1"/>
  <c r="BY159" i="1" s="1"/>
  <c r="CA159" i="1" s="1"/>
  <c r="BX159" i="1"/>
  <c r="BZ159" i="1" s="1"/>
  <c r="CQ158" i="1"/>
  <c r="CS158" i="1" s="1"/>
  <c r="CU158" i="1" s="1"/>
  <c r="CR158" i="1"/>
  <c r="CT158" i="1" s="1"/>
  <c r="BD160" i="1"/>
  <c r="BF160" i="1" s="1"/>
  <c r="BC160" i="1"/>
  <c r="BE160" i="1" s="1"/>
  <c r="BG160" i="1" s="1"/>
  <c r="BH160" i="1" l="1"/>
  <c r="BJ160" i="1" s="1"/>
  <c r="BL160" i="1" s="1"/>
  <c r="BI160" i="1"/>
  <c r="BK160" i="1" s="1"/>
  <c r="CV158" i="1"/>
  <c r="CX158" i="1" s="1"/>
  <c r="CZ158" i="1" s="1"/>
  <c r="CW158" i="1"/>
  <c r="CY158" i="1" s="1"/>
  <c r="CB159" i="1"/>
  <c r="CD159" i="1" s="1"/>
  <c r="CF159" i="1" s="1"/>
  <c r="CC159" i="1"/>
  <c r="CE159" i="1" s="1"/>
  <c r="AN161" i="1"/>
  <c r="AP161" i="1" s="1"/>
  <c r="AR161" i="1" s="1"/>
  <c r="AO161" i="1"/>
  <c r="AQ161" i="1" s="1"/>
  <c r="U162" i="1"/>
  <c r="W162" i="1" s="1"/>
  <c r="T162" i="1"/>
  <c r="V162" i="1" s="1"/>
  <c r="X162" i="1" s="1"/>
  <c r="J162" i="1"/>
  <c r="L162" i="1" s="1"/>
  <c r="N162" i="1" s="1"/>
  <c r="K162" i="1"/>
  <c r="M162" i="1" s="1"/>
  <c r="D163" i="1"/>
  <c r="AS161" i="1" l="1"/>
  <c r="AU161" i="1" s="1"/>
  <c r="AW161" i="1" s="1"/>
  <c r="AT161" i="1"/>
  <c r="AV161" i="1" s="1"/>
  <c r="CH159" i="1"/>
  <c r="CJ159" i="1" s="1"/>
  <c r="CG159" i="1"/>
  <c r="CI159" i="1" s="1"/>
  <c r="CK159" i="1" s="1"/>
  <c r="DB158" i="1"/>
  <c r="DD158" i="1" s="1"/>
  <c r="DA158" i="1"/>
  <c r="DC158" i="1" s="1"/>
  <c r="BM160" i="1"/>
  <c r="BO160" i="1" s="1"/>
  <c r="BQ160" i="1" s="1"/>
  <c r="BN160" i="1"/>
  <c r="BP160" i="1" s="1"/>
  <c r="P162" i="1"/>
  <c r="R162" i="1" s="1"/>
  <c r="E163" i="1"/>
  <c r="F163" i="1"/>
  <c r="H163" i="1" s="1"/>
  <c r="Y162" i="1"/>
  <c r="AA162" i="1" s="1"/>
  <c r="AC162" i="1" s="1"/>
  <c r="Z162" i="1"/>
  <c r="AB162" i="1" s="1"/>
  <c r="BS160" i="1" l="1"/>
  <c r="BU160" i="1" s="1"/>
  <c r="BR160" i="1"/>
  <c r="BT160" i="1" s="1"/>
  <c r="BV160" i="1" s="1"/>
  <c r="AX161" i="1"/>
  <c r="AZ161" i="1" s="1"/>
  <c r="BB161" i="1" s="1"/>
  <c r="AY161" i="1"/>
  <c r="BA161" i="1" s="1"/>
  <c r="CL159" i="1"/>
  <c r="CN159" i="1" s="1"/>
  <c r="CP159" i="1" s="1"/>
  <c r="CM159" i="1"/>
  <c r="CO159" i="1" s="1"/>
  <c r="O162" i="1"/>
  <c r="AD162" i="1"/>
  <c r="AF162" i="1" s="1"/>
  <c r="AH162" i="1" s="1"/>
  <c r="AE162" i="1"/>
  <c r="AG162" i="1" s="1"/>
  <c r="Q163" i="1"/>
  <c r="S163" i="1" s="1"/>
  <c r="G163" i="1"/>
  <c r="I163" i="1" s="1"/>
  <c r="AJ162" i="1" l="1"/>
  <c r="AL162" i="1" s="1"/>
  <c r="AI162" i="1"/>
  <c r="AK162" i="1" s="1"/>
  <c r="AM162" i="1" s="1"/>
  <c r="CR159" i="1"/>
  <c r="CT159" i="1" s="1"/>
  <c r="CQ159" i="1"/>
  <c r="CS159" i="1" s="1"/>
  <c r="CU159" i="1" s="1"/>
  <c r="BD161" i="1"/>
  <c r="BF161" i="1" s="1"/>
  <c r="BC161" i="1"/>
  <c r="BE161" i="1" s="1"/>
  <c r="BG161" i="1" s="1"/>
  <c r="BX160" i="1"/>
  <c r="BZ160" i="1" s="1"/>
  <c r="BW160" i="1"/>
  <c r="BY160" i="1" s="1"/>
  <c r="CA160" i="1" s="1"/>
  <c r="BH161" i="1" l="1"/>
  <c r="BJ161" i="1" s="1"/>
  <c r="BL161" i="1" s="1"/>
  <c r="BI161" i="1"/>
  <c r="BK161" i="1" s="1"/>
  <c r="CV159" i="1"/>
  <c r="CX159" i="1" s="1"/>
  <c r="CZ159" i="1" s="1"/>
  <c r="CW159" i="1"/>
  <c r="CY159" i="1" s="1"/>
  <c r="AO162" i="1"/>
  <c r="AQ162" i="1" s="1"/>
  <c r="AN162" i="1"/>
  <c r="AP162" i="1" s="1"/>
  <c r="AR162" i="1" s="1"/>
  <c r="CC160" i="1"/>
  <c r="CE160" i="1" s="1"/>
  <c r="CB160" i="1"/>
  <c r="CD160" i="1" s="1"/>
  <c r="CF160" i="1" s="1"/>
  <c r="J163" i="1"/>
  <c r="L163" i="1" s="1"/>
  <c r="K163" i="1"/>
  <c r="M163" i="1" s="1"/>
  <c r="D164" i="1"/>
  <c r="T163" i="1"/>
  <c r="V163" i="1" s="1"/>
  <c r="X163" i="1" s="1"/>
  <c r="U163" i="1"/>
  <c r="W163" i="1" s="1"/>
  <c r="N163" i="1" l="1"/>
  <c r="P163" i="1" s="1"/>
  <c r="R163" i="1" s="1"/>
  <c r="DA159" i="1"/>
  <c r="DC159" i="1" s="1"/>
  <c r="DB159" i="1"/>
  <c r="DD159" i="1" s="1"/>
  <c r="BN161" i="1"/>
  <c r="BP161" i="1" s="1"/>
  <c r="BM161" i="1"/>
  <c r="BO161" i="1" s="1"/>
  <c r="BQ161" i="1" s="1"/>
  <c r="CG160" i="1"/>
  <c r="CI160" i="1" s="1"/>
  <c r="CK160" i="1" s="1"/>
  <c r="CH160" i="1"/>
  <c r="CJ160" i="1" s="1"/>
  <c r="AT162" i="1"/>
  <c r="AV162" i="1" s="1"/>
  <c r="AS162" i="1"/>
  <c r="AU162" i="1" s="1"/>
  <c r="AW162" i="1" s="1"/>
  <c r="O163" i="1"/>
  <c r="Z163" i="1"/>
  <c r="AB163" i="1" s="1"/>
  <c r="Y163" i="1"/>
  <c r="AA163" i="1" s="1"/>
  <c r="AC163" i="1" s="1"/>
  <c r="F164" i="1"/>
  <c r="H164" i="1" s="1"/>
  <c r="E164" i="1"/>
  <c r="CM160" i="1" l="1"/>
  <c r="CO160" i="1" s="1"/>
  <c r="CL160" i="1"/>
  <c r="CN160" i="1" s="1"/>
  <c r="CP160" i="1" s="1"/>
  <c r="AY162" i="1"/>
  <c r="BA162" i="1" s="1"/>
  <c r="AX162" i="1"/>
  <c r="AZ162" i="1" s="1"/>
  <c r="BB162" i="1" s="1"/>
  <c r="BR161" i="1"/>
  <c r="BT161" i="1" s="1"/>
  <c r="BV161" i="1" s="1"/>
  <c r="BS161" i="1"/>
  <c r="BU161" i="1" s="1"/>
  <c r="AE163" i="1"/>
  <c r="AG163" i="1" s="1"/>
  <c r="AD163" i="1"/>
  <c r="AF163" i="1" s="1"/>
  <c r="AH163" i="1" s="1"/>
  <c r="G164" i="1"/>
  <c r="I164" i="1" s="1"/>
  <c r="Q164" i="1"/>
  <c r="S164" i="1" s="1"/>
  <c r="BW161" i="1" l="1"/>
  <c r="BY161" i="1" s="1"/>
  <c r="CA161" i="1" s="1"/>
  <c r="BX161" i="1"/>
  <c r="BZ161" i="1" s="1"/>
  <c r="AJ163" i="1"/>
  <c r="AL163" i="1" s="1"/>
  <c r="AI163" i="1"/>
  <c r="AK163" i="1" s="1"/>
  <c r="AM163" i="1" s="1"/>
  <c r="BC162" i="1"/>
  <c r="BE162" i="1" s="1"/>
  <c r="BG162" i="1" s="1"/>
  <c r="BD162" i="1"/>
  <c r="BF162" i="1" s="1"/>
  <c r="CQ160" i="1"/>
  <c r="CS160" i="1" s="1"/>
  <c r="CU160" i="1" s="1"/>
  <c r="CR160" i="1"/>
  <c r="CT160" i="1" s="1"/>
  <c r="AN163" i="1" l="1"/>
  <c r="AP163" i="1" s="1"/>
  <c r="AR163" i="1" s="1"/>
  <c r="AO163" i="1"/>
  <c r="AQ163" i="1" s="1"/>
  <c r="CB161" i="1"/>
  <c r="CD161" i="1" s="1"/>
  <c r="CF161" i="1" s="1"/>
  <c r="CC161" i="1"/>
  <c r="CE161" i="1" s="1"/>
  <c r="CV160" i="1"/>
  <c r="CX160" i="1" s="1"/>
  <c r="CZ160" i="1" s="1"/>
  <c r="CW160" i="1"/>
  <c r="CY160" i="1" s="1"/>
  <c r="BH162" i="1"/>
  <c r="BJ162" i="1" s="1"/>
  <c r="BL162" i="1" s="1"/>
  <c r="BI162" i="1"/>
  <c r="BK162" i="1" s="1"/>
  <c r="J164" i="1"/>
  <c r="L164" i="1" s="1"/>
  <c r="N164" i="1" s="1"/>
  <c r="K164" i="1"/>
  <c r="M164" i="1" s="1"/>
  <c r="D165" i="1"/>
  <c r="U164" i="1"/>
  <c r="W164" i="1" s="1"/>
  <c r="T164" i="1"/>
  <c r="V164" i="1" s="1"/>
  <c r="X164" i="1" s="1"/>
  <c r="BN162" i="1" l="1"/>
  <c r="BP162" i="1" s="1"/>
  <c r="BM162" i="1"/>
  <c r="BO162" i="1" s="1"/>
  <c r="BQ162" i="1" s="1"/>
  <c r="DB160" i="1"/>
  <c r="DD160" i="1" s="1"/>
  <c r="DA160" i="1"/>
  <c r="DC160" i="1" s="1"/>
  <c r="CH161" i="1"/>
  <c r="CJ161" i="1" s="1"/>
  <c r="CG161" i="1"/>
  <c r="CI161" i="1" s="1"/>
  <c r="CK161" i="1" s="1"/>
  <c r="AT163" i="1"/>
  <c r="AV163" i="1" s="1"/>
  <c r="AS163" i="1"/>
  <c r="AU163" i="1" s="1"/>
  <c r="AW163" i="1" s="1"/>
  <c r="P164" i="1"/>
  <c r="R164" i="1" s="1"/>
  <c r="Z164" i="1"/>
  <c r="AB164" i="1" s="1"/>
  <c r="Y164" i="1"/>
  <c r="AA164" i="1" s="1"/>
  <c r="AC164" i="1" s="1"/>
  <c r="F165" i="1"/>
  <c r="H165" i="1" s="1"/>
  <c r="E165" i="1"/>
  <c r="AX163" i="1" l="1"/>
  <c r="AZ163" i="1" s="1"/>
  <c r="BB163" i="1" s="1"/>
  <c r="AY163" i="1"/>
  <c r="BA163" i="1" s="1"/>
  <c r="CM161" i="1"/>
  <c r="CO161" i="1" s="1"/>
  <c r="CL161" i="1"/>
  <c r="CN161" i="1" s="1"/>
  <c r="CP161" i="1" s="1"/>
  <c r="BR162" i="1"/>
  <c r="BT162" i="1" s="1"/>
  <c r="BV162" i="1" s="1"/>
  <c r="BS162" i="1"/>
  <c r="BU162" i="1" s="1"/>
  <c r="O164" i="1"/>
  <c r="AD164" i="1"/>
  <c r="AF164" i="1" s="1"/>
  <c r="AH164" i="1" s="1"/>
  <c r="AE164" i="1"/>
  <c r="AG164" i="1" s="1"/>
  <c r="Q165" i="1"/>
  <c r="S165" i="1" s="1"/>
  <c r="G165" i="1"/>
  <c r="I165" i="1" s="1"/>
  <c r="AI164" i="1" l="1"/>
  <c r="AK164" i="1" s="1"/>
  <c r="AM164" i="1" s="1"/>
  <c r="AJ164" i="1"/>
  <c r="AL164" i="1" s="1"/>
  <c r="BW162" i="1"/>
  <c r="BY162" i="1" s="1"/>
  <c r="CA162" i="1" s="1"/>
  <c r="BX162" i="1"/>
  <c r="BZ162" i="1" s="1"/>
  <c r="BD163" i="1"/>
  <c r="BF163" i="1" s="1"/>
  <c r="BC163" i="1"/>
  <c r="BE163" i="1" s="1"/>
  <c r="BG163" i="1" s="1"/>
  <c r="CQ161" i="1"/>
  <c r="CS161" i="1" s="1"/>
  <c r="CU161" i="1" s="1"/>
  <c r="CR161" i="1"/>
  <c r="CT161" i="1" s="1"/>
  <c r="BI163" i="1" l="1"/>
  <c r="BK163" i="1" s="1"/>
  <c r="BH163" i="1"/>
  <c r="BJ163" i="1" s="1"/>
  <c r="BL163" i="1" s="1"/>
  <c r="CW161" i="1"/>
  <c r="CY161" i="1" s="1"/>
  <c r="CV161" i="1"/>
  <c r="CX161" i="1" s="1"/>
  <c r="CC162" i="1"/>
  <c r="CE162" i="1" s="1"/>
  <c r="CB162" i="1"/>
  <c r="CD162" i="1" s="1"/>
  <c r="CF162" i="1" s="1"/>
  <c r="AO164" i="1"/>
  <c r="AQ164" i="1" s="1"/>
  <c r="AN164" i="1"/>
  <c r="AP164" i="1" s="1"/>
  <c r="AR164" i="1" s="1"/>
  <c r="J165" i="1"/>
  <c r="L165" i="1" s="1"/>
  <c r="N165" i="1" s="1"/>
  <c r="K165" i="1"/>
  <c r="M165" i="1" s="1"/>
  <c r="D166" i="1"/>
  <c r="U165" i="1"/>
  <c r="W165" i="1" s="1"/>
  <c r="T165" i="1"/>
  <c r="V165" i="1" s="1"/>
  <c r="X165" i="1" s="1"/>
  <c r="CZ161" i="1" l="1"/>
  <c r="AS164" i="1"/>
  <c r="AU164" i="1" s="1"/>
  <c r="AW164" i="1" s="1"/>
  <c r="AT164" i="1"/>
  <c r="AV164" i="1" s="1"/>
  <c r="CG162" i="1"/>
  <c r="CI162" i="1" s="1"/>
  <c r="CK162" i="1" s="1"/>
  <c r="CH162" i="1"/>
  <c r="CJ162" i="1" s="1"/>
  <c r="BM163" i="1"/>
  <c r="BO163" i="1" s="1"/>
  <c r="BQ163" i="1" s="1"/>
  <c r="BN163" i="1"/>
  <c r="BP163" i="1" s="1"/>
  <c r="P165" i="1"/>
  <c r="R165" i="1" s="1"/>
  <c r="Y165" i="1"/>
  <c r="AA165" i="1" s="1"/>
  <c r="AC165" i="1" s="1"/>
  <c r="Z165" i="1"/>
  <c r="AB165" i="1" s="1"/>
  <c r="E166" i="1"/>
  <c r="F166" i="1"/>
  <c r="H166" i="1" s="1"/>
  <c r="DB161" i="1" l="1"/>
  <c r="DD161" i="1" s="1"/>
  <c r="DA161" i="1"/>
  <c r="DC161" i="1" s="1"/>
  <c r="BS163" i="1"/>
  <c r="BU163" i="1" s="1"/>
  <c r="BR163" i="1"/>
  <c r="BT163" i="1" s="1"/>
  <c r="BV163" i="1" s="1"/>
  <c r="CM162" i="1"/>
  <c r="CO162" i="1" s="1"/>
  <c r="CL162" i="1"/>
  <c r="CN162" i="1" s="1"/>
  <c r="CP162" i="1" s="1"/>
  <c r="AX164" i="1"/>
  <c r="AZ164" i="1" s="1"/>
  <c r="BB164" i="1" s="1"/>
  <c r="AY164" i="1"/>
  <c r="BA164" i="1" s="1"/>
  <c r="O165" i="1"/>
  <c r="AD165" i="1"/>
  <c r="AF165" i="1" s="1"/>
  <c r="AH165" i="1" s="1"/>
  <c r="AE165" i="1"/>
  <c r="AG165" i="1" s="1"/>
  <c r="Q166" i="1"/>
  <c r="S166" i="1" s="1"/>
  <c r="G166" i="1"/>
  <c r="I166" i="1" s="1"/>
  <c r="CQ162" i="1" l="1"/>
  <c r="CS162" i="1" s="1"/>
  <c r="CU162" i="1" s="1"/>
  <c r="CR162" i="1"/>
  <c r="CT162" i="1" s="1"/>
  <c r="AJ165" i="1"/>
  <c r="AL165" i="1" s="1"/>
  <c r="AI165" i="1"/>
  <c r="AK165" i="1" s="1"/>
  <c r="AM165" i="1" s="1"/>
  <c r="BC164" i="1"/>
  <c r="BE164" i="1" s="1"/>
  <c r="BG164" i="1" s="1"/>
  <c r="BD164" i="1"/>
  <c r="BF164" i="1" s="1"/>
  <c r="BX163" i="1"/>
  <c r="BZ163" i="1" s="1"/>
  <c r="BW163" i="1"/>
  <c r="BY163" i="1" s="1"/>
  <c r="CA163" i="1" s="1"/>
  <c r="CB163" i="1" l="1"/>
  <c r="CD163" i="1" s="1"/>
  <c r="CF163" i="1" s="1"/>
  <c r="CC163" i="1"/>
  <c r="CE163" i="1" s="1"/>
  <c r="AO165" i="1"/>
  <c r="AQ165" i="1" s="1"/>
  <c r="AN165" i="1"/>
  <c r="AP165" i="1" s="1"/>
  <c r="AR165" i="1" s="1"/>
  <c r="CW162" i="1"/>
  <c r="CY162" i="1" s="1"/>
  <c r="CV162" i="1"/>
  <c r="CX162" i="1" s="1"/>
  <c r="BH164" i="1"/>
  <c r="BJ164" i="1" s="1"/>
  <c r="BL164" i="1" s="1"/>
  <c r="BI164" i="1"/>
  <c r="BK164" i="1" s="1"/>
  <c r="J166" i="1"/>
  <c r="L166" i="1" s="1"/>
  <c r="N166" i="1" s="1"/>
  <c r="K166" i="1"/>
  <c r="M166" i="1" s="1"/>
  <c r="D167" i="1"/>
  <c r="U166" i="1"/>
  <c r="W166" i="1" s="1"/>
  <c r="T166" i="1"/>
  <c r="V166" i="1" s="1"/>
  <c r="X166" i="1" s="1"/>
  <c r="CZ162" i="1" l="1"/>
  <c r="BN164" i="1"/>
  <c r="BP164" i="1" s="1"/>
  <c r="BM164" i="1"/>
  <c r="BO164" i="1" s="1"/>
  <c r="BQ164" i="1" s="1"/>
  <c r="AS165" i="1"/>
  <c r="AU165" i="1" s="1"/>
  <c r="AW165" i="1" s="1"/>
  <c r="AT165" i="1"/>
  <c r="AV165" i="1" s="1"/>
  <c r="CG163" i="1"/>
  <c r="CI163" i="1" s="1"/>
  <c r="CK163" i="1" s="1"/>
  <c r="CH163" i="1"/>
  <c r="CJ163" i="1" s="1"/>
  <c r="P166" i="1"/>
  <c r="R166" i="1" s="1"/>
  <c r="Y166" i="1"/>
  <c r="AA166" i="1" s="1"/>
  <c r="AC166" i="1" s="1"/>
  <c r="Z166" i="1"/>
  <c r="AB166" i="1" s="1"/>
  <c r="E167" i="1"/>
  <c r="F167" i="1"/>
  <c r="H167" i="1" s="1"/>
  <c r="DB162" i="1" l="1"/>
  <c r="DD162" i="1" s="1"/>
  <c r="DA162" i="1"/>
  <c r="DC162" i="1" s="1"/>
  <c r="CL163" i="1"/>
  <c r="CN163" i="1" s="1"/>
  <c r="CP163" i="1" s="1"/>
  <c r="CM163" i="1"/>
  <c r="CO163" i="1" s="1"/>
  <c r="AY165" i="1"/>
  <c r="BA165" i="1" s="1"/>
  <c r="AX165" i="1"/>
  <c r="AZ165" i="1" s="1"/>
  <c r="BB165" i="1" s="1"/>
  <c r="BR164" i="1"/>
  <c r="BT164" i="1" s="1"/>
  <c r="BV164" i="1" s="1"/>
  <c r="BS164" i="1"/>
  <c r="BU164" i="1" s="1"/>
  <c r="O166" i="1"/>
  <c r="AD166" i="1"/>
  <c r="AF166" i="1" s="1"/>
  <c r="AH166" i="1" s="1"/>
  <c r="AE166" i="1"/>
  <c r="AG166" i="1" s="1"/>
  <c r="G167" i="1"/>
  <c r="I167" i="1" s="1"/>
  <c r="Q167" i="1"/>
  <c r="S167" i="1" s="1"/>
  <c r="BX164" i="1" l="1"/>
  <c r="BZ164" i="1" s="1"/>
  <c r="BW164" i="1"/>
  <c r="BY164" i="1" s="1"/>
  <c r="CA164" i="1" s="1"/>
  <c r="CR163" i="1"/>
  <c r="CT163" i="1" s="1"/>
  <c r="CQ163" i="1"/>
  <c r="CS163" i="1" s="1"/>
  <c r="CU163" i="1" s="1"/>
  <c r="AJ166" i="1"/>
  <c r="AL166" i="1" s="1"/>
  <c r="AI166" i="1"/>
  <c r="AK166" i="1" s="1"/>
  <c r="AM166" i="1" s="1"/>
  <c r="BC165" i="1"/>
  <c r="BE165" i="1" s="1"/>
  <c r="BG165" i="1" s="1"/>
  <c r="BD165" i="1"/>
  <c r="BF165" i="1" s="1"/>
  <c r="AO166" i="1" l="1"/>
  <c r="AQ166" i="1" s="1"/>
  <c r="AN166" i="1"/>
  <c r="AP166" i="1" s="1"/>
  <c r="AR166" i="1" s="1"/>
  <c r="BI165" i="1"/>
  <c r="BK165" i="1" s="1"/>
  <c r="BH165" i="1"/>
  <c r="BJ165" i="1" s="1"/>
  <c r="BL165" i="1" s="1"/>
  <c r="CV163" i="1"/>
  <c r="CX163" i="1" s="1"/>
  <c r="CW163" i="1"/>
  <c r="CY163" i="1" s="1"/>
  <c r="CB164" i="1"/>
  <c r="CD164" i="1" s="1"/>
  <c r="CF164" i="1" s="1"/>
  <c r="CC164" i="1"/>
  <c r="CE164" i="1" s="1"/>
  <c r="J167" i="1"/>
  <c r="L167" i="1" s="1"/>
  <c r="N167" i="1" s="1"/>
  <c r="K167" i="1"/>
  <c r="M167" i="1" s="1"/>
  <c r="D168" i="1"/>
  <c r="U167" i="1"/>
  <c r="W167" i="1" s="1"/>
  <c r="T167" i="1"/>
  <c r="V167" i="1" s="1"/>
  <c r="X167" i="1" s="1"/>
  <c r="CZ163" i="1" l="1"/>
  <c r="DB163" i="1"/>
  <c r="DD163" i="1" s="1"/>
  <c r="DA163" i="1"/>
  <c r="DC163" i="1" s="1"/>
  <c r="CH164" i="1"/>
  <c r="CJ164" i="1" s="1"/>
  <c r="CG164" i="1"/>
  <c r="CI164" i="1" s="1"/>
  <c r="CK164" i="1" s="1"/>
  <c r="BM165" i="1"/>
  <c r="BO165" i="1" s="1"/>
  <c r="BQ165" i="1" s="1"/>
  <c r="BN165" i="1"/>
  <c r="BP165" i="1" s="1"/>
  <c r="AT166" i="1"/>
  <c r="AV166" i="1" s="1"/>
  <c r="AS166" i="1"/>
  <c r="AU166" i="1" s="1"/>
  <c r="AW166" i="1" s="1"/>
  <c r="P167" i="1"/>
  <c r="R167" i="1" s="1"/>
  <c r="Z167" i="1"/>
  <c r="AB167" i="1" s="1"/>
  <c r="Y167" i="1"/>
  <c r="AA167" i="1" s="1"/>
  <c r="AC167" i="1" s="1"/>
  <c r="F168" i="1"/>
  <c r="H168" i="1" s="1"/>
  <c r="E168" i="1"/>
  <c r="BS165" i="1" l="1"/>
  <c r="BU165" i="1" s="1"/>
  <c r="BR165" i="1"/>
  <c r="BT165" i="1" s="1"/>
  <c r="BV165" i="1" s="1"/>
  <c r="AY166" i="1"/>
  <c r="BA166" i="1" s="1"/>
  <c r="AX166" i="1"/>
  <c r="AZ166" i="1" s="1"/>
  <c r="BB166" i="1" s="1"/>
  <c r="CL164" i="1"/>
  <c r="CN164" i="1" s="1"/>
  <c r="CP164" i="1" s="1"/>
  <c r="CM164" i="1"/>
  <c r="CO164" i="1" s="1"/>
  <c r="O167" i="1"/>
  <c r="AE167" i="1"/>
  <c r="AG167" i="1" s="1"/>
  <c r="AD167" i="1"/>
  <c r="AF167" i="1" s="1"/>
  <c r="AH167" i="1" s="1"/>
  <c r="Q168" i="1"/>
  <c r="S168" i="1" s="1"/>
  <c r="G168" i="1"/>
  <c r="I168" i="1" s="1"/>
  <c r="AI167" i="1" l="1"/>
  <c r="AK167" i="1" s="1"/>
  <c r="AM167" i="1" s="1"/>
  <c r="AJ167" i="1"/>
  <c r="AL167" i="1" s="1"/>
  <c r="CR164" i="1"/>
  <c r="CT164" i="1" s="1"/>
  <c r="CQ164" i="1"/>
  <c r="CS164" i="1" s="1"/>
  <c r="CU164" i="1" s="1"/>
  <c r="BC166" i="1"/>
  <c r="BE166" i="1" s="1"/>
  <c r="BG166" i="1" s="1"/>
  <c r="BD166" i="1"/>
  <c r="BF166" i="1" s="1"/>
  <c r="BW165" i="1"/>
  <c r="BY165" i="1" s="1"/>
  <c r="CA165" i="1" s="1"/>
  <c r="BX165" i="1"/>
  <c r="BZ165" i="1" s="1"/>
  <c r="CW164" i="1" l="1"/>
  <c r="CY164" i="1" s="1"/>
  <c r="CV164" i="1"/>
  <c r="CX164" i="1" s="1"/>
  <c r="CB165" i="1"/>
  <c r="CD165" i="1" s="1"/>
  <c r="CF165" i="1" s="1"/>
  <c r="CC165" i="1"/>
  <c r="CE165" i="1" s="1"/>
  <c r="BH166" i="1"/>
  <c r="BJ166" i="1" s="1"/>
  <c r="BL166" i="1" s="1"/>
  <c r="BI166" i="1"/>
  <c r="BK166" i="1" s="1"/>
  <c r="AO167" i="1"/>
  <c r="AQ167" i="1" s="1"/>
  <c r="AN167" i="1"/>
  <c r="AP167" i="1" s="1"/>
  <c r="AR167" i="1" s="1"/>
  <c r="T168" i="1"/>
  <c r="V168" i="1" s="1"/>
  <c r="X168" i="1" s="1"/>
  <c r="U168" i="1"/>
  <c r="W168" i="1" s="1"/>
  <c r="J168" i="1"/>
  <c r="L168" i="1" s="1"/>
  <c r="N168" i="1" s="1"/>
  <c r="K168" i="1"/>
  <c r="M168" i="1" s="1"/>
  <c r="D169" i="1"/>
  <c r="CZ164" i="1" l="1"/>
  <c r="BN166" i="1"/>
  <c r="BP166" i="1" s="1"/>
  <c r="BM166" i="1"/>
  <c r="BO166" i="1" s="1"/>
  <c r="BQ166" i="1" s="1"/>
  <c r="CH165" i="1"/>
  <c r="CJ165" i="1" s="1"/>
  <c r="CG165" i="1"/>
  <c r="CI165" i="1" s="1"/>
  <c r="CK165" i="1" s="1"/>
  <c r="AS167" i="1"/>
  <c r="AU167" i="1" s="1"/>
  <c r="AW167" i="1" s="1"/>
  <c r="AT167" i="1"/>
  <c r="AV167" i="1" s="1"/>
  <c r="P168" i="1"/>
  <c r="R168" i="1" s="1"/>
  <c r="O168" i="1"/>
  <c r="Z168" i="1"/>
  <c r="AB168" i="1" s="1"/>
  <c r="Y168" i="1"/>
  <c r="AA168" i="1" s="1"/>
  <c r="AC168" i="1" s="1"/>
  <c r="F169" i="1"/>
  <c r="H169" i="1" s="1"/>
  <c r="E169" i="1"/>
  <c r="DA164" i="1" l="1"/>
  <c r="DC164" i="1" s="1"/>
  <c r="DB164" i="1"/>
  <c r="DD164" i="1" s="1"/>
  <c r="AX167" i="1"/>
  <c r="AZ167" i="1" s="1"/>
  <c r="BB167" i="1" s="1"/>
  <c r="AY167" i="1"/>
  <c r="BA167" i="1" s="1"/>
  <c r="CL165" i="1"/>
  <c r="CN165" i="1" s="1"/>
  <c r="CP165" i="1" s="1"/>
  <c r="CM165" i="1"/>
  <c r="CO165" i="1" s="1"/>
  <c r="BS166" i="1"/>
  <c r="BU166" i="1" s="1"/>
  <c r="BR166" i="1"/>
  <c r="BT166" i="1" s="1"/>
  <c r="BV166" i="1" s="1"/>
  <c r="AD168" i="1"/>
  <c r="AF168" i="1" s="1"/>
  <c r="AH168" i="1" s="1"/>
  <c r="AE168" i="1"/>
  <c r="AG168" i="1" s="1"/>
  <c r="Q169" i="1"/>
  <c r="S169" i="1" s="1"/>
  <c r="G169" i="1"/>
  <c r="I169" i="1" s="1"/>
  <c r="AI168" i="1" l="1"/>
  <c r="AK168" i="1" s="1"/>
  <c r="AM168" i="1" s="1"/>
  <c r="AJ168" i="1"/>
  <c r="AL168" i="1" s="1"/>
  <c r="CR165" i="1"/>
  <c r="CT165" i="1" s="1"/>
  <c r="CQ165" i="1"/>
  <c r="CS165" i="1" s="1"/>
  <c r="CU165" i="1" s="1"/>
  <c r="BC167" i="1"/>
  <c r="BE167" i="1" s="1"/>
  <c r="BG167" i="1" s="1"/>
  <c r="BD167" i="1"/>
  <c r="BF167" i="1" s="1"/>
  <c r="BW166" i="1"/>
  <c r="BY166" i="1" s="1"/>
  <c r="CA166" i="1" s="1"/>
  <c r="BX166" i="1"/>
  <c r="BZ166" i="1" s="1"/>
  <c r="CW165" i="1" l="1"/>
  <c r="CY165" i="1" s="1"/>
  <c r="CV165" i="1"/>
  <c r="CX165" i="1" s="1"/>
  <c r="CB166" i="1"/>
  <c r="CD166" i="1" s="1"/>
  <c r="CF166" i="1" s="1"/>
  <c r="CC166" i="1"/>
  <c r="CE166" i="1" s="1"/>
  <c r="BI167" i="1"/>
  <c r="BK167" i="1" s="1"/>
  <c r="BH167" i="1"/>
  <c r="BJ167" i="1" s="1"/>
  <c r="BL167" i="1" s="1"/>
  <c r="AO168" i="1"/>
  <c r="AQ168" i="1" s="1"/>
  <c r="AN168" i="1"/>
  <c r="AP168" i="1" s="1"/>
  <c r="AR168" i="1" s="1"/>
  <c r="J169" i="1"/>
  <c r="L169" i="1" s="1"/>
  <c r="N169" i="1" s="1"/>
  <c r="K169" i="1"/>
  <c r="M169" i="1" s="1"/>
  <c r="D170" i="1"/>
  <c r="T169" i="1"/>
  <c r="V169" i="1" s="1"/>
  <c r="X169" i="1" s="1"/>
  <c r="U169" i="1"/>
  <c r="W169" i="1" s="1"/>
  <c r="CZ165" i="1" l="1"/>
  <c r="CG166" i="1"/>
  <c r="CI166" i="1" s="1"/>
  <c r="CK166" i="1" s="1"/>
  <c r="CH166" i="1"/>
  <c r="CJ166" i="1" s="1"/>
  <c r="AS168" i="1"/>
  <c r="AU168" i="1" s="1"/>
  <c r="AW168" i="1" s="1"/>
  <c r="AT168" i="1"/>
  <c r="AV168" i="1" s="1"/>
  <c r="BN167" i="1"/>
  <c r="BP167" i="1" s="1"/>
  <c r="BM167" i="1"/>
  <c r="BO167" i="1" s="1"/>
  <c r="BQ167" i="1" s="1"/>
  <c r="P169" i="1"/>
  <c r="R169" i="1" s="1"/>
  <c r="Z169" i="1"/>
  <c r="AB169" i="1" s="1"/>
  <c r="Y169" i="1"/>
  <c r="AA169" i="1" s="1"/>
  <c r="AC169" i="1" s="1"/>
  <c r="E170" i="1"/>
  <c r="F170" i="1"/>
  <c r="H170" i="1" s="1"/>
  <c r="AX168" i="1" l="1"/>
  <c r="AZ168" i="1" s="1"/>
  <c r="BB168" i="1" s="1"/>
  <c r="AY168" i="1"/>
  <c r="BA168" i="1" s="1"/>
  <c r="CM166" i="1"/>
  <c r="CO166" i="1" s="1"/>
  <c r="CL166" i="1"/>
  <c r="CN166" i="1" s="1"/>
  <c r="CP166" i="1" s="1"/>
  <c r="DB165" i="1"/>
  <c r="DD165" i="1" s="1"/>
  <c r="DA165" i="1"/>
  <c r="DC165" i="1" s="1"/>
  <c r="BS167" i="1"/>
  <c r="BU167" i="1" s="1"/>
  <c r="BR167" i="1"/>
  <c r="BT167" i="1" s="1"/>
  <c r="BV167" i="1" s="1"/>
  <c r="O169" i="1"/>
  <c r="AD169" i="1"/>
  <c r="AF169" i="1" s="1"/>
  <c r="AH169" i="1" s="1"/>
  <c r="AE169" i="1"/>
  <c r="AG169" i="1" s="1"/>
  <c r="G170" i="1"/>
  <c r="I170" i="1" s="1"/>
  <c r="Q170" i="1"/>
  <c r="S170" i="1" s="1"/>
  <c r="BD168" i="1" l="1"/>
  <c r="BF168" i="1" s="1"/>
  <c r="BC168" i="1"/>
  <c r="BE168" i="1" s="1"/>
  <c r="BG168" i="1" s="1"/>
  <c r="AI169" i="1"/>
  <c r="AK169" i="1" s="1"/>
  <c r="AM169" i="1" s="1"/>
  <c r="AJ169" i="1"/>
  <c r="AL169" i="1" s="1"/>
  <c r="BX167" i="1"/>
  <c r="BZ167" i="1" s="1"/>
  <c r="BW167" i="1"/>
  <c r="BY167" i="1" s="1"/>
  <c r="CA167" i="1" s="1"/>
  <c r="CR166" i="1"/>
  <c r="CT166" i="1" s="1"/>
  <c r="CQ166" i="1"/>
  <c r="CS166" i="1" s="1"/>
  <c r="CU166" i="1" s="1"/>
  <c r="CV166" i="1" l="1"/>
  <c r="CX166" i="1" s="1"/>
  <c r="CW166" i="1"/>
  <c r="CY166" i="1" s="1"/>
  <c r="CB167" i="1"/>
  <c r="CD167" i="1" s="1"/>
  <c r="CF167" i="1" s="1"/>
  <c r="CC167" i="1"/>
  <c r="CE167" i="1" s="1"/>
  <c r="AN169" i="1"/>
  <c r="AP169" i="1" s="1"/>
  <c r="AR169" i="1" s="1"/>
  <c r="AO169" i="1"/>
  <c r="AQ169" i="1" s="1"/>
  <c r="BH168" i="1"/>
  <c r="BJ168" i="1" s="1"/>
  <c r="BL168" i="1" s="1"/>
  <c r="BI168" i="1"/>
  <c r="BK168" i="1" s="1"/>
  <c r="J170" i="1"/>
  <c r="L170" i="1" s="1"/>
  <c r="K170" i="1"/>
  <c r="M170" i="1" s="1"/>
  <c r="D171" i="1"/>
  <c r="T170" i="1"/>
  <c r="V170" i="1" s="1"/>
  <c r="X170" i="1" s="1"/>
  <c r="U170" i="1"/>
  <c r="W170" i="1" s="1"/>
  <c r="CZ166" i="1" l="1"/>
  <c r="N170" i="1"/>
  <c r="P170" i="1" s="1"/>
  <c r="R170" i="1" s="1"/>
  <c r="BM168" i="1"/>
  <c r="BO168" i="1" s="1"/>
  <c r="BQ168" i="1" s="1"/>
  <c r="BN168" i="1"/>
  <c r="BP168" i="1" s="1"/>
  <c r="AT169" i="1"/>
  <c r="AV169" i="1" s="1"/>
  <c r="AS169" i="1"/>
  <c r="AU169" i="1" s="1"/>
  <c r="AW169" i="1" s="1"/>
  <c r="CG167" i="1"/>
  <c r="CI167" i="1" s="1"/>
  <c r="CK167" i="1" s="1"/>
  <c r="CH167" i="1"/>
  <c r="CJ167" i="1" s="1"/>
  <c r="DB166" i="1"/>
  <c r="DD166" i="1" s="1"/>
  <c r="DA166" i="1"/>
  <c r="DC166" i="1" s="1"/>
  <c r="F171" i="1"/>
  <c r="H171" i="1" s="1"/>
  <c r="E171" i="1"/>
  <c r="Z170" i="1"/>
  <c r="AB170" i="1" s="1"/>
  <c r="Y170" i="1"/>
  <c r="AA170" i="1" s="1"/>
  <c r="AC170" i="1" s="1"/>
  <c r="O170" i="1" l="1"/>
  <c r="CL167" i="1"/>
  <c r="CN167" i="1" s="1"/>
  <c r="CP167" i="1" s="1"/>
  <c r="CM167" i="1"/>
  <c r="CO167" i="1" s="1"/>
  <c r="BS168" i="1"/>
  <c r="BU168" i="1" s="1"/>
  <c r="BR168" i="1"/>
  <c r="BT168" i="1" s="1"/>
  <c r="BV168" i="1" s="1"/>
  <c r="AX169" i="1"/>
  <c r="AZ169" i="1" s="1"/>
  <c r="BB169" i="1" s="1"/>
  <c r="AY169" i="1"/>
  <c r="BA169" i="1" s="1"/>
  <c r="AD170" i="1"/>
  <c r="AF170" i="1" s="1"/>
  <c r="AH170" i="1" s="1"/>
  <c r="AE170" i="1"/>
  <c r="AG170" i="1" s="1"/>
  <c r="G171" i="1"/>
  <c r="I171" i="1" s="1"/>
  <c r="Q171" i="1"/>
  <c r="S171" i="1" s="1"/>
  <c r="BD169" i="1" l="1"/>
  <c r="BF169" i="1" s="1"/>
  <c r="BC169" i="1"/>
  <c r="BE169" i="1" s="1"/>
  <c r="BG169" i="1" s="1"/>
  <c r="CQ167" i="1"/>
  <c r="CS167" i="1" s="1"/>
  <c r="CU167" i="1" s="1"/>
  <c r="CR167" i="1"/>
  <c r="CT167" i="1" s="1"/>
  <c r="AI170" i="1"/>
  <c r="AK170" i="1" s="1"/>
  <c r="AM170" i="1" s="1"/>
  <c r="AJ170" i="1"/>
  <c r="AL170" i="1" s="1"/>
  <c r="BX168" i="1"/>
  <c r="BZ168" i="1" s="1"/>
  <c r="BW168" i="1"/>
  <c r="BY168" i="1" s="1"/>
  <c r="CA168" i="1" s="1"/>
  <c r="CB168" i="1" l="1"/>
  <c r="CD168" i="1" s="1"/>
  <c r="CF168" i="1" s="1"/>
  <c r="CC168" i="1"/>
  <c r="CE168" i="1" s="1"/>
  <c r="CW167" i="1"/>
  <c r="CY167" i="1" s="1"/>
  <c r="CV167" i="1"/>
  <c r="CX167" i="1" s="1"/>
  <c r="AO170" i="1"/>
  <c r="AQ170" i="1" s="1"/>
  <c r="AN170" i="1"/>
  <c r="AP170" i="1" s="1"/>
  <c r="AR170" i="1" s="1"/>
  <c r="BH169" i="1"/>
  <c r="BJ169" i="1" s="1"/>
  <c r="BL169" i="1" s="1"/>
  <c r="BI169" i="1"/>
  <c r="BK169" i="1" s="1"/>
  <c r="T171" i="1"/>
  <c r="V171" i="1" s="1"/>
  <c r="X171" i="1" s="1"/>
  <c r="U171" i="1"/>
  <c r="W171" i="1" s="1"/>
  <c r="J171" i="1"/>
  <c r="L171" i="1" s="1"/>
  <c r="N171" i="1" s="1"/>
  <c r="K171" i="1"/>
  <c r="M171" i="1" s="1"/>
  <c r="D172" i="1"/>
  <c r="CZ167" i="1" l="1"/>
  <c r="BM169" i="1"/>
  <c r="BO169" i="1" s="1"/>
  <c r="BQ169" i="1" s="1"/>
  <c r="BN169" i="1"/>
  <c r="BP169" i="1" s="1"/>
  <c r="CG168" i="1"/>
  <c r="CI168" i="1" s="1"/>
  <c r="CK168" i="1" s="1"/>
  <c r="CH168" i="1"/>
  <c r="CJ168" i="1" s="1"/>
  <c r="AT170" i="1"/>
  <c r="AV170" i="1" s="1"/>
  <c r="AS170" i="1"/>
  <c r="AU170" i="1" s="1"/>
  <c r="AW170" i="1" s="1"/>
  <c r="P171" i="1"/>
  <c r="R171" i="1" s="1"/>
  <c r="O171" i="1"/>
  <c r="Z171" i="1"/>
  <c r="AB171" i="1" s="1"/>
  <c r="Y171" i="1"/>
  <c r="AA171" i="1" s="1"/>
  <c r="AC171" i="1" s="1"/>
  <c r="F172" i="1"/>
  <c r="H172" i="1" s="1"/>
  <c r="E172" i="1"/>
  <c r="DA167" i="1" l="1"/>
  <c r="DC167" i="1" s="1"/>
  <c r="DB167" i="1"/>
  <c r="DD167" i="1" s="1"/>
  <c r="CL168" i="1"/>
  <c r="CN168" i="1" s="1"/>
  <c r="CP168" i="1" s="1"/>
  <c r="CM168" i="1"/>
  <c r="CO168" i="1" s="1"/>
  <c r="BR169" i="1"/>
  <c r="BT169" i="1" s="1"/>
  <c r="BV169" i="1" s="1"/>
  <c r="BS169" i="1"/>
  <c r="BU169" i="1" s="1"/>
  <c r="AY170" i="1"/>
  <c r="BA170" i="1" s="1"/>
  <c r="AX170" i="1"/>
  <c r="AZ170" i="1" s="1"/>
  <c r="BB170" i="1" s="1"/>
  <c r="AD171" i="1"/>
  <c r="AF171" i="1" s="1"/>
  <c r="AH171" i="1" s="1"/>
  <c r="AE171" i="1"/>
  <c r="AG171" i="1" s="1"/>
  <c r="G172" i="1"/>
  <c r="I172" i="1" s="1"/>
  <c r="Q172" i="1"/>
  <c r="S172" i="1" s="1"/>
  <c r="AJ171" i="1" l="1"/>
  <c r="AL171" i="1" s="1"/>
  <c r="AI171" i="1"/>
  <c r="AK171" i="1" s="1"/>
  <c r="AM171" i="1" s="1"/>
  <c r="BC170" i="1"/>
  <c r="BE170" i="1" s="1"/>
  <c r="BG170" i="1" s="1"/>
  <c r="BD170" i="1"/>
  <c r="BF170" i="1" s="1"/>
  <c r="BW169" i="1"/>
  <c r="BY169" i="1" s="1"/>
  <c r="CA169" i="1" s="1"/>
  <c r="BX169" i="1"/>
  <c r="BZ169" i="1" s="1"/>
  <c r="CQ168" i="1"/>
  <c r="CS168" i="1" s="1"/>
  <c r="CU168" i="1" s="1"/>
  <c r="CR168" i="1"/>
  <c r="CT168" i="1" s="1"/>
  <c r="AN171" i="1" l="1"/>
  <c r="AP171" i="1" s="1"/>
  <c r="AR171" i="1" s="1"/>
  <c r="AO171" i="1"/>
  <c r="AQ171" i="1" s="1"/>
  <c r="CW168" i="1"/>
  <c r="CY168" i="1" s="1"/>
  <c r="CV168" i="1"/>
  <c r="CX168" i="1" s="1"/>
  <c r="CB169" i="1"/>
  <c r="CD169" i="1" s="1"/>
  <c r="CF169" i="1" s="1"/>
  <c r="CC169" i="1"/>
  <c r="CE169" i="1" s="1"/>
  <c r="BH170" i="1"/>
  <c r="BJ170" i="1" s="1"/>
  <c r="BL170" i="1" s="1"/>
  <c r="BI170" i="1"/>
  <c r="BK170" i="1" s="1"/>
  <c r="J172" i="1"/>
  <c r="L172" i="1" s="1"/>
  <c r="N172" i="1" s="1"/>
  <c r="K172" i="1"/>
  <c r="M172" i="1" s="1"/>
  <c r="D173" i="1"/>
  <c r="T172" i="1"/>
  <c r="V172" i="1" s="1"/>
  <c r="X172" i="1" s="1"/>
  <c r="U172" i="1"/>
  <c r="W172" i="1" s="1"/>
  <c r="CZ168" i="1" l="1"/>
  <c r="BM170" i="1"/>
  <c r="BO170" i="1" s="1"/>
  <c r="BQ170" i="1" s="1"/>
  <c r="BN170" i="1"/>
  <c r="BP170" i="1" s="1"/>
  <c r="CG169" i="1"/>
  <c r="CI169" i="1" s="1"/>
  <c r="CK169" i="1" s="1"/>
  <c r="CH169" i="1"/>
  <c r="CJ169" i="1" s="1"/>
  <c r="AS171" i="1"/>
  <c r="AU171" i="1" s="1"/>
  <c r="AW171" i="1" s="1"/>
  <c r="AT171" i="1"/>
  <c r="AV171" i="1" s="1"/>
  <c r="P172" i="1"/>
  <c r="R172" i="1" s="1"/>
  <c r="E173" i="1"/>
  <c r="F173" i="1"/>
  <c r="H173" i="1" s="1"/>
  <c r="Y172" i="1"/>
  <c r="AA172" i="1" s="1"/>
  <c r="AC172" i="1" s="1"/>
  <c r="Z172" i="1"/>
  <c r="AB172" i="1" s="1"/>
  <c r="DB168" i="1" l="1"/>
  <c r="DD168" i="1" s="1"/>
  <c r="DA168" i="1"/>
  <c r="DC168" i="1" s="1"/>
  <c r="AX171" i="1"/>
  <c r="AZ171" i="1" s="1"/>
  <c r="BB171" i="1" s="1"/>
  <c r="AY171" i="1"/>
  <c r="BA171" i="1" s="1"/>
  <c r="CL169" i="1"/>
  <c r="CN169" i="1" s="1"/>
  <c r="CP169" i="1" s="1"/>
  <c r="CM169" i="1"/>
  <c r="CO169" i="1" s="1"/>
  <c r="BR170" i="1"/>
  <c r="BT170" i="1" s="1"/>
  <c r="BV170" i="1" s="1"/>
  <c r="BS170" i="1"/>
  <c r="BU170" i="1" s="1"/>
  <c r="O172" i="1"/>
  <c r="AD172" i="1"/>
  <c r="AF172" i="1" s="1"/>
  <c r="AH172" i="1" s="1"/>
  <c r="AE172" i="1"/>
  <c r="AG172" i="1" s="1"/>
  <c r="Q173" i="1"/>
  <c r="S173" i="1" s="1"/>
  <c r="G173" i="1"/>
  <c r="I173" i="1" s="1"/>
  <c r="BX170" i="1" l="1"/>
  <c r="BZ170" i="1" s="1"/>
  <c r="BW170" i="1"/>
  <c r="BY170" i="1" s="1"/>
  <c r="CA170" i="1" s="1"/>
  <c r="CR169" i="1"/>
  <c r="CT169" i="1" s="1"/>
  <c r="CQ169" i="1"/>
  <c r="CS169" i="1" s="1"/>
  <c r="CU169" i="1" s="1"/>
  <c r="BC171" i="1"/>
  <c r="BE171" i="1" s="1"/>
  <c r="BG171" i="1" s="1"/>
  <c r="BD171" i="1"/>
  <c r="BF171" i="1" s="1"/>
  <c r="AJ172" i="1"/>
  <c r="AL172" i="1" s="1"/>
  <c r="AI172" i="1"/>
  <c r="AK172" i="1" s="1"/>
  <c r="AM172" i="1" s="1"/>
  <c r="AO172" i="1" l="1"/>
  <c r="AQ172" i="1" s="1"/>
  <c r="AN172" i="1"/>
  <c r="AP172" i="1" s="1"/>
  <c r="AR172" i="1" s="1"/>
  <c r="BI171" i="1"/>
  <c r="BK171" i="1" s="1"/>
  <c r="BH171" i="1"/>
  <c r="BJ171" i="1" s="1"/>
  <c r="BL171" i="1" s="1"/>
  <c r="CW169" i="1"/>
  <c r="CY169" i="1" s="1"/>
  <c r="CV169" i="1"/>
  <c r="CX169" i="1" s="1"/>
  <c r="CB170" i="1"/>
  <c r="CD170" i="1" s="1"/>
  <c r="CF170" i="1" s="1"/>
  <c r="CC170" i="1"/>
  <c r="CE170" i="1" s="1"/>
  <c r="J173" i="1"/>
  <c r="L173" i="1" s="1"/>
  <c r="K173" i="1"/>
  <c r="M173" i="1" s="1"/>
  <c r="D174" i="1"/>
  <c r="T173" i="1"/>
  <c r="V173" i="1" s="1"/>
  <c r="X173" i="1" s="1"/>
  <c r="U173" i="1"/>
  <c r="W173" i="1" s="1"/>
  <c r="CZ169" i="1" l="1"/>
  <c r="N173" i="1"/>
  <c r="P173" i="1" s="1"/>
  <c r="R173" i="1" s="1"/>
  <c r="CH170" i="1"/>
  <c r="CJ170" i="1" s="1"/>
  <c r="CG170" i="1"/>
  <c r="CI170" i="1" s="1"/>
  <c r="CK170" i="1" s="1"/>
  <c r="BN171" i="1"/>
  <c r="BP171" i="1" s="1"/>
  <c r="BM171" i="1"/>
  <c r="BO171" i="1" s="1"/>
  <c r="BQ171" i="1" s="1"/>
  <c r="AT172" i="1"/>
  <c r="AV172" i="1" s="1"/>
  <c r="AS172" i="1"/>
  <c r="AU172" i="1" s="1"/>
  <c r="AW172" i="1" s="1"/>
  <c r="Z173" i="1"/>
  <c r="AB173" i="1" s="1"/>
  <c r="Y173" i="1"/>
  <c r="AA173" i="1" s="1"/>
  <c r="AC173" i="1" s="1"/>
  <c r="E174" i="1"/>
  <c r="F174" i="1"/>
  <c r="H174" i="1" s="1"/>
  <c r="O173" i="1" l="1"/>
  <c r="DB169" i="1"/>
  <c r="DD169" i="1" s="1"/>
  <c r="DA169" i="1"/>
  <c r="DC169" i="1" s="1"/>
  <c r="AX172" i="1"/>
  <c r="AZ172" i="1" s="1"/>
  <c r="BB172" i="1" s="1"/>
  <c r="AY172" i="1"/>
  <c r="BA172" i="1" s="1"/>
  <c r="BR171" i="1"/>
  <c r="BT171" i="1" s="1"/>
  <c r="BV171" i="1" s="1"/>
  <c r="BS171" i="1"/>
  <c r="BU171" i="1" s="1"/>
  <c r="CM170" i="1"/>
  <c r="CO170" i="1" s="1"/>
  <c r="CL170" i="1"/>
  <c r="CN170" i="1" s="1"/>
  <c r="CP170" i="1" s="1"/>
  <c r="AD173" i="1"/>
  <c r="AF173" i="1" s="1"/>
  <c r="AH173" i="1" s="1"/>
  <c r="AE173" i="1"/>
  <c r="AG173" i="1" s="1"/>
  <c r="G174" i="1"/>
  <c r="I174" i="1" s="1"/>
  <c r="Q174" i="1"/>
  <c r="S174" i="1" s="1"/>
  <c r="AI173" i="1" l="1"/>
  <c r="AK173" i="1" s="1"/>
  <c r="AM173" i="1" s="1"/>
  <c r="AJ173" i="1"/>
  <c r="AL173" i="1" s="1"/>
  <c r="BW171" i="1"/>
  <c r="BY171" i="1" s="1"/>
  <c r="CA171" i="1" s="1"/>
  <c r="BX171" i="1"/>
  <c r="BZ171" i="1" s="1"/>
  <c r="BC172" i="1"/>
  <c r="BE172" i="1" s="1"/>
  <c r="BG172" i="1" s="1"/>
  <c r="BD172" i="1"/>
  <c r="BF172" i="1" s="1"/>
  <c r="CQ170" i="1"/>
  <c r="CS170" i="1" s="1"/>
  <c r="CU170" i="1" s="1"/>
  <c r="CR170" i="1"/>
  <c r="CT170" i="1" s="1"/>
  <c r="CV170" i="1" l="1"/>
  <c r="CX170" i="1" s="1"/>
  <c r="CZ170" i="1" s="1"/>
  <c r="CW170" i="1"/>
  <c r="CY170" i="1" s="1"/>
  <c r="BH172" i="1"/>
  <c r="BJ172" i="1" s="1"/>
  <c r="BL172" i="1" s="1"/>
  <c r="BI172" i="1"/>
  <c r="BK172" i="1" s="1"/>
  <c r="CB171" i="1"/>
  <c r="CD171" i="1" s="1"/>
  <c r="CF171" i="1" s="1"/>
  <c r="CC171" i="1"/>
  <c r="CE171" i="1" s="1"/>
  <c r="AN173" i="1"/>
  <c r="AP173" i="1" s="1"/>
  <c r="AR173" i="1" s="1"/>
  <c r="AO173" i="1"/>
  <c r="AQ173" i="1" s="1"/>
  <c r="T174" i="1"/>
  <c r="V174" i="1" s="1"/>
  <c r="X174" i="1" s="1"/>
  <c r="U174" i="1"/>
  <c r="W174" i="1" s="1"/>
  <c r="J174" i="1"/>
  <c r="L174" i="1" s="1"/>
  <c r="N174" i="1" s="1"/>
  <c r="K174" i="1"/>
  <c r="M174" i="1" s="1"/>
  <c r="D175" i="1"/>
  <c r="AT173" i="1" l="1"/>
  <c r="AV173" i="1" s="1"/>
  <c r="AS173" i="1"/>
  <c r="AU173" i="1" s="1"/>
  <c r="AW173" i="1" s="1"/>
  <c r="CG171" i="1"/>
  <c r="CI171" i="1" s="1"/>
  <c r="CK171" i="1" s="1"/>
  <c r="CH171" i="1"/>
  <c r="CJ171" i="1" s="1"/>
  <c r="BN172" i="1"/>
  <c r="BP172" i="1" s="1"/>
  <c r="BM172" i="1"/>
  <c r="BO172" i="1" s="1"/>
  <c r="BQ172" i="1" s="1"/>
  <c r="P174" i="1"/>
  <c r="R174" i="1" s="1"/>
  <c r="F175" i="1"/>
  <c r="H175" i="1" s="1"/>
  <c r="E175" i="1"/>
  <c r="Z174" i="1"/>
  <c r="AB174" i="1" s="1"/>
  <c r="Y174" i="1"/>
  <c r="AA174" i="1" s="1"/>
  <c r="AC174" i="1" s="1"/>
  <c r="DA170" i="1" l="1"/>
  <c r="DC170" i="1" s="1"/>
  <c r="DB170" i="1"/>
  <c r="DD170" i="1" s="1"/>
  <c r="CM171" i="1"/>
  <c r="CO171" i="1" s="1"/>
  <c r="CL171" i="1"/>
  <c r="CN171" i="1" s="1"/>
  <c r="CP171" i="1" s="1"/>
  <c r="BR172" i="1"/>
  <c r="BT172" i="1" s="1"/>
  <c r="BV172" i="1" s="1"/>
  <c r="BS172" i="1"/>
  <c r="BU172" i="1" s="1"/>
  <c r="AY173" i="1"/>
  <c r="BA173" i="1" s="1"/>
  <c r="AX173" i="1"/>
  <c r="AZ173" i="1" s="1"/>
  <c r="BB173" i="1" s="1"/>
  <c r="O174" i="1"/>
  <c r="AD174" i="1"/>
  <c r="AF174" i="1" s="1"/>
  <c r="AH174" i="1" s="1"/>
  <c r="AE174" i="1"/>
  <c r="AG174" i="1" s="1"/>
  <c r="Q175" i="1"/>
  <c r="S175" i="1" s="1"/>
  <c r="G175" i="1"/>
  <c r="I175" i="1" s="1"/>
  <c r="AJ174" i="1" l="1"/>
  <c r="AL174" i="1" s="1"/>
  <c r="AI174" i="1"/>
  <c r="AK174" i="1" s="1"/>
  <c r="AM174" i="1" s="1"/>
  <c r="BX172" i="1"/>
  <c r="BZ172" i="1" s="1"/>
  <c r="BW172" i="1"/>
  <c r="BY172" i="1" s="1"/>
  <c r="CA172" i="1" s="1"/>
  <c r="BC173" i="1"/>
  <c r="BE173" i="1" s="1"/>
  <c r="BG173" i="1" s="1"/>
  <c r="BD173" i="1"/>
  <c r="BF173" i="1" s="1"/>
  <c r="CR171" i="1"/>
  <c r="CT171" i="1" s="1"/>
  <c r="CQ171" i="1"/>
  <c r="CS171" i="1" s="1"/>
  <c r="CU171" i="1" s="1"/>
  <c r="CW171" i="1" l="1"/>
  <c r="CY171" i="1" s="1"/>
  <c r="CV171" i="1"/>
  <c r="CX171" i="1" s="1"/>
  <c r="CB172" i="1"/>
  <c r="CD172" i="1" s="1"/>
  <c r="CF172" i="1" s="1"/>
  <c r="CC172" i="1"/>
  <c r="CE172" i="1" s="1"/>
  <c r="AN174" i="1"/>
  <c r="AP174" i="1" s="1"/>
  <c r="AR174" i="1" s="1"/>
  <c r="AO174" i="1"/>
  <c r="AQ174" i="1" s="1"/>
  <c r="BI173" i="1"/>
  <c r="BK173" i="1" s="1"/>
  <c r="BH173" i="1"/>
  <c r="BJ173" i="1" s="1"/>
  <c r="BL173" i="1" s="1"/>
  <c r="T175" i="1"/>
  <c r="V175" i="1" s="1"/>
  <c r="X175" i="1" s="1"/>
  <c r="U175" i="1"/>
  <c r="W175" i="1" s="1"/>
  <c r="J175" i="1"/>
  <c r="L175" i="1" s="1"/>
  <c r="N175" i="1" s="1"/>
  <c r="K175" i="1"/>
  <c r="M175" i="1" s="1"/>
  <c r="D176" i="1"/>
  <c r="CZ171" i="1" l="1"/>
  <c r="AT174" i="1"/>
  <c r="AV174" i="1" s="1"/>
  <c r="AS174" i="1"/>
  <c r="AU174" i="1" s="1"/>
  <c r="AW174" i="1" s="1"/>
  <c r="CH172" i="1"/>
  <c r="CJ172" i="1" s="1"/>
  <c r="CG172" i="1"/>
  <c r="CI172" i="1" s="1"/>
  <c r="CK172" i="1" s="1"/>
  <c r="BN173" i="1"/>
  <c r="BP173" i="1" s="1"/>
  <c r="BM173" i="1"/>
  <c r="BO173" i="1" s="1"/>
  <c r="BQ173" i="1" s="1"/>
  <c r="P175" i="1"/>
  <c r="R175" i="1" s="1"/>
  <c r="E176" i="1"/>
  <c r="F176" i="1"/>
  <c r="H176" i="1" s="1"/>
  <c r="Z175" i="1"/>
  <c r="AB175" i="1" s="1"/>
  <c r="Y175" i="1"/>
  <c r="AA175" i="1" s="1"/>
  <c r="AC175" i="1" s="1"/>
  <c r="DB171" i="1" l="1"/>
  <c r="DD171" i="1" s="1"/>
  <c r="DA171" i="1"/>
  <c r="DC171" i="1" s="1"/>
  <c r="BR173" i="1"/>
  <c r="BT173" i="1" s="1"/>
  <c r="BV173" i="1" s="1"/>
  <c r="BS173" i="1"/>
  <c r="BU173" i="1" s="1"/>
  <c r="CL172" i="1"/>
  <c r="CN172" i="1" s="1"/>
  <c r="CP172" i="1" s="1"/>
  <c r="CM172" i="1"/>
  <c r="CO172" i="1" s="1"/>
  <c r="AY174" i="1"/>
  <c r="BA174" i="1" s="1"/>
  <c r="AX174" i="1"/>
  <c r="AZ174" i="1" s="1"/>
  <c r="BB174" i="1" s="1"/>
  <c r="O175" i="1"/>
  <c r="AE175" i="1"/>
  <c r="AG175" i="1" s="1"/>
  <c r="AD175" i="1"/>
  <c r="AF175" i="1" s="1"/>
  <c r="AH175" i="1" s="1"/>
  <c r="G176" i="1"/>
  <c r="I176" i="1" s="1"/>
  <c r="Q176" i="1"/>
  <c r="S176" i="1" s="1"/>
  <c r="AI175" i="1" l="1"/>
  <c r="AK175" i="1" s="1"/>
  <c r="AM175" i="1" s="1"/>
  <c r="AJ175" i="1"/>
  <c r="AL175" i="1" s="1"/>
  <c r="CR172" i="1"/>
  <c r="CT172" i="1" s="1"/>
  <c r="CQ172" i="1"/>
  <c r="CS172" i="1" s="1"/>
  <c r="CU172" i="1" s="1"/>
  <c r="BW173" i="1"/>
  <c r="BY173" i="1" s="1"/>
  <c r="CA173" i="1" s="1"/>
  <c r="BX173" i="1"/>
  <c r="BZ173" i="1" s="1"/>
  <c r="BC174" i="1"/>
  <c r="BE174" i="1" s="1"/>
  <c r="BG174" i="1" s="1"/>
  <c r="BD174" i="1"/>
  <c r="BF174" i="1" s="1"/>
  <c r="CV172" i="1" l="1"/>
  <c r="CX172" i="1" s="1"/>
  <c r="CW172" i="1"/>
  <c r="CY172" i="1" s="1"/>
  <c r="BI174" i="1"/>
  <c r="BK174" i="1" s="1"/>
  <c r="BH174" i="1"/>
  <c r="BJ174" i="1" s="1"/>
  <c r="BL174" i="1" s="1"/>
  <c r="CB173" i="1"/>
  <c r="CD173" i="1" s="1"/>
  <c r="CF173" i="1" s="1"/>
  <c r="CC173" i="1"/>
  <c r="CE173" i="1" s="1"/>
  <c r="AO175" i="1"/>
  <c r="AQ175" i="1" s="1"/>
  <c r="AN175" i="1"/>
  <c r="AP175" i="1" s="1"/>
  <c r="AR175" i="1" s="1"/>
  <c r="T176" i="1"/>
  <c r="V176" i="1" s="1"/>
  <c r="X176" i="1" s="1"/>
  <c r="U176" i="1"/>
  <c r="W176" i="1" s="1"/>
  <c r="J176" i="1"/>
  <c r="L176" i="1" s="1"/>
  <c r="N176" i="1" s="1"/>
  <c r="K176" i="1"/>
  <c r="M176" i="1" s="1"/>
  <c r="D177" i="1"/>
  <c r="CZ172" i="1" l="1"/>
  <c r="CG173" i="1"/>
  <c r="CI173" i="1" s="1"/>
  <c r="CK173" i="1" s="1"/>
  <c r="CH173" i="1"/>
  <c r="CJ173" i="1" s="1"/>
  <c r="DA172" i="1"/>
  <c r="DC172" i="1" s="1"/>
  <c r="DB172" i="1"/>
  <c r="DD172" i="1" s="1"/>
  <c r="AS175" i="1"/>
  <c r="AU175" i="1" s="1"/>
  <c r="AW175" i="1" s="1"/>
  <c r="AT175" i="1"/>
  <c r="AV175" i="1" s="1"/>
  <c r="BN174" i="1"/>
  <c r="BP174" i="1" s="1"/>
  <c r="BM174" i="1"/>
  <c r="BO174" i="1" s="1"/>
  <c r="BQ174" i="1" s="1"/>
  <c r="P176" i="1"/>
  <c r="R176" i="1" s="1"/>
  <c r="E177" i="1"/>
  <c r="F177" i="1"/>
  <c r="H177" i="1" s="1"/>
  <c r="Y176" i="1"/>
  <c r="AA176" i="1" s="1"/>
  <c r="AC176" i="1" s="1"/>
  <c r="Z176" i="1"/>
  <c r="AB176" i="1" s="1"/>
  <c r="AX175" i="1" l="1"/>
  <c r="AZ175" i="1" s="1"/>
  <c r="BB175" i="1" s="1"/>
  <c r="AY175" i="1"/>
  <c r="BA175" i="1" s="1"/>
  <c r="CM173" i="1"/>
  <c r="CO173" i="1" s="1"/>
  <c r="CL173" i="1"/>
  <c r="CN173" i="1" s="1"/>
  <c r="CP173" i="1" s="1"/>
  <c r="BS174" i="1"/>
  <c r="BU174" i="1" s="1"/>
  <c r="BR174" i="1"/>
  <c r="BT174" i="1" s="1"/>
  <c r="BV174" i="1" s="1"/>
  <c r="O176" i="1"/>
  <c r="AD176" i="1"/>
  <c r="AF176" i="1" s="1"/>
  <c r="AH176" i="1" s="1"/>
  <c r="AE176" i="1"/>
  <c r="AG176" i="1" s="1"/>
  <c r="G177" i="1"/>
  <c r="I177" i="1" s="1"/>
  <c r="Q177" i="1"/>
  <c r="S177" i="1" s="1"/>
  <c r="BD175" i="1" l="1"/>
  <c r="BF175" i="1" s="1"/>
  <c r="BC175" i="1"/>
  <c r="BE175" i="1" s="1"/>
  <c r="BG175" i="1" s="1"/>
  <c r="AJ176" i="1"/>
  <c r="AL176" i="1" s="1"/>
  <c r="AI176" i="1"/>
  <c r="AK176" i="1" s="1"/>
  <c r="AM176" i="1" s="1"/>
  <c r="BW174" i="1"/>
  <c r="BY174" i="1" s="1"/>
  <c r="CA174" i="1" s="1"/>
  <c r="BX174" i="1"/>
  <c r="BZ174" i="1" s="1"/>
  <c r="CQ173" i="1"/>
  <c r="CS173" i="1" s="1"/>
  <c r="CU173" i="1" s="1"/>
  <c r="CR173" i="1"/>
  <c r="CT173" i="1" s="1"/>
  <c r="AO176" i="1" l="1"/>
  <c r="AQ176" i="1" s="1"/>
  <c r="AN176" i="1"/>
  <c r="AP176" i="1" s="1"/>
  <c r="AR176" i="1" s="1"/>
  <c r="CV173" i="1"/>
  <c r="CX173" i="1" s="1"/>
  <c r="CW173" i="1"/>
  <c r="CY173" i="1" s="1"/>
  <c r="CB174" i="1"/>
  <c r="CD174" i="1" s="1"/>
  <c r="CF174" i="1" s="1"/>
  <c r="CC174" i="1"/>
  <c r="CE174" i="1" s="1"/>
  <c r="BH175" i="1"/>
  <c r="BJ175" i="1" s="1"/>
  <c r="BL175" i="1" s="1"/>
  <c r="BI175" i="1"/>
  <c r="BK175" i="1" s="1"/>
  <c r="T177" i="1"/>
  <c r="V177" i="1" s="1"/>
  <c r="X177" i="1" s="1"/>
  <c r="U177" i="1"/>
  <c r="W177" i="1" s="1"/>
  <c r="J177" i="1"/>
  <c r="L177" i="1" s="1"/>
  <c r="N177" i="1" s="1"/>
  <c r="K177" i="1"/>
  <c r="M177" i="1" s="1"/>
  <c r="D178" i="1"/>
  <c r="CZ173" i="1" l="1"/>
  <c r="BN175" i="1"/>
  <c r="BP175" i="1" s="1"/>
  <c r="BM175" i="1"/>
  <c r="BO175" i="1" s="1"/>
  <c r="BQ175" i="1" s="1"/>
  <c r="CG174" i="1"/>
  <c r="CI174" i="1" s="1"/>
  <c r="CK174" i="1" s="1"/>
  <c r="CH174" i="1"/>
  <c r="CJ174" i="1" s="1"/>
  <c r="DA173" i="1"/>
  <c r="DC173" i="1" s="1"/>
  <c r="DB173" i="1"/>
  <c r="DD173" i="1" s="1"/>
  <c r="AS176" i="1"/>
  <c r="AU176" i="1" s="1"/>
  <c r="AW176" i="1" s="1"/>
  <c r="AT176" i="1"/>
  <c r="AV176" i="1" s="1"/>
  <c r="P177" i="1"/>
  <c r="R177" i="1" s="1"/>
  <c r="E178" i="1"/>
  <c r="F178" i="1"/>
  <c r="H178" i="1" s="1"/>
  <c r="Z177" i="1"/>
  <c r="AB177" i="1" s="1"/>
  <c r="Y177" i="1"/>
  <c r="AA177" i="1" s="1"/>
  <c r="AC177" i="1" s="1"/>
  <c r="AX176" i="1" l="1"/>
  <c r="AZ176" i="1" s="1"/>
  <c r="BB176" i="1" s="1"/>
  <c r="AY176" i="1"/>
  <c r="BA176" i="1" s="1"/>
  <c r="CL174" i="1"/>
  <c r="CN174" i="1" s="1"/>
  <c r="CP174" i="1" s="1"/>
  <c r="CM174" i="1"/>
  <c r="CO174" i="1" s="1"/>
  <c r="BS175" i="1"/>
  <c r="BU175" i="1" s="1"/>
  <c r="BR175" i="1"/>
  <c r="BT175" i="1" s="1"/>
  <c r="BV175" i="1" s="1"/>
  <c r="O177" i="1"/>
  <c r="AD177" i="1"/>
  <c r="AF177" i="1" s="1"/>
  <c r="AH177" i="1" s="1"/>
  <c r="AE177" i="1"/>
  <c r="AG177" i="1" s="1"/>
  <c r="G178" i="1"/>
  <c r="I178" i="1" s="1"/>
  <c r="Q178" i="1"/>
  <c r="S178" i="1" s="1"/>
  <c r="AJ177" i="1" l="1"/>
  <c r="AL177" i="1" s="1"/>
  <c r="AI177" i="1"/>
  <c r="AK177" i="1" s="1"/>
  <c r="AM177" i="1" s="1"/>
  <c r="CR174" i="1"/>
  <c r="CT174" i="1" s="1"/>
  <c r="CQ174" i="1"/>
  <c r="CS174" i="1" s="1"/>
  <c r="CU174" i="1" s="1"/>
  <c r="BC176" i="1"/>
  <c r="BE176" i="1" s="1"/>
  <c r="BG176" i="1" s="1"/>
  <c r="BD176" i="1"/>
  <c r="BF176" i="1" s="1"/>
  <c r="BX175" i="1"/>
  <c r="BZ175" i="1" s="1"/>
  <c r="BW175" i="1"/>
  <c r="BY175" i="1" s="1"/>
  <c r="CA175" i="1" s="1"/>
  <c r="CV174" i="1" l="1"/>
  <c r="CX174" i="1" s="1"/>
  <c r="CW174" i="1"/>
  <c r="CY174" i="1" s="1"/>
  <c r="AO177" i="1"/>
  <c r="AQ177" i="1" s="1"/>
  <c r="AN177" i="1"/>
  <c r="AP177" i="1" s="1"/>
  <c r="AR177" i="1" s="1"/>
  <c r="CB175" i="1"/>
  <c r="CD175" i="1" s="1"/>
  <c r="CF175" i="1" s="1"/>
  <c r="CC175" i="1"/>
  <c r="CE175" i="1" s="1"/>
  <c r="BI176" i="1"/>
  <c r="BK176" i="1" s="1"/>
  <c r="BH176" i="1"/>
  <c r="BJ176" i="1" s="1"/>
  <c r="BL176" i="1" s="1"/>
  <c r="K178" i="1"/>
  <c r="M178" i="1" s="1"/>
  <c r="J178" i="1"/>
  <c r="L178" i="1" s="1"/>
  <c r="D179" i="1"/>
  <c r="T178" i="1"/>
  <c r="V178" i="1" s="1"/>
  <c r="X178" i="1" s="1"/>
  <c r="U178" i="1"/>
  <c r="W178" i="1" s="1"/>
  <c r="CZ174" i="1" l="1"/>
  <c r="N178" i="1"/>
  <c r="O178" i="1" s="1"/>
  <c r="BN176" i="1"/>
  <c r="BP176" i="1" s="1"/>
  <c r="BM176" i="1"/>
  <c r="BO176" i="1" s="1"/>
  <c r="BQ176" i="1" s="1"/>
  <c r="AS177" i="1"/>
  <c r="AU177" i="1" s="1"/>
  <c r="AW177" i="1" s="1"/>
  <c r="AT177" i="1"/>
  <c r="AV177" i="1" s="1"/>
  <c r="DB174" i="1"/>
  <c r="DD174" i="1" s="1"/>
  <c r="DA174" i="1"/>
  <c r="DC174" i="1" s="1"/>
  <c r="CG175" i="1"/>
  <c r="CI175" i="1" s="1"/>
  <c r="CK175" i="1" s="1"/>
  <c r="CH175" i="1"/>
  <c r="CJ175" i="1" s="1"/>
  <c r="F179" i="1"/>
  <c r="H179" i="1" s="1"/>
  <c r="E179" i="1"/>
  <c r="Z178" i="1"/>
  <c r="AB178" i="1" s="1"/>
  <c r="Y178" i="1"/>
  <c r="AA178" i="1" s="1"/>
  <c r="AC178" i="1" s="1"/>
  <c r="P178" i="1" l="1"/>
  <c r="R178" i="1" s="1"/>
  <c r="CM175" i="1"/>
  <c r="CO175" i="1" s="1"/>
  <c r="CL175" i="1"/>
  <c r="CN175" i="1" s="1"/>
  <c r="CP175" i="1" s="1"/>
  <c r="AX177" i="1"/>
  <c r="AZ177" i="1" s="1"/>
  <c r="BB177" i="1" s="1"/>
  <c r="AY177" i="1"/>
  <c r="BA177" i="1" s="1"/>
  <c r="BS176" i="1"/>
  <c r="BU176" i="1" s="1"/>
  <c r="BR176" i="1"/>
  <c r="BT176" i="1" s="1"/>
  <c r="BV176" i="1" s="1"/>
  <c r="AE178" i="1"/>
  <c r="AG178" i="1" s="1"/>
  <c r="AD178" i="1"/>
  <c r="AF178" i="1" s="1"/>
  <c r="AH178" i="1" s="1"/>
  <c r="Q179" i="1"/>
  <c r="S179" i="1" s="1"/>
  <c r="G179" i="1"/>
  <c r="I179" i="1" s="1"/>
  <c r="AI178" i="1" l="1"/>
  <c r="AK178" i="1" s="1"/>
  <c r="AM178" i="1" s="1"/>
  <c r="AJ178" i="1"/>
  <c r="AL178" i="1" s="1"/>
  <c r="BD177" i="1"/>
  <c r="BF177" i="1" s="1"/>
  <c r="BC177" i="1"/>
  <c r="BE177" i="1" s="1"/>
  <c r="BG177" i="1" s="1"/>
  <c r="BX176" i="1"/>
  <c r="BZ176" i="1" s="1"/>
  <c r="BW176" i="1"/>
  <c r="BY176" i="1" s="1"/>
  <c r="CA176" i="1" s="1"/>
  <c r="CQ175" i="1"/>
  <c r="CS175" i="1" s="1"/>
  <c r="CU175" i="1" s="1"/>
  <c r="CR175" i="1"/>
  <c r="CT175" i="1" s="1"/>
  <c r="CC176" i="1" l="1"/>
  <c r="CE176" i="1" s="1"/>
  <c r="CB176" i="1"/>
  <c r="CD176" i="1" s="1"/>
  <c r="CF176" i="1" s="1"/>
  <c r="BI177" i="1"/>
  <c r="BK177" i="1" s="1"/>
  <c r="BH177" i="1"/>
  <c r="BJ177" i="1" s="1"/>
  <c r="BL177" i="1" s="1"/>
  <c r="CW175" i="1"/>
  <c r="CY175" i="1" s="1"/>
  <c r="CV175" i="1"/>
  <c r="CX175" i="1" s="1"/>
  <c r="AO178" i="1"/>
  <c r="AQ178" i="1" s="1"/>
  <c r="AN178" i="1"/>
  <c r="AP178" i="1" s="1"/>
  <c r="AR178" i="1" s="1"/>
  <c r="J179" i="1"/>
  <c r="L179" i="1" s="1"/>
  <c r="N179" i="1" s="1"/>
  <c r="K179" i="1"/>
  <c r="M179" i="1" s="1"/>
  <c r="D180" i="1"/>
  <c r="U179" i="1"/>
  <c r="W179" i="1" s="1"/>
  <c r="T179" i="1"/>
  <c r="V179" i="1" s="1"/>
  <c r="X179" i="1" s="1"/>
  <c r="CZ175" i="1" l="1"/>
  <c r="AT178" i="1"/>
  <c r="AV178" i="1" s="1"/>
  <c r="AS178" i="1"/>
  <c r="AU178" i="1" s="1"/>
  <c r="AW178" i="1" s="1"/>
  <c r="BN177" i="1"/>
  <c r="BP177" i="1" s="1"/>
  <c r="BM177" i="1"/>
  <c r="BO177" i="1" s="1"/>
  <c r="BQ177" i="1" s="1"/>
  <c r="CH176" i="1"/>
  <c r="CJ176" i="1" s="1"/>
  <c r="CG176" i="1"/>
  <c r="CI176" i="1" s="1"/>
  <c r="CK176" i="1" s="1"/>
  <c r="P179" i="1"/>
  <c r="R179" i="1" s="1"/>
  <c r="Y179" i="1"/>
  <c r="AA179" i="1" s="1"/>
  <c r="AC179" i="1" s="1"/>
  <c r="Z179" i="1"/>
  <c r="AB179" i="1" s="1"/>
  <c r="F180" i="1"/>
  <c r="H180" i="1" s="1"/>
  <c r="E180" i="1"/>
  <c r="DB175" i="1" l="1"/>
  <c r="DD175" i="1" s="1"/>
  <c r="DA175" i="1"/>
  <c r="DC175" i="1" s="1"/>
  <c r="CM176" i="1"/>
  <c r="CO176" i="1" s="1"/>
  <c r="CL176" i="1"/>
  <c r="CN176" i="1" s="1"/>
  <c r="CP176" i="1" s="1"/>
  <c r="BR177" i="1"/>
  <c r="BT177" i="1" s="1"/>
  <c r="BV177" i="1" s="1"/>
  <c r="BS177" i="1"/>
  <c r="BU177" i="1" s="1"/>
  <c r="AX178" i="1"/>
  <c r="AZ178" i="1" s="1"/>
  <c r="BB178" i="1" s="1"/>
  <c r="AY178" i="1"/>
  <c r="BA178" i="1" s="1"/>
  <c r="O179" i="1"/>
  <c r="AE179" i="1"/>
  <c r="AG179" i="1" s="1"/>
  <c r="AD179" i="1"/>
  <c r="AF179" i="1" s="1"/>
  <c r="AH179" i="1" s="1"/>
  <c r="Q180" i="1"/>
  <c r="S180" i="1" s="1"/>
  <c r="G180" i="1"/>
  <c r="I180" i="1" s="1"/>
  <c r="CR176" i="1" l="1"/>
  <c r="CT176" i="1" s="1"/>
  <c r="CQ176" i="1"/>
  <c r="CS176" i="1" s="1"/>
  <c r="CU176" i="1" s="1"/>
  <c r="AI179" i="1"/>
  <c r="AK179" i="1" s="1"/>
  <c r="AM179" i="1" s="1"/>
  <c r="AJ179" i="1"/>
  <c r="AL179" i="1" s="1"/>
  <c r="BD178" i="1"/>
  <c r="BF178" i="1" s="1"/>
  <c r="BC178" i="1"/>
  <c r="BE178" i="1" s="1"/>
  <c r="BG178" i="1" s="1"/>
  <c r="BW177" i="1"/>
  <c r="BY177" i="1" s="1"/>
  <c r="CA177" i="1" s="1"/>
  <c r="BX177" i="1"/>
  <c r="BZ177" i="1" s="1"/>
  <c r="BI178" i="1" l="1"/>
  <c r="BK178" i="1" s="1"/>
  <c r="BH178" i="1"/>
  <c r="BJ178" i="1" s="1"/>
  <c r="BL178" i="1" s="1"/>
  <c r="CC177" i="1"/>
  <c r="CE177" i="1" s="1"/>
  <c r="CB177" i="1"/>
  <c r="CD177" i="1" s="1"/>
  <c r="CF177" i="1" s="1"/>
  <c r="AO179" i="1"/>
  <c r="AQ179" i="1" s="1"/>
  <c r="AN179" i="1"/>
  <c r="AP179" i="1" s="1"/>
  <c r="AR179" i="1" s="1"/>
  <c r="CV176" i="1"/>
  <c r="CX176" i="1" s="1"/>
  <c r="CW176" i="1"/>
  <c r="CY176" i="1" s="1"/>
  <c r="J180" i="1"/>
  <c r="L180" i="1" s="1"/>
  <c r="N180" i="1" s="1"/>
  <c r="K180" i="1"/>
  <c r="M180" i="1" s="1"/>
  <c r="D181" i="1"/>
  <c r="T180" i="1"/>
  <c r="V180" i="1" s="1"/>
  <c r="X180" i="1" s="1"/>
  <c r="U180" i="1"/>
  <c r="W180" i="1" s="1"/>
  <c r="CZ176" i="1" l="1"/>
  <c r="DB176" i="1"/>
  <c r="DD176" i="1" s="1"/>
  <c r="DA176" i="1"/>
  <c r="DC176" i="1" s="1"/>
  <c r="AT179" i="1"/>
  <c r="AV179" i="1" s="1"/>
  <c r="AS179" i="1"/>
  <c r="AU179" i="1" s="1"/>
  <c r="AW179" i="1" s="1"/>
  <c r="CG177" i="1"/>
  <c r="CI177" i="1" s="1"/>
  <c r="CK177" i="1" s="1"/>
  <c r="CH177" i="1"/>
  <c r="CJ177" i="1" s="1"/>
  <c r="BN178" i="1"/>
  <c r="BP178" i="1" s="1"/>
  <c r="BM178" i="1"/>
  <c r="BO178" i="1" s="1"/>
  <c r="BQ178" i="1" s="1"/>
  <c r="P180" i="1"/>
  <c r="R180" i="1" s="1"/>
  <c r="Y180" i="1"/>
  <c r="AA180" i="1" s="1"/>
  <c r="AC180" i="1" s="1"/>
  <c r="Z180" i="1"/>
  <c r="AB180" i="1" s="1"/>
  <c r="E181" i="1"/>
  <c r="F181" i="1"/>
  <c r="H181" i="1" s="1"/>
  <c r="CL177" i="1" l="1"/>
  <c r="CN177" i="1" s="1"/>
  <c r="CP177" i="1" s="1"/>
  <c r="CM177" i="1"/>
  <c r="CO177" i="1" s="1"/>
  <c r="BS178" i="1"/>
  <c r="BU178" i="1" s="1"/>
  <c r="BR178" i="1"/>
  <c r="BT178" i="1" s="1"/>
  <c r="BV178" i="1" s="1"/>
  <c r="AX179" i="1"/>
  <c r="AZ179" i="1" s="1"/>
  <c r="BB179" i="1" s="1"/>
  <c r="AY179" i="1"/>
  <c r="BA179" i="1" s="1"/>
  <c r="O180" i="1"/>
  <c r="AE180" i="1"/>
  <c r="AG180" i="1" s="1"/>
  <c r="AD180" i="1"/>
  <c r="AF180" i="1" s="1"/>
  <c r="AH180" i="1" s="1"/>
  <c r="Q181" i="1"/>
  <c r="S181" i="1" s="1"/>
  <c r="G181" i="1"/>
  <c r="I181" i="1" s="1"/>
  <c r="AJ180" i="1" l="1"/>
  <c r="AL180" i="1" s="1"/>
  <c r="AI180" i="1"/>
  <c r="AK180" i="1" s="1"/>
  <c r="AM180" i="1" s="1"/>
  <c r="BD179" i="1"/>
  <c r="BF179" i="1" s="1"/>
  <c r="BC179" i="1"/>
  <c r="BE179" i="1" s="1"/>
  <c r="BG179" i="1" s="1"/>
  <c r="CR177" i="1"/>
  <c r="CT177" i="1" s="1"/>
  <c r="CQ177" i="1"/>
  <c r="CS177" i="1" s="1"/>
  <c r="CU177" i="1" s="1"/>
  <c r="BX178" i="1"/>
  <c r="BZ178" i="1" s="1"/>
  <c r="BW178" i="1"/>
  <c r="BY178" i="1" s="1"/>
  <c r="CA178" i="1" s="1"/>
  <c r="CW177" i="1" l="1"/>
  <c r="CY177" i="1" s="1"/>
  <c r="CV177" i="1"/>
  <c r="CX177" i="1" s="1"/>
  <c r="BI179" i="1"/>
  <c r="BK179" i="1" s="1"/>
  <c r="BH179" i="1"/>
  <c r="BJ179" i="1" s="1"/>
  <c r="BL179" i="1" s="1"/>
  <c r="AN180" i="1"/>
  <c r="AP180" i="1" s="1"/>
  <c r="AR180" i="1" s="1"/>
  <c r="AO180" i="1"/>
  <c r="AQ180" i="1" s="1"/>
  <c r="CC178" i="1"/>
  <c r="CE178" i="1" s="1"/>
  <c r="CB178" i="1"/>
  <c r="CD178" i="1" s="1"/>
  <c r="CF178" i="1" s="1"/>
  <c r="J181" i="1"/>
  <c r="L181" i="1" s="1"/>
  <c r="N181" i="1" s="1"/>
  <c r="K181" i="1"/>
  <c r="M181" i="1" s="1"/>
  <c r="D182" i="1"/>
  <c r="U181" i="1"/>
  <c r="W181" i="1" s="1"/>
  <c r="T181" i="1"/>
  <c r="V181" i="1" s="1"/>
  <c r="X181" i="1" s="1"/>
  <c r="CZ177" i="1" l="1"/>
  <c r="AS180" i="1"/>
  <c r="AU180" i="1" s="1"/>
  <c r="AW180" i="1" s="1"/>
  <c r="AT180" i="1"/>
  <c r="AV180" i="1" s="1"/>
  <c r="CG178" i="1"/>
  <c r="CI178" i="1" s="1"/>
  <c r="CK178" i="1" s="1"/>
  <c r="CH178" i="1"/>
  <c r="CJ178" i="1" s="1"/>
  <c r="BM179" i="1"/>
  <c r="BO179" i="1" s="1"/>
  <c r="BQ179" i="1" s="1"/>
  <c r="BN179" i="1"/>
  <c r="BP179" i="1" s="1"/>
  <c r="P181" i="1"/>
  <c r="R181" i="1" s="1"/>
  <c r="Z181" i="1"/>
  <c r="AB181" i="1" s="1"/>
  <c r="Y181" i="1"/>
  <c r="AA181" i="1" s="1"/>
  <c r="AC181" i="1" s="1"/>
  <c r="E182" i="1"/>
  <c r="F182" i="1"/>
  <c r="H182" i="1" s="1"/>
  <c r="DA177" i="1" l="1"/>
  <c r="DC177" i="1" s="1"/>
  <c r="DB177" i="1"/>
  <c r="DD177" i="1" s="1"/>
  <c r="BR179" i="1"/>
  <c r="BT179" i="1" s="1"/>
  <c r="BV179" i="1" s="1"/>
  <c r="BS179" i="1"/>
  <c r="BU179" i="1" s="1"/>
  <c r="CM178" i="1"/>
  <c r="CO178" i="1" s="1"/>
  <c r="CL178" i="1"/>
  <c r="CN178" i="1" s="1"/>
  <c r="CP178" i="1" s="1"/>
  <c r="AY180" i="1"/>
  <c r="BA180" i="1" s="1"/>
  <c r="AX180" i="1"/>
  <c r="AZ180" i="1" s="1"/>
  <c r="BB180" i="1" s="1"/>
  <c r="O181" i="1"/>
  <c r="AE181" i="1"/>
  <c r="AG181" i="1" s="1"/>
  <c r="AD181" i="1"/>
  <c r="AF181" i="1" s="1"/>
  <c r="AH181" i="1" s="1"/>
  <c r="G182" i="1"/>
  <c r="I182" i="1" s="1"/>
  <c r="Q182" i="1"/>
  <c r="S182" i="1" s="1"/>
  <c r="AI181" i="1" l="1"/>
  <c r="AK181" i="1" s="1"/>
  <c r="AM181" i="1" s="1"/>
  <c r="AJ181" i="1"/>
  <c r="AL181" i="1" s="1"/>
  <c r="BX179" i="1"/>
  <c r="BZ179" i="1" s="1"/>
  <c r="BW179" i="1"/>
  <c r="BY179" i="1" s="1"/>
  <c r="CA179" i="1" s="1"/>
  <c r="BC180" i="1"/>
  <c r="BE180" i="1" s="1"/>
  <c r="BG180" i="1" s="1"/>
  <c r="BD180" i="1"/>
  <c r="BF180" i="1" s="1"/>
  <c r="CQ178" i="1"/>
  <c r="CS178" i="1" s="1"/>
  <c r="CU178" i="1" s="1"/>
  <c r="CR178" i="1"/>
  <c r="CT178" i="1" s="1"/>
  <c r="CC179" i="1" l="1"/>
  <c r="CE179" i="1" s="1"/>
  <c r="CB179" i="1"/>
  <c r="CD179" i="1" s="1"/>
  <c r="CF179" i="1" s="1"/>
  <c r="CV178" i="1"/>
  <c r="CX178" i="1" s="1"/>
  <c r="CW178" i="1"/>
  <c r="CY178" i="1" s="1"/>
  <c r="BH180" i="1"/>
  <c r="BJ180" i="1" s="1"/>
  <c r="BL180" i="1" s="1"/>
  <c r="BI180" i="1"/>
  <c r="BK180" i="1" s="1"/>
  <c r="AN181" i="1"/>
  <c r="AP181" i="1" s="1"/>
  <c r="AR181" i="1" s="1"/>
  <c r="AO181" i="1"/>
  <c r="AQ181" i="1" s="1"/>
  <c r="J182" i="1"/>
  <c r="L182" i="1" s="1"/>
  <c r="K182" i="1"/>
  <c r="M182" i="1" s="1"/>
  <c r="D183" i="1"/>
  <c r="U182" i="1"/>
  <c r="W182" i="1" s="1"/>
  <c r="T182" i="1"/>
  <c r="V182" i="1" s="1"/>
  <c r="X182" i="1" s="1"/>
  <c r="CZ178" i="1" l="1"/>
  <c r="N182" i="1"/>
  <c r="O182" i="1" s="1"/>
  <c r="AS181" i="1"/>
  <c r="AU181" i="1" s="1"/>
  <c r="AW181" i="1" s="1"/>
  <c r="AT181" i="1"/>
  <c r="AV181" i="1" s="1"/>
  <c r="BM180" i="1"/>
  <c r="BO180" i="1" s="1"/>
  <c r="BQ180" i="1" s="1"/>
  <c r="BN180" i="1"/>
  <c r="BP180" i="1" s="1"/>
  <c r="DA178" i="1"/>
  <c r="DC178" i="1" s="1"/>
  <c r="DB178" i="1"/>
  <c r="DD178" i="1" s="1"/>
  <c r="CG179" i="1"/>
  <c r="CI179" i="1" s="1"/>
  <c r="CK179" i="1" s="1"/>
  <c r="CH179" i="1"/>
  <c r="CJ179" i="1" s="1"/>
  <c r="Z182" i="1"/>
  <c r="AB182" i="1" s="1"/>
  <c r="Y182" i="1"/>
  <c r="AA182" i="1" s="1"/>
  <c r="AC182" i="1" s="1"/>
  <c r="F183" i="1"/>
  <c r="H183" i="1" s="1"/>
  <c r="E183" i="1"/>
  <c r="P182" i="1" l="1"/>
  <c r="R182" i="1" s="1"/>
  <c r="CL179" i="1"/>
  <c r="CN179" i="1" s="1"/>
  <c r="CP179" i="1" s="1"/>
  <c r="CM179" i="1"/>
  <c r="CO179" i="1" s="1"/>
  <c r="BS180" i="1"/>
  <c r="BU180" i="1" s="1"/>
  <c r="BR180" i="1"/>
  <c r="BT180" i="1" s="1"/>
  <c r="BV180" i="1" s="1"/>
  <c r="AY181" i="1"/>
  <c r="BA181" i="1" s="1"/>
  <c r="AX181" i="1"/>
  <c r="AZ181" i="1" s="1"/>
  <c r="BB181" i="1" s="1"/>
  <c r="AE182" i="1"/>
  <c r="AG182" i="1" s="1"/>
  <c r="AD182" i="1"/>
  <c r="AF182" i="1" s="1"/>
  <c r="AH182" i="1" s="1"/>
  <c r="Q183" i="1"/>
  <c r="S183" i="1" s="1"/>
  <c r="G183" i="1"/>
  <c r="I183" i="1" s="1"/>
  <c r="CQ179" i="1" l="1"/>
  <c r="CS179" i="1" s="1"/>
  <c r="CU179" i="1" s="1"/>
  <c r="CR179" i="1"/>
  <c r="CT179" i="1" s="1"/>
  <c r="AI182" i="1"/>
  <c r="AK182" i="1" s="1"/>
  <c r="AM182" i="1" s="1"/>
  <c r="AJ182" i="1"/>
  <c r="AL182" i="1" s="1"/>
  <c r="BC181" i="1"/>
  <c r="BE181" i="1" s="1"/>
  <c r="BG181" i="1" s="1"/>
  <c r="BD181" i="1"/>
  <c r="BF181" i="1" s="1"/>
  <c r="BX180" i="1"/>
  <c r="BZ180" i="1" s="1"/>
  <c r="BW180" i="1"/>
  <c r="BY180" i="1" s="1"/>
  <c r="CA180" i="1" s="1"/>
  <c r="CC180" i="1" l="1"/>
  <c r="CE180" i="1" s="1"/>
  <c r="CB180" i="1"/>
  <c r="CD180" i="1" s="1"/>
  <c r="CF180" i="1" s="1"/>
  <c r="CW179" i="1"/>
  <c r="CY179" i="1" s="1"/>
  <c r="CV179" i="1"/>
  <c r="CX179" i="1" s="1"/>
  <c r="BI181" i="1"/>
  <c r="BK181" i="1" s="1"/>
  <c r="BH181" i="1"/>
  <c r="BJ181" i="1" s="1"/>
  <c r="BL181" i="1" s="1"/>
  <c r="AO182" i="1"/>
  <c r="AQ182" i="1" s="1"/>
  <c r="AN182" i="1"/>
  <c r="AP182" i="1" s="1"/>
  <c r="AR182" i="1" s="1"/>
  <c r="J183" i="1"/>
  <c r="L183" i="1" s="1"/>
  <c r="K183" i="1"/>
  <c r="M183" i="1" s="1"/>
  <c r="D184" i="1"/>
  <c r="U183" i="1"/>
  <c r="W183" i="1" s="1"/>
  <c r="T183" i="1"/>
  <c r="V183" i="1" s="1"/>
  <c r="X183" i="1" s="1"/>
  <c r="CZ179" i="1" l="1"/>
  <c r="N183" i="1"/>
  <c r="P183" i="1" s="1"/>
  <c r="R183" i="1" s="1"/>
  <c r="AS182" i="1"/>
  <c r="AU182" i="1" s="1"/>
  <c r="AW182" i="1" s="1"/>
  <c r="AT182" i="1"/>
  <c r="AV182" i="1" s="1"/>
  <c r="BN181" i="1"/>
  <c r="BP181" i="1" s="1"/>
  <c r="BM181" i="1"/>
  <c r="BO181" i="1" s="1"/>
  <c r="BQ181" i="1" s="1"/>
  <c r="CG180" i="1"/>
  <c r="CI180" i="1" s="1"/>
  <c r="CK180" i="1" s="1"/>
  <c r="CH180" i="1"/>
  <c r="CJ180" i="1" s="1"/>
  <c r="Z183" i="1"/>
  <c r="AB183" i="1" s="1"/>
  <c r="Y183" i="1"/>
  <c r="AA183" i="1" s="1"/>
  <c r="AC183" i="1" s="1"/>
  <c r="F184" i="1"/>
  <c r="H184" i="1" s="1"/>
  <c r="E184" i="1"/>
  <c r="O183" i="1" l="1"/>
  <c r="DA179" i="1"/>
  <c r="DC179" i="1" s="1"/>
  <c r="DB179" i="1"/>
  <c r="DD179" i="1" s="1"/>
  <c r="CL180" i="1"/>
  <c r="CN180" i="1" s="1"/>
  <c r="CP180" i="1" s="1"/>
  <c r="CM180" i="1"/>
  <c r="CO180" i="1" s="1"/>
  <c r="AY182" i="1"/>
  <c r="BA182" i="1" s="1"/>
  <c r="AX182" i="1"/>
  <c r="AZ182" i="1" s="1"/>
  <c r="BB182" i="1" s="1"/>
  <c r="BR181" i="1"/>
  <c r="BT181" i="1" s="1"/>
  <c r="BV181" i="1" s="1"/>
  <c r="BS181" i="1"/>
  <c r="BU181" i="1" s="1"/>
  <c r="AE183" i="1"/>
  <c r="AG183" i="1" s="1"/>
  <c r="AD183" i="1"/>
  <c r="AF183" i="1" s="1"/>
  <c r="AH183" i="1" s="1"/>
  <c r="Q184" i="1"/>
  <c r="S184" i="1" s="1"/>
  <c r="G184" i="1"/>
  <c r="I184" i="1" s="1"/>
  <c r="AJ183" i="1" l="1"/>
  <c r="AL183" i="1" s="1"/>
  <c r="AI183" i="1"/>
  <c r="AK183" i="1" s="1"/>
  <c r="AM183" i="1" s="1"/>
  <c r="BC182" i="1"/>
  <c r="BE182" i="1" s="1"/>
  <c r="BG182" i="1" s="1"/>
  <c r="BD182" i="1"/>
  <c r="BF182" i="1" s="1"/>
  <c r="BW181" i="1"/>
  <c r="BY181" i="1" s="1"/>
  <c r="CA181" i="1" s="1"/>
  <c r="BX181" i="1"/>
  <c r="BZ181" i="1" s="1"/>
  <c r="CR180" i="1"/>
  <c r="CT180" i="1" s="1"/>
  <c r="CQ180" i="1"/>
  <c r="CS180" i="1" s="1"/>
  <c r="CU180" i="1" s="1"/>
  <c r="CV180" i="1" l="1"/>
  <c r="CX180" i="1" s="1"/>
  <c r="CW180" i="1"/>
  <c r="CY180" i="1" s="1"/>
  <c r="AO183" i="1"/>
  <c r="AQ183" i="1" s="1"/>
  <c r="AN183" i="1"/>
  <c r="AP183" i="1" s="1"/>
  <c r="AR183" i="1" s="1"/>
  <c r="CC181" i="1"/>
  <c r="CE181" i="1" s="1"/>
  <c r="CB181" i="1"/>
  <c r="CD181" i="1" s="1"/>
  <c r="CF181" i="1" s="1"/>
  <c r="BH182" i="1"/>
  <c r="BJ182" i="1" s="1"/>
  <c r="BL182" i="1" s="1"/>
  <c r="BI182" i="1"/>
  <c r="BK182" i="1" s="1"/>
  <c r="J184" i="1"/>
  <c r="L184" i="1" s="1"/>
  <c r="N184" i="1" s="1"/>
  <c r="K184" i="1"/>
  <c r="M184" i="1" s="1"/>
  <c r="D185" i="1"/>
  <c r="T184" i="1"/>
  <c r="V184" i="1" s="1"/>
  <c r="X184" i="1" s="1"/>
  <c r="U184" i="1"/>
  <c r="W184" i="1" s="1"/>
  <c r="CZ180" i="1" l="1"/>
  <c r="BN182" i="1"/>
  <c r="BP182" i="1" s="1"/>
  <c r="BM182" i="1"/>
  <c r="BO182" i="1" s="1"/>
  <c r="BQ182" i="1" s="1"/>
  <c r="DA180" i="1"/>
  <c r="DC180" i="1" s="1"/>
  <c r="DB180" i="1"/>
  <c r="DD180" i="1" s="1"/>
  <c r="CG181" i="1"/>
  <c r="CI181" i="1" s="1"/>
  <c r="CK181" i="1" s="1"/>
  <c r="CH181" i="1"/>
  <c r="CJ181" i="1" s="1"/>
  <c r="AT183" i="1"/>
  <c r="AV183" i="1" s="1"/>
  <c r="AS183" i="1"/>
  <c r="AU183" i="1" s="1"/>
  <c r="AW183" i="1" s="1"/>
  <c r="P184" i="1"/>
  <c r="R184" i="1" s="1"/>
  <c r="Y184" i="1"/>
  <c r="AA184" i="1" s="1"/>
  <c r="AC184" i="1" s="1"/>
  <c r="Z184" i="1"/>
  <c r="AB184" i="1" s="1"/>
  <c r="E185" i="1"/>
  <c r="F185" i="1"/>
  <c r="H185" i="1" s="1"/>
  <c r="CM181" i="1" l="1"/>
  <c r="CO181" i="1" s="1"/>
  <c r="CL181" i="1"/>
  <c r="CN181" i="1" s="1"/>
  <c r="CP181" i="1" s="1"/>
  <c r="AX183" i="1"/>
  <c r="AZ183" i="1" s="1"/>
  <c r="BB183" i="1" s="1"/>
  <c r="AY183" i="1"/>
  <c r="BA183" i="1" s="1"/>
  <c r="BR182" i="1"/>
  <c r="BT182" i="1" s="1"/>
  <c r="BV182" i="1" s="1"/>
  <c r="BS182" i="1"/>
  <c r="BU182" i="1" s="1"/>
  <c r="O184" i="1"/>
  <c r="AD184" i="1"/>
  <c r="AF184" i="1" s="1"/>
  <c r="AH184" i="1" s="1"/>
  <c r="AE184" i="1"/>
  <c r="AG184" i="1" s="1"/>
  <c r="G185" i="1"/>
  <c r="I185" i="1" s="1"/>
  <c r="Q185" i="1"/>
  <c r="S185" i="1" s="1"/>
  <c r="BW182" i="1" l="1"/>
  <c r="BY182" i="1" s="1"/>
  <c r="CA182" i="1" s="1"/>
  <c r="BX182" i="1"/>
  <c r="BZ182" i="1" s="1"/>
  <c r="BC183" i="1"/>
  <c r="BE183" i="1" s="1"/>
  <c r="BG183" i="1" s="1"/>
  <c r="BD183" i="1"/>
  <c r="BF183" i="1" s="1"/>
  <c r="AJ184" i="1"/>
  <c r="AL184" i="1" s="1"/>
  <c r="AI184" i="1"/>
  <c r="AK184" i="1" s="1"/>
  <c r="AM184" i="1" s="1"/>
  <c r="CQ181" i="1"/>
  <c r="CS181" i="1" s="1"/>
  <c r="CU181" i="1" s="1"/>
  <c r="CR181" i="1"/>
  <c r="CT181" i="1" s="1"/>
  <c r="AN184" i="1" l="1"/>
  <c r="AP184" i="1" s="1"/>
  <c r="AR184" i="1" s="1"/>
  <c r="AO184" i="1"/>
  <c r="AQ184" i="1" s="1"/>
  <c r="BI183" i="1"/>
  <c r="BK183" i="1" s="1"/>
  <c r="BH183" i="1"/>
  <c r="BJ183" i="1" s="1"/>
  <c r="BL183" i="1" s="1"/>
  <c r="CB182" i="1"/>
  <c r="CD182" i="1" s="1"/>
  <c r="CF182" i="1" s="1"/>
  <c r="CC182" i="1"/>
  <c r="CE182" i="1" s="1"/>
  <c r="CV181" i="1"/>
  <c r="CX181" i="1" s="1"/>
  <c r="CZ181" i="1" s="1"/>
  <c r="CW181" i="1"/>
  <c r="CY181" i="1" s="1"/>
  <c r="J185" i="1"/>
  <c r="L185" i="1" s="1"/>
  <c r="N185" i="1" s="1"/>
  <c r="K185" i="1"/>
  <c r="M185" i="1" s="1"/>
  <c r="D186" i="1"/>
  <c r="U185" i="1"/>
  <c r="W185" i="1" s="1"/>
  <c r="T185" i="1"/>
  <c r="V185" i="1" s="1"/>
  <c r="X185" i="1" s="1"/>
  <c r="DB181" i="1" l="1"/>
  <c r="DD181" i="1" s="1"/>
  <c r="DA181" i="1"/>
  <c r="DC181" i="1" s="1"/>
  <c r="CG182" i="1"/>
  <c r="CI182" i="1" s="1"/>
  <c r="CK182" i="1" s="1"/>
  <c r="CH182" i="1"/>
  <c r="CJ182" i="1" s="1"/>
  <c r="AT184" i="1"/>
  <c r="AV184" i="1" s="1"/>
  <c r="AS184" i="1"/>
  <c r="AU184" i="1" s="1"/>
  <c r="AW184" i="1" s="1"/>
  <c r="BN183" i="1"/>
  <c r="BP183" i="1" s="1"/>
  <c r="BM183" i="1"/>
  <c r="BO183" i="1" s="1"/>
  <c r="BQ183" i="1" s="1"/>
  <c r="P185" i="1"/>
  <c r="R185" i="1" s="1"/>
  <c r="Z185" i="1"/>
  <c r="AB185" i="1" s="1"/>
  <c r="Y185" i="1"/>
  <c r="AA185" i="1" s="1"/>
  <c r="AC185" i="1" s="1"/>
  <c r="F186" i="1"/>
  <c r="H186" i="1" s="1"/>
  <c r="E186" i="1"/>
  <c r="CL182" i="1" l="1"/>
  <c r="CN182" i="1" s="1"/>
  <c r="CP182" i="1" s="1"/>
  <c r="CM182" i="1"/>
  <c r="CO182" i="1" s="1"/>
  <c r="BR183" i="1"/>
  <c r="BT183" i="1" s="1"/>
  <c r="BV183" i="1" s="1"/>
  <c r="BS183" i="1"/>
  <c r="BU183" i="1" s="1"/>
  <c r="AX184" i="1"/>
  <c r="AZ184" i="1" s="1"/>
  <c r="BB184" i="1" s="1"/>
  <c r="AY184" i="1"/>
  <c r="BA184" i="1" s="1"/>
  <c r="O185" i="1"/>
  <c r="AD185" i="1"/>
  <c r="AF185" i="1" s="1"/>
  <c r="AH185" i="1" s="1"/>
  <c r="AE185" i="1"/>
  <c r="AG185" i="1" s="1"/>
  <c r="G186" i="1"/>
  <c r="I186" i="1" s="1"/>
  <c r="Q186" i="1"/>
  <c r="S186" i="1" s="1"/>
  <c r="BC184" i="1" l="1"/>
  <c r="BE184" i="1" s="1"/>
  <c r="BG184" i="1" s="1"/>
  <c r="BD184" i="1"/>
  <c r="BF184" i="1" s="1"/>
  <c r="BW183" i="1"/>
  <c r="BY183" i="1" s="1"/>
  <c r="CA183" i="1" s="1"/>
  <c r="BX183" i="1"/>
  <c r="BZ183" i="1" s="1"/>
  <c r="CQ182" i="1"/>
  <c r="CS182" i="1" s="1"/>
  <c r="CU182" i="1" s="1"/>
  <c r="CR182" i="1"/>
  <c r="CT182" i="1" s="1"/>
  <c r="AI185" i="1"/>
  <c r="AK185" i="1" s="1"/>
  <c r="AM185" i="1" s="1"/>
  <c r="AJ185" i="1"/>
  <c r="AL185" i="1" s="1"/>
  <c r="CW182" i="1" l="1"/>
  <c r="CY182" i="1" s="1"/>
  <c r="CV182" i="1"/>
  <c r="CX182" i="1" s="1"/>
  <c r="CB183" i="1"/>
  <c r="CD183" i="1" s="1"/>
  <c r="CF183" i="1" s="1"/>
  <c r="CC183" i="1"/>
  <c r="CE183" i="1" s="1"/>
  <c r="BI184" i="1"/>
  <c r="BK184" i="1" s="1"/>
  <c r="BH184" i="1"/>
  <c r="BJ184" i="1" s="1"/>
  <c r="BL184" i="1" s="1"/>
  <c r="AO185" i="1"/>
  <c r="AQ185" i="1" s="1"/>
  <c r="AN185" i="1"/>
  <c r="AP185" i="1" s="1"/>
  <c r="AR185" i="1" s="1"/>
  <c r="U186" i="1"/>
  <c r="W186" i="1" s="1"/>
  <c r="T186" i="1"/>
  <c r="V186" i="1" s="1"/>
  <c r="X186" i="1" s="1"/>
  <c r="J186" i="1"/>
  <c r="L186" i="1" s="1"/>
  <c r="N186" i="1" s="1"/>
  <c r="K186" i="1"/>
  <c r="M186" i="1" s="1"/>
  <c r="D187" i="1"/>
  <c r="CZ182" i="1" l="1"/>
  <c r="CG183" i="1"/>
  <c r="CI183" i="1" s="1"/>
  <c r="CK183" i="1" s="1"/>
  <c r="CH183" i="1"/>
  <c r="CJ183" i="1" s="1"/>
  <c r="AT185" i="1"/>
  <c r="AV185" i="1" s="1"/>
  <c r="AS185" i="1"/>
  <c r="AU185" i="1" s="1"/>
  <c r="AW185" i="1" s="1"/>
  <c r="BM184" i="1"/>
  <c r="BO184" i="1" s="1"/>
  <c r="BQ184" i="1" s="1"/>
  <c r="BN184" i="1"/>
  <c r="BP184" i="1" s="1"/>
  <c r="P186" i="1"/>
  <c r="R186" i="1" s="1"/>
  <c r="F187" i="1"/>
  <c r="H187" i="1" s="1"/>
  <c r="E187" i="1"/>
  <c r="Z186" i="1"/>
  <c r="AB186" i="1" s="1"/>
  <c r="Y186" i="1"/>
  <c r="AA186" i="1" s="1"/>
  <c r="AC186" i="1" s="1"/>
  <c r="DB182" i="1" l="1"/>
  <c r="DD182" i="1" s="1"/>
  <c r="DA182" i="1"/>
  <c r="DC182" i="1" s="1"/>
  <c r="BS184" i="1"/>
  <c r="BU184" i="1" s="1"/>
  <c r="BR184" i="1"/>
  <c r="BT184" i="1" s="1"/>
  <c r="BV184" i="1" s="1"/>
  <c r="CL183" i="1"/>
  <c r="CN183" i="1" s="1"/>
  <c r="CP183" i="1" s="1"/>
  <c r="CM183" i="1"/>
  <c r="CO183" i="1" s="1"/>
  <c r="AY185" i="1"/>
  <c r="BA185" i="1" s="1"/>
  <c r="AX185" i="1"/>
  <c r="AZ185" i="1" s="1"/>
  <c r="BB185" i="1" s="1"/>
  <c r="O186" i="1"/>
  <c r="AE186" i="1"/>
  <c r="AG186" i="1" s="1"/>
  <c r="AD186" i="1"/>
  <c r="AF186" i="1" s="1"/>
  <c r="AH186" i="1" s="1"/>
  <c r="Q187" i="1"/>
  <c r="S187" i="1" s="1"/>
  <c r="G187" i="1"/>
  <c r="I187" i="1" s="1"/>
  <c r="AI186" i="1" l="1"/>
  <c r="AK186" i="1" s="1"/>
  <c r="AM186" i="1" s="1"/>
  <c r="AJ186" i="1"/>
  <c r="AL186" i="1" s="1"/>
  <c r="CR183" i="1"/>
  <c r="CT183" i="1" s="1"/>
  <c r="CQ183" i="1"/>
  <c r="CS183" i="1" s="1"/>
  <c r="CU183" i="1" s="1"/>
  <c r="BD185" i="1"/>
  <c r="BF185" i="1" s="1"/>
  <c r="BC185" i="1"/>
  <c r="BE185" i="1" s="1"/>
  <c r="BG185" i="1" s="1"/>
  <c r="BX184" i="1"/>
  <c r="BZ184" i="1" s="1"/>
  <c r="BW184" i="1"/>
  <c r="BY184" i="1" s="1"/>
  <c r="CA184" i="1" s="1"/>
  <c r="CC184" i="1" l="1"/>
  <c r="CE184" i="1" s="1"/>
  <c r="CB184" i="1"/>
  <c r="CD184" i="1" s="1"/>
  <c r="CF184" i="1" s="1"/>
  <c r="BI185" i="1"/>
  <c r="BK185" i="1" s="1"/>
  <c r="BH185" i="1"/>
  <c r="BJ185" i="1" s="1"/>
  <c r="BL185" i="1" s="1"/>
  <c r="CW183" i="1"/>
  <c r="CY183" i="1" s="1"/>
  <c r="CV183" i="1"/>
  <c r="CX183" i="1" s="1"/>
  <c r="AO186" i="1"/>
  <c r="AQ186" i="1" s="1"/>
  <c r="AN186" i="1"/>
  <c r="AP186" i="1" s="1"/>
  <c r="AR186" i="1" s="1"/>
  <c r="T187" i="1"/>
  <c r="V187" i="1" s="1"/>
  <c r="X187" i="1" s="1"/>
  <c r="U187" i="1"/>
  <c r="W187" i="1" s="1"/>
  <c r="J187" i="1"/>
  <c r="L187" i="1" s="1"/>
  <c r="N187" i="1" s="1"/>
  <c r="K187" i="1"/>
  <c r="M187" i="1" s="1"/>
  <c r="D188" i="1"/>
  <c r="CZ183" i="1" l="1"/>
  <c r="AS186" i="1"/>
  <c r="AU186" i="1" s="1"/>
  <c r="AW186" i="1" s="1"/>
  <c r="AT186" i="1"/>
  <c r="AV186" i="1" s="1"/>
  <c r="BN185" i="1"/>
  <c r="BP185" i="1" s="1"/>
  <c r="BM185" i="1"/>
  <c r="BO185" i="1" s="1"/>
  <c r="BQ185" i="1" s="1"/>
  <c r="CG184" i="1"/>
  <c r="CI184" i="1" s="1"/>
  <c r="CK184" i="1" s="1"/>
  <c r="CH184" i="1"/>
  <c r="CJ184" i="1" s="1"/>
  <c r="O187" i="1"/>
  <c r="P187" i="1"/>
  <c r="R187" i="1" s="1"/>
  <c r="Z187" i="1"/>
  <c r="AB187" i="1" s="1"/>
  <c r="Y187" i="1"/>
  <c r="AA187" i="1" s="1"/>
  <c r="AC187" i="1" s="1"/>
  <c r="F188" i="1"/>
  <c r="H188" i="1" s="1"/>
  <c r="E188" i="1"/>
  <c r="DA183" i="1" l="1"/>
  <c r="DC183" i="1" s="1"/>
  <c r="DB183" i="1"/>
  <c r="DD183" i="1" s="1"/>
  <c r="CL184" i="1"/>
  <c r="CN184" i="1" s="1"/>
  <c r="CP184" i="1" s="1"/>
  <c r="CM184" i="1"/>
  <c r="CO184" i="1" s="1"/>
  <c r="AX186" i="1"/>
  <c r="AZ186" i="1" s="1"/>
  <c r="BB186" i="1" s="1"/>
  <c r="AY186" i="1"/>
  <c r="BA186" i="1" s="1"/>
  <c r="BR185" i="1"/>
  <c r="BT185" i="1" s="1"/>
  <c r="BV185" i="1" s="1"/>
  <c r="BS185" i="1"/>
  <c r="BU185" i="1" s="1"/>
  <c r="AE187" i="1"/>
  <c r="AG187" i="1" s="1"/>
  <c r="AD187" i="1"/>
  <c r="AF187" i="1" s="1"/>
  <c r="AH187" i="1" s="1"/>
  <c r="G188" i="1"/>
  <c r="I188" i="1" s="1"/>
  <c r="Q188" i="1"/>
  <c r="S188" i="1" s="1"/>
  <c r="BW185" i="1" l="1"/>
  <c r="BY185" i="1" s="1"/>
  <c r="CA185" i="1" s="1"/>
  <c r="BX185" i="1"/>
  <c r="BZ185" i="1" s="1"/>
  <c r="BD186" i="1"/>
  <c r="BF186" i="1" s="1"/>
  <c r="BC186" i="1"/>
  <c r="BE186" i="1" s="1"/>
  <c r="BG186" i="1" s="1"/>
  <c r="CQ184" i="1"/>
  <c r="CS184" i="1" s="1"/>
  <c r="CU184" i="1" s="1"/>
  <c r="CR184" i="1"/>
  <c r="CT184" i="1" s="1"/>
  <c r="AJ187" i="1"/>
  <c r="AL187" i="1" s="1"/>
  <c r="AI187" i="1"/>
  <c r="AK187" i="1" s="1"/>
  <c r="AM187" i="1" s="1"/>
  <c r="AN187" i="1" l="1"/>
  <c r="AP187" i="1" s="1"/>
  <c r="AR187" i="1" s="1"/>
  <c r="AO187" i="1"/>
  <c r="AQ187" i="1" s="1"/>
  <c r="CW184" i="1"/>
  <c r="CY184" i="1" s="1"/>
  <c r="CV184" i="1"/>
  <c r="CX184" i="1" s="1"/>
  <c r="CC185" i="1"/>
  <c r="CE185" i="1" s="1"/>
  <c r="CB185" i="1"/>
  <c r="CD185" i="1" s="1"/>
  <c r="CF185" i="1" s="1"/>
  <c r="BH186" i="1"/>
  <c r="BJ186" i="1" s="1"/>
  <c r="BL186" i="1" s="1"/>
  <c r="BI186" i="1"/>
  <c r="BK186" i="1" s="1"/>
  <c r="K188" i="1"/>
  <c r="M188" i="1" s="1"/>
  <c r="J188" i="1"/>
  <c r="L188" i="1" s="1"/>
  <c r="N188" i="1" s="1"/>
  <c r="P188" i="1" s="1"/>
  <c r="R188" i="1" s="1"/>
  <c r="D189" i="1"/>
  <c r="U188" i="1"/>
  <c r="W188" i="1" s="1"/>
  <c r="T188" i="1"/>
  <c r="V188" i="1" s="1"/>
  <c r="X188" i="1" s="1"/>
  <c r="O188" i="1" l="1"/>
  <c r="CZ184" i="1"/>
  <c r="BM186" i="1"/>
  <c r="BO186" i="1" s="1"/>
  <c r="BQ186" i="1" s="1"/>
  <c r="BN186" i="1"/>
  <c r="BP186" i="1" s="1"/>
  <c r="AS187" i="1"/>
  <c r="AU187" i="1" s="1"/>
  <c r="AW187" i="1" s="1"/>
  <c r="AT187" i="1"/>
  <c r="AV187" i="1" s="1"/>
  <c r="CG185" i="1"/>
  <c r="CI185" i="1" s="1"/>
  <c r="CK185" i="1" s="1"/>
  <c r="CH185" i="1"/>
  <c r="CJ185" i="1" s="1"/>
  <c r="Z188" i="1"/>
  <c r="AB188" i="1" s="1"/>
  <c r="Y188" i="1"/>
  <c r="AA188" i="1" s="1"/>
  <c r="AC188" i="1" s="1"/>
  <c r="E189" i="1"/>
  <c r="F189" i="1"/>
  <c r="H189" i="1" s="1"/>
  <c r="DA184" i="1" l="1"/>
  <c r="DC184" i="1" s="1"/>
  <c r="DB184" i="1"/>
  <c r="DD184" i="1" s="1"/>
  <c r="CM185" i="1"/>
  <c r="CO185" i="1" s="1"/>
  <c r="CL185" i="1"/>
  <c r="CN185" i="1" s="1"/>
  <c r="CP185" i="1" s="1"/>
  <c r="AY187" i="1"/>
  <c r="BA187" i="1" s="1"/>
  <c r="AX187" i="1"/>
  <c r="AZ187" i="1" s="1"/>
  <c r="BB187" i="1" s="1"/>
  <c r="BS186" i="1"/>
  <c r="BU186" i="1" s="1"/>
  <c r="BR186" i="1"/>
  <c r="BT186" i="1" s="1"/>
  <c r="BV186" i="1" s="1"/>
  <c r="AE188" i="1"/>
  <c r="AG188" i="1" s="1"/>
  <c r="AD188" i="1"/>
  <c r="AF188" i="1" s="1"/>
  <c r="AH188" i="1" s="1"/>
  <c r="G189" i="1"/>
  <c r="I189" i="1" s="1"/>
  <c r="Q189" i="1"/>
  <c r="S189" i="1" s="1"/>
  <c r="AJ188" i="1" l="1"/>
  <c r="AL188" i="1" s="1"/>
  <c r="AI188" i="1"/>
  <c r="AK188" i="1" s="1"/>
  <c r="AM188" i="1" s="1"/>
  <c r="BX186" i="1"/>
  <c r="BZ186" i="1" s="1"/>
  <c r="BW186" i="1"/>
  <c r="BY186" i="1" s="1"/>
  <c r="CA186" i="1" s="1"/>
  <c r="BD187" i="1"/>
  <c r="BF187" i="1" s="1"/>
  <c r="BC187" i="1"/>
  <c r="BE187" i="1" s="1"/>
  <c r="BG187" i="1" s="1"/>
  <c r="CQ185" i="1"/>
  <c r="CS185" i="1" s="1"/>
  <c r="CU185" i="1" s="1"/>
  <c r="CR185" i="1"/>
  <c r="CT185" i="1" s="1"/>
  <c r="BI187" i="1" l="1"/>
  <c r="BK187" i="1" s="1"/>
  <c r="BH187" i="1"/>
  <c r="BJ187" i="1" s="1"/>
  <c r="BL187" i="1" s="1"/>
  <c r="CC186" i="1"/>
  <c r="CE186" i="1" s="1"/>
  <c r="CB186" i="1"/>
  <c r="CD186" i="1" s="1"/>
  <c r="CF186" i="1" s="1"/>
  <c r="AN188" i="1"/>
  <c r="AP188" i="1" s="1"/>
  <c r="AR188" i="1" s="1"/>
  <c r="AO188" i="1"/>
  <c r="AQ188" i="1" s="1"/>
  <c r="CW185" i="1"/>
  <c r="CY185" i="1" s="1"/>
  <c r="CV185" i="1"/>
  <c r="CX185" i="1" s="1"/>
  <c r="U189" i="1"/>
  <c r="W189" i="1" s="1"/>
  <c r="T189" i="1"/>
  <c r="V189" i="1" s="1"/>
  <c r="X189" i="1" s="1"/>
  <c r="J189" i="1"/>
  <c r="L189" i="1" s="1"/>
  <c r="N189" i="1" s="1"/>
  <c r="K189" i="1"/>
  <c r="M189" i="1" s="1"/>
  <c r="D190" i="1"/>
  <c r="CZ185" i="1" l="1"/>
  <c r="AS188" i="1"/>
  <c r="AU188" i="1" s="1"/>
  <c r="AW188" i="1" s="1"/>
  <c r="AT188" i="1"/>
  <c r="AV188" i="1" s="1"/>
  <c r="CG186" i="1"/>
  <c r="CI186" i="1" s="1"/>
  <c r="CK186" i="1" s="1"/>
  <c r="CH186" i="1"/>
  <c r="CJ186" i="1" s="1"/>
  <c r="BN187" i="1"/>
  <c r="BP187" i="1" s="1"/>
  <c r="BM187" i="1"/>
  <c r="BO187" i="1" s="1"/>
  <c r="BQ187" i="1" s="1"/>
  <c r="O189" i="1"/>
  <c r="P189" i="1"/>
  <c r="R189" i="1" s="1"/>
  <c r="E190" i="1"/>
  <c r="F190" i="1"/>
  <c r="H190" i="1" s="1"/>
  <c r="Y189" i="1"/>
  <c r="AA189" i="1" s="1"/>
  <c r="AC189" i="1" s="1"/>
  <c r="Z189" i="1"/>
  <c r="AB189" i="1" s="1"/>
  <c r="DA185" i="1" l="1"/>
  <c r="DC185" i="1" s="1"/>
  <c r="DB185" i="1"/>
  <c r="DD185" i="1" s="1"/>
  <c r="CM186" i="1"/>
  <c r="CO186" i="1" s="1"/>
  <c r="CL186" i="1"/>
  <c r="CN186" i="1" s="1"/>
  <c r="CP186" i="1" s="1"/>
  <c r="AX188" i="1"/>
  <c r="AZ188" i="1" s="1"/>
  <c r="BB188" i="1" s="1"/>
  <c r="AY188" i="1"/>
  <c r="BA188" i="1" s="1"/>
  <c r="BR187" i="1"/>
  <c r="BT187" i="1" s="1"/>
  <c r="BV187" i="1" s="1"/>
  <c r="BS187" i="1"/>
  <c r="BU187" i="1" s="1"/>
  <c r="AD189" i="1"/>
  <c r="AF189" i="1" s="1"/>
  <c r="AH189" i="1" s="1"/>
  <c r="AE189" i="1"/>
  <c r="AG189" i="1" s="1"/>
  <c r="Q190" i="1"/>
  <c r="S190" i="1" s="1"/>
  <c r="G190" i="1"/>
  <c r="I190" i="1" s="1"/>
  <c r="AI189" i="1" l="1"/>
  <c r="AK189" i="1" s="1"/>
  <c r="AM189" i="1" s="1"/>
  <c r="AJ189" i="1"/>
  <c r="AL189" i="1" s="1"/>
  <c r="BX187" i="1"/>
  <c r="BZ187" i="1" s="1"/>
  <c r="BW187" i="1"/>
  <c r="BY187" i="1" s="1"/>
  <c r="CA187" i="1" s="1"/>
  <c r="BD188" i="1"/>
  <c r="BF188" i="1" s="1"/>
  <c r="BC188" i="1"/>
  <c r="BE188" i="1" s="1"/>
  <c r="BG188" i="1" s="1"/>
  <c r="CQ186" i="1"/>
  <c r="CS186" i="1" s="1"/>
  <c r="CU186" i="1" s="1"/>
  <c r="CR186" i="1"/>
  <c r="CT186" i="1" s="1"/>
  <c r="BI188" i="1" l="1"/>
  <c r="BK188" i="1" s="1"/>
  <c r="BH188" i="1"/>
  <c r="BJ188" i="1" s="1"/>
  <c r="BL188" i="1" s="1"/>
  <c r="CC187" i="1"/>
  <c r="CE187" i="1" s="1"/>
  <c r="CB187" i="1"/>
  <c r="CD187" i="1" s="1"/>
  <c r="CF187" i="1" s="1"/>
  <c r="CW186" i="1"/>
  <c r="CY186" i="1" s="1"/>
  <c r="CV186" i="1"/>
  <c r="CX186" i="1" s="1"/>
  <c r="AN189" i="1"/>
  <c r="AP189" i="1" s="1"/>
  <c r="AR189" i="1" s="1"/>
  <c r="AO189" i="1"/>
  <c r="AQ189" i="1" s="1"/>
  <c r="K190" i="1"/>
  <c r="M190" i="1" s="1"/>
  <c r="J190" i="1"/>
  <c r="L190" i="1" s="1"/>
  <c r="N190" i="1" s="1"/>
  <c r="D191" i="1"/>
  <c r="T190" i="1"/>
  <c r="V190" i="1" s="1"/>
  <c r="X190" i="1" s="1"/>
  <c r="U190" i="1"/>
  <c r="W190" i="1" s="1"/>
  <c r="CZ186" i="1" l="1"/>
  <c r="AS189" i="1"/>
  <c r="AU189" i="1" s="1"/>
  <c r="AW189" i="1" s="1"/>
  <c r="AT189" i="1"/>
  <c r="AV189" i="1" s="1"/>
  <c r="CH187" i="1"/>
  <c r="CJ187" i="1" s="1"/>
  <c r="CG187" i="1"/>
  <c r="CI187" i="1" s="1"/>
  <c r="CK187" i="1" s="1"/>
  <c r="BN188" i="1"/>
  <c r="BP188" i="1" s="1"/>
  <c r="BM188" i="1"/>
  <c r="BO188" i="1" s="1"/>
  <c r="BQ188" i="1" s="1"/>
  <c r="O190" i="1"/>
  <c r="E191" i="1"/>
  <c r="F191" i="1"/>
  <c r="H191" i="1" s="1"/>
  <c r="Y190" i="1"/>
  <c r="AA190" i="1" s="1"/>
  <c r="AC190" i="1" s="1"/>
  <c r="Z190" i="1"/>
  <c r="AB190" i="1" s="1"/>
  <c r="DB186" i="1" l="1"/>
  <c r="DD186" i="1" s="1"/>
  <c r="DA186" i="1"/>
  <c r="DC186" i="1" s="1"/>
  <c r="AY189" i="1"/>
  <c r="BA189" i="1" s="1"/>
  <c r="AX189" i="1"/>
  <c r="AZ189" i="1" s="1"/>
  <c r="BB189" i="1" s="1"/>
  <c r="BR188" i="1"/>
  <c r="BT188" i="1" s="1"/>
  <c r="BV188" i="1" s="1"/>
  <c r="BS188" i="1"/>
  <c r="BU188" i="1" s="1"/>
  <c r="CL187" i="1"/>
  <c r="CN187" i="1" s="1"/>
  <c r="CP187" i="1" s="1"/>
  <c r="CM187" i="1"/>
  <c r="CO187" i="1" s="1"/>
  <c r="P190" i="1"/>
  <c r="R190" i="1" s="1"/>
  <c r="AD190" i="1"/>
  <c r="AF190" i="1" s="1"/>
  <c r="AH190" i="1" s="1"/>
  <c r="AE190" i="1"/>
  <c r="AG190" i="1" s="1"/>
  <c r="G191" i="1"/>
  <c r="I191" i="1" s="1"/>
  <c r="Q191" i="1"/>
  <c r="S191" i="1" s="1"/>
  <c r="AJ190" i="1" l="1"/>
  <c r="AL190" i="1" s="1"/>
  <c r="AI190" i="1"/>
  <c r="AK190" i="1" s="1"/>
  <c r="AM190" i="1" s="1"/>
  <c r="CQ187" i="1"/>
  <c r="CS187" i="1" s="1"/>
  <c r="CU187" i="1" s="1"/>
  <c r="CR187" i="1"/>
  <c r="CT187" i="1" s="1"/>
  <c r="BX188" i="1"/>
  <c r="BZ188" i="1" s="1"/>
  <c r="BW188" i="1"/>
  <c r="BY188" i="1" s="1"/>
  <c r="CA188" i="1" s="1"/>
  <c r="BC189" i="1"/>
  <c r="BE189" i="1" s="1"/>
  <c r="BG189" i="1" s="1"/>
  <c r="BD189" i="1"/>
  <c r="BF189" i="1" s="1"/>
  <c r="CC188" i="1" l="1"/>
  <c r="CE188" i="1" s="1"/>
  <c r="CB188" i="1"/>
  <c r="CD188" i="1" s="1"/>
  <c r="CF188" i="1" s="1"/>
  <c r="AN190" i="1"/>
  <c r="AP190" i="1" s="1"/>
  <c r="AR190" i="1" s="1"/>
  <c r="AO190" i="1"/>
  <c r="AQ190" i="1" s="1"/>
  <c r="BI189" i="1"/>
  <c r="BK189" i="1" s="1"/>
  <c r="BH189" i="1"/>
  <c r="BJ189" i="1" s="1"/>
  <c r="BL189" i="1" s="1"/>
  <c r="CV187" i="1"/>
  <c r="CX187" i="1" s="1"/>
  <c r="CW187" i="1"/>
  <c r="CY187" i="1" s="1"/>
  <c r="U191" i="1"/>
  <c r="W191" i="1" s="1"/>
  <c r="T191" i="1"/>
  <c r="V191" i="1" s="1"/>
  <c r="X191" i="1" s="1"/>
  <c r="J191" i="1"/>
  <c r="L191" i="1" s="1"/>
  <c r="N191" i="1" s="1"/>
  <c r="K191" i="1"/>
  <c r="M191" i="1" s="1"/>
  <c r="D192" i="1"/>
  <c r="CZ187" i="1" l="1"/>
  <c r="DB187" i="1"/>
  <c r="DD187" i="1" s="1"/>
  <c r="DA187" i="1"/>
  <c r="DC187" i="1" s="1"/>
  <c r="AS190" i="1"/>
  <c r="AU190" i="1" s="1"/>
  <c r="AW190" i="1" s="1"/>
  <c r="AT190" i="1"/>
  <c r="AV190" i="1" s="1"/>
  <c r="BN189" i="1"/>
  <c r="BP189" i="1" s="1"/>
  <c r="BM189" i="1"/>
  <c r="BO189" i="1" s="1"/>
  <c r="BQ189" i="1" s="1"/>
  <c r="CG188" i="1"/>
  <c r="CI188" i="1" s="1"/>
  <c r="CK188" i="1" s="1"/>
  <c r="CH188" i="1"/>
  <c r="CJ188" i="1" s="1"/>
  <c r="P191" i="1"/>
  <c r="R191" i="1" s="1"/>
  <c r="O191" i="1"/>
  <c r="E192" i="1"/>
  <c r="F192" i="1"/>
  <c r="H192" i="1" s="1"/>
  <c r="Y191" i="1"/>
  <c r="AA191" i="1" s="1"/>
  <c r="AC191" i="1" s="1"/>
  <c r="Z191" i="1"/>
  <c r="AB191" i="1" s="1"/>
  <c r="BS189" i="1" l="1"/>
  <c r="BU189" i="1" s="1"/>
  <c r="BR189" i="1"/>
  <c r="BT189" i="1" s="1"/>
  <c r="BV189" i="1" s="1"/>
  <c r="CM188" i="1"/>
  <c r="CO188" i="1" s="1"/>
  <c r="CL188" i="1"/>
  <c r="CN188" i="1" s="1"/>
  <c r="CP188" i="1" s="1"/>
  <c r="AY190" i="1"/>
  <c r="BA190" i="1" s="1"/>
  <c r="AX190" i="1"/>
  <c r="AZ190" i="1" s="1"/>
  <c r="BB190" i="1" s="1"/>
  <c r="AD191" i="1"/>
  <c r="AF191" i="1" s="1"/>
  <c r="AH191" i="1" s="1"/>
  <c r="AE191" i="1"/>
  <c r="AG191" i="1" s="1"/>
  <c r="G192" i="1"/>
  <c r="I192" i="1" s="1"/>
  <c r="Q192" i="1"/>
  <c r="S192" i="1" s="1"/>
  <c r="AJ191" i="1" l="1"/>
  <c r="AL191" i="1" s="1"/>
  <c r="AI191" i="1"/>
  <c r="AK191" i="1" s="1"/>
  <c r="AM191" i="1" s="1"/>
  <c r="BC190" i="1"/>
  <c r="BE190" i="1" s="1"/>
  <c r="BG190" i="1" s="1"/>
  <c r="BD190" i="1"/>
  <c r="BF190" i="1" s="1"/>
  <c r="CR188" i="1"/>
  <c r="CT188" i="1" s="1"/>
  <c r="CQ188" i="1"/>
  <c r="CS188" i="1" s="1"/>
  <c r="CU188" i="1" s="1"/>
  <c r="BX189" i="1"/>
  <c r="BZ189" i="1" s="1"/>
  <c r="BW189" i="1"/>
  <c r="BY189" i="1" s="1"/>
  <c r="CA189" i="1" s="1"/>
  <c r="CW188" i="1" l="1"/>
  <c r="CY188" i="1" s="1"/>
  <c r="CV188" i="1"/>
  <c r="CX188" i="1" s="1"/>
  <c r="AN191" i="1"/>
  <c r="AP191" i="1" s="1"/>
  <c r="AR191" i="1" s="1"/>
  <c r="AO191" i="1"/>
  <c r="AQ191" i="1" s="1"/>
  <c r="CB189" i="1"/>
  <c r="CD189" i="1" s="1"/>
  <c r="CF189" i="1" s="1"/>
  <c r="CC189" i="1"/>
  <c r="CE189" i="1" s="1"/>
  <c r="BI190" i="1"/>
  <c r="BK190" i="1" s="1"/>
  <c r="BH190" i="1"/>
  <c r="BJ190" i="1" s="1"/>
  <c r="BL190" i="1" s="1"/>
  <c r="J192" i="1"/>
  <c r="L192" i="1" s="1"/>
  <c r="N192" i="1" s="1"/>
  <c r="K192" i="1"/>
  <c r="M192" i="1" s="1"/>
  <c r="D193" i="1"/>
  <c r="T192" i="1"/>
  <c r="V192" i="1" s="1"/>
  <c r="X192" i="1" s="1"/>
  <c r="U192" i="1"/>
  <c r="W192" i="1" s="1"/>
  <c r="CZ188" i="1" l="1"/>
  <c r="CH189" i="1"/>
  <c r="CJ189" i="1" s="1"/>
  <c r="CG189" i="1"/>
  <c r="CI189" i="1" s="1"/>
  <c r="CK189" i="1" s="1"/>
  <c r="AT191" i="1"/>
  <c r="AV191" i="1" s="1"/>
  <c r="AS191" i="1"/>
  <c r="AU191" i="1" s="1"/>
  <c r="AW191" i="1" s="1"/>
  <c r="BN190" i="1"/>
  <c r="BP190" i="1" s="1"/>
  <c r="BM190" i="1"/>
  <c r="BO190" i="1" s="1"/>
  <c r="BQ190" i="1" s="1"/>
  <c r="P192" i="1"/>
  <c r="R192" i="1" s="1"/>
  <c r="E193" i="1"/>
  <c r="F193" i="1"/>
  <c r="H193" i="1" s="1"/>
  <c r="Z192" i="1"/>
  <c r="AB192" i="1" s="1"/>
  <c r="Y192" i="1"/>
  <c r="AA192" i="1" s="1"/>
  <c r="AC192" i="1" s="1"/>
  <c r="DA188" i="1" l="1"/>
  <c r="DC188" i="1" s="1"/>
  <c r="DB188" i="1"/>
  <c r="DD188" i="1" s="1"/>
  <c r="BR190" i="1"/>
  <c r="BT190" i="1" s="1"/>
  <c r="BV190" i="1" s="1"/>
  <c r="BS190" i="1"/>
  <c r="BU190" i="1" s="1"/>
  <c r="AX191" i="1"/>
  <c r="AZ191" i="1" s="1"/>
  <c r="BB191" i="1" s="1"/>
  <c r="AY191" i="1"/>
  <c r="BA191" i="1" s="1"/>
  <c r="CL189" i="1"/>
  <c r="CN189" i="1" s="1"/>
  <c r="CP189" i="1" s="1"/>
  <c r="CM189" i="1"/>
  <c r="CO189" i="1" s="1"/>
  <c r="O192" i="1"/>
  <c r="AE192" i="1"/>
  <c r="AG192" i="1" s="1"/>
  <c r="AD192" i="1"/>
  <c r="AF192" i="1" s="1"/>
  <c r="AH192" i="1" s="1"/>
  <c r="G193" i="1"/>
  <c r="I193" i="1" s="1"/>
  <c r="Q193" i="1"/>
  <c r="S193" i="1" s="1"/>
  <c r="AJ192" i="1" l="1"/>
  <c r="AL192" i="1" s="1"/>
  <c r="AI192" i="1"/>
  <c r="AK192" i="1" s="1"/>
  <c r="AM192" i="1" s="1"/>
  <c r="CR189" i="1"/>
  <c r="CT189" i="1" s="1"/>
  <c r="CQ189" i="1"/>
  <c r="CS189" i="1" s="1"/>
  <c r="CU189" i="1" s="1"/>
  <c r="BC191" i="1"/>
  <c r="BE191" i="1" s="1"/>
  <c r="BG191" i="1" s="1"/>
  <c r="BD191" i="1"/>
  <c r="BF191" i="1" s="1"/>
  <c r="BW190" i="1"/>
  <c r="BY190" i="1" s="1"/>
  <c r="CA190" i="1" s="1"/>
  <c r="BX190" i="1"/>
  <c r="BZ190" i="1" s="1"/>
  <c r="CV189" i="1" l="1"/>
  <c r="CX189" i="1" s="1"/>
  <c r="CW189" i="1"/>
  <c r="CY189" i="1" s="1"/>
  <c r="AN192" i="1"/>
  <c r="AP192" i="1" s="1"/>
  <c r="AR192" i="1" s="1"/>
  <c r="AO192" i="1"/>
  <c r="AQ192" i="1" s="1"/>
  <c r="CB190" i="1"/>
  <c r="CD190" i="1" s="1"/>
  <c r="CF190" i="1" s="1"/>
  <c r="CC190" i="1"/>
  <c r="CE190" i="1" s="1"/>
  <c r="BI191" i="1"/>
  <c r="BK191" i="1" s="1"/>
  <c r="BH191" i="1"/>
  <c r="BJ191" i="1" s="1"/>
  <c r="BL191" i="1" s="1"/>
  <c r="T193" i="1"/>
  <c r="V193" i="1" s="1"/>
  <c r="X193" i="1" s="1"/>
  <c r="U193" i="1"/>
  <c r="W193" i="1" s="1"/>
  <c r="J193" i="1"/>
  <c r="L193" i="1" s="1"/>
  <c r="N193" i="1" s="1"/>
  <c r="K193" i="1"/>
  <c r="M193" i="1" s="1"/>
  <c r="D194" i="1"/>
  <c r="CZ189" i="1" l="1"/>
  <c r="CH190" i="1"/>
  <c r="CJ190" i="1" s="1"/>
  <c r="CG190" i="1"/>
  <c r="CI190" i="1" s="1"/>
  <c r="CK190" i="1" s="1"/>
  <c r="AS192" i="1"/>
  <c r="AU192" i="1" s="1"/>
  <c r="AW192" i="1" s="1"/>
  <c r="AT192" i="1"/>
  <c r="AV192" i="1" s="1"/>
  <c r="DB189" i="1"/>
  <c r="DD189" i="1" s="1"/>
  <c r="DA189" i="1"/>
  <c r="DC189" i="1" s="1"/>
  <c r="BN191" i="1"/>
  <c r="BP191" i="1" s="1"/>
  <c r="BM191" i="1"/>
  <c r="BO191" i="1" s="1"/>
  <c r="BQ191" i="1" s="1"/>
  <c r="P193" i="1"/>
  <c r="R193" i="1" s="1"/>
  <c r="E194" i="1"/>
  <c r="F194" i="1"/>
  <c r="H194" i="1" s="1"/>
  <c r="Y193" i="1"/>
  <c r="AA193" i="1" s="1"/>
  <c r="AC193" i="1" s="1"/>
  <c r="Z193" i="1"/>
  <c r="AB193" i="1" s="1"/>
  <c r="AY192" i="1" l="1"/>
  <c r="BA192" i="1" s="1"/>
  <c r="AX192" i="1"/>
  <c r="AZ192" i="1" s="1"/>
  <c r="BB192" i="1" s="1"/>
  <c r="BR191" i="1"/>
  <c r="BT191" i="1" s="1"/>
  <c r="BV191" i="1" s="1"/>
  <c r="BS191" i="1"/>
  <c r="BU191" i="1" s="1"/>
  <c r="CL190" i="1"/>
  <c r="CN190" i="1" s="1"/>
  <c r="CP190" i="1" s="1"/>
  <c r="CM190" i="1"/>
  <c r="CO190" i="1" s="1"/>
  <c r="O193" i="1"/>
  <c r="AD193" i="1"/>
  <c r="AF193" i="1" s="1"/>
  <c r="AH193" i="1" s="1"/>
  <c r="AE193" i="1"/>
  <c r="AG193" i="1" s="1"/>
  <c r="G194" i="1"/>
  <c r="I194" i="1" s="1"/>
  <c r="Q194" i="1"/>
  <c r="S194" i="1" s="1"/>
  <c r="CQ190" i="1" l="1"/>
  <c r="CS190" i="1" s="1"/>
  <c r="CU190" i="1" s="1"/>
  <c r="CR190" i="1"/>
  <c r="CT190" i="1" s="1"/>
  <c r="BX191" i="1"/>
  <c r="BZ191" i="1" s="1"/>
  <c r="BW191" i="1"/>
  <c r="BY191" i="1" s="1"/>
  <c r="CA191" i="1" s="1"/>
  <c r="AJ193" i="1"/>
  <c r="AL193" i="1" s="1"/>
  <c r="AI193" i="1"/>
  <c r="AK193" i="1" s="1"/>
  <c r="AM193" i="1" s="1"/>
  <c r="BC192" i="1"/>
  <c r="BE192" i="1" s="1"/>
  <c r="BG192" i="1" s="1"/>
  <c r="BD192" i="1"/>
  <c r="BF192" i="1" s="1"/>
  <c r="AN193" i="1" l="1"/>
  <c r="AP193" i="1" s="1"/>
  <c r="AR193" i="1" s="1"/>
  <c r="AO193" i="1"/>
  <c r="AQ193" i="1" s="1"/>
  <c r="CW190" i="1"/>
  <c r="CY190" i="1" s="1"/>
  <c r="CV190" i="1"/>
  <c r="CX190" i="1" s="1"/>
  <c r="BI192" i="1"/>
  <c r="BK192" i="1" s="1"/>
  <c r="BH192" i="1"/>
  <c r="BJ192" i="1" s="1"/>
  <c r="BL192" i="1" s="1"/>
  <c r="CC191" i="1"/>
  <c r="CE191" i="1" s="1"/>
  <c r="CB191" i="1"/>
  <c r="CD191" i="1" s="1"/>
  <c r="CF191" i="1" s="1"/>
  <c r="T194" i="1"/>
  <c r="V194" i="1" s="1"/>
  <c r="X194" i="1" s="1"/>
  <c r="U194" i="1"/>
  <c r="W194" i="1" s="1"/>
  <c r="J194" i="1"/>
  <c r="L194" i="1" s="1"/>
  <c r="N194" i="1" s="1"/>
  <c r="K194" i="1"/>
  <c r="M194" i="1" s="1"/>
  <c r="D195" i="1"/>
  <c r="CZ190" i="1" l="1"/>
  <c r="AS193" i="1"/>
  <c r="AU193" i="1" s="1"/>
  <c r="AW193" i="1" s="1"/>
  <c r="AT193" i="1"/>
  <c r="AV193" i="1" s="1"/>
  <c r="CH191" i="1"/>
  <c r="CJ191" i="1" s="1"/>
  <c r="CG191" i="1"/>
  <c r="CI191" i="1" s="1"/>
  <c r="CK191" i="1" s="1"/>
  <c r="BN192" i="1"/>
  <c r="BP192" i="1" s="1"/>
  <c r="BM192" i="1"/>
  <c r="BO192" i="1" s="1"/>
  <c r="BQ192" i="1" s="1"/>
  <c r="P194" i="1"/>
  <c r="R194" i="1" s="1"/>
  <c r="F195" i="1"/>
  <c r="H195" i="1" s="1"/>
  <c r="E195" i="1"/>
  <c r="Z194" i="1"/>
  <c r="AB194" i="1" s="1"/>
  <c r="Y194" i="1"/>
  <c r="AA194" i="1" s="1"/>
  <c r="AC194" i="1" s="1"/>
  <c r="DA190" i="1" l="1"/>
  <c r="DC190" i="1" s="1"/>
  <c r="DB190" i="1"/>
  <c r="DD190" i="1" s="1"/>
  <c r="AY193" i="1"/>
  <c r="BA193" i="1" s="1"/>
  <c r="AX193" i="1"/>
  <c r="AZ193" i="1" s="1"/>
  <c r="BB193" i="1" s="1"/>
  <c r="BR192" i="1"/>
  <c r="BT192" i="1" s="1"/>
  <c r="BV192" i="1" s="1"/>
  <c r="BS192" i="1"/>
  <c r="BU192" i="1" s="1"/>
  <c r="CL191" i="1"/>
  <c r="CN191" i="1" s="1"/>
  <c r="CP191" i="1" s="1"/>
  <c r="CM191" i="1"/>
  <c r="CO191" i="1" s="1"/>
  <c r="O194" i="1"/>
  <c r="AE194" i="1"/>
  <c r="AG194" i="1" s="1"/>
  <c r="AD194" i="1"/>
  <c r="AF194" i="1" s="1"/>
  <c r="AH194" i="1" s="1"/>
  <c r="G195" i="1"/>
  <c r="I195" i="1" s="1"/>
  <c r="Q195" i="1"/>
  <c r="S195" i="1" s="1"/>
  <c r="BD193" i="1" l="1"/>
  <c r="BF193" i="1" s="1"/>
  <c r="BC193" i="1"/>
  <c r="BE193" i="1" s="1"/>
  <c r="BG193" i="1" s="1"/>
  <c r="AJ194" i="1"/>
  <c r="AL194" i="1" s="1"/>
  <c r="AI194" i="1"/>
  <c r="AK194" i="1" s="1"/>
  <c r="AM194" i="1" s="1"/>
  <c r="CR191" i="1"/>
  <c r="CT191" i="1" s="1"/>
  <c r="CQ191" i="1"/>
  <c r="CS191" i="1" s="1"/>
  <c r="CU191" i="1" s="1"/>
  <c r="BX192" i="1"/>
  <c r="BZ192" i="1" s="1"/>
  <c r="BW192" i="1"/>
  <c r="BY192" i="1" s="1"/>
  <c r="CA192" i="1" s="1"/>
  <c r="CW191" i="1" l="1"/>
  <c r="CY191" i="1" s="1"/>
  <c r="CV191" i="1"/>
  <c r="CX191" i="1" s="1"/>
  <c r="AN194" i="1"/>
  <c r="AP194" i="1" s="1"/>
  <c r="AR194" i="1" s="1"/>
  <c r="AO194" i="1"/>
  <c r="AQ194" i="1" s="1"/>
  <c r="CB192" i="1"/>
  <c r="CD192" i="1" s="1"/>
  <c r="CF192" i="1" s="1"/>
  <c r="CC192" i="1"/>
  <c r="CE192" i="1" s="1"/>
  <c r="BI193" i="1"/>
  <c r="BK193" i="1" s="1"/>
  <c r="BH193" i="1"/>
  <c r="BJ193" i="1" s="1"/>
  <c r="BL193" i="1" s="1"/>
  <c r="J195" i="1"/>
  <c r="L195" i="1" s="1"/>
  <c r="N195" i="1" s="1"/>
  <c r="K195" i="1"/>
  <c r="M195" i="1" s="1"/>
  <c r="D196" i="1"/>
  <c r="U195" i="1"/>
  <c r="W195" i="1" s="1"/>
  <c r="T195" i="1"/>
  <c r="V195" i="1" s="1"/>
  <c r="X195" i="1" s="1"/>
  <c r="CZ191" i="1" l="1"/>
  <c r="CG192" i="1"/>
  <c r="CI192" i="1" s="1"/>
  <c r="CK192" i="1" s="1"/>
  <c r="CH192" i="1"/>
  <c r="CJ192" i="1" s="1"/>
  <c r="AS194" i="1"/>
  <c r="AU194" i="1" s="1"/>
  <c r="AW194" i="1" s="1"/>
  <c r="AT194" i="1"/>
  <c r="AV194" i="1" s="1"/>
  <c r="BM193" i="1"/>
  <c r="BO193" i="1" s="1"/>
  <c r="BQ193" i="1" s="1"/>
  <c r="BN193" i="1"/>
  <c r="BP193" i="1" s="1"/>
  <c r="P195" i="1"/>
  <c r="R195" i="1" s="1"/>
  <c r="Y195" i="1"/>
  <c r="AA195" i="1" s="1"/>
  <c r="AC195" i="1" s="1"/>
  <c r="Z195" i="1"/>
  <c r="AB195" i="1" s="1"/>
  <c r="E196" i="1"/>
  <c r="F196" i="1"/>
  <c r="H196" i="1" s="1"/>
  <c r="DA191" i="1" l="1"/>
  <c r="DC191" i="1" s="1"/>
  <c r="DB191" i="1"/>
  <c r="DD191" i="1" s="1"/>
  <c r="BS193" i="1"/>
  <c r="BU193" i="1" s="1"/>
  <c r="BR193" i="1"/>
  <c r="BT193" i="1" s="1"/>
  <c r="BV193" i="1" s="1"/>
  <c r="AX194" i="1"/>
  <c r="AZ194" i="1" s="1"/>
  <c r="BB194" i="1" s="1"/>
  <c r="AY194" i="1"/>
  <c r="BA194" i="1" s="1"/>
  <c r="CM192" i="1"/>
  <c r="CO192" i="1" s="1"/>
  <c r="CL192" i="1"/>
  <c r="CN192" i="1" s="1"/>
  <c r="CP192" i="1" s="1"/>
  <c r="O195" i="1"/>
  <c r="AE195" i="1"/>
  <c r="AG195" i="1" s="1"/>
  <c r="AD195" i="1"/>
  <c r="AF195" i="1" s="1"/>
  <c r="AH195" i="1" s="1"/>
  <c r="G196" i="1"/>
  <c r="I196" i="1" s="1"/>
  <c r="Q196" i="1"/>
  <c r="S196" i="1" s="1"/>
  <c r="CR192" i="1" l="1"/>
  <c r="CT192" i="1" s="1"/>
  <c r="CQ192" i="1"/>
  <c r="CS192" i="1" s="1"/>
  <c r="CU192" i="1" s="1"/>
  <c r="BW193" i="1"/>
  <c r="BY193" i="1" s="1"/>
  <c r="CA193" i="1" s="1"/>
  <c r="BX193" i="1"/>
  <c r="BZ193" i="1" s="1"/>
  <c r="AJ195" i="1"/>
  <c r="AL195" i="1" s="1"/>
  <c r="AI195" i="1"/>
  <c r="AK195" i="1" s="1"/>
  <c r="AM195" i="1" s="1"/>
  <c r="BC194" i="1"/>
  <c r="BE194" i="1" s="1"/>
  <c r="BG194" i="1" s="1"/>
  <c r="BD194" i="1"/>
  <c r="BF194" i="1" s="1"/>
  <c r="AN195" i="1" l="1"/>
  <c r="AP195" i="1" s="1"/>
  <c r="AR195" i="1" s="1"/>
  <c r="AO195" i="1"/>
  <c r="AQ195" i="1" s="1"/>
  <c r="CB193" i="1"/>
  <c r="CD193" i="1" s="1"/>
  <c r="CF193" i="1" s="1"/>
  <c r="CC193" i="1"/>
  <c r="CE193" i="1" s="1"/>
  <c r="BH194" i="1"/>
  <c r="BJ194" i="1" s="1"/>
  <c r="BL194" i="1" s="1"/>
  <c r="BI194" i="1"/>
  <c r="BK194" i="1" s="1"/>
  <c r="CW192" i="1"/>
  <c r="CY192" i="1" s="1"/>
  <c r="CV192" i="1"/>
  <c r="CX192" i="1" s="1"/>
  <c r="T196" i="1"/>
  <c r="V196" i="1" s="1"/>
  <c r="X196" i="1" s="1"/>
  <c r="U196" i="1"/>
  <c r="W196" i="1" s="1"/>
  <c r="J196" i="1"/>
  <c r="L196" i="1" s="1"/>
  <c r="N196" i="1" s="1"/>
  <c r="K196" i="1"/>
  <c r="M196" i="1" s="1"/>
  <c r="D197" i="1"/>
  <c r="CZ192" i="1" l="1"/>
  <c r="BN194" i="1"/>
  <c r="BP194" i="1" s="1"/>
  <c r="BM194" i="1"/>
  <c r="BO194" i="1" s="1"/>
  <c r="BQ194" i="1" s="1"/>
  <c r="CG193" i="1"/>
  <c r="CI193" i="1" s="1"/>
  <c r="CK193" i="1" s="1"/>
  <c r="CH193" i="1"/>
  <c r="CJ193" i="1" s="1"/>
  <c r="AT195" i="1"/>
  <c r="AV195" i="1" s="1"/>
  <c r="AS195" i="1"/>
  <c r="AU195" i="1" s="1"/>
  <c r="AW195" i="1" s="1"/>
  <c r="P196" i="1"/>
  <c r="R196" i="1" s="1"/>
  <c r="E197" i="1"/>
  <c r="F197" i="1"/>
  <c r="H197" i="1" s="1"/>
  <c r="Z196" i="1"/>
  <c r="AB196" i="1" s="1"/>
  <c r="Y196" i="1"/>
  <c r="AA196" i="1" s="1"/>
  <c r="AC196" i="1" s="1"/>
  <c r="DB192" i="1" l="1"/>
  <c r="DD192" i="1" s="1"/>
  <c r="DA192" i="1"/>
  <c r="DC192" i="1" s="1"/>
  <c r="CM193" i="1"/>
  <c r="CO193" i="1" s="1"/>
  <c r="CL193" i="1"/>
  <c r="CN193" i="1" s="1"/>
  <c r="CP193" i="1" s="1"/>
  <c r="AY195" i="1"/>
  <c r="BA195" i="1" s="1"/>
  <c r="AX195" i="1"/>
  <c r="AZ195" i="1" s="1"/>
  <c r="BB195" i="1" s="1"/>
  <c r="BR194" i="1"/>
  <c r="BT194" i="1" s="1"/>
  <c r="BV194" i="1" s="1"/>
  <c r="BS194" i="1"/>
  <c r="BU194" i="1" s="1"/>
  <c r="O196" i="1"/>
  <c r="AD196" i="1"/>
  <c r="AF196" i="1" s="1"/>
  <c r="AH196" i="1" s="1"/>
  <c r="AE196" i="1"/>
  <c r="AG196" i="1" s="1"/>
  <c r="Q197" i="1"/>
  <c r="S197" i="1" s="1"/>
  <c r="G197" i="1"/>
  <c r="I197" i="1" s="1"/>
  <c r="BC195" i="1" l="1"/>
  <c r="BE195" i="1" s="1"/>
  <c r="BG195" i="1" s="1"/>
  <c r="BD195" i="1"/>
  <c r="BF195" i="1" s="1"/>
  <c r="CQ193" i="1"/>
  <c r="CS193" i="1" s="1"/>
  <c r="CU193" i="1" s="1"/>
  <c r="CR193" i="1"/>
  <c r="CT193" i="1" s="1"/>
  <c r="AJ196" i="1"/>
  <c r="AL196" i="1" s="1"/>
  <c r="AI196" i="1"/>
  <c r="AK196" i="1" s="1"/>
  <c r="AM196" i="1" s="1"/>
  <c r="BX194" i="1"/>
  <c r="BZ194" i="1" s="1"/>
  <c r="BW194" i="1"/>
  <c r="BY194" i="1" s="1"/>
  <c r="CA194" i="1" s="1"/>
  <c r="AN196" i="1" l="1"/>
  <c r="AP196" i="1" s="1"/>
  <c r="AR196" i="1" s="1"/>
  <c r="AO196" i="1"/>
  <c r="AQ196" i="1" s="1"/>
  <c r="CW193" i="1"/>
  <c r="CY193" i="1" s="1"/>
  <c r="CV193" i="1"/>
  <c r="CX193" i="1" s="1"/>
  <c r="BI195" i="1"/>
  <c r="BK195" i="1" s="1"/>
  <c r="BH195" i="1"/>
  <c r="BJ195" i="1" s="1"/>
  <c r="BL195" i="1" s="1"/>
  <c r="CB194" i="1"/>
  <c r="CD194" i="1" s="1"/>
  <c r="CF194" i="1" s="1"/>
  <c r="CC194" i="1"/>
  <c r="CE194" i="1" s="1"/>
  <c r="J197" i="1"/>
  <c r="L197" i="1" s="1"/>
  <c r="N197" i="1" s="1"/>
  <c r="K197" i="1"/>
  <c r="M197" i="1" s="1"/>
  <c r="D198" i="1"/>
  <c r="T197" i="1"/>
  <c r="V197" i="1" s="1"/>
  <c r="X197" i="1" s="1"/>
  <c r="U197" i="1"/>
  <c r="W197" i="1" s="1"/>
  <c r="CZ193" i="1" l="1"/>
  <c r="CG194" i="1"/>
  <c r="CI194" i="1" s="1"/>
  <c r="CK194" i="1" s="1"/>
  <c r="CH194" i="1"/>
  <c r="CJ194" i="1" s="1"/>
  <c r="AS196" i="1"/>
  <c r="AU196" i="1" s="1"/>
  <c r="AW196" i="1" s="1"/>
  <c r="AT196" i="1"/>
  <c r="AV196" i="1" s="1"/>
  <c r="BM195" i="1"/>
  <c r="BO195" i="1" s="1"/>
  <c r="BQ195" i="1" s="1"/>
  <c r="BN195" i="1"/>
  <c r="BP195" i="1" s="1"/>
  <c r="P197" i="1"/>
  <c r="R197" i="1" s="1"/>
  <c r="Z197" i="1"/>
  <c r="AB197" i="1" s="1"/>
  <c r="Y197" i="1"/>
  <c r="AA197" i="1" s="1"/>
  <c r="AC197" i="1" s="1"/>
  <c r="E198" i="1"/>
  <c r="F198" i="1"/>
  <c r="H198" i="1" s="1"/>
  <c r="DA193" i="1" l="1"/>
  <c r="DC193" i="1" s="1"/>
  <c r="DB193" i="1"/>
  <c r="DD193" i="1" s="1"/>
  <c r="BR195" i="1"/>
  <c r="BT195" i="1" s="1"/>
  <c r="BV195" i="1" s="1"/>
  <c r="BS195" i="1"/>
  <c r="BU195" i="1" s="1"/>
  <c r="AY196" i="1"/>
  <c r="BA196" i="1" s="1"/>
  <c r="AX196" i="1"/>
  <c r="AZ196" i="1" s="1"/>
  <c r="BB196" i="1" s="1"/>
  <c r="CM194" i="1"/>
  <c r="CO194" i="1" s="1"/>
  <c r="CL194" i="1"/>
  <c r="CN194" i="1" s="1"/>
  <c r="CP194" i="1" s="1"/>
  <c r="O197" i="1"/>
  <c r="AE197" i="1"/>
  <c r="AG197" i="1" s="1"/>
  <c r="AD197" i="1"/>
  <c r="AF197" i="1" s="1"/>
  <c r="AH197" i="1" s="1"/>
  <c r="G198" i="1"/>
  <c r="I198" i="1" s="1"/>
  <c r="Q198" i="1"/>
  <c r="S198" i="1" s="1"/>
  <c r="AJ197" i="1" l="1"/>
  <c r="AL197" i="1" s="1"/>
  <c r="AI197" i="1"/>
  <c r="AK197" i="1" s="1"/>
  <c r="AM197" i="1" s="1"/>
  <c r="BW195" i="1"/>
  <c r="BY195" i="1" s="1"/>
  <c r="CA195" i="1" s="1"/>
  <c r="BX195" i="1"/>
  <c r="BZ195" i="1" s="1"/>
  <c r="CR194" i="1"/>
  <c r="CT194" i="1" s="1"/>
  <c r="CQ194" i="1"/>
  <c r="CS194" i="1" s="1"/>
  <c r="CU194" i="1" s="1"/>
  <c r="BD196" i="1"/>
  <c r="BF196" i="1" s="1"/>
  <c r="BC196" i="1"/>
  <c r="BE196" i="1" s="1"/>
  <c r="BG196" i="1" s="1"/>
  <c r="CV194" i="1" l="1"/>
  <c r="CX194" i="1" s="1"/>
  <c r="CW194" i="1"/>
  <c r="CY194" i="1" s="1"/>
  <c r="AO197" i="1"/>
  <c r="AQ197" i="1" s="1"/>
  <c r="AN197" i="1"/>
  <c r="AP197" i="1" s="1"/>
  <c r="AR197" i="1" s="1"/>
  <c r="BI196" i="1"/>
  <c r="BK196" i="1" s="1"/>
  <c r="BH196" i="1"/>
  <c r="BJ196" i="1" s="1"/>
  <c r="BL196" i="1" s="1"/>
  <c r="CB195" i="1"/>
  <c r="CD195" i="1" s="1"/>
  <c r="CF195" i="1" s="1"/>
  <c r="CC195" i="1"/>
  <c r="CE195" i="1" s="1"/>
  <c r="J198" i="1"/>
  <c r="L198" i="1" s="1"/>
  <c r="N198" i="1" s="1"/>
  <c r="K198" i="1"/>
  <c r="M198" i="1" s="1"/>
  <c r="D199" i="1"/>
  <c r="T198" i="1"/>
  <c r="V198" i="1" s="1"/>
  <c r="X198" i="1" s="1"/>
  <c r="U198" i="1"/>
  <c r="W198" i="1" s="1"/>
  <c r="CZ194" i="1" l="1"/>
  <c r="CH195" i="1"/>
  <c r="CJ195" i="1" s="1"/>
  <c r="CG195" i="1"/>
  <c r="CI195" i="1" s="1"/>
  <c r="CK195" i="1" s="1"/>
  <c r="DA194" i="1"/>
  <c r="DC194" i="1" s="1"/>
  <c r="DB194" i="1"/>
  <c r="DD194" i="1" s="1"/>
  <c r="BN196" i="1"/>
  <c r="BP196" i="1" s="1"/>
  <c r="BM196" i="1"/>
  <c r="BO196" i="1" s="1"/>
  <c r="BQ196" i="1" s="1"/>
  <c r="AT197" i="1"/>
  <c r="AV197" i="1" s="1"/>
  <c r="AS197" i="1"/>
  <c r="AU197" i="1" s="1"/>
  <c r="AW197" i="1" s="1"/>
  <c r="P198" i="1"/>
  <c r="R198" i="1" s="1"/>
  <c r="F199" i="1"/>
  <c r="H199" i="1" s="1"/>
  <c r="E199" i="1"/>
  <c r="Y198" i="1"/>
  <c r="AA198" i="1" s="1"/>
  <c r="AC198" i="1" s="1"/>
  <c r="Z198" i="1"/>
  <c r="AB198" i="1" s="1"/>
  <c r="AY197" i="1" l="1"/>
  <c r="BA197" i="1" s="1"/>
  <c r="AX197" i="1"/>
  <c r="AZ197" i="1" s="1"/>
  <c r="BB197" i="1" s="1"/>
  <c r="BR196" i="1"/>
  <c r="BT196" i="1" s="1"/>
  <c r="BV196" i="1" s="1"/>
  <c r="BS196" i="1"/>
  <c r="BU196" i="1" s="1"/>
  <c r="CL195" i="1"/>
  <c r="CN195" i="1" s="1"/>
  <c r="CP195" i="1" s="1"/>
  <c r="CM195" i="1"/>
  <c r="CO195" i="1" s="1"/>
  <c r="O198" i="1"/>
  <c r="AE198" i="1"/>
  <c r="AG198" i="1" s="1"/>
  <c r="AD198" i="1"/>
  <c r="AF198" i="1" s="1"/>
  <c r="AH198" i="1" s="1"/>
  <c r="G199" i="1"/>
  <c r="I199" i="1" s="1"/>
  <c r="Q199" i="1"/>
  <c r="S199" i="1" s="1"/>
  <c r="AI198" i="1" l="1"/>
  <c r="AK198" i="1" s="1"/>
  <c r="AM198" i="1" s="1"/>
  <c r="AJ198" i="1"/>
  <c r="AL198" i="1" s="1"/>
  <c r="CR195" i="1"/>
  <c r="CT195" i="1" s="1"/>
  <c r="CQ195" i="1"/>
  <c r="CS195" i="1" s="1"/>
  <c r="CU195" i="1" s="1"/>
  <c r="BX196" i="1"/>
  <c r="BZ196" i="1" s="1"/>
  <c r="BW196" i="1"/>
  <c r="BY196" i="1" s="1"/>
  <c r="CA196" i="1" s="1"/>
  <c r="BC197" i="1"/>
  <c r="BE197" i="1" s="1"/>
  <c r="BG197" i="1" s="1"/>
  <c r="BD197" i="1"/>
  <c r="BF197" i="1" s="1"/>
  <c r="CC196" i="1" l="1"/>
  <c r="CE196" i="1" s="1"/>
  <c r="CB196" i="1"/>
  <c r="CD196" i="1" s="1"/>
  <c r="CF196" i="1" s="1"/>
  <c r="CV195" i="1"/>
  <c r="CX195" i="1" s="1"/>
  <c r="CW195" i="1"/>
  <c r="CY195" i="1" s="1"/>
  <c r="BH197" i="1"/>
  <c r="BJ197" i="1" s="1"/>
  <c r="BL197" i="1" s="1"/>
  <c r="BI197" i="1"/>
  <c r="BK197" i="1" s="1"/>
  <c r="AO198" i="1"/>
  <c r="AQ198" i="1" s="1"/>
  <c r="AN198" i="1"/>
  <c r="AP198" i="1" s="1"/>
  <c r="AR198" i="1" s="1"/>
  <c r="U199" i="1"/>
  <c r="W199" i="1" s="1"/>
  <c r="T199" i="1"/>
  <c r="V199" i="1" s="1"/>
  <c r="X199" i="1" s="1"/>
  <c r="J199" i="1"/>
  <c r="L199" i="1" s="1"/>
  <c r="N199" i="1" s="1"/>
  <c r="K199" i="1"/>
  <c r="M199" i="1" s="1"/>
  <c r="D200" i="1"/>
  <c r="CZ195" i="1" l="1"/>
  <c r="BM197" i="1"/>
  <c r="BO197" i="1" s="1"/>
  <c r="BQ197" i="1" s="1"/>
  <c r="BN197" i="1"/>
  <c r="BP197" i="1" s="1"/>
  <c r="DB195" i="1"/>
  <c r="DD195" i="1" s="1"/>
  <c r="DA195" i="1"/>
  <c r="DC195" i="1" s="1"/>
  <c r="AT198" i="1"/>
  <c r="AV198" i="1" s="1"/>
  <c r="AS198" i="1"/>
  <c r="AU198" i="1" s="1"/>
  <c r="AW198" i="1" s="1"/>
  <c r="CG196" i="1"/>
  <c r="CI196" i="1" s="1"/>
  <c r="CK196" i="1" s="1"/>
  <c r="CH196" i="1"/>
  <c r="CJ196" i="1" s="1"/>
  <c r="P199" i="1"/>
  <c r="R199" i="1" s="1"/>
  <c r="F200" i="1"/>
  <c r="H200" i="1" s="1"/>
  <c r="E200" i="1"/>
  <c r="Z199" i="1"/>
  <c r="AB199" i="1" s="1"/>
  <c r="Y199" i="1"/>
  <c r="AA199" i="1" s="1"/>
  <c r="AC199" i="1" s="1"/>
  <c r="CL196" i="1" l="1"/>
  <c r="CN196" i="1" s="1"/>
  <c r="CP196" i="1" s="1"/>
  <c r="CM196" i="1"/>
  <c r="CO196" i="1" s="1"/>
  <c r="BS197" i="1"/>
  <c r="BU197" i="1" s="1"/>
  <c r="BR197" i="1"/>
  <c r="BT197" i="1" s="1"/>
  <c r="BV197" i="1" s="1"/>
  <c r="AX198" i="1"/>
  <c r="AZ198" i="1" s="1"/>
  <c r="BB198" i="1" s="1"/>
  <c r="AY198" i="1"/>
  <c r="BA198" i="1" s="1"/>
  <c r="O199" i="1"/>
  <c r="AE199" i="1"/>
  <c r="AG199" i="1" s="1"/>
  <c r="AD199" i="1"/>
  <c r="AF199" i="1" s="1"/>
  <c r="AH199" i="1" s="1"/>
  <c r="G200" i="1"/>
  <c r="I200" i="1" s="1"/>
  <c r="Q200" i="1"/>
  <c r="S200" i="1" s="1"/>
  <c r="BC198" i="1" l="1"/>
  <c r="BE198" i="1" s="1"/>
  <c r="BG198" i="1" s="1"/>
  <c r="BD198" i="1"/>
  <c r="BF198" i="1" s="1"/>
  <c r="CQ196" i="1"/>
  <c r="CS196" i="1" s="1"/>
  <c r="CU196" i="1" s="1"/>
  <c r="CR196" i="1"/>
  <c r="CT196" i="1" s="1"/>
  <c r="AI199" i="1"/>
  <c r="AK199" i="1" s="1"/>
  <c r="AM199" i="1" s="1"/>
  <c r="AJ199" i="1"/>
  <c r="AL199" i="1" s="1"/>
  <c r="BW197" i="1"/>
  <c r="BY197" i="1" s="1"/>
  <c r="CA197" i="1" s="1"/>
  <c r="BX197" i="1"/>
  <c r="BZ197" i="1" s="1"/>
  <c r="CW196" i="1" l="1"/>
  <c r="CY196" i="1" s="1"/>
  <c r="CV196" i="1"/>
  <c r="CX196" i="1" s="1"/>
  <c r="BH198" i="1"/>
  <c r="BJ198" i="1" s="1"/>
  <c r="BL198" i="1" s="1"/>
  <c r="BI198" i="1"/>
  <c r="BK198" i="1" s="1"/>
  <c r="CC197" i="1"/>
  <c r="CE197" i="1" s="1"/>
  <c r="CB197" i="1"/>
  <c r="CD197" i="1" s="1"/>
  <c r="CF197" i="1" s="1"/>
  <c r="AN199" i="1"/>
  <c r="AP199" i="1" s="1"/>
  <c r="AR199" i="1" s="1"/>
  <c r="AO199" i="1"/>
  <c r="AQ199" i="1" s="1"/>
  <c r="T200" i="1"/>
  <c r="V200" i="1" s="1"/>
  <c r="X200" i="1" s="1"/>
  <c r="U200" i="1"/>
  <c r="W200" i="1" s="1"/>
  <c r="J200" i="1"/>
  <c r="L200" i="1" s="1"/>
  <c r="N200" i="1" s="1"/>
  <c r="K200" i="1"/>
  <c r="M200" i="1" s="1"/>
  <c r="D201" i="1"/>
  <c r="CZ196" i="1" l="1"/>
  <c r="AT199" i="1"/>
  <c r="AV199" i="1" s="1"/>
  <c r="AS199" i="1"/>
  <c r="AU199" i="1" s="1"/>
  <c r="AW199" i="1" s="1"/>
  <c r="BM198" i="1"/>
  <c r="BO198" i="1" s="1"/>
  <c r="BQ198" i="1" s="1"/>
  <c r="BN198" i="1"/>
  <c r="BP198" i="1" s="1"/>
  <c r="CH197" i="1"/>
  <c r="CJ197" i="1" s="1"/>
  <c r="CG197" i="1"/>
  <c r="CI197" i="1" s="1"/>
  <c r="CK197" i="1" s="1"/>
  <c r="P200" i="1"/>
  <c r="R200" i="1" s="1"/>
  <c r="E201" i="1"/>
  <c r="F201" i="1"/>
  <c r="H201" i="1" s="1"/>
  <c r="Y200" i="1"/>
  <c r="AA200" i="1" s="1"/>
  <c r="AC200" i="1" s="1"/>
  <c r="Z200" i="1"/>
  <c r="AB200" i="1" s="1"/>
  <c r="DB196" i="1" l="1"/>
  <c r="DD196" i="1" s="1"/>
  <c r="DA196" i="1"/>
  <c r="DC196" i="1" s="1"/>
  <c r="BS198" i="1"/>
  <c r="BU198" i="1" s="1"/>
  <c r="BR198" i="1"/>
  <c r="BT198" i="1" s="1"/>
  <c r="BV198" i="1" s="1"/>
  <c r="CM197" i="1"/>
  <c r="CO197" i="1" s="1"/>
  <c r="CL197" i="1"/>
  <c r="CN197" i="1" s="1"/>
  <c r="CP197" i="1" s="1"/>
  <c r="AX199" i="1"/>
  <c r="AZ199" i="1" s="1"/>
  <c r="BB199" i="1" s="1"/>
  <c r="AY199" i="1"/>
  <c r="BA199" i="1" s="1"/>
  <c r="O200" i="1"/>
  <c r="AE200" i="1"/>
  <c r="AG200" i="1" s="1"/>
  <c r="AD200" i="1"/>
  <c r="AF200" i="1" s="1"/>
  <c r="AH200" i="1" s="1"/>
  <c r="G201" i="1"/>
  <c r="I201" i="1" s="1"/>
  <c r="Q201" i="1"/>
  <c r="S201" i="1" s="1"/>
  <c r="AJ200" i="1" l="1"/>
  <c r="AL200" i="1" s="1"/>
  <c r="AI200" i="1"/>
  <c r="AK200" i="1" s="1"/>
  <c r="AM200" i="1" s="1"/>
  <c r="CR197" i="1"/>
  <c r="CT197" i="1" s="1"/>
  <c r="CQ197" i="1"/>
  <c r="CS197" i="1" s="1"/>
  <c r="CU197" i="1" s="1"/>
  <c r="BX198" i="1"/>
  <c r="BZ198" i="1" s="1"/>
  <c r="BW198" i="1"/>
  <c r="BY198" i="1" s="1"/>
  <c r="CA198" i="1" s="1"/>
  <c r="BD199" i="1"/>
  <c r="BF199" i="1" s="1"/>
  <c r="BC199" i="1"/>
  <c r="BE199" i="1" s="1"/>
  <c r="BG199" i="1" s="1"/>
  <c r="CC198" i="1" l="1"/>
  <c r="CE198" i="1" s="1"/>
  <c r="CB198" i="1"/>
  <c r="CD198" i="1" s="1"/>
  <c r="CF198" i="1" s="1"/>
  <c r="CW197" i="1"/>
  <c r="CY197" i="1" s="1"/>
  <c r="CV197" i="1"/>
  <c r="CX197" i="1" s="1"/>
  <c r="AN200" i="1"/>
  <c r="AP200" i="1" s="1"/>
  <c r="AR200" i="1" s="1"/>
  <c r="AO200" i="1"/>
  <c r="AQ200" i="1" s="1"/>
  <c r="BH199" i="1"/>
  <c r="BJ199" i="1" s="1"/>
  <c r="BL199" i="1" s="1"/>
  <c r="BI199" i="1"/>
  <c r="BK199" i="1" s="1"/>
  <c r="U201" i="1"/>
  <c r="W201" i="1" s="1"/>
  <c r="T201" i="1"/>
  <c r="V201" i="1" s="1"/>
  <c r="X201" i="1" s="1"/>
  <c r="J201" i="1"/>
  <c r="L201" i="1" s="1"/>
  <c r="N201" i="1" s="1"/>
  <c r="K201" i="1"/>
  <c r="M201" i="1" s="1"/>
  <c r="D202" i="1"/>
  <c r="CZ197" i="1" l="1"/>
  <c r="BN199" i="1"/>
  <c r="BP199" i="1" s="1"/>
  <c r="BM199" i="1"/>
  <c r="BO199" i="1" s="1"/>
  <c r="BQ199" i="1" s="1"/>
  <c r="AS200" i="1"/>
  <c r="AU200" i="1" s="1"/>
  <c r="AW200" i="1" s="1"/>
  <c r="AT200" i="1"/>
  <c r="AV200" i="1" s="1"/>
  <c r="CG198" i="1"/>
  <c r="CI198" i="1" s="1"/>
  <c r="CK198" i="1" s="1"/>
  <c r="CH198" i="1"/>
  <c r="CJ198" i="1" s="1"/>
  <c r="P201" i="1"/>
  <c r="R201" i="1" s="1"/>
  <c r="E202" i="1"/>
  <c r="F202" i="1"/>
  <c r="H202" i="1" s="1"/>
  <c r="Y201" i="1"/>
  <c r="AA201" i="1" s="1"/>
  <c r="AC201" i="1" s="1"/>
  <c r="Z201" i="1"/>
  <c r="AB201" i="1" s="1"/>
  <c r="DA197" i="1" l="1"/>
  <c r="DC197" i="1" s="1"/>
  <c r="DB197" i="1"/>
  <c r="DD197" i="1" s="1"/>
  <c r="CM198" i="1"/>
  <c r="CO198" i="1" s="1"/>
  <c r="CL198" i="1"/>
  <c r="CN198" i="1" s="1"/>
  <c r="CP198" i="1" s="1"/>
  <c r="AY200" i="1"/>
  <c r="BA200" i="1" s="1"/>
  <c r="AX200" i="1"/>
  <c r="AZ200" i="1" s="1"/>
  <c r="BB200" i="1" s="1"/>
  <c r="BR199" i="1"/>
  <c r="BT199" i="1" s="1"/>
  <c r="BV199" i="1" s="1"/>
  <c r="BS199" i="1"/>
  <c r="BU199" i="1" s="1"/>
  <c r="O201" i="1"/>
  <c r="AD201" i="1"/>
  <c r="AF201" i="1" s="1"/>
  <c r="AH201" i="1" s="1"/>
  <c r="AE201" i="1"/>
  <c r="AG201" i="1" s="1"/>
  <c r="G202" i="1"/>
  <c r="I202" i="1" s="1"/>
  <c r="Q202" i="1"/>
  <c r="S202" i="1" s="1"/>
  <c r="AJ201" i="1" l="1"/>
  <c r="AL201" i="1" s="1"/>
  <c r="AI201" i="1"/>
  <c r="AK201" i="1" s="1"/>
  <c r="AM201" i="1" s="1"/>
  <c r="BD200" i="1"/>
  <c r="BF200" i="1" s="1"/>
  <c r="BC200" i="1"/>
  <c r="BE200" i="1" s="1"/>
  <c r="BG200" i="1" s="1"/>
  <c r="CQ198" i="1"/>
  <c r="CS198" i="1" s="1"/>
  <c r="CU198" i="1" s="1"/>
  <c r="CR198" i="1"/>
  <c r="CT198" i="1" s="1"/>
  <c r="BX199" i="1"/>
  <c r="BZ199" i="1" s="1"/>
  <c r="BW199" i="1"/>
  <c r="BY199" i="1" s="1"/>
  <c r="CA199" i="1" s="1"/>
  <c r="BI200" i="1" l="1"/>
  <c r="BK200" i="1" s="1"/>
  <c r="BH200" i="1"/>
  <c r="BJ200" i="1" s="1"/>
  <c r="BL200" i="1" s="1"/>
  <c r="AN201" i="1"/>
  <c r="AP201" i="1" s="1"/>
  <c r="AR201" i="1" s="1"/>
  <c r="AO201" i="1"/>
  <c r="AQ201" i="1" s="1"/>
  <c r="CC199" i="1"/>
  <c r="CE199" i="1" s="1"/>
  <c r="CB199" i="1"/>
  <c r="CD199" i="1" s="1"/>
  <c r="CF199" i="1" s="1"/>
  <c r="CV198" i="1"/>
  <c r="CX198" i="1" s="1"/>
  <c r="CW198" i="1"/>
  <c r="CY198" i="1" s="1"/>
  <c r="U202" i="1"/>
  <c r="W202" i="1" s="1"/>
  <c r="T202" i="1"/>
  <c r="V202" i="1" s="1"/>
  <c r="X202" i="1" s="1"/>
  <c r="J202" i="1"/>
  <c r="L202" i="1" s="1"/>
  <c r="N202" i="1" s="1"/>
  <c r="K202" i="1"/>
  <c r="M202" i="1" s="1"/>
  <c r="D203" i="1"/>
  <c r="CZ198" i="1" l="1"/>
  <c r="DA198" i="1"/>
  <c r="DC198" i="1" s="1"/>
  <c r="DB198" i="1"/>
  <c r="DD198" i="1" s="1"/>
  <c r="AS201" i="1"/>
  <c r="AU201" i="1" s="1"/>
  <c r="AW201" i="1" s="1"/>
  <c r="AT201" i="1"/>
  <c r="AV201" i="1" s="1"/>
  <c r="CG199" i="1"/>
  <c r="CI199" i="1" s="1"/>
  <c r="CK199" i="1" s="1"/>
  <c r="CH199" i="1"/>
  <c r="CJ199" i="1" s="1"/>
  <c r="BN200" i="1"/>
  <c r="BP200" i="1" s="1"/>
  <c r="BM200" i="1"/>
  <c r="BO200" i="1" s="1"/>
  <c r="BQ200" i="1" s="1"/>
  <c r="P202" i="1"/>
  <c r="R202" i="1" s="1"/>
  <c r="E203" i="1"/>
  <c r="F203" i="1"/>
  <c r="H203" i="1" s="1"/>
  <c r="Y202" i="1"/>
  <c r="AA202" i="1" s="1"/>
  <c r="AC202" i="1" s="1"/>
  <c r="Z202" i="1"/>
  <c r="AB202" i="1" s="1"/>
  <c r="CM199" i="1" l="1"/>
  <c r="CO199" i="1" s="1"/>
  <c r="CL199" i="1"/>
  <c r="CN199" i="1" s="1"/>
  <c r="CP199" i="1" s="1"/>
  <c r="AY201" i="1"/>
  <c r="BA201" i="1" s="1"/>
  <c r="AX201" i="1"/>
  <c r="AZ201" i="1" s="1"/>
  <c r="BB201" i="1" s="1"/>
  <c r="BS200" i="1"/>
  <c r="BU200" i="1" s="1"/>
  <c r="BR200" i="1"/>
  <c r="BT200" i="1" s="1"/>
  <c r="BV200" i="1" s="1"/>
  <c r="O202" i="1"/>
  <c r="AD202" i="1"/>
  <c r="AF202" i="1" s="1"/>
  <c r="AH202" i="1" s="1"/>
  <c r="AE202" i="1"/>
  <c r="AG202" i="1" s="1"/>
  <c r="G203" i="1"/>
  <c r="I203" i="1" s="1"/>
  <c r="Q203" i="1"/>
  <c r="S203" i="1" s="1"/>
  <c r="AJ202" i="1" l="1"/>
  <c r="AL202" i="1" s="1"/>
  <c r="AI202" i="1"/>
  <c r="AK202" i="1" s="1"/>
  <c r="AM202" i="1" s="1"/>
  <c r="BX200" i="1"/>
  <c r="BZ200" i="1" s="1"/>
  <c r="BW200" i="1"/>
  <c r="BY200" i="1" s="1"/>
  <c r="CA200" i="1" s="1"/>
  <c r="BC201" i="1"/>
  <c r="BE201" i="1" s="1"/>
  <c r="BG201" i="1" s="1"/>
  <c r="BD201" i="1"/>
  <c r="BF201" i="1" s="1"/>
  <c r="CR199" i="1"/>
  <c r="CT199" i="1" s="1"/>
  <c r="CQ199" i="1"/>
  <c r="CS199" i="1" s="1"/>
  <c r="CU199" i="1" s="1"/>
  <c r="CW199" i="1" l="1"/>
  <c r="CY199" i="1" s="1"/>
  <c r="CV199" i="1"/>
  <c r="CX199" i="1" s="1"/>
  <c r="CC200" i="1"/>
  <c r="CE200" i="1" s="1"/>
  <c r="CB200" i="1"/>
  <c r="CD200" i="1" s="1"/>
  <c r="CF200" i="1" s="1"/>
  <c r="AO202" i="1"/>
  <c r="AQ202" i="1" s="1"/>
  <c r="AN202" i="1"/>
  <c r="AP202" i="1" s="1"/>
  <c r="AR202" i="1" s="1"/>
  <c r="BH201" i="1"/>
  <c r="BJ201" i="1" s="1"/>
  <c r="BL201" i="1" s="1"/>
  <c r="BI201" i="1"/>
  <c r="BK201" i="1" s="1"/>
  <c r="T203" i="1"/>
  <c r="V203" i="1" s="1"/>
  <c r="X203" i="1" s="1"/>
  <c r="U203" i="1"/>
  <c r="W203" i="1" s="1"/>
  <c r="J203" i="1"/>
  <c r="L203" i="1" s="1"/>
  <c r="N203" i="1" s="1"/>
  <c r="K203" i="1"/>
  <c r="M203" i="1" s="1"/>
  <c r="D204" i="1"/>
  <c r="CZ199" i="1" l="1"/>
  <c r="BM201" i="1"/>
  <c r="BO201" i="1" s="1"/>
  <c r="BQ201" i="1" s="1"/>
  <c r="BN201" i="1"/>
  <c r="BP201" i="1" s="1"/>
  <c r="AS202" i="1"/>
  <c r="AU202" i="1" s="1"/>
  <c r="AW202" i="1" s="1"/>
  <c r="AT202" i="1"/>
  <c r="AV202" i="1" s="1"/>
  <c r="CG200" i="1"/>
  <c r="CI200" i="1" s="1"/>
  <c r="CK200" i="1" s="1"/>
  <c r="CH200" i="1"/>
  <c r="CJ200" i="1" s="1"/>
  <c r="P203" i="1"/>
  <c r="R203" i="1" s="1"/>
  <c r="F204" i="1"/>
  <c r="H204" i="1" s="1"/>
  <c r="E204" i="1"/>
  <c r="Z203" i="1"/>
  <c r="AB203" i="1" s="1"/>
  <c r="Y203" i="1"/>
  <c r="AA203" i="1" s="1"/>
  <c r="AC203" i="1" s="1"/>
  <c r="DA199" i="1" l="1"/>
  <c r="DC199" i="1" s="1"/>
  <c r="DB199" i="1"/>
  <c r="DD199" i="1" s="1"/>
  <c r="CM200" i="1"/>
  <c r="CO200" i="1" s="1"/>
  <c r="CL200" i="1"/>
  <c r="CN200" i="1" s="1"/>
  <c r="CP200" i="1" s="1"/>
  <c r="AX202" i="1"/>
  <c r="AZ202" i="1" s="1"/>
  <c r="BB202" i="1" s="1"/>
  <c r="AY202" i="1"/>
  <c r="BA202" i="1" s="1"/>
  <c r="BS201" i="1"/>
  <c r="BU201" i="1" s="1"/>
  <c r="BR201" i="1"/>
  <c r="BT201" i="1" s="1"/>
  <c r="BV201" i="1" s="1"/>
  <c r="O203" i="1"/>
  <c r="AE203" i="1"/>
  <c r="AG203" i="1" s="1"/>
  <c r="AD203" i="1"/>
  <c r="AF203" i="1" s="1"/>
  <c r="AH203" i="1" s="1"/>
  <c r="G204" i="1"/>
  <c r="I204" i="1" s="1"/>
  <c r="Q204" i="1"/>
  <c r="S204" i="1" s="1"/>
  <c r="BX201" i="1" l="1"/>
  <c r="BZ201" i="1" s="1"/>
  <c r="BW201" i="1"/>
  <c r="BY201" i="1" s="1"/>
  <c r="CA201" i="1" s="1"/>
  <c r="CR200" i="1"/>
  <c r="CT200" i="1" s="1"/>
  <c r="CQ200" i="1"/>
  <c r="CS200" i="1" s="1"/>
  <c r="CU200" i="1" s="1"/>
  <c r="AI203" i="1"/>
  <c r="AK203" i="1" s="1"/>
  <c r="AM203" i="1" s="1"/>
  <c r="AJ203" i="1"/>
  <c r="AL203" i="1" s="1"/>
  <c r="BD202" i="1"/>
  <c r="BF202" i="1" s="1"/>
  <c r="BC202" i="1"/>
  <c r="BE202" i="1" s="1"/>
  <c r="BG202" i="1" s="1"/>
  <c r="BI202" i="1" l="1"/>
  <c r="BK202" i="1" s="1"/>
  <c r="BH202" i="1"/>
  <c r="BJ202" i="1" s="1"/>
  <c r="BL202" i="1" s="1"/>
  <c r="AN203" i="1"/>
  <c r="AP203" i="1" s="1"/>
  <c r="AR203" i="1" s="1"/>
  <c r="AO203" i="1"/>
  <c r="AQ203" i="1" s="1"/>
  <c r="CW200" i="1"/>
  <c r="CY200" i="1" s="1"/>
  <c r="CV200" i="1"/>
  <c r="CX200" i="1" s="1"/>
  <c r="CB201" i="1"/>
  <c r="CD201" i="1" s="1"/>
  <c r="CF201" i="1" s="1"/>
  <c r="CC201" i="1"/>
  <c r="CE201" i="1" s="1"/>
  <c r="U204" i="1"/>
  <c r="W204" i="1" s="1"/>
  <c r="T204" i="1"/>
  <c r="V204" i="1" s="1"/>
  <c r="X204" i="1" s="1"/>
  <c r="J204" i="1"/>
  <c r="L204" i="1" s="1"/>
  <c r="N204" i="1" s="1"/>
  <c r="K204" i="1"/>
  <c r="M204" i="1" s="1"/>
  <c r="D205" i="1"/>
  <c r="CZ200" i="1" l="1"/>
  <c r="CH201" i="1"/>
  <c r="CJ201" i="1" s="1"/>
  <c r="CG201" i="1"/>
  <c r="CI201" i="1" s="1"/>
  <c r="CK201" i="1" s="1"/>
  <c r="AS203" i="1"/>
  <c r="AU203" i="1" s="1"/>
  <c r="AW203" i="1" s="1"/>
  <c r="AT203" i="1"/>
  <c r="AV203" i="1" s="1"/>
  <c r="BM202" i="1"/>
  <c r="BO202" i="1" s="1"/>
  <c r="BQ202" i="1" s="1"/>
  <c r="BN202" i="1"/>
  <c r="BP202" i="1" s="1"/>
  <c r="P204" i="1"/>
  <c r="R204" i="1" s="1"/>
  <c r="E205" i="1"/>
  <c r="F205" i="1"/>
  <c r="H205" i="1" s="1"/>
  <c r="Z204" i="1"/>
  <c r="AB204" i="1" s="1"/>
  <c r="Y204" i="1"/>
  <c r="AA204" i="1" s="1"/>
  <c r="AC204" i="1" s="1"/>
  <c r="DB200" i="1" l="1"/>
  <c r="DD200" i="1" s="1"/>
  <c r="DA200" i="1"/>
  <c r="DC200" i="1" s="1"/>
  <c r="BR202" i="1"/>
  <c r="BT202" i="1" s="1"/>
  <c r="BV202" i="1" s="1"/>
  <c r="BS202" i="1"/>
  <c r="BU202" i="1" s="1"/>
  <c r="AX203" i="1"/>
  <c r="AZ203" i="1" s="1"/>
  <c r="BB203" i="1" s="1"/>
  <c r="AY203" i="1"/>
  <c r="BA203" i="1" s="1"/>
  <c r="CL201" i="1"/>
  <c r="CN201" i="1" s="1"/>
  <c r="CP201" i="1" s="1"/>
  <c r="CM201" i="1"/>
  <c r="CO201" i="1" s="1"/>
  <c r="O204" i="1"/>
  <c r="AE204" i="1"/>
  <c r="AG204" i="1" s="1"/>
  <c r="AD204" i="1"/>
  <c r="AF204" i="1" s="1"/>
  <c r="AH204" i="1" s="1"/>
  <c r="G205" i="1"/>
  <c r="I205" i="1" s="1"/>
  <c r="Q205" i="1"/>
  <c r="S205" i="1" s="1"/>
  <c r="AJ204" i="1" l="1"/>
  <c r="AL204" i="1" s="1"/>
  <c r="AI204" i="1"/>
  <c r="AK204" i="1" s="1"/>
  <c r="AM204" i="1" s="1"/>
  <c r="CQ201" i="1"/>
  <c r="CS201" i="1" s="1"/>
  <c r="CU201" i="1" s="1"/>
  <c r="CR201" i="1"/>
  <c r="CT201" i="1" s="1"/>
  <c r="BC203" i="1"/>
  <c r="BE203" i="1" s="1"/>
  <c r="BG203" i="1" s="1"/>
  <c r="BD203" i="1"/>
  <c r="BF203" i="1" s="1"/>
  <c r="BX202" i="1"/>
  <c r="BZ202" i="1" s="1"/>
  <c r="BW202" i="1"/>
  <c r="BY202" i="1" s="1"/>
  <c r="CA202" i="1" s="1"/>
  <c r="CC202" i="1" l="1"/>
  <c r="CE202" i="1" s="1"/>
  <c r="CB202" i="1"/>
  <c r="CD202" i="1" s="1"/>
  <c r="CF202" i="1" s="1"/>
  <c r="AO204" i="1"/>
  <c r="AQ204" i="1" s="1"/>
  <c r="AN204" i="1"/>
  <c r="AP204" i="1" s="1"/>
  <c r="AR204" i="1" s="1"/>
  <c r="BI203" i="1"/>
  <c r="BK203" i="1" s="1"/>
  <c r="BH203" i="1"/>
  <c r="BJ203" i="1" s="1"/>
  <c r="BL203" i="1" s="1"/>
  <c r="CW201" i="1"/>
  <c r="CY201" i="1" s="1"/>
  <c r="CV201" i="1"/>
  <c r="CX201" i="1" s="1"/>
  <c r="U205" i="1"/>
  <c r="W205" i="1" s="1"/>
  <c r="T205" i="1"/>
  <c r="V205" i="1" s="1"/>
  <c r="X205" i="1" s="1"/>
  <c r="J205" i="1"/>
  <c r="L205" i="1" s="1"/>
  <c r="N205" i="1" s="1"/>
  <c r="K205" i="1"/>
  <c r="M205" i="1" s="1"/>
  <c r="D206" i="1"/>
  <c r="CZ201" i="1" l="1"/>
  <c r="DA201" i="1"/>
  <c r="DC201" i="1" s="1"/>
  <c r="BN203" i="1"/>
  <c r="BP203" i="1" s="1"/>
  <c r="BM203" i="1"/>
  <c r="BO203" i="1" s="1"/>
  <c r="BQ203" i="1" s="1"/>
  <c r="AS204" i="1"/>
  <c r="AU204" i="1" s="1"/>
  <c r="AW204" i="1" s="1"/>
  <c r="AT204" i="1"/>
  <c r="AV204" i="1" s="1"/>
  <c r="CG202" i="1"/>
  <c r="CI202" i="1" s="1"/>
  <c r="CK202" i="1" s="1"/>
  <c r="CH202" i="1"/>
  <c r="CJ202" i="1" s="1"/>
  <c r="P205" i="1"/>
  <c r="R205" i="1" s="1"/>
  <c r="Z205" i="1"/>
  <c r="AB205" i="1" s="1"/>
  <c r="Y205" i="1"/>
  <c r="AA205" i="1" s="1"/>
  <c r="AC205" i="1" s="1"/>
  <c r="F206" i="1"/>
  <c r="H206" i="1" s="1"/>
  <c r="E206" i="1"/>
  <c r="DB201" i="1" l="1"/>
  <c r="DD201" i="1" s="1"/>
  <c r="CM202" i="1"/>
  <c r="CO202" i="1" s="1"/>
  <c r="CL202" i="1"/>
  <c r="CN202" i="1" s="1"/>
  <c r="CP202" i="1" s="1"/>
  <c r="AX204" i="1"/>
  <c r="AZ204" i="1" s="1"/>
  <c r="BB204" i="1" s="1"/>
  <c r="AY204" i="1"/>
  <c r="BA204" i="1" s="1"/>
  <c r="BR203" i="1"/>
  <c r="BT203" i="1" s="1"/>
  <c r="BV203" i="1" s="1"/>
  <c r="BS203" i="1"/>
  <c r="BU203" i="1" s="1"/>
  <c r="O205" i="1"/>
  <c r="AE205" i="1"/>
  <c r="AG205" i="1" s="1"/>
  <c r="AD205" i="1"/>
  <c r="AF205" i="1" s="1"/>
  <c r="AH205" i="1" s="1"/>
  <c r="Q206" i="1"/>
  <c r="S206" i="1" s="1"/>
  <c r="G206" i="1"/>
  <c r="I206" i="1" s="1"/>
  <c r="BW203" i="1" l="1"/>
  <c r="BY203" i="1" s="1"/>
  <c r="CA203" i="1" s="1"/>
  <c r="BX203" i="1"/>
  <c r="BZ203" i="1" s="1"/>
  <c r="BD204" i="1"/>
  <c r="BF204" i="1" s="1"/>
  <c r="BC204" i="1"/>
  <c r="BE204" i="1" s="1"/>
  <c r="BG204" i="1" s="1"/>
  <c r="AJ205" i="1"/>
  <c r="AL205" i="1" s="1"/>
  <c r="AI205" i="1"/>
  <c r="AK205" i="1" s="1"/>
  <c r="AM205" i="1" s="1"/>
  <c r="CQ202" i="1"/>
  <c r="CS202" i="1" s="1"/>
  <c r="CU202" i="1" s="1"/>
  <c r="CR202" i="1"/>
  <c r="CT202" i="1" s="1"/>
  <c r="AN205" i="1" l="1"/>
  <c r="AP205" i="1" s="1"/>
  <c r="AR205" i="1" s="1"/>
  <c r="AO205" i="1"/>
  <c r="AQ205" i="1" s="1"/>
  <c r="CB203" i="1"/>
  <c r="CD203" i="1" s="1"/>
  <c r="CF203" i="1" s="1"/>
  <c r="CC203" i="1"/>
  <c r="CE203" i="1" s="1"/>
  <c r="CV202" i="1"/>
  <c r="CX202" i="1" s="1"/>
  <c r="CW202" i="1"/>
  <c r="CY202" i="1" s="1"/>
  <c r="BI204" i="1"/>
  <c r="BK204" i="1" s="1"/>
  <c r="BH204" i="1"/>
  <c r="BJ204" i="1" s="1"/>
  <c r="BL204" i="1" s="1"/>
  <c r="J206" i="1"/>
  <c r="L206" i="1" s="1"/>
  <c r="N206" i="1" s="1"/>
  <c r="K206" i="1"/>
  <c r="M206" i="1" s="1"/>
  <c r="D207" i="1"/>
  <c r="U206" i="1"/>
  <c r="W206" i="1" s="1"/>
  <c r="T206" i="1"/>
  <c r="V206" i="1" s="1"/>
  <c r="X206" i="1" s="1"/>
  <c r="CZ202" i="1" l="1"/>
  <c r="DB202" i="1"/>
  <c r="DD202" i="1" s="1"/>
  <c r="DA202" i="1"/>
  <c r="DC202" i="1" s="1"/>
  <c r="CH203" i="1"/>
  <c r="CJ203" i="1" s="1"/>
  <c r="CG203" i="1"/>
  <c r="CI203" i="1" s="1"/>
  <c r="CK203" i="1" s="1"/>
  <c r="AT205" i="1"/>
  <c r="AV205" i="1" s="1"/>
  <c r="AS205" i="1"/>
  <c r="AU205" i="1" s="1"/>
  <c r="AW205" i="1" s="1"/>
  <c r="BM204" i="1"/>
  <c r="BO204" i="1" s="1"/>
  <c r="BQ204" i="1" s="1"/>
  <c r="BN204" i="1"/>
  <c r="BP204" i="1" s="1"/>
  <c r="P206" i="1"/>
  <c r="R206" i="1" s="1"/>
  <c r="Z206" i="1"/>
  <c r="AB206" i="1" s="1"/>
  <c r="Y206" i="1"/>
  <c r="AA206" i="1" s="1"/>
  <c r="AC206" i="1" s="1"/>
  <c r="F207" i="1"/>
  <c r="H207" i="1" s="1"/>
  <c r="E207" i="1"/>
  <c r="BR204" i="1" l="1"/>
  <c r="BT204" i="1" s="1"/>
  <c r="BV204" i="1" s="1"/>
  <c r="BS204" i="1"/>
  <c r="BU204" i="1" s="1"/>
  <c r="AY205" i="1"/>
  <c r="BA205" i="1" s="1"/>
  <c r="AX205" i="1"/>
  <c r="AZ205" i="1" s="1"/>
  <c r="BB205" i="1" s="1"/>
  <c r="CM203" i="1"/>
  <c r="CO203" i="1" s="1"/>
  <c r="CL203" i="1"/>
  <c r="CN203" i="1" s="1"/>
  <c r="CP203" i="1" s="1"/>
  <c r="O206" i="1"/>
  <c r="AD206" i="1"/>
  <c r="AF206" i="1" s="1"/>
  <c r="AH206" i="1" s="1"/>
  <c r="AE206" i="1"/>
  <c r="AG206" i="1" s="1"/>
  <c r="G207" i="1"/>
  <c r="I207" i="1" s="1"/>
  <c r="Q207" i="1"/>
  <c r="S207" i="1" s="1"/>
  <c r="BX204" i="1" l="1"/>
  <c r="BZ204" i="1" s="1"/>
  <c r="BW204" i="1"/>
  <c r="BY204" i="1" s="1"/>
  <c r="CA204" i="1" s="1"/>
  <c r="AI206" i="1"/>
  <c r="AK206" i="1" s="1"/>
  <c r="AM206" i="1" s="1"/>
  <c r="AJ206" i="1"/>
  <c r="AL206" i="1" s="1"/>
  <c r="CQ203" i="1"/>
  <c r="CS203" i="1" s="1"/>
  <c r="CU203" i="1" s="1"/>
  <c r="CR203" i="1"/>
  <c r="CT203" i="1" s="1"/>
  <c r="BD205" i="1"/>
  <c r="BF205" i="1" s="1"/>
  <c r="BC205" i="1"/>
  <c r="BE205" i="1" s="1"/>
  <c r="BG205" i="1" s="1"/>
  <c r="BH205" i="1" l="1"/>
  <c r="BJ205" i="1" s="1"/>
  <c r="BL205" i="1" s="1"/>
  <c r="BI205" i="1"/>
  <c r="BK205" i="1" s="1"/>
  <c r="CV203" i="1"/>
  <c r="CX203" i="1" s="1"/>
  <c r="CW203" i="1"/>
  <c r="CY203" i="1" s="1"/>
  <c r="AO206" i="1"/>
  <c r="AQ206" i="1" s="1"/>
  <c r="AN206" i="1"/>
  <c r="AP206" i="1" s="1"/>
  <c r="AR206" i="1" s="1"/>
  <c r="CB204" i="1"/>
  <c r="CD204" i="1" s="1"/>
  <c r="CF204" i="1" s="1"/>
  <c r="CC204" i="1"/>
  <c r="CE204" i="1" s="1"/>
  <c r="J207" i="1"/>
  <c r="L207" i="1" s="1"/>
  <c r="N207" i="1" s="1"/>
  <c r="K207" i="1"/>
  <c r="M207" i="1" s="1"/>
  <c r="D208" i="1"/>
  <c r="T207" i="1"/>
  <c r="V207" i="1" s="1"/>
  <c r="X207" i="1" s="1"/>
  <c r="U207" i="1"/>
  <c r="W207" i="1" s="1"/>
  <c r="CZ203" i="1" l="1"/>
  <c r="CH204" i="1"/>
  <c r="CJ204" i="1" s="1"/>
  <c r="CG204" i="1"/>
  <c r="CI204" i="1" s="1"/>
  <c r="CK204" i="1" s="1"/>
  <c r="DB203" i="1"/>
  <c r="DD203" i="1" s="1"/>
  <c r="DA203" i="1"/>
  <c r="DC203" i="1" s="1"/>
  <c r="BM205" i="1"/>
  <c r="BO205" i="1" s="1"/>
  <c r="BQ205" i="1" s="1"/>
  <c r="BN205" i="1"/>
  <c r="BP205" i="1" s="1"/>
  <c r="AT206" i="1"/>
  <c r="AV206" i="1" s="1"/>
  <c r="AS206" i="1"/>
  <c r="AU206" i="1" s="1"/>
  <c r="AW206" i="1" s="1"/>
  <c r="P207" i="1"/>
  <c r="R207" i="1" s="1"/>
  <c r="F208" i="1"/>
  <c r="H208" i="1" s="1"/>
  <c r="E208" i="1"/>
  <c r="Z207" i="1"/>
  <c r="AB207" i="1" s="1"/>
  <c r="Y207" i="1"/>
  <c r="AA207" i="1" s="1"/>
  <c r="AC207" i="1" s="1"/>
  <c r="BS205" i="1" l="1"/>
  <c r="BU205" i="1" s="1"/>
  <c r="BR205" i="1"/>
  <c r="BT205" i="1" s="1"/>
  <c r="BV205" i="1" s="1"/>
  <c r="AY206" i="1"/>
  <c r="BA206" i="1" s="1"/>
  <c r="AX206" i="1"/>
  <c r="AZ206" i="1" s="1"/>
  <c r="BB206" i="1" s="1"/>
  <c r="CL204" i="1"/>
  <c r="CN204" i="1" s="1"/>
  <c r="CP204" i="1" s="1"/>
  <c r="CM204" i="1"/>
  <c r="CO204" i="1" s="1"/>
  <c r="O207" i="1"/>
  <c r="AD207" i="1"/>
  <c r="AF207" i="1" s="1"/>
  <c r="AH207" i="1" s="1"/>
  <c r="AE207" i="1"/>
  <c r="AG207" i="1" s="1"/>
  <c r="Q208" i="1"/>
  <c r="S208" i="1" s="1"/>
  <c r="G208" i="1"/>
  <c r="I208" i="1" s="1"/>
  <c r="CQ204" i="1" l="1"/>
  <c r="CS204" i="1" s="1"/>
  <c r="CU204" i="1" s="1"/>
  <c r="CR204" i="1"/>
  <c r="CT204" i="1" s="1"/>
  <c r="AI207" i="1"/>
  <c r="AK207" i="1" s="1"/>
  <c r="AM207" i="1" s="1"/>
  <c r="AJ207" i="1"/>
  <c r="AL207" i="1" s="1"/>
  <c r="BC206" i="1"/>
  <c r="BE206" i="1" s="1"/>
  <c r="BG206" i="1" s="1"/>
  <c r="BD206" i="1"/>
  <c r="BF206" i="1" s="1"/>
  <c r="BW205" i="1"/>
  <c r="BY205" i="1" s="1"/>
  <c r="CA205" i="1" s="1"/>
  <c r="BX205" i="1"/>
  <c r="BZ205" i="1" s="1"/>
  <c r="CW204" i="1" l="1"/>
  <c r="CY204" i="1" s="1"/>
  <c r="CV204" i="1"/>
  <c r="CX204" i="1" s="1"/>
  <c r="CB205" i="1"/>
  <c r="CD205" i="1" s="1"/>
  <c r="CF205" i="1" s="1"/>
  <c r="CC205" i="1"/>
  <c r="CE205" i="1" s="1"/>
  <c r="BI206" i="1"/>
  <c r="BK206" i="1" s="1"/>
  <c r="BH206" i="1"/>
  <c r="BJ206" i="1" s="1"/>
  <c r="BL206" i="1" s="1"/>
  <c r="AN207" i="1"/>
  <c r="AP207" i="1" s="1"/>
  <c r="AR207" i="1" s="1"/>
  <c r="AO207" i="1"/>
  <c r="AQ207" i="1" s="1"/>
  <c r="U208" i="1"/>
  <c r="W208" i="1" s="1"/>
  <c r="T208" i="1"/>
  <c r="V208" i="1" s="1"/>
  <c r="X208" i="1" s="1"/>
  <c r="J208" i="1"/>
  <c r="L208" i="1" s="1"/>
  <c r="N208" i="1" s="1"/>
  <c r="K208" i="1"/>
  <c r="M208" i="1" s="1"/>
  <c r="D209" i="1"/>
  <c r="CZ204" i="1" l="1"/>
  <c r="AT207" i="1"/>
  <c r="AV207" i="1" s="1"/>
  <c r="AS207" i="1"/>
  <c r="AU207" i="1" s="1"/>
  <c r="AW207" i="1" s="1"/>
  <c r="CH205" i="1"/>
  <c r="CJ205" i="1" s="1"/>
  <c r="CG205" i="1"/>
  <c r="CI205" i="1" s="1"/>
  <c r="CK205" i="1" s="1"/>
  <c r="BM206" i="1"/>
  <c r="BO206" i="1" s="1"/>
  <c r="BQ206" i="1" s="1"/>
  <c r="BN206" i="1"/>
  <c r="BP206" i="1" s="1"/>
  <c r="P208" i="1"/>
  <c r="R208" i="1" s="1"/>
  <c r="F209" i="1"/>
  <c r="H209" i="1" s="1"/>
  <c r="E209" i="1"/>
  <c r="Y208" i="1"/>
  <c r="AA208" i="1" s="1"/>
  <c r="AC208" i="1" s="1"/>
  <c r="Z208" i="1"/>
  <c r="AB208" i="1" s="1"/>
  <c r="DA204" i="1" l="1"/>
  <c r="DC204" i="1" s="1"/>
  <c r="DB204" i="1"/>
  <c r="DD204" i="1" s="1"/>
  <c r="BS206" i="1"/>
  <c r="BU206" i="1" s="1"/>
  <c r="BR206" i="1"/>
  <c r="BT206" i="1" s="1"/>
  <c r="BV206" i="1" s="1"/>
  <c r="CL205" i="1"/>
  <c r="CN205" i="1" s="1"/>
  <c r="CP205" i="1" s="1"/>
  <c r="CM205" i="1"/>
  <c r="CO205" i="1" s="1"/>
  <c r="AY207" i="1"/>
  <c r="BA207" i="1" s="1"/>
  <c r="AX207" i="1"/>
  <c r="AZ207" i="1" s="1"/>
  <c r="BB207" i="1" s="1"/>
  <c r="O208" i="1"/>
  <c r="AD208" i="1"/>
  <c r="AF208" i="1" s="1"/>
  <c r="AH208" i="1" s="1"/>
  <c r="AE208" i="1"/>
  <c r="AG208" i="1" s="1"/>
  <c r="G209" i="1"/>
  <c r="I209" i="1" s="1"/>
  <c r="Q209" i="1"/>
  <c r="S209" i="1" s="1"/>
  <c r="CQ205" i="1" l="1"/>
  <c r="CS205" i="1" s="1"/>
  <c r="CU205" i="1" s="1"/>
  <c r="CR205" i="1"/>
  <c r="CT205" i="1" s="1"/>
  <c r="AJ208" i="1"/>
  <c r="AL208" i="1" s="1"/>
  <c r="AI208" i="1"/>
  <c r="AK208" i="1" s="1"/>
  <c r="AM208" i="1" s="1"/>
  <c r="BC207" i="1"/>
  <c r="BE207" i="1" s="1"/>
  <c r="BG207" i="1" s="1"/>
  <c r="BD207" i="1"/>
  <c r="BF207" i="1" s="1"/>
  <c r="BW206" i="1"/>
  <c r="BY206" i="1" s="1"/>
  <c r="CA206" i="1" s="1"/>
  <c r="BX206" i="1"/>
  <c r="BZ206" i="1" s="1"/>
  <c r="AN208" i="1" l="1"/>
  <c r="AP208" i="1" s="1"/>
  <c r="AR208" i="1" s="1"/>
  <c r="AO208" i="1"/>
  <c r="AQ208" i="1" s="1"/>
  <c r="CW205" i="1"/>
  <c r="CY205" i="1" s="1"/>
  <c r="CV205" i="1"/>
  <c r="CX205" i="1" s="1"/>
  <c r="CC206" i="1"/>
  <c r="CE206" i="1" s="1"/>
  <c r="CB206" i="1"/>
  <c r="CD206" i="1" s="1"/>
  <c r="CF206" i="1" s="1"/>
  <c r="BH207" i="1"/>
  <c r="BJ207" i="1" s="1"/>
  <c r="BL207" i="1" s="1"/>
  <c r="BI207" i="1"/>
  <c r="BK207" i="1" s="1"/>
  <c r="J209" i="1"/>
  <c r="L209" i="1" s="1"/>
  <c r="N209" i="1" s="1"/>
  <c r="K209" i="1"/>
  <c r="M209" i="1" s="1"/>
  <c r="D210" i="1"/>
  <c r="U209" i="1"/>
  <c r="W209" i="1" s="1"/>
  <c r="T209" i="1"/>
  <c r="V209" i="1" s="1"/>
  <c r="X209" i="1" s="1"/>
  <c r="CZ205" i="1" l="1"/>
  <c r="BM207" i="1"/>
  <c r="BO207" i="1" s="1"/>
  <c r="BQ207" i="1" s="1"/>
  <c r="BN207" i="1"/>
  <c r="BP207" i="1" s="1"/>
  <c r="AS208" i="1"/>
  <c r="AU208" i="1" s="1"/>
  <c r="AW208" i="1" s="1"/>
  <c r="AT208" i="1"/>
  <c r="AV208" i="1" s="1"/>
  <c r="CG206" i="1"/>
  <c r="CI206" i="1" s="1"/>
  <c r="CK206" i="1" s="1"/>
  <c r="CH206" i="1"/>
  <c r="CJ206" i="1" s="1"/>
  <c r="P209" i="1"/>
  <c r="R209" i="1" s="1"/>
  <c r="Y209" i="1"/>
  <c r="AA209" i="1" s="1"/>
  <c r="AC209" i="1" s="1"/>
  <c r="Z209" i="1"/>
  <c r="AB209" i="1" s="1"/>
  <c r="E210" i="1"/>
  <c r="F210" i="1"/>
  <c r="H210" i="1" s="1"/>
  <c r="DA205" i="1" l="1"/>
  <c r="DC205" i="1" s="1"/>
  <c r="DB205" i="1"/>
  <c r="DD205" i="1" s="1"/>
  <c r="CL206" i="1"/>
  <c r="CN206" i="1" s="1"/>
  <c r="CP206" i="1" s="1"/>
  <c r="CM206" i="1"/>
  <c r="CO206" i="1" s="1"/>
  <c r="AX208" i="1"/>
  <c r="AZ208" i="1" s="1"/>
  <c r="BB208" i="1" s="1"/>
  <c r="AY208" i="1"/>
  <c r="BA208" i="1" s="1"/>
  <c r="BS207" i="1"/>
  <c r="BU207" i="1" s="1"/>
  <c r="BR207" i="1"/>
  <c r="BT207" i="1" s="1"/>
  <c r="BV207" i="1" s="1"/>
  <c r="O209" i="1"/>
  <c r="AD209" i="1"/>
  <c r="AF209" i="1" s="1"/>
  <c r="AH209" i="1" s="1"/>
  <c r="AE209" i="1"/>
  <c r="AG209" i="1" s="1"/>
  <c r="G210" i="1"/>
  <c r="I210" i="1" s="1"/>
  <c r="Q210" i="1"/>
  <c r="S210" i="1" s="1"/>
  <c r="BD208" i="1" l="1"/>
  <c r="BF208" i="1" s="1"/>
  <c r="BC208" i="1"/>
  <c r="BE208" i="1" s="1"/>
  <c r="BG208" i="1" s="1"/>
  <c r="CR206" i="1"/>
  <c r="CT206" i="1" s="1"/>
  <c r="CQ206" i="1"/>
  <c r="CS206" i="1" s="1"/>
  <c r="CU206" i="1" s="1"/>
  <c r="AJ209" i="1"/>
  <c r="AL209" i="1" s="1"/>
  <c r="AI209" i="1"/>
  <c r="AK209" i="1" s="1"/>
  <c r="AM209" i="1" s="1"/>
  <c r="BX207" i="1"/>
  <c r="BZ207" i="1" s="1"/>
  <c r="BW207" i="1"/>
  <c r="BY207" i="1" s="1"/>
  <c r="CA207" i="1" s="1"/>
  <c r="CB207" i="1" l="1"/>
  <c r="CD207" i="1" s="1"/>
  <c r="CF207" i="1" s="1"/>
  <c r="CC207" i="1"/>
  <c r="CE207" i="1" s="1"/>
  <c r="AN209" i="1"/>
  <c r="AP209" i="1" s="1"/>
  <c r="AR209" i="1" s="1"/>
  <c r="AO209" i="1"/>
  <c r="AQ209" i="1" s="1"/>
  <c r="CW206" i="1"/>
  <c r="CY206" i="1" s="1"/>
  <c r="CV206" i="1"/>
  <c r="CX206" i="1" s="1"/>
  <c r="BI208" i="1"/>
  <c r="BK208" i="1" s="1"/>
  <c r="BH208" i="1"/>
  <c r="BJ208" i="1" s="1"/>
  <c r="BL208" i="1" s="1"/>
  <c r="J210" i="1"/>
  <c r="L210" i="1" s="1"/>
  <c r="N210" i="1" s="1"/>
  <c r="K210" i="1"/>
  <c r="M210" i="1" s="1"/>
  <c r="D211" i="1"/>
  <c r="T210" i="1"/>
  <c r="V210" i="1" s="1"/>
  <c r="X210" i="1" s="1"/>
  <c r="U210" i="1"/>
  <c r="W210" i="1" s="1"/>
  <c r="CZ206" i="1" l="1"/>
  <c r="AS209" i="1"/>
  <c r="AU209" i="1" s="1"/>
  <c r="AW209" i="1" s="1"/>
  <c r="AT209" i="1"/>
  <c r="AV209" i="1" s="1"/>
  <c r="CG207" i="1"/>
  <c r="CI207" i="1" s="1"/>
  <c r="CK207" i="1" s="1"/>
  <c r="CH207" i="1"/>
  <c r="CJ207" i="1" s="1"/>
  <c r="BN208" i="1"/>
  <c r="BP208" i="1" s="1"/>
  <c r="BM208" i="1"/>
  <c r="BO208" i="1" s="1"/>
  <c r="BQ208" i="1" s="1"/>
  <c r="P210" i="1"/>
  <c r="R210" i="1" s="1"/>
  <c r="E211" i="1"/>
  <c r="F211" i="1"/>
  <c r="H211" i="1" s="1"/>
  <c r="Z210" i="1"/>
  <c r="AB210" i="1" s="1"/>
  <c r="Y210" i="1"/>
  <c r="AA210" i="1" s="1"/>
  <c r="AC210" i="1" s="1"/>
  <c r="DA206" i="1" l="1"/>
  <c r="DC206" i="1" s="1"/>
  <c r="DB206" i="1"/>
  <c r="DD206" i="1" s="1"/>
  <c r="CM207" i="1"/>
  <c r="CO207" i="1" s="1"/>
  <c r="CL207" i="1"/>
  <c r="CN207" i="1" s="1"/>
  <c r="CP207" i="1" s="1"/>
  <c r="AY209" i="1"/>
  <c r="BA209" i="1" s="1"/>
  <c r="AX209" i="1"/>
  <c r="AZ209" i="1" s="1"/>
  <c r="BB209" i="1" s="1"/>
  <c r="BS208" i="1"/>
  <c r="BU208" i="1" s="1"/>
  <c r="BR208" i="1"/>
  <c r="BT208" i="1" s="1"/>
  <c r="BV208" i="1" s="1"/>
  <c r="O210" i="1"/>
  <c r="AE210" i="1"/>
  <c r="AG210" i="1" s="1"/>
  <c r="AD210" i="1"/>
  <c r="AF210" i="1" s="1"/>
  <c r="AH210" i="1" s="1"/>
  <c r="G211" i="1"/>
  <c r="I211" i="1" s="1"/>
  <c r="Q211" i="1"/>
  <c r="S211" i="1" s="1"/>
  <c r="BX208" i="1" l="1"/>
  <c r="BZ208" i="1" s="1"/>
  <c r="BW208" i="1"/>
  <c r="BY208" i="1" s="1"/>
  <c r="CA208" i="1" s="1"/>
  <c r="BD209" i="1"/>
  <c r="BF209" i="1" s="1"/>
  <c r="BC209" i="1"/>
  <c r="BE209" i="1" s="1"/>
  <c r="BG209" i="1" s="1"/>
  <c r="CQ207" i="1"/>
  <c r="CS207" i="1" s="1"/>
  <c r="CU207" i="1" s="1"/>
  <c r="CR207" i="1"/>
  <c r="CT207" i="1" s="1"/>
  <c r="AJ210" i="1"/>
  <c r="AL210" i="1" s="1"/>
  <c r="AI210" i="1"/>
  <c r="AK210" i="1" s="1"/>
  <c r="AM210" i="1" s="1"/>
  <c r="AO210" i="1" l="1"/>
  <c r="AQ210" i="1" s="1"/>
  <c r="AN210" i="1"/>
  <c r="AP210" i="1" s="1"/>
  <c r="AR210" i="1" s="1"/>
  <c r="CW207" i="1"/>
  <c r="CY207" i="1" s="1"/>
  <c r="CV207" i="1"/>
  <c r="CX207" i="1" s="1"/>
  <c r="BH209" i="1"/>
  <c r="BJ209" i="1" s="1"/>
  <c r="BL209" i="1" s="1"/>
  <c r="BI209" i="1"/>
  <c r="BK209" i="1" s="1"/>
  <c r="CC208" i="1"/>
  <c r="CE208" i="1" s="1"/>
  <c r="CB208" i="1"/>
  <c r="CD208" i="1" s="1"/>
  <c r="CF208" i="1" s="1"/>
  <c r="T211" i="1"/>
  <c r="V211" i="1" s="1"/>
  <c r="X211" i="1" s="1"/>
  <c r="U211" i="1"/>
  <c r="W211" i="1" s="1"/>
  <c r="J211" i="1"/>
  <c r="L211" i="1" s="1"/>
  <c r="N211" i="1" s="1"/>
  <c r="K211" i="1"/>
  <c r="M211" i="1" s="1"/>
  <c r="D212" i="1"/>
  <c r="CZ207" i="1" l="1"/>
  <c r="BM209" i="1"/>
  <c r="BO209" i="1" s="1"/>
  <c r="BQ209" i="1" s="1"/>
  <c r="BN209" i="1"/>
  <c r="BP209" i="1" s="1"/>
  <c r="CH208" i="1"/>
  <c r="CJ208" i="1" s="1"/>
  <c r="CG208" i="1"/>
  <c r="CI208" i="1" s="1"/>
  <c r="CK208" i="1" s="1"/>
  <c r="AT210" i="1"/>
  <c r="AV210" i="1" s="1"/>
  <c r="AS210" i="1"/>
  <c r="AU210" i="1" s="1"/>
  <c r="AW210" i="1" s="1"/>
  <c r="P211" i="1"/>
  <c r="R211" i="1" s="1"/>
  <c r="E212" i="1"/>
  <c r="F212" i="1"/>
  <c r="H212" i="1" s="1"/>
  <c r="Z211" i="1"/>
  <c r="AB211" i="1" s="1"/>
  <c r="Y211" i="1"/>
  <c r="AA211" i="1" s="1"/>
  <c r="AC211" i="1" s="1"/>
  <c r="DB207" i="1" l="1"/>
  <c r="DD207" i="1" s="1"/>
  <c r="DA207" i="1"/>
  <c r="DC207" i="1" s="1"/>
  <c r="BR209" i="1"/>
  <c r="BT209" i="1" s="1"/>
  <c r="BV209" i="1" s="1"/>
  <c r="BS209" i="1"/>
  <c r="BU209" i="1" s="1"/>
  <c r="AX210" i="1"/>
  <c r="AZ210" i="1" s="1"/>
  <c r="BB210" i="1" s="1"/>
  <c r="AY210" i="1"/>
  <c r="BA210" i="1" s="1"/>
  <c r="CL208" i="1"/>
  <c r="CN208" i="1" s="1"/>
  <c r="CP208" i="1" s="1"/>
  <c r="CM208" i="1"/>
  <c r="CO208" i="1" s="1"/>
  <c r="O211" i="1"/>
  <c r="AE211" i="1"/>
  <c r="AG211" i="1" s="1"/>
  <c r="AD211" i="1"/>
  <c r="AF211" i="1" s="1"/>
  <c r="AH211" i="1" s="1"/>
  <c r="G212" i="1"/>
  <c r="I212" i="1" s="1"/>
  <c r="Q212" i="1"/>
  <c r="S212" i="1" s="1"/>
  <c r="AI211" i="1" l="1"/>
  <c r="AK211" i="1" s="1"/>
  <c r="AM211" i="1" s="1"/>
  <c r="AJ211" i="1"/>
  <c r="AL211" i="1" s="1"/>
  <c r="CQ208" i="1"/>
  <c r="CS208" i="1" s="1"/>
  <c r="CU208" i="1" s="1"/>
  <c r="CR208" i="1"/>
  <c r="CT208" i="1" s="1"/>
  <c r="BD210" i="1"/>
  <c r="BF210" i="1" s="1"/>
  <c r="BC210" i="1"/>
  <c r="BE210" i="1" s="1"/>
  <c r="BG210" i="1" s="1"/>
  <c r="BX209" i="1"/>
  <c r="BZ209" i="1" s="1"/>
  <c r="BW209" i="1"/>
  <c r="BY209" i="1" s="1"/>
  <c r="CA209" i="1" s="1"/>
  <c r="CB209" i="1" l="1"/>
  <c r="CD209" i="1" s="1"/>
  <c r="CF209" i="1" s="1"/>
  <c r="CC209" i="1"/>
  <c r="CE209" i="1" s="1"/>
  <c r="BH210" i="1"/>
  <c r="BJ210" i="1" s="1"/>
  <c r="BL210" i="1" s="1"/>
  <c r="BI210" i="1"/>
  <c r="BK210" i="1" s="1"/>
  <c r="CV208" i="1"/>
  <c r="CX208" i="1" s="1"/>
  <c r="CW208" i="1"/>
  <c r="CY208" i="1" s="1"/>
  <c r="AO211" i="1"/>
  <c r="AQ211" i="1" s="1"/>
  <c r="AN211" i="1"/>
  <c r="AP211" i="1" s="1"/>
  <c r="AR211" i="1" s="1"/>
  <c r="J212" i="1"/>
  <c r="L212" i="1" s="1"/>
  <c r="N212" i="1" s="1"/>
  <c r="K212" i="1"/>
  <c r="M212" i="1" s="1"/>
  <c r="D213" i="1"/>
  <c r="T212" i="1"/>
  <c r="V212" i="1" s="1"/>
  <c r="X212" i="1" s="1"/>
  <c r="U212" i="1"/>
  <c r="W212" i="1" s="1"/>
  <c r="CZ208" i="1" l="1"/>
  <c r="DB208" i="1"/>
  <c r="DD208" i="1" s="1"/>
  <c r="DA208" i="1"/>
  <c r="DC208" i="1" s="1"/>
  <c r="BN210" i="1"/>
  <c r="BP210" i="1" s="1"/>
  <c r="BM210" i="1"/>
  <c r="BO210" i="1" s="1"/>
  <c r="BQ210" i="1" s="1"/>
  <c r="CG209" i="1"/>
  <c r="CI209" i="1" s="1"/>
  <c r="CK209" i="1" s="1"/>
  <c r="CH209" i="1"/>
  <c r="CJ209" i="1" s="1"/>
  <c r="AT211" i="1"/>
  <c r="AV211" i="1" s="1"/>
  <c r="AS211" i="1"/>
  <c r="AU211" i="1" s="1"/>
  <c r="AW211" i="1" s="1"/>
  <c r="O212" i="1"/>
  <c r="E213" i="1"/>
  <c r="F213" i="1"/>
  <c r="H213" i="1" s="1"/>
  <c r="Y212" i="1"/>
  <c r="AA212" i="1" s="1"/>
  <c r="AC212" i="1" s="1"/>
  <c r="Z212" i="1"/>
  <c r="AB212" i="1" s="1"/>
  <c r="CM209" i="1" l="1"/>
  <c r="CO209" i="1" s="1"/>
  <c r="CL209" i="1"/>
  <c r="CN209" i="1" s="1"/>
  <c r="CP209" i="1" s="1"/>
  <c r="AX211" i="1"/>
  <c r="AZ211" i="1" s="1"/>
  <c r="BB211" i="1" s="1"/>
  <c r="AY211" i="1"/>
  <c r="BA211" i="1" s="1"/>
  <c r="BR210" i="1"/>
  <c r="BT210" i="1" s="1"/>
  <c r="BV210" i="1" s="1"/>
  <c r="BS210" i="1"/>
  <c r="BU210" i="1" s="1"/>
  <c r="P212" i="1"/>
  <c r="R212" i="1" s="1"/>
  <c r="AE212" i="1"/>
  <c r="AG212" i="1" s="1"/>
  <c r="AD212" i="1"/>
  <c r="AF212" i="1" s="1"/>
  <c r="AH212" i="1" s="1"/>
  <c r="Q213" i="1"/>
  <c r="S213" i="1" s="1"/>
  <c r="G213" i="1"/>
  <c r="I213" i="1" s="1"/>
  <c r="BW210" i="1" l="1"/>
  <c r="BY210" i="1" s="1"/>
  <c r="CA210" i="1" s="1"/>
  <c r="BX210" i="1"/>
  <c r="BZ210" i="1" s="1"/>
  <c r="BC211" i="1"/>
  <c r="BE211" i="1" s="1"/>
  <c r="BG211" i="1" s="1"/>
  <c r="BD211" i="1"/>
  <c r="BF211" i="1" s="1"/>
  <c r="AJ212" i="1"/>
  <c r="AL212" i="1" s="1"/>
  <c r="AI212" i="1"/>
  <c r="AK212" i="1" s="1"/>
  <c r="AM212" i="1" s="1"/>
  <c r="CR209" i="1"/>
  <c r="CT209" i="1" s="1"/>
  <c r="CQ209" i="1"/>
  <c r="CS209" i="1" s="1"/>
  <c r="CU209" i="1" s="1"/>
  <c r="AO212" i="1" l="1"/>
  <c r="AQ212" i="1" s="1"/>
  <c r="AN212" i="1"/>
  <c r="AP212" i="1" s="1"/>
  <c r="AR212" i="1" s="1"/>
  <c r="BH211" i="1"/>
  <c r="BJ211" i="1" s="1"/>
  <c r="BL211" i="1" s="1"/>
  <c r="BI211" i="1"/>
  <c r="BK211" i="1" s="1"/>
  <c r="CC210" i="1"/>
  <c r="CE210" i="1" s="1"/>
  <c r="CB210" i="1"/>
  <c r="CD210" i="1" s="1"/>
  <c r="CF210" i="1" s="1"/>
  <c r="CW209" i="1"/>
  <c r="CY209" i="1" s="1"/>
  <c r="CV209" i="1"/>
  <c r="CX209" i="1" s="1"/>
  <c r="J213" i="1"/>
  <c r="L213" i="1" s="1"/>
  <c r="N213" i="1" s="1"/>
  <c r="K213" i="1"/>
  <c r="M213" i="1" s="1"/>
  <c r="D214" i="1"/>
  <c r="T213" i="1"/>
  <c r="V213" i="1" s="1"/>
  <c r="X213" i="1" s="1"/>
  <c r="U213" i="1"/>
  <c r="W213" i="1" s="1"/>
  <c r="CZ209" i="1" l="1"/>
  <c r="BN211" i="1"/>
  <c r="BP211" i="1" s="1"/>
  <c r="BM211" i="1"/>
  <c r="BO211" i="1" s="1"/>
  <c r="BQ211" i="1" s="1"/>
  <c r="CG210" i="1"/>
  <c r="CI210" i="1" s="1"/>
  <c r="CK210" i="1" s="1"/>
  <c r="CH210" i="1"/>
  <c r="CJ210" i="1" s="1"/>
  <c r="AT212" i="1"/>
  <c r="AV212" i="1" s="1"/>
  <c r="AS212" i="1"/>
  <c r="AU212" i="1" s="1"/>
  <c r="AW212" i="1" s="1"/>
  <c r="P213" i="1"/>
  <c r="R213" i="1" s="1"/>
  <c r="Y213" i="1"/>
  <c r="AA213" i="1" s="1"/>
  <c r="AC213" i="1" s="1"/>
  <c r="Z213" i="1"/>
  <c r="AB213" i="1" s="1"/>
  <c r="F214" i="1"/>
  <c r="H214" i="1" s="1"/>
  <c r="E214" i="1"/>
  <c r="DB209" i="1" l="1"/>
  <c r="DD209" i="1" s="1"/>
  <c r="DA209" i="1"/>
  <c r="DC209" i="1" s="1"/>
  <c r="CM210" i="1"/>
  <c r="CO210" i="1" s="1"/>
  <c r="CL210" i="1"/>
  <c r="CN210" i="1" s="1"/>
  <c r="CP210" i="1" s="1"/>
  <c r="AX212" i="1"/>
  <c r="AZ212" i="1" s="1"/>
  <c r="BB212" i="1" s="1"/>
  <c r="AY212" i="1"/>
  <c r="BA212" i="1" s="1"/>
  <c r="BR211" i="1"/>
  <c r="BT211" i="1" s="1"/>
  <c r="BV211" i="1" s="1"/>
  <c r="BS211" i="1"/>
  <c r="BU211" i="1" s="1"/>
  <c r="O213" i="1"/>
  <c r="AD213" i="1"/>
  <c r="AF213" i="1" s="1"/>
  <c r="AH213" i="1" s="1"/>
  <c r="AE213" i="1"/>
  <c r="AG213" i="1" s="1"/>
  <c r="G214" i="1"/>
  <c r="I214" i="1" s="1"/>
  <c r="Q214" i="1"/>
  <c r="S214" i="1" s="1"/>
  <c r="AI213" i="1" l="1"/>
  <c r="AK213" i="1" s="1"/>
  <c r="AM213" i="1" s="1"/>
  <c r="AJ213" i="1"/>
  <c r="AL213" i="1" s="1"/>
  <c r="CR210" i="1"/>
  <c r="CT210" i="1" s="1"/>
  <c r="CQ210" i="1"/>
  <c r="CS210" i="1" s="1"/>
  <c r="CU210" i="1" s="1"/>
  <c r="BX211" i="1"/>
  <c r="BZ211" i="1" s="1"/>
  <c r="BW211" i="1"/>
  <c r="BY211" i="1" s="1"/>
  <c r="CA211" i="1" s="1"/>
  <c r="BC212" i="1"/>
  <c r="BE212" i="1" s="1"/>
  <c r="BG212" i="1" s="1"/>
  <c r="BD212" i="1"/>
  <c r="BF212" i="1" s="1"/>
  <c r="CB211" i="1" l="1"/>
  <c r="CD211" i="1" s="1"/>
  <c r="CF211" i="1" s="1"/>
  <c r="CC211" i="1"/>
  <c r="CE211" i="1" s="1"/>
  <c r="CV210" i="1"/>
  <c r="CX210" i="1" s="1"/>
  <c r="CW210" i="1"/>
  <c r="CY210" i="1" s="1"/>
  <c r="BH212" i="1"/>
  <c r="BJ212" i="1" s="1"/>
  <c r="BL212" i="1" s="1"/>
  <c r="BI212" i="1"/>
  <c r="BK212" i="1" s="1"/>
  <c r="AN213" i="1"/>
  <c r="AP213" i="1" s="1"/>
  <c r="AR213" i="1" s="1"/>
  <c r="AO213" i="1"/>
  <c r="AQ213" i="1" s="1"/>
  <c r="J214" i="1"/>
  <c r="L214" i="1" s="1"/>
  <c r="N214" i="1" s="1"/>
  <c r="K214" i="1"/>
  <c r="M214" i="1" s="1"/>
  <c r="D215" i="1"/>
  <c r="T214" i="1"/>
  <c r="V214" i="1" s="1"/>
  <c r="X214" i="1" s="1"/>
  <c r="U214" i="1"/>
  <c r="W214" i="1" s="1"/>
  <c r="CZ210" i="1" l="1"/>
  <c r="AT213" i="1"/>
  <c r="AV213" i="1" s="1"/>
  <c r="AS213" i="1"/>
  <c r="AU213" i="1" s="1"/>
  <c r="AW213" i="1" s="1"/>
  <c r="BN212" i="1"/>
  <c r="BP212" i="1" s="1"/>
  <c r="BM212" i="1"/>
  <c r="BO212" i="1" s="1"/>
  <c r="BQ212" i="1" s="1"/>
  <c r="DA210" i="1"/>
  <c r="DC210" i="1" s="1"/>
  <c r="DB210" i="1"/>
  <c r="DD210" i="1" s="1"/>
  <c r="CH211" i="1"/>
  <c r="CJ211" i="1" s="1"/>
  <c r="CG211" i="1"/>
  <c r="CI211" i="1" s="1"/>
  <c r="CK211" i="1" s="1"/>
  <c r="P214" i="1"/>
  <c r="R214" i="1" s="1"/>
  <c r="E215" i="1"/>
  <c r="F215" i="1"/>
  <c r="H215" i="1" s="1"/>
  <c r="Y214" i="1"/>
  <c r="AA214" i="1" s="1"/>
  <c r="AC214" i="1" s="1"/>
  <c r="Z214" i="1"/>
  <c r="AB214" i="1" s="1"/>
  <c r="CL211" i="1" l="1"/>
  <c r="CN211" i="1" s="1"/>
  <c r="CP211" i="1" s="1"/>
  <c r="CM211" i="1"/>
  <c r="CO211" i="1" s="1"/>
  <c r="BR212" i="1"/>
  <c r="BT212" i="1" s="1"/>
  <c r="BV212" i="1" s="1"/>
  <c r="BS212" i="1"/>
  <c r="BU212" i="1" s="1"/>
  <c r="AY213" i="1"/>
  <c r="BA213" i="1" s="1"/>
  <c r="AX213" i="1"/>
  <c r="AZ213" i="1" s="1"/>
  <c r="BB213" i="1" s="1"/>
  <c r="O214" i="1"/>
  <c r="AE214" i="1"/>
  <c r="AG214" i="1" s="1"/>
  <c r="AD214" i="1"/>
  <c r="AF214" i="1" s="1"/>
  <c r="AH214" i="1" s="1"/>
  <c r="G215" i="1"/>
  <c r="I215" i="1" s="1"/>
  <c r="Q215" i="1"/>
  <c r="S215" i="1" s="1"/>
  <c r="BX212" i="1" l="1"/>
  <c r="BZ212" i="1" s="1"/>
  <c r="BW212" i="1"/>
  <c r="BY212" i="1" s="1"/>
  <c r="CA212" i="1" s="1"/>
  <c r="CQ211" i="1"/>
  <c r="CS211" i="1" s="1"/>
  <c r="CU211" i="1" s="1"/>
  <c r="CR211" i="1"/>
  <c r="CT211" i="1" s="1"/>
  <c r="AJ214" i="1"/>
  <c r="AL214" i="1" s="1"/>
  <c r="AI214" i="1"/>
  <c r="AK214" i="1" s="1"/>
  <c r="AM214" i="1" s="1"/>
  <c r="BD213" i="1"/>
  <c r="BF213" i="1" s="1"/>
  <c r="BC213" i="1"/>
  <c r="BE213" i="1" s="1"/>
  <c r="BG213" i="1" s="1"/>
  <c r="BH213" i="1" l="1"/>
  <c r="BJ213" i="1" s="1"/>
  <c r="BL213" i="1" s="1"/>
  <c r="BI213" i="1"/>
  <c r="BK213" i="1" s="1"/>
  <c r="AN214" i="1"/>
  <c r="AP214" i="1" s="1"/>
  <c r="AR214" i="1" s="1"/>
  <c r="AO214" i="1"/>
  <c r="AQ214" i="1" s="1"/>
  <c r="CV211" i="1"/>
  <c r="CX211" i="1" s="1"/>
  <c r="CW211" i="1"/>
  <c r="CY211" i="1" s="1"/>
  <c r="CC212" i="1"/>
  <c r="CE212" i="1" s="1"/>
  <c r="CB212" i="1"/>
  <c r="CD212" i="1" s="1"/>
  <c r="CF212" i="1" s="1"/>
  <c r="U215" i="1"/>
  <c r="W215" i="1" s="1"/>
  <c r="T215" i="1"/>
  <c r="V215" i="1" s="1"/>
  <c r="X215" i="1" s="1"/>
  <c r="J215" i="1"/>
  <c r="L215" i="1" s="1"/>
  <c r="N215" i="1" s="1"/>
  <c r="K215" i="1"/>
  <c r="M215" i="1" s="1"/>
  <c r="D216" i="1"/>
  <c r="CZ211" i="1" l="1"/>
  <c r="DB211" i="1" s="1"/>
  <c r="DD211" i="1" s="1"/>
  <c r="DA211" i="1"/>
  <c r="DC211" i="1" s="1"/>
  <c r="AT214" i="1"/>
  <c r="AV214" i="1" s="1"/>
  <c r="AS214" i="1"/>
  <c r="AU214" i="1" s="1"/>
  <c r="AW214" i="1" s="1"/>
  <c r="BN213" i="1"/>
  <c r="BP213" i="1" s="1"/>
  <c r="BM213" i="1"/>
  <c r="BO213" i="1" s="1"/>
  <c r="BQ213" i="1" s="1"/>
  <c r="CH212" i="1"/>
  <c r="CJ212" i="1" s="1"/>
  <c r="CG212" i="1"/>
  <c r="CI212" i="1" s="1"/>
  <c r="CK212" i="1" s="1"/>
  <c r="P215" i="1"/>
  <c r="R215" i="1" s="1"/>
  <c r="E216" i="1"/>
  <c r="F216" i="1"/>
  <c r="H216" i="1" s="1"/>
  <c r="Z215" i="1"/>
  <c r="AB215" i="1" s="1"/>
  <c r="Y215" i="1"/>
  <c r="AA215" i="1" s="1"/>
  <c r="AC215" i="1" s="1"/>
  <c r="CM212" i="1" l="1"/>
  <c r="CO212" i="1" s="1"/>
  <c r="CL212" i="1"/>
  <c r="CN212" i="1" s="1"/>
  <c r="CP212" i="1" s="1"/>
  <c r="BR213" i="1"/>
  <c r="BT213" i="1" s="1"/>
  <c r="BV213" i="1" s="1"/>
  <c r="BS213" i="1"/>
  <c r="BU213" i="1" s="1"/>
  <c r="AY214" i="1"/>
  <c r="BA214" i="1" s="1"/>
  <c r="AX214" i="1"/>
  <c r="AZ214" i="1" s="1"/>
  <c r="BB214" i="1" s="1"/>
  <c r="O215" i="1"/>
  <c r="AD215" i="1"/>
  <c r="AF215" i="1" s="1"/>
  <c r="AH215" i="1" s="1"/>
  <c r="AE215" i="1"/>
  <c r="AG215" i="1" s="1"/>
  <c r="G216" i="1"/>
  <c r="I216" i="1" s="1"/>
  <c r="Q216" i="1"/>
  <c r="S216" i="1" s="1"/>
  <c r="BW213" i="1" l="1"/>
  <c r="BY213" i="1" s="1"/>
  <c r="CA213" i="1" s="1"/>
  <c r="BX213" i="1"/>
  <c r="BZ213" i="1" s="1"/>
  <c r="AJ215" i="1"/>
  <c r="AL215" i="1" s="1"/>
  <c r="AI215" i="1"/>
  <c r="AK215" i="1" s="1"/>
  <c r="AM215" i="1" s="1"/>
  <c r="BC214" i="1"/>
  <c r="BE214" i="1" s="1"/>
  <c r="BG214" i="1" s="1"/>
  <c r="BD214" i="1"/>
  <c r="BF214" i="1" s="1"/>
  <c r="CQ212" i="1"/>
  <c r="CS212" i="1" s="1"/>
  <c r="CU212" i="1" s="1"/>
  <c r="CR212" i="1"/>
  <c r="CT212" i="1" s="1"/>
  <c r="AN215" i="1" l="1"/>
  <c r="AP215" i="1" s="1"/>
  <c r="AR215" i="1" s="1"/>
  <c r="AO215" i="1"/>
  <c r="AQ215" i="1" s="1"/>
  <c r="CC213" i="1"/>
  <c r="CE213" i="1" s="1"/>
  <c r="CB213" i="1"/>
  <c r="CD213" i="1" s="1"/>
  <c r="CF213" i="1" s="1"/>
  <c r="CW212" i="1"/>
  <c r="CY212" i="1" s="1"/>
  <c r="CV212" i="1"/>
  <c r="CX212" i="1" s="1"/>
  <c r="BI214" i="1"/>
  <c r="BK214" i="1" s="1"/>
  <c r="BH214" i="1"/>
  <c r="BJ214" i="1" s="1"/>
  <c r="BL214" i="1" s="1"/>
  <c r="T216" i="1"/>
  <c r="V216" i="1" s="1"/>
  <c r="X216" i="1" s="1"/>
  <c r="U216" i="1"/>
  <c r="W216" i="1" s="1"/>
  <c r="J216" i="1"/>
  <c r="L216" i="1" s="1"/>
  <c r="N216" i="1" s="1"/>
  <c r="K216" i="1"/>
  <c r="M216" i="1" s="1"/>
  <c r="D217" i="1"/>
  <c r="CZ212" i="1" l="1"/>
  <c r="AT215" i="1"/>
  <c r="AV215" i="1" s="1"/>
  <c r="AS215" i="1"/>
  <c r="AU215" i="1" s="1"/>
  <c r="AW215" i="1" s="1"/>
  <c r="BN214" i="1"/>
  <c r="BP214" i="1" s="1"/>
  <c r="BM214" i="1"/>
  <c r="BO214" i="1" s="1"/>
  <c r="BQ214" i="1" s="1"/>
  <c r="CH213" i="1"/>
  <c r="CJ213" i="1" s="1"/>
  <c r="CG213" i="1"/>
  <c r="CI213" i="1" s="1"/>
  <c r="CK213" i="1" s="1"/>
  <c r="P216" i="1"/>
  <c r="R216" i="1" s="1"/>
  <c r="E217" i="1"/>
  <c r="F217" i="1"/>
  <c r="H217" i="1" s="1"/>
  <c r="Y216" i="1"/>
  <c r="AA216" i="1" s="1"/>
  <c r="AC216" i="1" s="1"/>
  <c r="Z216" i="1"/>
  <c r="AB216" i="1" s="1"/>
  <c r="DB212" i="1" l="1"/>
  <c r="DD212" i="1" s="1"/>
  <c r="DA212" i="1"/>
  <c r="DC212" i="1" s="1"/>
  <c r="CL213" i="1"/>
  <c r="CN213" i="1" s="1"/>
  <c r="CP213" i="1" s="1"/>
  <c r="CM213" i="1"/>
  <c r="CO213" i="1" s="1"/>
  <c r="BR214" i="1"/>
  <c r="BT214" i="1" s="1"/>
  <c r="BV214" i="1" s="1"/>
  <c r="BS214" i="1"/>
  <c r="BU214" i="1" s="1"/>
  <c r="AX215" i="1"/>
  <c r="AZ215" i="1" s="1"/>
  <c r="BB215" i="1" s="1"/>
  <c r="AY215" i="1"/>
  <c r="BA215" i="1" s="1"/>
  <c r="O216" i="1"/>
  <c r="AD216" i="1"/>
  <c r="AF216" i="1" s="1"/>
  <c r="AH216" i="1" s="1"/>
  <c r="AE216" i="1"/>
  <c r="AG216" i="1" s="1"/>
  <c r="G217" i="1"/>
  <c r="I217" i="1" s="1"/>
  <c r="Q217" i="1"/>
  <c r="S217" i="1" s="1"/>
  <c r="AI216" i="1" l="1"/>
  <c r="AK216" i="1" s="1"/>
  <c r="AM216" i="1" s="1"/>
  <c r="AJ216" i="1"/>
  <c r="AL216" i="1" s="1"/>
  <c r="BD215" i="1"/>
  <c r="BF215" i="1" s="1"/>
  <c r="BC215" i="1"/>
  <c r="BE215" i="1" s="1"/>
  <c r="BG215" i="1" s="1"/>
  <c r="BW214" i="1"/>
  <c r="BY214" i="1" s="1"/>
  <c r="CA214" i="1" s="1"/>
  <c r="BX214" i="1"/>
  <c r="BZ214" i="1" s="1"/>
  <c r="CQ213" i="1"/>
  <c r="CS213" i="1" s="1"/>
  <c r="CU213" i="1" s="1"/>
  <c r="CR213" i="1"/>
  <c r="CT213" i="1" s="1"/>
  <c r="BH215" i="1" l="1"/>
  <c r="BJ215" i="1" s="1"/>
  <c r="BL215" i="1" s="1"/>
  <c r="BI215" i="1"/>
  <c r="BK215" i="1" s="1"/>
  <c r="CW213" i="1"/>
  <c r="CY213" i="1" s="1"/>
  <c r="CV213" i="1"/>
  <c r="CX213" i="1" s="1"/>
  <c r="CB214" i="1"/>
  <c r="CD214" i="1" s="1"/>
  <c r="CF214" i="1" s="1"/>
  <c r="CC214" i="1"/>
  <c r="CE214" i="1" s="1"/>
  <c r="AN216" i="1"/>
  <c r="AP216" i="1" s="1"/>
  <c r="AR216" i="1" s="1"/>
  <c r="AO216" i="1"/>
  <c r="AQ216" i="1" s="1"/>
  <c r="U217" i="1"/>
  <c r="W217" i="1" s="1"/>
  <c r="T217" i="1"/>
  <c r="V217" i="1" s="1"/>
  <c r="X217" i="1" s="1"/>
  <c r="J217" i="1"/>
  <c r="L217" i="1" s="1"/>
  <c r="N217" i="1" s="1"/>
  <c r="K217" i="1"/>
  <c r="M217" i="1" s="1"/>
  <c r="D218" i="1"/>
  <c r="CZ213" i="1" l="1"/>
  <c r="AT216" i="1"/>
  <c r="AV216" i="1" s="1"/>
  <c r="AS216" i="1"/>
  <c r="AU216" i="1" s="1"/>
  <c r="AW216" i="1" s="1"/>
  <c r="CG214" i="1"/>
  <c r="CI214" i="1" s="1"/>
  <c r="CK214" i="1" s="1"/>
  <c r="CH214" i="1"/>
  <c r="CJ214" i="1" s="1"/>
  <c r="BM215" i="1"/>
  <c r="BO215" i="1" s="1"/>
  <c r="BQ215" i="1" s="1"/>
  <c r="BN215" i="1"/>
  <c r="BP215" i="1" s="1"/>
  <c r="P217" i="1"/>
  <c r="R217" i="1" s="1"/>
  <c r="Y217" i="1"/>
  <c r="AA217" i="1" s="1"/>
  <c r="AC217" i="1" s="1"/>
  <c r="Z217" i="1"/>
  <c r="AB217" i="1" s="1"/>
  <c r="E218" i="1"/>
  <c r="F218" i="1"/>
  <c r="H218" i="1" s="1"/>
  <c r="DB213" i="1" l="1"/>
  <c r="DD213" i="1" s="1"/>
  <c r="DA213" i="1"/>
  <c r="DC213" i="1" s="1"/>
  <c r="BR215" i="1"/>
  <c r="BT215" i="1" s="1"/>
  <c r="BV215" i="1" s="1"/>
  <c r="BS215" i="1"/>
  <c r="BU215" i="1" s="1"/>
  <c r="CL214" i="1"/>
  <c r="CN214" i="1" s="1"/>
  <c r="CP214" i="1" s="1"/>
  <c r="CM214" i="1"/>
  <c r="CO214" i="1" s="1"/>
  <c r="AY216" i="1"/>
  <c r="BA216" i="1" s="1"/>
  <c r="AX216" i="1"/>
  <c r="AZ216" i="1" s="1"/>
  <c r="BB216" i="1" s="1"/>
  <c r="O217" i="1"/>
  <c r="AE217" i="1"/>
  <c r="AG217" i="1" s="1"/>
  <c r="AD217" i="1"/>
  <c r="AF217" i="1" s="1"/>
  <c r="AH217" i="1" s="1"/>
  <c r="G218" i="1"/>
  <c r="I218" i="1" s="1"/>
  <c r="Q218" i="1"/>
  <c r="S218" i="1" s="1"/>
  <c r="CR214" i="1" l="1"/>
  <c r="CT214" i="1" s="1"/>
  <c r="CQ214" i="1"/>
  <c r="CS214" i="1" s="1"/>
  <c r="CU214" i="1" s="1"/>
  <c r="BW215" i="1"/>
  <c r="BY215" i="1" s="1"/>
  <c r="CA215" i="1" s="1"/>
  <c r="BX215" i="1"/>
  <c r="BZ215" i="1" s="1"/>
  <c r="AI217" i="1"/>
  <c r="AK217" i="1" s="1"/>
  <c r="AM217" i="1" s="1"/>
  <c r="AJ217" i="1"/>
  <c r="AL217" i="1" s="1"/>
  <c r="BD216" i="1"/>
  <c r="BF216" i="1" s="1"/>
  <c r="BC216" i="1"/>
  <c r="BE216" i="1" s="1"/>
  <c r="BG216" i="1" s="1"/>
  <c r="BH216" i="1" l="1"/>
  <c r="BJ216" i="1" s="1"/>
  <c r="BL216" i="1" s="1"/>
  <c r="BI216" i="1"/>
  <c r="BK216" i="1" s="1"/>
  <c r="CC215" i="1"/>
  <c r="CE215" i="1" s="1"/>
  <c r="CB215" i="1"/>
  <c r="CD215" i="1" s="1"/>
  <c r="CF215" i="1" s="1"/>
  <c r="AN217" i="1"/>
  <c r="AP217" i="1" s="1"/>
  <c r="AR217" i="1" s="1"/>
  <c r="AO217" i="1"/>
  <c r="AQ217" i="1" s="1"/>
  <c r="CV214" i="1"/>
  <c r="CX214" i="1" s="1"/>
  <c r="CW214" i="1"/>
  <c r="CY214" i="1" s="1"/>
  <c r="U218" i="1"/>
  <c r="W218" i="1" s="1"/>
  <c r="T218" i="1"/>
  <c r="V218" i="1" s="1"/>
  <c r="X218" i="1" s="1"/>
  <c r="J218" i="1"/>
  <c r="L218" i="1" s="1"/>
  <c r="N218" i="1" s="1"/>
  <c r="K218" i="1"/>
  <c r="M218" i="1" s="1"/>
  <c r="D219" i="1"/>
  <c r="CZ214" i="1" l="1"/>
  <c r="DA214" i="1"/>
  <c r="DC214" i="1" s="1"/>
  <c r="DB214" i="1"/>
  <c r="DD214" i="1" s="1"/>
  <c r="AS217" i="1"/>
  <c r="AU217" i="1" s="1"/>
  <c r="AW217" i="1" s="1"/>
  <c r="AT217" i="1"/>
  <c r="AV217" i="1" s="1"/>
  <c r="BM216" i="1"/>
  <c r="BO216" i="1" s="1"/>
  <c r="BQ216" i="1" s="1"/>
  <c r="BN216" i="1"/>
  <c r="BP216" i="1" s="1"/>
  <c r="CH215" i="1"/>
  <c r="CJ215" i="1" s="1"/>
  <c r="CG215" i="1"/>
  <c r="CI215" i="1" s="1"/>
  <c r="CK215" i="1" s="1"/>
  <c r="P218" i="1"/>
  <c r="R218" i="1" s="1"/>
  <c r="E219" i="1"/>
  <c r="F219" i="1"/>
  <c r="H219" i="1" s="1"/>
  <c r="Y218" i="1"/>
  <c r="AA218" i="1" s="1"/>
  <c r="AC218" i="1" s="1"/>
  <c r="Z218" i="1"/>
  <c r="AB218" i="1" s="1"/>
  <c r="BR216" i="1" l="1"/>
  <c r="BT216" i="1" s="1"/>
  <c r="BV216" i="1" s="1"/>
  <c r="BS216" i="1"/>
  <c r="BU216" i="1" s="1"/>
  <c r="AX217" i="1"/>
  <c r="AZ217" i="1" s="1"/>
  <c r="BB217" i="1" s="1"/>
  <c r="AY217" i="1"/>
  <c r="BA217" i="1" s="1"/>
  <c r="CM215" i="1"/>
  <c r="CO215" i="1" s="1"/>
  <c r="CL215" i="1"/>
  <c r="CN215" i="1" s="1"/>
  <c r="CP215" i="1" s="1"/>
  <c r="O218" i="1"/>
  <c r="AD218" i="1"/>
  <c r="AF218" i="1" s="1"/>
  <c r="AH218" i="1" s="1"/>
  <c r="AE218" i="1"/>
  <c r="AG218" i="1" s="1"/>
  <c r="G219" i="1"/>
  <c r="I219" i="1" s="1"/>
  <c r="Q219" i="1"/>
  <c r="S219" i="1" s="1"/>
  <c r="BC217" i="1" l="1"/>
  <c r="BE217" i="1" s="1"/>
  <c r="BG217" i="1" s="1"/>
  <c r="BD217" i="1"/>
  <c r="BF217" i="1" s="1"/>
  <c r="BX216" i="1"/>
  <c r="BZ216" i="1" s="1"/>
  <c r="BW216" i="1"/>
  <c r="BY216" i="1" s="1"/>
  <c r="CA216" i="1" s="1"/>
  <c r="AI218" i="1"/>
  <c r="AK218" i="1" s="1"/>
  <c r="AM218" i="1" s="1"/>
  <c r="AJ218" i="1"/>
  <c r="AL218" i="1" s="1"/>
  <c r="CQ215" i="1"/>
  <c r="CS215" i="1" s="1"/>
  <c r="CU215" i="1" s="1"/>
  <c r="CR215" i="1"/>
  <c r="CT215" i="1" s="1"/>
  <c r="BI217" i="1" l="1"/>
  <c r="BK217" i="1" s="1"/>
  <c r="BH217" i="1"/>
  <c r="BJ217" i="1" s="1"/>
  <c r="BL217" i="1" s="1"/>
  <c r="CW215" i="1"/>
  <c r="CY215" i="1" s="1"/>
  <c r="CV215" i="1"/>
  <c r="CX215" i="1" s="1"/>
  <c r="AO218" i="1"/>
  <c r="AQ218" i="1" s="1"/>
  <c r="AN218" i="1"/>
  <c r="AP218" i="1" s="1"/>
  <c r="AR218" i="1" s="1"/>
  <c r="CC216" i="1"/>
  <c r="CE216" i="1" s="1"/>
  <c r="CB216" i="1"/>
  <c r="CD216" i="1" s="1"/>
  <c r="CF216" i="1" s="1"/>
  <c r="T219" i="1"/>
  <c r="V219" i="1" s="1"/>
  <c r="X219" i="1" s="1"/>
  <c r="U219" i="1"/>
  <c r="W219" i="1" s="1"/>
  <c r="J219" i="1"/>
  <c r="L219" i="1" s="1"/>
  <c r="N219" i="1" s="1"/>
  <c r="K219" i="1"/>
  <c r="M219" i="1" s="1"/>
  <c r="D220" i="1"/>
  <c r="CZ215" i="1" l="1"/>
  <c r="CH216" i="1"/>
  <c r="CJ216" i="1" s="1"/>
  <c r="CG216" i="1"/>
  <c r="CI216" i="1" s="1"/>
  <c r="CK216" i="1" s="1"/>
  <c r="AS218" i="1"/>
  <c r="AU218" i="1" s="1"/>
  <c r="AW218" i="1" s="1"/>
  <c r="AT218" i="1"/>
  <c r="AV218" i="1" s="1"/>
  <c r="BN217" i="1"/>
  <c r="BP217" i="1" s="1"/>
  <c r="BM217" i="1"/>
  <c r="BO217" i="1" s="1"/>
  <c r="BQ217" i="1" s="1"/>
  <c r="P219" i="1"/>
  <c r="R219" i="1" s="1"/>
  <c r="E220" i="1"/>
  <c r="F220" i="1"/>
  <c r="H220" i="1" s="1"/>
  <c r="Y219" i="1"/>
  <c r="AA219" i="1" s="1"/>
  <c r="AC219" i="1" s="1"/>
  <c r="Z219" i="1"/>
  <c r="AB219" i="1" s="1"/>
  <c r="DA215" i="1" l="1"/>
  <c r="DC215" i="1" s="1"/>
  <c r="DB215" i="1"/>
  <c r="DD215" i="1" s="1"/>
  <c r="AY218" i="1"/>
  <c r="BA218" i="1" s="1"/>
  <c r="AX218" i="1"/>
  <c r="AZ218" i="1" s="1"/>
  <c r="BB218" i="1" s="1"/>
  <c r="BR217" i="1"/>
  <c r="BT217" i="1" s="1"/>
  <c r="BV217" i="1" s="1"/>
  <c r="BS217" i="1"/>
  <c r="BU217" i="1" s="1"/>
  <c r="CL216" i="1"/>
  <c r="CN216" i="1" s="1"/>
  <c r="CP216" i="1" s="1"/>
  <c r="CM216" i="1"/>
  <c r="CO216" i="1" s="1"/>
  <c r="O219" i="1"/>
  <c r="AD219" i="1"/>
  <c r="AF219" i="1" s="1"/>
  <c r="AH219" i="1" s="1"/>
  <c r="AE219" i="1"/>
  <c r="AG219" i="1" s="1"/>
  <c r="Q220" i="1"/>
  <c r="S220" i="1" s="1"/>
  <c r="G220" i="1"/>
  <c r="I220" i="1" s="1"/>
  <c r="CR216" i="1" l="1"/>
  <c r="CT216" i="1" s="1"/>
  <c r="CQ216" i="1"/>
  <c r="CS216" i="1" s="1"/>
  <c r="CU216" i="1" s="1"/>
  <c r="BX217" i="1"/>
  <c r="BZ217" i="1" s="1"/>
  <c r="BW217" i="1"/>
  <c r="BY217" i="1" s="1"/>
  <c r="CA217" i="1" s="1"/>
  <c r="AI219" i="1"/>
  <c r="AK219" i="1" s="1"/>
  <c r="AM219" i="1" s="1"/>
  <c r="AJ219" i="1"/>
  <c r="AL219" i="1" s="1"/>
  <c r="BC218" i="1"/>
  <c r="BE218" i="1" s="1"/>
  <c r="BG218" i="1" s="1"/>
  <c r="BD218" i="1"/>
  <c r="BF218" i="1" s="1"/>
  <c r="BI218" i="1" l="1"/>
  <c r="BK218" i="1" s="1"/>
  <c r="BH218" i="1"/>
  <c r="BJ218" i="1" s="1"/>
  <c r="BL218" i="1" s="1"/>
  <c r="AN219" i="1"/>
  <c r="AP219" i="1" s="1"/>
  <c r="AR219" i="1" s="1"/>
  <c r="AO219" i="1"/>
  <c r="AQ219" i="1" s="1"/>
  <c r="CB217" i="1"/>
  <c r="CD217" i="1" s="1"/>
  <c r="CF217" i="1" s="1"/>
  <c r="CC217" i="1"/>
  <c r="CE217" i="1" s="1"/>
  <c r="CW216" i="1"/>
  <c r="CY216" i="1" s="1"/>
  <c r="CV216" i="1"/>
  <c r="CX216" i="1" s="1"/>
  <c r="J220" i="1"/>
  <c r="L220" i="1" s="1"/>
  <c r="N220" i="1" s="1"/>
  <c r="K220" i="1"/>
  <c r="M220" i="1" s="1"/>
  <c r="D221" i="1"/>
  <c r="T220" i="1"/>
  <c r="V220" i="1" s="1"/>
  <c r="X220" i="1" s="1"/>
  <c r="U220" i="1"/>
  <c r="W220" i="1" s="1"/>
  <c r="CZ216" i="1" l="1"/>
  <c r="CH217" i="1"/>
  <c r="CJ217" i="1" s="1"/>
  <c r="CG217" i="1"/>
  <c r="CI217" i="1" s="1"/>
  <c r="CK217" i="1" s="1"/>
  <c r="AS219" i="1"/>
  <c r="AU219" i="1" s="1"/>
  <c r="AW219" i="1" s="1"/>
  <c r="AT219" i="1"/>
  <c r="AV219" i="1" s="1"/>
  <c r="BN218" i="1"/>
  <c r="BP218" i="1" s="1"/>
  <c r="BM218" i="1"/>
  <c r="BO218" i="1" s="1"/>
  <c r="BQ218" i="1" s="1"/>
  <c r="P220" i="1"/>
  <c r="R220" i="1" s="1"/>
  <c r="Y220" i="1"/>
  <c r="AA220" i="1" s="1"/>
  <c r="AC220" i="1" s="1"/>
  <c r="Z220" i="1"/>
  <c r="AB220" i="1" s="1"/>
  <c r="E221" i="1"/>
  <c r="F221" i="1"/>
  <c r="H221" i="1" s="1"/>
  <c r="DA216" i="1" l="1"/>
  <c r="DC216" i="1" s="1"/>
  <c r="DB216" i="1"/>
  <c r="DD216" i="1" s="1"/>
  <c r="AX219" i="1"/>
  <c r="AZ219" i="1" s="1"/>
  <c r="BB219" i="1" s="1"/>
  <c r="AY219" i="1"/>
  <c r="BA219" i="1" s="1"/>
  <c r="BR218" i="1"/>
  <c r="BT218" i="1" s="1"/>
  <c r="BV218" i="1" s="1"/>
  <c r="BS218" i="1"/>
  <c r="BU218" i="1" s="1"/>
  <c r="CL217" i="1"/>
  <c r="CN217" i="1" s="1"/>
  <c r="CP217" i="1" s="1"/>
  <c r="CM217" i="1"/>
  <c r="CO217" i="1" s="1"/>
  <c r="O220" i="1"/>
  <c r="AD220" i="1"/>
  <c r="AF220" i="1" s="1"/>
  <c r="AH220" i="1" s="1"/>
  <c r="AE220" i="1"/>
  <c r="AG220" i="1" s="1"/>
  <c r="Q221" i="1"/>
  <c r="S221" i="1" s="1"/>
  <c r="G221" i="1"/>
  <c r="I221" i="1" s="1"/>
  <c r="CR217" i="1" l="1"/>
  <c r="CT217" i="1" s="1"/>
  <c r="CQ217" i="1"/>
  <c r="CS217" i="1" s="1"/>
  <c r="CU217" i="1" s="1"/>
  <c r="BW218" i="1"/>
  <c r="BY218" i="1" s="1"/>
  <c r="CA218" i="1" s="1"/>
  <c r="BX218" i="1"/>
  <c r="BZ218" i="1" s="1"/>
  <c r="BC219" i="1"/>
  <c r="BE219" i="1" s="1"/>
  <c r="BG219" i="1" s="1"/>
  <c r="BD219" i="1"/>
  <c r="BF219" i="1" s="1"/>
  <c r="AJ220" i="1"/>
  <c r="AL220" i="1" s="1"/>
  <c r="AI220" i="1"/>
  <c r="AK220" i="1" s="1"/>
  <c r="AM220" i="1" s="1"/>
  <c r="BH219" i="1" l="1"/>
  <c r="BJ219" i="1" s="1"/>
  <c r="BL219" i="1" s="1"/>
  <c r="BI219" i="1"/>
  <c r="BK219" i="1" s="1"/>
  <c r="CC218" i="1"/>
  <c r="CE218" i="1" s="1"/>
  <c r="CB218" i="1"/>
  <c r="CD218" i="1" s="1"/>
  <c r="CF218" i="1" s="1"/>
  <c r="AO220" i="1"/>
  <c r="AQ220" i="1" s="1"/>
  <c r="AN220" i="1"/>
  <c r="AP220" i="1" s="1"/>
  <c r="AR220" i="1" s="1"/>
  <c r="CV217" i="1"/>
  <c r="CX217" i="1" s="1"/>
  <c r="CW217" i="1"/>
  <c r="CY217" i="1" s="1"/>
  <c r="J221" i="1"/>
  <c r="L221" i="1" s="1"/>
  <c r="N221" i="1" s="1"/>
  <c r="K221" i="1"/>
  <c r="M221" i="1" s="1"/>
  <c r="D222" i="1"/>
  <c r="U221" i="1"/>
  <c r="W221" i="1" s="1"/>
  <c r="T221" i="1"/>
  <c r="V221" i="1" s="1"/>
  <c r="X221" i="1" s="1"/>
  <c r="CZ217" i="1" l="1"/>
  <c r="DB217" i="1" s="1"/>
  <c r="DD217" i="1" s="1"/>
  <c r="DA217" i="1"/>
  <c r="DC217" i="1" s="1"/>
  <c r="BN219" i="1"/>
  <c r="BP219" i="1" s="1"/>
  <c r="BM219" i="1"/>
  <c r="BO219" i="1" s="1"/>
  <c r="BQ219" i="1" s="1"/>
  <c r="AT220" i="1"/>
  <c r="AV220" i="1" s="1"/>
  <c r="AS220" i="1"/>
  <c r="AU220" i="1" s="1"/>
  <c r="AW220" i="1" s="1"/>
  <c r="CG218" i="1"/>
  <c r="CI218" i="1" s="1"/>
  <c r="CK218" i="1" s="1"/>
  <c r="CH218" i="1"/>
  <c r="CJ218" i="1" s="1"/>
  <c r="P221" i="1"/>
  <c r="R221" i="1" s="1"/>
  <c r="Y221" i="1"/>
  <c r="AA221" i="1" s="1"/>
  <c r="AC221" i="1" s="1"/>
  <c r="Z221" i="1"/>
  <c r="AB221" i="1" s="1"/>
  <c r="F222" i="1"/>
  <c r="H222" i="1" s="1"/>
  <c r="E222" i="1"/>
  <c r="CM218" i="1" l="1"/>
  <c r="CO218" i="1" s="1"/>
  <c r="CL218" i="1"/>
  <c r="CN218" i="1" s="1"/>
  <c r="CP218" i="1" s="1"/>
  <c r="AX220" i="1"/>
  <c r="AZ220" i="1" s="1"/>
  <c r="BB220" i="1" s="1"/>
  <c r="AY220" i="1"/>
  <c r="BA220" i="1" s="1"/>
  <c r="BS219" i="1"/>
  <c r="BU219" i="1" s="1"/>
  <c r="BR219" i="1"/>
  <c r="BT219" i="1" s="1"/>
  <c r="BV219" i="1" s="1"/>
  <c r="O221" i="1"/>
  <c r="AD221" i="1"/>
  <c r="AF221" i="1" s="1"/>
  <c r="AH221" i="1" s="1"/>
  <c r="AE221" i="1"/>
  <c r="AG221" i="1" s="1"/>
  <c r="Q222" i="1"/>
  <c r="S222" i="1" s="1"/>
  <c r="G222" i="1"/>
  <c r="I222" i="1" s="1"/>
  <c r="BD220" i="1" l="1"/>
  <c r="BF220" i="1" s="1"/>
  <c r="BC220" i="1"/>
  <c r="BE220" i="1" s="1"/>
  <c r="BG220" i="1" s="1"/>
  <c r="AI221" i="1"/>
  <c r="AK221" i="1" s="1"/>
  <c r="AM221" i="1" s="1"/>
  <c r="AJ221" i="1"/>
  <c r="AL221" i="1" s="1"/>
  <c r="BX219" i="1"/>
  <c r="BZ219" i="1" s="1"/>
  <c r="BW219" i="1"/>
  <c r="BY219" i="1" s="1"/>
  <c r="CA219" i="1" s="1"/>
  <c r="CQ218" i="1"/>
  <c r="CS218" i="1" s="1"/>
  <c r="CU218" i="1" s="1"/>
  <c r="CR218" i="1"/>
  <c r="CT218" i="1" s="1"/>
  <c r="CB219" i="1" l="1"/>
  <c r="CD219" i="1" s="1"/>
  <c r="CF219" i="1" s="1"/>
  <c r="CC219" i="1"/>
  <c r="CE219" i="1" s="1"/>
  <c r="CW218" i="1"/>
  <c r="CY218" i="1" s="1"/>
  <c r="CV218" i="1"/>
  <c r="CX218" i="1" s="1"/>
  <c r="AO221" i="1"/>
  <c r="AQ221" i="1" s="1"/>
  <c r="AN221" i="1"/>
  <c r="AP221" i="1" s="1"/>
  <c r="AR221" i="1" s="1"/>
  <c r="BH220" i="1"/>
  <c r="BJ220" i="1" s="1"/>
  <c r="BL220" i="1" s="1"/>
  <c r="BI220" i="1"/>
  <c r="BK220" i="1" s="1"/>
  <c r="J222" i="1"/>
  <c r="L222" i="1" s="1"/>
  <c r="N222" i="1" s="1"/>
  <c r="K222" i="1"/>
  <c r="M222" i="1" s="1"/>
  <c r="D223" i="1"/>
  <c r="T222" i="1"/>
  <c r="V222" i="1" s="1"/>
  <c r="X222" i="1" s="1"/>
  <c r="U222" i="1"/>
  <c r="W222" i="1" s="1"/>
  <c r="CZ218" i="1" l="1"/>
  <c r="BN220" i="1"/>
  <c r="BP220" i="1" s="1"/>
  <c r="BM220" i="1"/>
  <c r="BO220" i="1" s="1"/>
  <c r="BQ220" i="1" s="1"/>
  <c r="CG219" i="1"/>
  <c r="CI219" i="1" s="1"/>
  <c r="CK219" i="1" s="1"/>
  <c r="CH219" i="1"/>
  <c r="CJ219" i="1" s="1"/>
  <c r="AT221" i="1"/>
  <c r="AV221" i="1" s="1"/>
  <c r="AS221" i="1"/>
  <c r="AU221" i="1" s="1"/>
  <c r="AW221" i="1" s="1"/>
  <c r="P222" i="1"/>
  <c r="R222" i="1" s="1"/>
  <c r="Y222" i="1"/>
  <c r="AA222" i="1" s="1"/>
  <c r="AC222" i="1" s="1"/>
  <c r="Z222" i="1"/>
  <c r="AB222" i="1" s="1"/>
  <c r="F223" i="1"/>
  <c r="H223" i="1" s="1"/>
  <c r="E223" i="1"/>
  <c r="DA218" i="1" l="1"/>
  <c r="DC218" i="1" s="1"/>
  <c r="DB218" i="1"/>
  <c r="DD218" i="1" s="1"/>
  <c r="CM219" i="1"/>
  <c r="CO219" i="1" s="1"/>
  <c r="CL219" i="1"/>
  <c r="CN219" i="1" s="1"/>
  <c r="CP219" i="1" s="1"/>
  <c r="AX221" i="1"/>
  <c r="AZ221" i="1" s="1"/>
  <c r="BB221" i="1" s="1"/>
  <c r="AY221" i="1"/>
  <c r="BA221" i="1" s="1"/>
  <c r="BS220" i="1"/>
  <c r="BU220" i="1" s="1"/>
  <c r="BR220" i="1"/>
  <c r="BT220" i="1" s="1"/>
  <c r="BV220" i="1" s="1"/>
  <c r="O222" i="1"/>
  <c r="AD222" i="1"/>
  <c r="AF222" i="1" s="1"/>
  <c r="AH222" i="1" s="1"/>
  <c r="AE222" i="1"/>
  <c r="AG222" i="1" s="1"/>
  <c r="Q223" i="1"/>
  <c r="S223" i="1" s="1"/>
  <c r="G223" i="1"/>
  <c r="I223" i="1" s="1"/>
  <c r="BW220" i="1" l="1"/>
  <c r="BY220" i="1" s="1"/>
  <c r="CA220" i="1" s="1"/>
  <c r="BX220" i="1"/>
  <c r="BZ220" i="1" s="1"/>
  <c r="CR219" i="1"/>
  <c r="CT219" i="1" s="1"/>
  <c r="CQ219" i="1"/>
  <c r="CS219" i="1" s="1"/>
  <c r="CU219" i="1" s="1"/>
  <c r="AI222" i="1"/>
  <c r="AK222" i="1" s="1"/>
  <c r="AM222" i="1" s="1"/>
  <c r="AJ222" i="1"/>
  <c r="AL222" i="1" s="1"/>
  <c r="BC221" i="1"/>
  <c r="BE221" i="1" s="1"/>
  <c r="BG221" i="1" s="1"/>
  <c r="BD221" i="1"/>
  <c r="BF221" i="1" s="1"/>
  <c r="CC220" i="1" l="1"/>
  <c r="CE220" i="1" s="1"/>
  <c r="CB220" i="1"/>
  <c r="CD220" i="1" s="1"/>
  <c r="CF220" i="1" s="1"/>
  <c r="BH221" i="1"/>
  <c r="BJ221" i="1" s="1"/>
  <c r="BL221" i="1" s="1"/>
  <c r="BI221" i="1"/>
  <c r="BK221" i="1" s="1"/>
  <c r="AN222" i="1"/>
  <c r="AP222" i="1" s="1"/>
  <c r="AR222" i="1" s="1"/>
  <c r="AO222" i="1"/>
  <c r="AQ222" i="1" s="1"/>
  <c r="CW219" i="1"/>
  <c r="CY219" i="1" s="1"/>
  <c r="CV219" i="1"/>
  <c r="CX219" i="1" s="1"/>
  <c r="J223" i="1"/>
  <c r="L223" i="1" s="1"/>
  <c r="N223" i="1" s="1"/>
  <c r="K223" i="1"/>
  <c r="M223" i="1" s="1"/>
  <c r="D224" i="1"/>
  <c r="T223" i="1"/>
  <c r="V223" i="1" s="1"/>
  <c r="X223" i="1" s="1"/>
  <c r="U223" i="1"/>
  <c r="W223" i="1" s="1"/>
  <c r="CZ219" i="1" l="1"/>
  <c r="AT222" i="1"/>
  <c r="AV222" i="1" s="1"/>
  <c r="AS222" i="1"/>
  <c r="AU222" i="1" s="1"/>
  <c r="AW222" i="1" s="1"/>
  <c r="BN221" i="1"/>
  <c r="BP221" i="1" s="1"/>
  <c r="BM221" i="1"/>
  <c r="BO221" i="1" s="1"/>
  <c r="BQ221" i="1" s="1"/>
  <c r="CG220" i="1"/>
  <c r="CI220" i="1" s="1"/>
  <c r="CK220" i="1" s="1"/>
  <c r="CH220" i="1"/>
  <c r="CJ220" i="1" s="1"/>
  <c r="P223" i="1"/>
  <c r="R223" i="1" s="1"/>
  <c r="Z223" i="1"/>
  <c r="AB223" i="1" s="1"/>
  <c r="Y223" i="1"/>
  <c r="AA223" i="1" s="1"/>
  <c r="AC223" i="1" s="1"/>
  <c r="F224" i="1"/>
  <c r="H224" i="1" s="1"/>
  <c r="E224" i="1"/>
  <c r="DA219" i="1" l="1"/>
  <c r="DC219" i="1" s="1"/>
  <c r="DB219" i="1"/>
  <c r="DD219" i="1" s="1"/>
  <c r="CL220" i="1"/>
  <c r="CN220" i="1" s="1"/>
  <c r="CP220" i="1" s="1"/>
  <c r="CM220" i="1"/>
  <c r="CO220" i="1" s="1"/>
  <c r="BS221" i="1"/>
  <c r="BU221" i="1" s="1"/>
  <c r="BR221" i="1"/>
  <c r="BT221" i="1" s="1"/>
  <c r="BV221" i="1" s="1"/>
  <c r="AX222" i="1"/>
  <c r="AZ222" i="1" s="1"/>
  <c r="BB222" i="1" s="1"/>
  <c r="AY222" i="1"/>
  <c r="BA222" i="1" s="1"/>
  <c r="O223" i="1"/>
  <c r="AD223" i="1"/>
  <c r="AF223" i="1" s="1"/>
  <c r="AH223" i="1" s="1"/>
  <c r="AE223" i="1"/>
  <c r="AG223" i="1" s="1"/>
  <c r="Q224" i="1"/>
  <c r="S224" i="1" s="1"/>
  <c r="G224" i="1"/>
  <c r="I224" i="1" s="1"/>
  <c r="AJ223" i="1" l="1"/>
  <c r="AL223" i="1" s="1"/>
  <c r="AI223" i="1"/>
  <c r="AK223" i="1" s="1"/>
  <c r="AM223" i="1" s="1"/>
  <c r="BW221" i="1"/>
  <c r="BY221" i="1" s="1"/>
  <c r="CA221" i="1" s="1"/>
  <c r="BX221" i="1"/>
  <c r="BZ221" i="1" s="1"/>
  <c r="CR220" i="1"/>
  <c r="CT220" i="1" s="1"/>
  <c r="CQ220" i="1"/>
  <c r="CS220" i="1" s="1"/>
  <c r="CU220" i="1" s="1"/>
  <c r="BC222" i="1"/>
  <c r="BE222" i="1" s="1"/>
  <c r="BG222" i="1" s="1"/>
  <c r="BD222" i="1"/>
  <c r="BF222" i="1" s="1"/>
  <c r="BI222" i="1" l="1"/>
  <c r="BK222" i="1" s="1"/>
  <c r="BH222" i="1"/>
  <c r="BJ222" i="1" s="1"/>
  <c r="BL222" i="1" s="1"/>
  <c r="AO223" i="1"/>
  <c r="AQ223" i="1" s="1"/>
  <c r="AN223" i="1"/>
  <c r="AP223" i="1" s="1"/>
  <c r="AR223" i="1" s="1"/>
  <c r="CW220" i="1"/>
  <c r="CY220" i="1" s="1"/>
  <c r="CV220" i="1"/>
  <c r="CX220" i="1" s="1"/>
  <c r="CC221" i="1"/>
  <c r="CE221" i="1" s="1"/>
  <c r="CB221" i="1"/>
  <c r="CD221" i="1" s="1"/>
  <c r="CF221" i="1" s="1"/>
  <c r="J224" i="1"/>
  <c r="L224" i="1" s="1"/>
  <c r="N224" i="1" s="1"/>
  <c r="K224" i="1"/>
  <c r="M224" i="1" s="1"/>
  <c r="D225" i="1"/>
  <c r="U224" i="1"/>
  <c r="W224" i="1" s="1"/>
  <c r="T224" i="1"/>
  <c r="V224" i="1" s="1"/>
  <c r="X224" i="1" s="1"/>
  <c r="CZ220" i="1" l="1"/>
  <c r="DB220" i="1" s="1"/>
  <c r="DD220" i="1" s="1"/>
  <c r="CH221" i="1"/>
  <c r="CJ221" i="1" s="1"/>
  <c r="CG221" i="1"/>
  <c r="CI221" i="1" s="1"/>
  <c r="CK221" i="1" s="1"/>
  <c r="AT223" i="1"/>
  <c r="AV223" i="1" s="1"/>
  <c r="AS223" i="1"/>
  <c r="AU223" i="1" s="1"/>
  <c r="AW223" i="1" s="1"/>
  <c r="BM222" i="1"/>
  <c r="BO222" i="1" s="1"/>
  <c r="BQ222" i="1" s="1"/>
  <c r="BN222" i="1"/>
  <c r="BP222" i="1" s="1"/>
  <c r="P224" i="1"/>
  <c r="R224" i="1" s="1"/>
  <c r="Y224" i="1"/>
  <c r="AA224" i="1" s="1"/>
  <c r="AC224" i="1" s="1"/>
  <c r="Z224" i="1"/>
  <c r="AB224" i="1" s="1"/>
  <c r="E225" i="1"/>
  <c r="F225" i="1"/>
  <c r="H225" i="1" s="1"/>
  <c r="DA220" i="1" l="1"/>
  <c r="DC220" i="1" s="1"/>
  <c r="BR222" i="1"/>
  <c r="BT222" i="1" s="1"/>
  <c r="BV222" i="1" s="1"/>
  <c r="BS222" i="1"/>
  <c r="BU222" i="1" s="1"/>
  <c r="AY223" i="1"/>
  <c r="BA223" i="1" s="1"/>
  <c r="AX223" i="1"/>
  <c r="AZ223" i="1" s="1"/>
  <c r="BB223" i="1" s="1"/>
  <c r="CM221" i="1"/>
  <c r="CO221" i="1" s="1"/>
  <c r="CL221" i="1"/>
  <c r="CN221" i="1" s="1"/>
  <c r="CP221" i="1" s="1"/>
  <c r="O224" i="1"/>
  <c r="AD224" i="1"/>
  <c r="AF224" i="1" s="1"/>
  <c r="AH224" i="1" s="1"/>
  <c r="AE224" i="1"/>
  <c r="AG224" i="1" s="1"/>
  <c r="G225" i="1"/>
  <c r="I225" i="1" s="1"/>
  <c r="Q225" i="1"/>
  <c r="S225" i="1" s="1"/>
  <c r="BX222" i="1" l="1"/>
  <c r="BZ222" i="1" s="1"/>
  <c r="BW222" i="1"/>
  <c r="BY222" i="1" s="1"/>
  <c r="CA222" i="1" s="1"/>
  <c r="AI224" i="1"/>
  <c r="AK224" i="1" s="1"/>
  <c r="AM224" i="1" s="1"/>
  <c r="AJ224" i="1"/>
  <c r="AL224" i="1" s="1"/>
  <c r="CR221" i="1"/>
  <c r="CT221" i="1" s="1"/>
  <c r="CQ221" i="1"/>
  <c r="CS221" i="1" s="1"/>
  <c r="CU221" i="1" s="1"/>
  <c r="BD223" i="1"/>
  <c r="BF223" i="1" s="1"/>
  <c r="BC223" i="1"/>
  <c r="BE223" i="1" s="1"/>
  <c r="BG223" i="1" s="1"/>
  <c r="BH223" i="1" l="1"/>
  <c r="BJ223" i="1" s="1"/>
  <c r="BL223" i="1" s="1"/>
  <c r="BI223" i="1"/>
  <c r="BK223" i="1" s="1"/>
  <c r="CW221" i="1"/>
  <c r="CY221" i="1" s="1"/>
  <c r="CV221" i="1"/>
  <c r="CX221" i="1" s="1"/>
  <c r="AN224" i="1"/>
  <c r="AP224" i="1" s="1"/>
  <c r="AR224" i="1" s="1"/>
  <c r="AO224" i="1"/>
  <c r="AQ224" i="1" s="1"/>
  <c r="CC222" i="1"/>
  <c r="CE222" i="1" s="1"/>
  <c r="CB222" i="1"/>
  <c r="CD222" i="1" s="1"/>
  <c r="CF222" i="1" s="1"/>
  <c r="T225" i="1"/>
  <c r="V225" i="1" s="1"/>
  <c r="X225" i="1" s="1"/>
  <c r="U225" i="1"/>
  <c r="W225" i="1" s="1"/>
  <c r="J225" i="1"/>
  <c r="L225" i="1" s="1"/>
  <c r="N225" i="1" s="1"/>
  <c r="K225" i="1"/>
  <c r="M225" i="1" s="1"/>
  <c r="D226" i="1"/>
  <c r="CZ221" i="1" l="1"/>
  <c r="AT224" i="1"/>
  <c r="AV224" i="1" s="1"/>
  <c r="AS224" i="1"/>
  <c r="AU224" i="1" s="1"/>
  <c r="AW224" i="1" s="1"/>
  <c r="BN223" i="1"/>
  <c r="BP223" i="1" s="1"/>
  <c r="BM223" i="1"/>
  <c r="BO223" i="1" s="1"/>
  <c r="BQ223" i="1" s="1"/>
  <c r="CG222" i="1"/>
  <c r="CI222" i="1" s="1"/>
  <c r="CK222" i="1" s="1"/>
  <c r="CH222" i="1"/>
  <c r="CJ222" i="1" s="1"/>
  <c r="P225" i="1"/>
  <c r="R225" i="1" s="1"/>
  <c r="F226" i="1"/>
  <c r="H226" i="1" s="1"/>
  <c r="E226" i="1"/>
  <c r="Z225" i="1"/>
  <c r="AB225" i="1" s="1"/>
  <c r="Y225" i="1"/>
  <c r="AA225" i="1" s="1"/>
  <c r="AC225" i="1" s="1"/>
  <c r="DA221" i="1" l="1"/>
  <c r="DC221" i="1" s="1"/>
  <c r="DB221" i="1"/>
  <c r="DD221" i="1" s="1"/>
  <c r="CL222" i="1"/>
  <c r="CN222" i="1" s="1"/>
  <c r="CP222" i="1" s="1"/>
  <c r="CM222" i="1"/>
  <c r="CO222" i="1" s="1"/>
  <c r="BR223" i="1"/>
  <c r="BT223" i="1" s="1"/>
  <c r="BV223" i="1" s="1"/>
  <c r="BS223" i="1"/>
  <c r="BU223" i="1" s="1"/>
  <c r="AX224" i="1"/>
  <c r="AZ224" i="1" s="1"/>
  <c r="BB224" i="1" s="1"/>
  <c r="AY224" i="1"/>
  <c r="BA224" i="1" s="1"/>
  <c r="O225" i="1"/>
  <c r="AD225" i="1"/>
  <c r="AF225" i="1" s="1"/>
  <c r="AH225" i="1" s="1"/>
  <c r="AE225" i="1"/>
  <c r="AG225" i="1" s="1"/>
  <c r="G226" i="1"/>
  <c r="I226" i="1" s="1"/>
  <c r="Q226" i="1"/>
  <c r="S226" i="1" s="1"/>
  <c r="AJ225" i="1" l="1"/>
  <c r="AL225" i="1" s="1"/>
  <c r="AI225" i="1"/>
  <c r="AK225" i="1" s="1"/>
  <c r="AM225" i="1" s="1"/>
  <c r="BW223" i="1"/>
  <c r="BY223" i="1" s="1"/>
  <c r="CA223" i="1" s="1"/>
  <c r="BX223" i="1"/>
  <c r="BZ223" i="1" s="1"/>
  <c r="BC224" i="1"/>
  <c r="BE224" i="1" s="1"/>
  <c r="BG224" i="1" s="1"/>
  <c r="BD224" i="1"/>
  <c r="BF224" i="1" s="1"/>
  <c r="CQ222" i="1"/>
  <c r="CS222" i="1" s="1"/>
  <c r="CU222" i="1" s="1"/>
  <c r="CR222" i="1"/>
  <c r="CT222" i="1" s="1"/>
  <c r="AO225" i="1" l="1"/>
  <c r="AQ225" i="1" s="1"/>
  <c r="AN225" i="1"/>
  <c r="AP225" i="1" s="1"/>
  <c r="AR225" i="1" s="1"/>
  <c r="CW222" i="1"/>
  <c r="CY222" i="1" s="1"/>
  <c r="CV222" i="1"/>
  <c r="CX222" i="1" s="1"/>
  <c r="BH224" i="1"/>
  <c r="BJ224" i="1" s="1"/>
  <c r="BL224" i="1" s="1"/>
  <c r="BI224" i="1"/>
  <c r="BK224" i="1" s="1"/>
  <c r="CB223" i="1"/>
  <c r="CD223" i="1" s="1"/>
  <c r="CF223" i="1" s="1"/>
  <c r="CC223" i="1"/>
  <c r="CE223" i="1" s="1"/>
  <c r="J226" i="1"/>
  <c r="L226" i="1" s="1"/>
  <c r="N226" i="1" s="1"/>
  <c r="K226" i="1"/>
  <c r="M226" i="1" s="1"/>
  <c r="D227" i="1"/>
  <c r="T226" i="1"/>
  <c r="V226" i="1" s="1"/>
  <c r="X226" i="1" s="1"/>
  <c r="U226" i="1"/>
  <c r="W226" i="1" s="1"/>
  <c r="CZ222" i="1" l="1"/>
  <c r="CH223" i="1"/>
  <c r="CJ223" i="1" s="1"/>
  <c r="CG223" i="1"/>
  <c r="CI223" i="1" s="1"/>
  <c r="CK223" i="1" s="1"/>
  <c r="BM224" i="1"/>
  <c r="BO224" i="1" s="1"/>
  <c r="BQ224" i="1" s="1"/>
  <c r="BN224" i="1"/>
  <c r="BP224" i="1" s="1"/>
  <c r="AT225" i="1"/>
  <c r="AV225" i="1" s="1"/>
  <c r="AS225" i="1"/>
  <c r="AU225" i="1" s="1"/>
  <c r="AW225" i="1" s="1"/>
  <c r="P226" i="1"/>
  <c r="R226" i="1" s="1"/>
  <c r="F227" i="1"/>
  <c r="H227" i="1" s="1"/>
  <c r="E227" i="1"/>
  <c r="Z226" i="1"/>
  <c r="AB226" i="1" s="1"/>
  <c r="Y226" i="1"/>
  <c r="AA226" i="1" s="1"/>
  <c r="AC226" i="1" s="1"/>
  <c r="DB222" i="1" l="1"/>
  <c r="DD222" i="1" s="1"/>
  <c r="DA222" i="1"/>
  <c r="DC222" i="1" s="1"/>
  <c r="BR224" i="1"/>
  <c r="BT224" i="1" s="1"/>
  <c r="BV224" i="1" s="1"/>
  <c r="BS224" i="1"/>
  <c r="BU224" i="1" s="1"/>
  <c r="AY225" i="1"/>
  <c r="BA225" i="1" s="1"/>
  <c r="AX225" i="1"/>
  <c r="AZ225" i="1" s="1"/>
  <c r="BB225" i="1" s="1"/>
  <c r="CL223" i="1"/>
  <c r="CN223" i="1" s="1"/>
  <c r="CP223" i="1" s="1"/>
  <c r="CM223" i="1"/>
  <c r="CO223" i="1" s="1"/>
  <c r="O226" i="1"/>
  <c r="AE226" i="1"/>
  <c r="AG226" i="1" s="1"/>
  <c r="AD226" i="1"/>
  <c r="AF226" i="1" s="1"/>
  <c r="AH226" i="1" s="1"/>
  <c r="G227" i="1"/>
  <c r="I227" i="1" s="1"/>
  <c r="Q227" i="1"/>
  <c r="S227" i="1" s="1"/>
  <c r="AI226" i="1" l="1"/>
  <c r="AK226" i="1" s="1"/>
  <c r="AM226" i="1" s="1"/>
  <c r="AJ226" i="1"/>
  <c r="AL226" i="1" s="1"/>
  <c r="CQ223" i="1"/>
  <c r="CS223" i="1" s="1"/>
  <c r="CU223" i="1" s="1"/>
  <c r="CR223" i="1"/>
  <c r="CT223" i="1" s="1"/>
  <c r="BW224" i="1"/>
  <c r="BY224" i="1" s="1"/>
  <c r="CA224" i="1" s="1"/>
  <c r="BX224" i="1"/>
  <c r="BZ224" i="1" s="1"/>
  <c r="BC225" i="1"/>
  <c r="BE225" i="1" s="1"/>
  <c r="BG225" i="1" s="1"/>
  <c r="BD225" i="1"/>
  <c r="BF225" i="1" s="1"/>
  <c r="BI225" i="1" l="1"/>
  <c r="BK225" i="1" s="1"/>
  <c r="BH225" i="1"/>
  <c r="BJ225" i="1" s="1"/>
  <c r="BL225" i="1" s="1"/>
  <c r="CC224" i="1"/>
  <c r="CE224" i="1" s="1"/>
  <c r="CB224" i="1"/>
  <c r="CD224" i="1" s="1"/>
  <c r="CF224" i="1" s="1"/>
  <c r="CV223" i="1"/>
  <c r="CX223" i="1" s="1"/>
  <c r="CW223" i="1"/>
  <c r="CY223" i="1" s="1"/>
  <c r="AN226" i="1"/>
  <c r="AP226" i="1" s="1"/>
  <c r="AR226" i="1" s="1"/>
  <c r="AO226" i="1"/>
  <c r="AQ226" i="1" s="1"/>
  <c r="J227" i="1"/>
  <c r="L227" i="1" s="1"/>
  <c r="N227" i="1" s="1"/>
  <c r="K227" i="1"/>
  <c r="M227" i="1" s="1"/>
  <c r="D228" i="1"/>
  <c r="U227" i="1"/>
  <c r="W227" i="1" s="1"/>
  <c r="T227" i="1"/>
  <c r="V227" i="1" s="1"/>
  <c r="X227" i="1" s="1"/>
  <c r="CZ223" i="1" l="1"/>
  <c r="AS226" i="1"/>
  <c r="AU226" i="1" s="1"/>
  <c r="AW226" i="1" s="1"/>
  <c r="AT226" i="1"/>
  <c r="AV226" i="1" s="1"/>
  <c r="DB223" i="1"/>
  <c r="DD223" i="1" s="1"/>
  <c r="DA223" i="1"/>
  <c r="DC223" i="1" s="1"/>
  <c r="CG224" i="1"/>
  <c r="CI224" i="1" s="1"/>
  <c r="CK224" i="1" s="1"/>
  <c r="CH224" i="1"/>
  <c r="CJ224" i="1" s="1"/>
  <c r="BN225" i="1"/>
  <c r="BP225" i="1" s="1"/>
  <c r="BM225" i="1"/>
  <c r="BO225" i="1" s="1"/>
  <c r="BQ225" i="1" s="1"/>
  <c r="P227" i="1"/>
  <c r="R227" i="1" s="1"/>
  <c r="Z227" i="1"/>
  <c r="AB227" i="1" s="1"/>
  <c r="Y227" i="1"/>
  <c r="AA227" i="1" s="1"/>
  <c r="AC227" i="1" s="1"/>
  <c r="F228" i="1"/>
  <c r="H228" i="1" s="1"/>
  <c r="E228" i="1"/>
  <c r="CL224" i="1" l="1"/>
  <c r="CN224" i="1" s="1"/>
  <c r="CP224" i="1" s="1"/>
  <c r="CM224" i="1"/>
  <c r="CO224" i="1" s="1"/>
  <c r="AX226" i="1"/>
  <c r="AZ226" i="1" s="1"/>
  <c r="BB226" i="1" s="1"/>
  <c r="AY226" i="1"/>
  <c r="BA226" i="1" s="1"/>
  <c r="BR225" i="1"/>
  <c r="BT225" i="1" s="1"/>
  <c r="BV225" i="1" s="1"/>
  <c r="BS225" i="1"/>
  <c r="BU225" i="1" s="1"/>
  <c r="O227" i="1"/>
  <c r="AE227" i="1"/>
  <c r="AG227" i="1" s="1"/>
  <c r="AD227" i="1"/>
  <c r="AF227" i="1" s="1"/>
  <c r="AH227" i="1" s="1"/>
  <c r="Q228" i="1"/>
  <c r="S228" i="1" s="1"/>
  <c r="G228" i="1"/>
  <c r="I228" i="1" s="1"/>
  <c r="BW225" i="1" l="1"/>
  <c r="BY225" i="1" s="1"/>
  <c r="CA225" i="1" s="1"/>
  <c r="BX225" i="1"/>
  <c r="BZ225" i="1" s="1"/>
  <c r="BC226" i="1"/>
  <c r="BE226" i="1" s="1"/>
  <c r="BG226" i="1" s="1"/>
  <c r="BD226" i="1"/>
  <c r="BF226" i="1" s="1"/>
  <c r="CR224" i="1"/>
  <c r="CT224" i="1" s="1"/>
  <c r="CQ224" i="1"/>
  <c r="CS224" i="1" s="1"/>
  <c r="CU224" i="1" s="1"/>
  <c r="AJ227" i="1"/>
  <c r="AL227" i="1" s="1"/>
  <c r="AI227" i="1"/>
  <c r="AK227" i="1" s="1"/>
  <c r="AM227" i="1" s="1"/>
  <c r="BI226" i="1" l="1"/>
  <c r="BK226" i="1" s="1"/>
  <c r="BH226" i="1"/>
  <c r="BJ226" i="1" s="1"/>
  <c r="BL226" i="1" s="1"/>
  <c r="CB225" i="1"/>
  <c r="CD225" i="1" s="1"/>
  <c r="CF225" i="1" s="1"/>
  <c r="CC225" i="1"/>
  <c r="CE225" i="1" s="1"/>
  <c r="AN227" i="1"/>
  <c r="AP227" i="1" s="1"/>
  <c r="AR227" i="1" s="1"/>
  <c r="AO227" i="1"/>
  <c r="AQ227" i="1" s="1"/>
  <c r="CV224" i="1"/>
  <c r="CX224" i="1" s="1"/>
  <c r="CZ224" i="1" s="1"/>
  <c r="CW224" i="1"/>
  <c r="CY224" i="1" s="1"/>
  <c r="J228" i="1"/>
  <c r="L228" i="1" s="1"/>
  <c r="N228" i="1" s="1"/>
  <c r="K228" i="1"/>
  <c r="M228" i="1" s="1"/>
  <c r="D229" i="1"/>
  <c r="U228" i="1"/>
  <c r="W228" i="1" s="1"/>
  <c r="T228" i="1"/>
  <c r="V228" i="1" s="1"/>
  <c r="X228" i="1" s="1"/>
  <c r="DB224" i="1" l="1"/>
  <c r="DD224" i="1" s="1"/>
  <c r="DA224" i="1"/>
  <c r="DC224" i="1" s="1"/>
  <c r="AT227" i="1"/>
  <c r="AV227" i="1" s="1"/>
  <c r="AS227" i="1"/>
  <c r="AU227" i="1" s="1"/>
  <c r="AW227" i="1" s="1"/>
  <c r="CG225" i="1"/>
  <c r="CI225" i="1" s="1"/>
  <c r="CK225" i="1" s="1"/>
  <c r="CH225" i="1"/>
  <c r="CJ225" i="1" s="1"/>
  <c r="BM226" i="1"/>
  <c r="BO226" i="1" s="1"/>
  <c r="BQ226" i="1" s="1"/>
  <c r="BN226" i="1"/>
  <c r="BP226" i="1" s="1"/>
  <c r="P228" i="1"/>
  <c r="R228" i="1" s="1"/>
  <c r="Y228" i="1"/>
  <c r="AA228" i="1" s="1"/>
  <c r="AC228" i="1" s="1"/>
  <c r="Z228" i="1"/>
  <c r="AB228" i="1" s="1"/>
  <c r="E229" i="1"/>
  <c r="F229" i="1"/>
  <c r="H229" i="1" s="1"/>
  <c r="BR226" i="1" l="1"/>
  <c r="BT226" i="1" s="1"/>
  <c r="BV226" i="1" s="1"/>
  <c r="BS226" i="1"/>
  <c r="BU226" i="1" s="1"/>
  <c r="CL225" i="1"/>
  <c r="CN225" i="1" s="1"/>
  <c r="CP225" i="1" s="1"/>
  <c r="CM225" i="1"/>
  <c r="CO225" i="1" s="1"/>
  <c r="AY227" i="1"/>
  <c r="BA227" i="1" s="1"/>
  <c r="AX227" i="1"/>
  <c r="AZ227" i="1" s="1"/>
  <c r="BB227" i="1" s="1"/>
  <c r="O228" i="1"/>
  <c r="AD228" i="1"/>
  <c r="AF228" i="1" s="1"/>
  <c r="AH228" i="1" s="1"/>
  <c r="AE228" i="1"/>
  <c r="AG228" i="1" s="1"/>
  <c r="G229" i="1"/>
  <c r="I229" i="1" s="1"/>
  <c r="Q229" i="1"/>
  <c r="S229" i="1" s="1"/>
  <c r="AJ228" i="1" l="1"/>
  <c r="AL228" i="1" s="1"/>
  <c r="AI228" i="1"/>
  <c r="AK228" i="1" s="1"/>
  <c r="AM228" i="1" s="1"/>
  <c r="CQ225" i="1"/>
  <c r="CS225" i="1" s="1"/>
  <c r="CU225" i="1" s="1"/>
  <c r="CR225" i="1"/>
  <c r="CT225" i="1" s="1"/>
  <c r="BX226" i="1"/>
  <c r="BZ226" i="1" s="1"/>
  <c r="BW226" i="1"/>
  <c r="BY226" i="1" s="1"/>
  <c r="CA226" i="1" s="1"/>
  <c r="BD227" i="1"/>
  <c r="BF227" i="1" s="1"/>
  <c r="BC227" i="1"/>
  <c r="BE227" i="1" s="1"/>
  <c r="BG227" i="1" s="1"/>
  <c r="CC226" i="1" l="1"/>
  <c r="CE226" i="1" s="1"/>
  <c r="CB226" i="1"/>
  <c r="CD226" i="1" s="1"/>
  <c r="CF226" i="1" s="1"/>
  <c r="AN228" i="1"/>
  <c r="AP228" i="1" s="1"/>
  <c r="AR228" i="1" s="1"/>
  <c r="AO228" i="1"/>
  <c r="AQ228" i="1" s="1"/>
  <c r="BI227" i="1"/>
  <c r="BK227" i="1" s="1"/>
  <c r="BH227" i="1"/>
  <c r="BJ227" i="1" s="1"/>
  <c r="BL227" i="1" s="1"/>
  <c r="CV225" i="1"/>
  <c r="CX225" i="1" s="1"/>
  <c r="CW225" i="1"/>
  <c r="CY225" i="1" s="1"/>
  <c r="T229" i="1"/>
  <c r="V229" i="1" s="1"/>
  <c r="X229" i="1" s="1"/>
  <c r="U229" i="1"/>
  <c r="W229" i="1" s="1"/>
  <c r="J229" i="1"/>
  <c r="L229" i="1" s="1"/>
  <c r="N229" i="1" s="1"/>
  <c r="K229" i="1"/>
  <c r="M229" i="1" s="1"/>
  <c r="D230" i="1"/>
  <c r="CZ225" i="1" l="1"/>
  <c r="DA225" i="1"/>
  <c r="DC225" i="1" s="1"/>
  <c r="DB225" i="1"/>
  <c r="DD225" i="1" s="1"/>
  <c r="AS228" i="1"/>
  <c r="AU228" i="1" s="1"/>
  <c r="AW228" i="1" s="1"/>
  <c r="AT228" i="1"/>
  <c r="AV228" i="1" s="1"/>
  <c r="BN227" i="1"/>
  <c r="BP227" i="1" s="1"/>
  <c r="BM227" i="1"/>
  <c r="BO227" i="1" s="1"/>
  <c r="BQ227" i="1" s="1"/>
  <c r="CG226" i="1"/>
  <c r="CI226" i="1" s="1"/>
  <c r="CK226" i="1" s="1"/>
  <c r="CH226" i="1"/>
  <c r="CJ226" i="1" s="1"/>
  <c r="P229" i="1"/>
  <c r="R229" i="1" s="1"/>
  <c r="E230" i="1"/>
  <c r="F230" i="1"/>
  <c r="H230" i="1" s="1"/>
  <c r="Y229" i="1"/>
  <c r="AA229" i="1" s="1"/>
  <c r="AC229" i="1" s="1"/>
  <c r="Z229" i="1"/>
  <c r="AB229" i="1" s="1"/>
  <c r="CL226" i="1" l="1"/>
  <c r="CN226" i="1" s="1"/>
  <c r="CP226" i="1" s="1"/>
  <c r="CM226" i="1"/>
  <c r="CO226" i="1" s="1"/>
  <c r="AX228" i="1"/>
  <c r="AZ228" i="1" s="1"/>
  <c r="BB228" i="1" s="1"/>
  <c r="AY228" i="1"/>
  <c r="BA228" i="1" s="1"/>
  <c r="BS227" i="1"/>
  <c r="BU227" i="1" s="1"/>
  <c r="BR227" i="1"/>
  <c r="BT227" i="1" s="1"/>
  <c r="BV227" i="1" s="1"/>
  <c r="O229" i="1"/>
  <c r="AE229" i="1"/>
  <c r="AG229" i="1" s="1"/>
  <c r="AD229" i="1"/>
  <c r="AF229" i="1" s="1"/>
  <c r="AH229" i="1" s="1"/>
  <c r="G230" i="1"/>
  <c r="I230" i="1" s="1"/>
  <c r="Q230" i="1"/>
  <c r="S230" i="1" s="1"/>
  <c r="AI229" i="1" l="1"/>
  <c r="AK229" i="1" s="1"/>
  <c r="AM229" i="1" s="1"/>
  <c r="AJ229" i="1"/>
  <c r="AL229" i="1" s="1"/>
  <c r="BC228" i="1"/>
  <c r="BE228" i="1" s="1"/>
  <c r="BG228" i="1" s="1"/>
  <c r="BD228" i="1"/>
  <c r="BF228" i="1" s="1"/>
  <c r="CQ226" i="1"/>
  <c r="CS226" i="1" s="1"/>
  <c r="CU226" i="1" s="1"/>
  <c r="CR226" i="1"/>
  <c r="CT226" i="1" s="1"/>
  <c r="BW227" i="1"/>
  <c r="BY227" i="1" s="1"/>
  <c r="CA227" i="1" s="1"/>
  <c r="BX227" i="1"/>
  <c r="BZ227" i="1" s="1"/>
  <c r="CB227" i="1" l="1"/>
  <c r="CD227" i="1" s="1"/>
  <c r="CF227" i="1" s="1"/>
  <c r="CC227" i="1"/>
  <c r="CE227" i="1" s="1"/>
  <c r="CW226" i="1"/>
  <c r="CY226" i="1" s="1"/>
  <c r="CV226" i="1"/>
  <c r="CX226" i="1" s="1"/>
  <c r="BI228" i="1"/>
  <c r="BK228" i="1" s="1"/>
  <c r="BH228" i="1"/>
  <c r="BJ228" i="1" s="1"/>
  <c r="BL228" i="1" s="1"/>
  <c r="AO229" i="1"/>
  <c r="AQ229" i="1" s="1"/>
  <c r="AN229" i="1"/>
  <c r="AP229" i="1" s="1"/>
  <c r="AR229" i="1" s="1"/>
  <c r="T230" i="1"/>
  <c r="V230" i="1" s="1"/>
  <c r="X230" i="1" s="1"/>
  <c r="U230" i="1"/>
  <c r="W230" i="1" s="1"/>
  <c r="J230" i="1"/>
  <c r="L230" i="1" s="1"/>
  <c r="N230" i="1" s="1"/>
  <c r="K230" i="1"/>
  <c r="M230" i="1" s="1"/>
  <c r="D231" i="1"/>
  <c r="CZ226" i="1" l="1"/>
  <c r="CG227" i="1"/>
  <c r="CI227" i="1" s="1"/>
  <c r="CK227" i="1" s="1"/>
  <c r="CH227" i="1"/>
  <c r="CJ227" i="1" s="1"/>
  <c r="AT229" i="1"/>
  <c r="AV229" i="1" s="1"/>
  <c r="AS229" i="1"/>
  <c r="AU229" i="1" s="1"/>
  <c r="AW229" i="1" s="1"/>
  <c r="BM228" i="1"/>
  <c r="BO228" i="1" s="1"/>
  <c r="BQ228" i="1" s="1"/>
  <c r="BN228" i="1"/>
  <c r="BP228" i="1" s="1"/>
  <c r="P230" i="1"/>
  <c r="R230" i="1" s="1"/>
  <c r="E231" i="1"/>
  <c r="F231" i="1"/>
  <c r="H231" i="1" s="1"/>
  <c r="Y230" i="1"/>
  <c r="AA230" i="1" s="1"/>
  <c r="AC230" i="1" s="1"/>
  <c r="Z230" i="1"/>
  <c r="AB230" i="1" s="1"/>
  <c r="DA226" i="1" l="1"/>
  <c r="DC226" i="1" s="1"/>
  <c r="DB226" i="1"/>
  <c r="DD226" i="1" s="1"/>
  <c r="BS228" i="1"/>
  <c r="BU228" i="1" s="1"/>
  <c r="BR228" i="1"/>
  <c r="BT228" i="1" s="1"/>
  <c r="BV228" i="1" s="1"/>
  <c r="CL227" i="1"/>
  <c r="CN227" i="1" s="1"/>
  <c r="CP227" i="1" s="1"/>
  <c r="CM227" i="1"/>
  <c r="CO227" i="1" s="1"/>
  <c r="AX229" i="1"/>
  <c r="AZ229" i="1" s="1"/>
  <c r="BB229" i="1" s="1"/>
  <c r="AY229" i="1"/>
  <c r="BA229" i="1" s="1"/>
  <c r="O230" i="1"/>
  <c r="AD230" i="1"/>
  <c r="AF230" i="1" s="1"/>
  <c r="AH230" i="1" s="1"/>
  <c r="AE230" i="1"/>
  <c r="AG230" i="1" s="1"/>
  <c r="Q231" i="1"/>
  <c r="S231" i="1" s="1"/>
  <c r="G231" i="1"/>
  <c r="I231" i="1" s="1"/>
  <c r="BD229" i="1" l="1"/>
  <c r="BF229" i="1" s="1"/>
  <c r="BC229" i="1"/>
  <c r="BE229" i="1" s="1"/>
  <c r="BG229" i="1" s="1"/>
  <c r="CQ227" i="1"/>
  <c r="CS227" i="1" s="1"/>
  <c r="CU227" i="1" s="1"/>
  <c r="CR227" i="1"/>
  <c r="CT227" i="1" s="1"/>
  <c r="AJ230" i="1"/>
  <c r="AL230" i="1" s="1"/>
  <c r="AI230" i="1"/>
  <c r="AK230" i="1" s="1"/>
  <c r="AM230" i="1" s="1"/>
  <c r="BX228" i="1"/>
  <c r="BZ228" i="1" s="1"/>
  <c r="BW228" i="1"/>
  <c r="BY228" i="1" s="1"/>
  <c r="CA228" i="1" s="1"/>
  <c r="CC228" i="1" l="1"/>
  <c r="CE228" i="1" s="1"/>
  <c r="CB228" i="1"/>
  <c r="CD228" i="1" s="1"/>
  <c r="CF228" i="1" s="1"/>
  <c r="AO230" i="1"/>
  <c r="AQ230" i="1" s="1"/>
  <c r="AN230" i="1"/>
  <c r="AP230" i="1" s="1"/>
  <c r="AR230" i="1" s="1"/>
  <c r="CW227" i="1"/>
  <c r="CY227" i="1" s="1"/>
  <c r="CV227" i="1"/>
  <c r="CX227" i="1" s="1"/>
  <c r="BI229" i="1"/>
  <c r="BK229" i="1" s="1"/>
  <c r="BH229" i="1"/>
  <c r="BJ229" i="1" s="1"/>
  <c r="BL229" i="1" s="1"/>
  <c r="J231" i="1"/>
  <c r="L231" i="1" s="1"/>
  <c r="N231" i="1" s="1"/>
  <c r="K231" i="1"/>
  <c r="M231" i="1" s="1"/>
  <c r="D232" i="1"/>
  <c r="U231" i="1"/>
  <c r="W231" i="1" s="1"/>
  <c r="T231" i="1"/>
  <c r="V231" i="1" s="1"/>
  <c r="X231" i="1" s="1"/>
  <c r="CZ227" i="1" l="1"/>
  <c r="BM229" i="1"/>
  <c r="BO229" i="1" s="1"/>
  <c r="BQ229" i="1" s="1"/>
  <c r="BN229" i="1"/>
  <c r="BP229" i="1" s="1"/>
  <c r="AT230" i="1"/>
  <c r="AV230" i="1" s="1"/>
  <c r="AS230" i="1"/>
  <c r="AU230" i="1" s="1"/>
  <c r="AW230" i="1" s="1"/>
  <c r="CH228" i="1"/>
  <c r="CJ228" i="1" s="1"/>
  <c r="CG228" i="1"/>
  <c r="CI228" i="1" s="1"/>
  <c r="CK228" i="1" s="1"/>
  <c r="P231" i="1"/>
  <c r="R231" i="1" s="1"/>
  <c r="Y231" i="1"/>
  <c r="AA231" i="1" s="1"/>
  <c r="AC231" i="1" s="1"/>
  <c r="Z231" i="1"/>
  <c r="AB231" i="1" s="1"/>
  <c r="E232" i="1"/>
  <c r="F232" i="1"/>
  <c r="H232" i="1" s="1"/>
  <c r="DA227" i="1" l="1"/>
  <c r="DC227" i="1" s="1"/>
  <c r="DB227" i="1"/>
  <c r="DD227" i="1" s="1"/>
  <c r="BS229" i="1"/>
  <c r="BU229" i="1" s="1"/>
  <c r="BR229" i="1"/>
  <c r="BT229" i="1" s="1"/>
  <c r="BV229" i="1" s="1"/>
  <c r="CL228" i="1"/>
  <c r="CN228" i="1" s="1"/>
  <c r="CP228" i="1" s="1"/>
  <c r="CM228" i="1"/>
  <c r="CO228" i="1" s="1"/>
  <c r="AX230" i="1"/>
  <c r="AZ230" i="1" s="1"/>
  <c r="BB230" i="1" s="1"/>
  <c r="AY230" i="1"/>
  <c r="BA230" i="1" s="1"/>
  <c r="O231" i="1"/>
  <c r="AD231" i="1"/>
  <c r="AF231" i="1" s="1"/>
  <c r="AH231" i="1" s="1"/>
  <c r="AE231" i="1"/>
  <c r="AG231" i="1" s="1"/>
  <c r="Q232" i="1"/>
  <c r="S232" i="1" s="1"/>
  <c r="G232" i="1"/>
  <c r="I232" i="1" s="1"/>
  <c r="BC230" i="1" l="1"/>
  <c r="BE230" i="1" s="1"/>
  <c r="BG230" i="1" s="1"/>
  <c r="BD230" i="1"/>
  <c r="BF230" i="1" s="1"/>
  <c r="CQ228" i="1"/>
  <c r="CS228" i="1" s="1"/>
  <c r="CU228" i="1" s="1"/>
  <c r="CR228" i="1"/>
  <c r="CT228" i="1" s="1"/>
  <c r="AI231" i="1"/>
  <c r="AK231" i="1" s="1"/>
  <c r="AM231" i="1" s="1"/>
  <c r="AJ231" i="1"/>
  <c r="AL231" i="1" s="1"/>
  <c r="BX229" i="1"/>
  <c r="BZ229" i="1" s="1"/>
  <c r="BW229" i="1"/>
  <c r="BY229" i="1" s="1"/>
  <c r="CA229" i="1" s="1"/>
  <c r="CB229" i="1" l="1"/>
  <c r="CD229" i="1" s="1"/>
  <c r="CF229" i="1" s="1"/>
  <c r="CC229" i="1"/>
  <c r="CE229" i="1" s="1"/>
  <c r="CW228" i="1"/>
  <c r="CY228" i="1" s="1"/>
  <c r="CV228" i="1"/>
  <c r="CX228" i="1" s="1"/>
  <c r="BH230" i="1"/>
  <c r="BJ230" i="1" s="1"/>
  <c r="BL230" i="1" s="1"/>
  <c r="BI230" i="1"/>
  <c r="BK230" i="1" s="1"/>
  <c r="AO231" i="1"/>
  <c r="AQ231" i="1" s="1"/>
  <c r="AN231" i="1"/>
  <c r="AP231" i="1" s="1"/>
  <c r="AR231" i="1" s="1"/>
  <c r="J232" i="1"/>
  <c r="L232" i="1" s="1"/>
  <c r="N232" i="1" s="1"/>
  <c r="K232" i="1"/>
  <c r="M232" i="1" s="1"/>
  <c r="D233" i="1"/>
  <c r="T232" i="1"/>
  <c r="V232" i="1" s="1"/>
  <c r="X232" i="1" s="1"/>
  <c r="U232" i="1"/>
  <c r="W232" i="1" s="1"/>
  <c r="CZ228" i="1" l="1"/>
  <c r="BN230" i="1"/>
  <c r="BP230" i="1" s="1"/>
  <c r="BM230" i="1"/>
  <c r="BO230" i="1" s="1"/>
  <c r="BQ230" i="1" s="1"/>
  <c r="CH229" i="1"/>
  <c r="CJ229" i="1" s="1"/>
  <c r="CG229" i="1"/>
  <c r="CI229" i="1" s="1"/>
  <c r="CK229" i="1" s="1"/>
  <c r="AS231" i="1"/>
  <c r="AU231" i="1" s="1"/>
  <c r="AW231" i="1" s="1"/>
  <c r="AT231" i="1"/>
  <c r="AV231" i="1" s="1"/>
  <c r="P232" i="1"/>
  <c r="R232" i="1" s="1"/>
  <c r="Z232" i="1"/>
  <c r="AB232" i="1" s="1"/>
  <c r="Y232" i="1"/>
  <c r="AA232" i="1" s="1"/>
  <c r="AC232" i="1" s="1"/>
  <c r="F233" i="1"/>
  <c r="H233" i="1" s="1"/>
  <c r="E233" i="1"/>
  <c r="DB228" i="1" l="1"/>
  <c r="DD228" i="1" s="1"/>
  <c r="DA228" i="1"/>
  <c r="DC228" i="1" s="1"/>
  <c r="AX231" i="1"/>
  <c r="AZ231" i="1" s="1"/>
  <c r="BB231" i="1" s="1"/>
  <c r="AY231" i="1"/>
  <c r="BA231" i="1" s="1"/>
  <c r="CM229" i="1"/>
  <c r="CO229" i="1" s="1"/>
  <c r="CL229" i="1"/>
  <c r="CN229" i="1" s="1"/>
  <c r="CP229" i="1" s="1"/>
  <c r="BS230" i="1"/>
  <c r="BU230" i="1" s="1"/>
  <c r="BR230" i="1"/>
  <c r="BT230" i="1" s="1"/>
  <c r="BV230" i="1" s="1"/>
  <c r="O232" i="1"/>
  <c r="AD232" i="1"/>
  <c r="AF232" i="1" s="1"/>
  <c r="AH232" i="1" s="1"/>
  <c r="AE232" i="1"/>
  <c r="AG232" i="1" s="1"/>
  <c r="Q233" i="1"/>
  <c r="S233" i="1" s="1"/>
  <c r="G233" i="1"/>
  <c r="I233" i="1" s="1"/>
  <c r="BC231" i="1" l="1"/>
  <c r="BE231" i="1" s="1"/>
  <c r="BG231" i="1" s="1"/>
  <c r="BD231" i="1"/>
  <c r="BF231" i="1" s="1"/>
  <c r="AI232" i="1"/>
  <c r="AK232" i="1" s="1"/>
  <c r="AM232" i="1" s="1"/>
  <c r="AJ232" i="1"/>
  <c r="AL232" i="1" s="1"/>
  <c r="BX230" i="1"/>
  <c r="BZ230" i="1" s="1"/>
  <c r="BW230" i="1"/>
  <c r="BY230" i="1" s="1"/>
  <c r="CA230" i="1" s="1"/>
  <c r="CQ229" i="1"/>
  <c r="CS229" i="1" s="1"/>
  <c r="CU229" i="1" s="1"/>
  <c r="CR229" i="1"/>
  <c r="CT229" i="1" s="1"/>
  <c r="CC230" i="1" l="1"/>
  <c r="CE230" i="1" s="1"/>
  <c r="CB230" i="1"/>
  <c r="CD230" i="1" s="1"/>
  <c r="CF230" i="1" s="1"/>
  <c r="BI231" i="1"/>
  <c r="BK231" i="1" s="1"/>
  <c r="BH231" i="1"/>
  <c r="BJ231" i="1" s="1"/>
  <c r="BL231" i="1" s="1"/>
  <c r="CV229" i="1"/>
  <c r="CX229" i="1" s="1"/>
  <c r="CW229" i="1"/>
  <c r="CY229" i="1" s="1"/>
  <c r="AO232" i="1"/>
  <c r="AQ232" i="1" s="1"/>
  <c r="AN232" i="1"/>
  <c r="AP232" i="1" s="1"/>
  <c r="AR232" i="1" s="1"/>
  <c r="J233" i="1"/>
  <c r="L233" i="1" s="1"/>
  <c r="N233" i="1" s="1"/>
  <c r="K233" i="1"/>
  <c r="M233" i="1" s="1"/>
  <c r="D234" i="1"/>
  <c r="U233" i="1"/>
  <c r="W233" i="1" s="1"/>
  <c r="T233" i="1"/>
  <c r="V233" i="1" s="1"/>
  <c r="X233" i="1" s="1"/>
  <c r="CZ229" i="1" l="1"/>
  <c r="DB229" i="1" s="1"/>
  <c r="DD229" i="1" s="1"/>
  <c r="DA229" i="1"/>
  <c r="DC229" i="1" s="1"/>
  <c r="AT232" i="1"/>
  <c r="AV232" i="1" s="1"/>
  <c r="AS232" i="1"/>
  <c r="AU232" i="1" s="1"/>
  <c r="AW232" i="1" s="1"/>
  <c r="BM231" i="1"/>
  <c r="BO231" i="1" s="1"/>
  <c r="BQ231" i="1" s="1"/>
  <c r="BN231" i="1"/>
  <c r="BP231" i="1" s="1"/>
  <c r="CG230" i="1"/>
  <c r="CI230" i="1" s="1"/>
  <c r="CK230" i="1" s="1"/>
  <c r="CH230" i="1"/>
  <c r="CJ230" i="1" s="1"/>
  <c r="P233" i="1"/>
  <c r="R233" i="1" s="1"/>
  <c r="Y233" i="1"/>
  <c r="AA233" i="1" s="1"/>
  <c r="AC233" i="1" s="1"/>
  <c r="Z233" i="1"/>
  <c r="AB233" i="1" s="1"/>
  <c r="E234" i="1"/>
  <c r="F234" i="1"/>
  <c r="H234" i="1" s="1"/>
  <c r="CL230" i="1" l="1"/>
  <c r="CN230" i="1" s="1"/>
  <c r="CP230" i="1" s="1"/>
  <c r="CM230" i="1"/>
  <c r="CO230" i="1" s="1"/>
  <c r="BS231" i="1"/>
  <c r="BU231" i="1" s="1"/>
  <c r="BR231" i="1"/>
  <c r="BT231" i="1" s="1"/>
  <c r="BV231" i="1" s="1"/>
  <c r="AY232" i="1"/>
  <c r="BA232" i="1" s="1"/>
  <c r="AX232" i="1"/>
  <c r="AZ232" i="1" s="1"/>
  <c r="BB232" i="1" s="1"/>
  <c r="O233" i="1"/>
  <c r="AE233" i="1"/>
  <c r="AG233" i="1" s="1"/>
  <c r="AD233" i="1"/>
  <c r="AF233" i="1" s="1"/>
  <c r="AH233" i="1" s="1"/>
  <c r="G234" i="1"/>
  <c r="I234" i="1" s="1"/>
  <c r="Q234" i="1"/>
  <c r="S234" i="1" s="1"/>
  <c r="AJ233" i="1" l="1"/>
  <c r="AL233" i="1" s="1"/>
  <c r="AI233" i="1"/>
  <c r="AK233" i="1" s="1"/>
  <c r="AM233" i="1" s="1"/>
  <c r="CQ230" i="1"/>
  <c r="CS230" i="1" s="1"/>
  <c r="CU230" i="1" s="1"/>
  <c r="CR230" i="1"/>
  <c r="CT230" i="1" s="1"/>
  <c r="BD232" i="1"/>
  <c r="BF232" i="1" s="1"/>
  <c r="BC232" i="1"/>
  <c r="BE232" i="1" s="1"/>
  <c r="BG232" i="1" s="1"/>
  <c r="BW231" i="1"/>
  <c r="BY231" i="1" s="1"/>
  <c r="CA231" i="1" s="1"/>
  <c r="BX231" i="1"/>
  <c r="BZ231" i="1" s="1"/>
  <c r="BH232" i="1" l="1"/>
  <c r="BJ232" i="1" s="1"/>
  <c r="BL232" i="1" s="1"/>
  <c r="BI232" i="1"/>
  <c r="BK232" i="1" s="1"/>
  <c r="AO233" i="1"/>
  <c r="AQ233" i="1" s="1"/>
  <c r="AN233" i="1"/>
  <c r="AP233" i="1" s="1"/>
  <c r="AR233" i="1" s="1"/>
  <c r="CB231" i="1"/>
  <c r="CD231" i="1" s="1"/>
  <c r="CF231" i="1" s="1"/>
  <c r="CC231" i="1"/>
  <c r="CE231" i="1" s="1"/>
  <c r="CW230" i="1"/>
  <c r="CY230" i="1" s="1"/>
  <c r="CV230" i="1"/>
  <c r="CX230" i="1" s="1"/>
  <c r="U234" i="1"/>
  <c r="W234" i="1" s="1"/>
  <c r="T234" i="1"/>
  <c r="V234" i="1" s="1"/>
  <c r="X234" i="1" s="1"/>
  <c r="J234" i="1"/>
  <c r="L234" i="1" s="1"/>
  <c r="N234" i="1" s="1"/>
  <c r="K234" i="1"/>
  <c r="M234" i="1" s="1"/>
  <c r="D235" i="1"/>
  <c r="CZ230" i="1" l="1"/>
  <c r="CH231" i="1"/>
  <c r="CJ231" i="1" s="1"/>
  <c r="CG231" i="1"/>
  <c r="CI231" i="1" s="1"/>
  <c r="CK231" i="1" s="1"/>
  <c r="BN232" i="1"/>
  <c r="BP232" i="1" s="1"/>
  <c r="BM232" i="1"/>
  <c r="BO232" i="1" s="1"/>
  <c r="BQ232" i="1" s="1"/>
  <c r="AT233" i="1"/>
  <c r="AV233" i="1" s="1"/>
  <c r="AS233" i="1"/>
  <c r="AU233" i="1" s="1"/>
  <c r="AW233" i="1" s="1"/>
  <c r="P234" i="1"/>
  <c r="R234" i="1" s="1"/>
  <c r="O234" i="1"/>
  <c r="F235" i="1"/>
  <c r="H235" i="1" s="1"/>
  <c r="E235" i="1"/>
  <c r="Z234" i="1"/>
  <c r="AB234" i="1" s="1"/>
  <c r="Y234" i="1"/>
  <c r="AA234" i="1" s="1"/>
  <c r="AC234" i="1" s="1"/>
  <c r="DB230" i="1" l="1"/>
  <c r="DD230" i="1" s="1"/>
  <c r="DA230" i="1"/>
  <c r="DC230" i="1" s="1"/>
  <c r="AY233" i="1"/>
  <c r="BA233" i="1" s="1"/>
  <c r="AX233" i="1"/>
  <c r="AZ233" i="1" s="1"/>
  <c r="BB233" i="1" s="1"/>
  <c r="BS232" i="1"/>
  <c r="BU232" i="1" s="1"/>
  <c r="BR232" i="1"/>
  <c r="BT232" i="1" s="1"/>
  <c r="BV232" i="1" s="1"/>
  <c r="CL231" i="1"/>
  <c r="CN231" i="1" s="1"/>
  <c r="CP231" i="1" s="1"/>
  <c r="CM231" i="1"/>
  <c r="CO231" i="1" s="1"/>
  <c r="AE234" i="1"/>
  <c r="AG234" i="1" s="1"/>
  <c r="AD234" i="1"/>
  <c r="AF234" i="1" s="1"/>
  <c r="AH234" i="1" s="1"/>
  <c r="Q235" i="1"/>
  <c r="S235" i="1" s="1"/>
  <c r="G235" i="1"/>
  <c r="I235" i="1" s="1"/>
  <c r="CQ231" i="1" l="1"/>
  <c r="CS231" i="1" s="1"/>
  <c r="CU231" i="1" s="1"/>
  <c r="CR231" i="1"/>
  <c r="CT231" i="1" s="1"/>
  <c r="AI234" i="1"/>
  <c r="AK234" i="1" s="1"/>
  <c r="AM234" i="1" s="1"/>
  <c r="AJ234" i="1"/>
  <c r="AL234" i="1" s="1"/>
  <c r="BX232" i="1"/>
  <c r="BZ232" i="1" s="1"/>
  <c r="BW232" i="1"/>
  <c r="BY232" i="1" s="1"/>
  <c r="CA232" i="1" s="1"/>
  <c r="BD233" i="1"/>
  <c r="BF233" i="1" s="1"/>
  <c r="BC233" i="1"/>
  <c r="BE233" i="1" s="1"/>
  <c r="BG233" i="1" s="1"/>
  <c r="CC232" i="1" l="1"/>
  <c r="CE232" i="1" s="1"/>
  <c r="CB232" i="1"/>
  <c r="CD232" i="1" s="1"/>
  <c r="CF232" i="1" s="1"/>
  <c r="CV231" i="1"/>
  <c r="CX231" i="1" s="1"/>
  <c r="CW231" i="1"/>
  <c r="CY231" i="1" s="1"/>
  <c r="BH233" i="1"/>
  <c r="BJ233" i="1" s="1"/>
  <c r="BL233" i="1" s="1"/>
  <c r="BI233" i="1"/>
  <c r="BK233" i="1" s="1"/>
  <c r="AN234" i="1"/>
  <c r="AP234" i="1" s="1"/>
  <c r="AR234" i="1" s="1"/>
  <c r="AO234" i="1"/>
  <c r="AQ234" i="1" s="1"/>
  <c r="J235" i="1"/>
  <c r="L235" i="1" s="1"/>
  <c r="N235" i="1" s="1"/>
  <c r="K235" i="1"/>
  <c r="M235" i="1" s="1"/>
  <c r="D236" i="1"/>
  <c r="T235" i="1"/>
  <c r="V235" i="1" s="1"/>
  <c r="X235" i="1" s="1"/>
  <c r="U235" i="1"/>
  <c r="W235" i="1" s="1"/>
  <c r="CZ231" i="1" l="1"/>
  <c r="AS234" i="1"/>
  <c r="AU234" i="1" s="1"/>
  <c r="AW234" i="1" s="1"/>
  <c r="AT234" i="1"/>
  <c r="AV234" i="1" s="1"/>
  <c r="BM233" i="1"/>
  <c r="BO233" i="1" s="1"/>
  <c r="BQ233" i="1" s="1"/>
  <c r="BN233" i="1"/>
  <c r="BP233" i="1" s="1"/>
  <c r="DA231" i="1"/>
  <c r="DC231" i="1" s="1"/>
  <c r="DB231" i="1"/>
  <c r="DD231" i="1" s="1"/>
  <c r="CH232" i="1"/>
  <c r="CJ232" i="1" s="1"/>
  <c r="CG232" i="1"/>
  <c r="CI232" i="1" s="1"/>
  <c r="CK232" i="1" s="1"/>
  <c r="P235" i="1"/>
  <c r="R235" i="1" s="1"/>
  <c r="F236" i="1"/>
  <c r="H236" i="1" s="1"/>
  <c r="E236" i="1"/>
  <c r="Z235" i="1"/>
  <c r="AB235" i="1" s="1"/>
  <c r="Y235" i="1"/>
  <c r="AA235" i="1" s="1"/>
  <c r="AC235" i="1" s="1"/>
  <c r="BS233" i="1" l="1"/>
  <c r="BU233" i="1" s="1"/>
  <c r="BR233" i="1"/>
  <c r="BT233" i="1" s="1"/>
  <c r="BV233" i="1" s="1"/>
  <c r="AX234" i="1"/>
  <c r="AZ234" i="1" s="1"/>
  <c r="BB234" i="1" s="1"/>
  <c r="AY234" i="1"/>
  <c r="BA234" i="1" s="1"/>
  <c r="CL232" i="1"/>
  <c r="CN232" i="1" s="1"/>
  <c r="CP232" i="1" s="1"/>
  <c r="CM232" i="1"/>
  <c r="CO232" i="1" s="1"/>
  <c r="O235" i="1"/>
  <c r="AD235" i="1"/>
  <c r="AF235" i="1" s="1"/>
  <c r="AH235" i="1" s="1"/>
  <c r="AE235" i="1"/>
  <c r="AG235" i="1" s="1"/>
  <c r="G236" i="1"/>
  <c r="I236" i="1" s="1"/>
  <c r="Q236" i="1"/>
  <c r="S236" i="1" s="1"/>
  <c r="CR232" i="1" l="1"/>
  <c r="CT232" i="1" s="1"/>
  <c r="CQ232" i="1"/>
  <c r="CS232" i="1" s="1"/>
  <c r="CU232" i="1" s="1"/>
  <c r="BD234" i="1"/>
  <c r="BF234" i="1" s="1"/>
  <c r="BC234" i="1"/>
  <c r="BE234" i="1" s="1"/>
  <c r="BG234" i="1" s="1"/>
  <c r="AJ235" i="1"/>
  <c r="AL235" i="1" s="1"/>
  <c r="AI235" i="1"/>
  <c r="AK235" i="1" s="1"/>
  <c r="AM235" i="1" s="1"/>
  <c r="BX233" i="1"/>
  <c r="BZ233" i="1" s="1"/>
  <c r="BW233" i="1"/>
  <c r="BY233" i="1" s="1"/>
  <c r="CA233" i="1" s="1"/>
  <c r="CC233" i="1" l="1"/>
  <c r="CE233" i="1" s="1"/>
  <c r="CB233" i="1"/>
  <c r="CD233" i="1" s="1"/>
  <c r="CF233" i="1" s="1"/>
  <c r="AN235" i="1"/>
  <c r="AP235" i="1" s="1"/>
  <c r="AR235" i="1" s="1"/>
  <c r="AO235" i="1"/>
  <c r="AQ235" i="1" s="1"/>
  <c r="BH234" i="1"/>
  <c r="BJ234" i="1" s="1"/>
  <c r="BL234" i="1" s="1"/>
  <c r="BI234" i="1"/>
  <c r="BK234" i="1" s="1"/>
  <c r="CV232" i="1"/>
  <c r="CX232" i="1" s="1"/>
  <c r="CZ232" i="1" s="1"/>
  <c r="CW232" i="1"/>
  <c r="CY232" i="1" s="1"/>
  <c r="T236" i="1"/>
  <c r="V236" i="1" s="1"/>
  <c r="X236" i="1" s="1"/>
  <c r="U236" i="1"/>
  <c r="W236" i="1" s="1"/>
  <c r="J236" i="1"/>
  <c r="L236" i="1" s="1"/>
  <c r="N236" i="1" s="1"/>
  <c r="K236" i="1"/>
  <c r="M236" i="1" s="1"/>
  <c r="D237" i="1"/>
  <c r="DA232" i="1" l="1"/>
  <c r="DC232" i="1" s="1"/>
  <c r="DB232" i="1"/>
  <c r="DD232" i="1" s="1"/>
  <c r="BN234" i="1"/>
  <c r="BP234" i="1" s="1"/>
  <c r="BM234" i="1"/>
  <c r="BO234" i="1" s="1"/>
  <c r="BQ234" i="1" s="1"/>
  <c r="AS235" i="1"/>
  <c r="AU235" i="1" s="1"/>
  <c r="AW235" i="1" s="1"/>
  <c r="AT235" i="1"/>
  <c r="AV235" i="1" s="1"/>
  <c r="CG233" i="1"/>
  <c r="CI233" i="1" s="1"/>
  <c r="CK233" i="1" s="1"/>
  <c r="CH233" i="1"/>
  <c r="CJ233" i="1" s="1"/>
  <c r="P236" i="1"/>
  <c r="R236" i="1" s="1"/>
  <c r="F237" i="1"/>
  <c r="H237" i="1" s="1"/>
  <c r="E237" i="1"/>
  <c r="Y236" i="1"/>
  <c r="AA236" i="1" s="1"/>
  <c r="AC236" i="1" s="1"/>
  <c r="Z236" i="1"/>
  <c r="AB236" i="1" s="1"/>
  <c r="CL233" i="1" l="1"/>
  <c r="CN233" i="1" s="1"/>
  <c r="CP233" i="1" s="1"/>
  <c r="CM233" i="1"/>
  <c r="CO233" i="1" s="1"/>
  <c r="AY235" i="1"/>
  <c r="BA235" i="1" s="1"/>
  <c r="AX235" i="1"/>
  <c r="AZ235" i="1" s="1"/>
  <c r="BB235" i="1" s="1"/>
  <c r="BS234" i="1"/>
  <c r="BU234" i="1" s="1"/>
  <c r="BR234" i="1"/>
  <c r="BT234" i="1" s="1"/>
  <c r="BV234" i="1" s="1"/>
  <c r="O236" i="1"/>
  <c r="AE236" i="1"/>
  <c r="AG236" i="1" s="1"/>
  <c r="AD236" i="1"/>
  <c r="AF236" i="1" s="1"/>
  <c r="AH236" i="1" s="1"/>
  <c r="G237" i="1"/>
  <c r="I237" i="1" s="1"/>
  <c r="Q237" i="1"/>
  <c r="S237" i="1" s="1"/>
  <c r="CQ233" i="1" l="1"/>
  <c r="CS233" i="1" s="1"/>
  <c r="CU233" i="1" s="1"/>
  <c r="CR233" i="1"/>
  <c r="CT233" i="1" s="1"/>
  <c r="AJ236" i="1"/>
  <c r="AL236" i="1" s="1"/>
  <c r="AI236" i="1"/>
  <c r="AK236" i="1" s="1"/>
  <c r="AM236" i="1" s="1"/>
  <c r="BW234" i="1"/>
  <c r="BY234" i="1" s="1"/>
  <c r="CA234" i="1" s="1"/>
  <c r="BX234" i="1"/>
  <c r="BZ234" i="1" s="1"/>
  <c r="BD235" i="1"/>
  <c r="BF235" i="1" s="1"/>
  <c r="BC235" i="1"/>
  <c r="BE235" i="1" s="1"/>
  <c r="BG235" i="1" s="1"/>
  <c r="BH235" i="1" l="1"/>
  <c r="BJ235" i="1" s="1"/>
  <c r="BL235" i="1" s="1"/>
  <c r="BI235" i="1"/>
  <c r="BK235" i="1" s="1"/>
  <c r="AO236" i="1"/>
  <c r="AQ236" i="1" s="1"/>
  <c r="AN236" i="1"/>
  <c r="AP236" i="1" s="1"/>
  <c r="AR236" i="1" s="1"/>
  <c r="CW233" i="1"/>
  <c r="CY233" i="1" s="1"/>
  <c r="CV233" i="1"/>
  <c r="CX233" i="1" s="1"/>
  <c r="CB234" i="1"/>
  <c r="CD234" i="1" s="1"/>
  <c r="CF234" i="1" s="1"/>
  <c r="CC234" i="1"/>
  <c r="CE234" i="1" s="1"/>
  <c r="U237" i="1"/>
  <c r="W237" i="1" s="1"/>
  <c r="T237" i="1"/>
  <c r="V237" i="1" s="1"/>
  <c r="X237" i="1" s="1"/>
  <c r="J237" i="1"/>
  <c r="L237" i="1" s="1"/>
  <c r="N237" i="1" s="1"/>
  <c r="K237" i="1"/>
  <c r="M237" i="1" s="1"/>
  <c r="D238" i="1"/>
  <c r="CZ233" i="1" l="1"/>
  <c r="CH234" i="1"/>
  <c r="CJ234" i="1" s="1"/>
  <c r="CG234" i="1"/>
  <c r="CI234" i="1" s="1"/>
  <c r="CK234" i="1" s="1"/>
  <c r="BM235" i="1"/>
  <c r="BO235" i="1" s="1"/>
  <c r="BQ235" i="1" s="1"/>
  <c r="BN235" i="1"/>
  <c r="BP235" i="1" s="1"/>
  <c r="AS236" i="1"/>
  <c r="AU236" i="1" s="1"/>
  <c r="AW236" i="1" s="1"/>
  <c r="AT236" i="1"/>
  <c r="AV236" i="1" s="1"/>
  <c r="P237" i="1"/>
  <c r="R237" i="1" s="1"/>
  <c r="F238" i="1"/>
  <c r="H238" i="1" s="1"/>
  <c r="E238" i="1"/>
  <c r="Z237" i="1"/>
  <c r="AB237" i="1" s="1"/>
  <c r="Y237" i="1"/>
  <c r="AA237" i="1" s="1"/>
  <c r="AC237" i="1" s="1"/>
  <c r="DA233" i="1" l="1"/>
  <c r="DC233" i="1" s="1"/>
  <c r="DB233" i="1"/>
  <c r="DD233" i="1" s="1"/>
  <c r="AY236" i="1"/>
  <c r="BA236" i="1" s="1"/>
  <c r="AX236" i="1"/>
  <c r="AZ236" i="1" s="1"/>
  <c r="BB236" i="1" s="1"/>
  <c r="BR235" i="1"/>
  <c r="BT235" i="1" s="1"/>
  <c r="BV235" i="1" s="1"/>
  <c r="BS235" i="1"/>
  <c r="BU235" i="1" s="1"/>
  <c r="CL234" i="1"/>
  <c r="CN234" i="1" s="1"/>
  <c r="CP234" i="1" s="1"/>
  <c r="CM234" i="1"/>
  <c r="CO234" i="1" s="1"/>
  <c r="O237" i="1"/>
  <c r="AD237" i="1"/>
  <c r="AF237" i="1" s="1"/>
  <c r="AH237" i="1" s="1"/>
  <c r="AE237" i="1"/>
  <c r="AG237" i="1" s="1"/>
  <c r="Q238" i="1"/>
  <c r="S238" i="1" s="1"/>
  <c r="G238" i="1"/>
  <c r="I238" i="1" s="1"/>
  <c r="AI237" i="1" l="1"/>
  <c r="AK237" i="1" s="1"/>
  <c r="AM237" i="1" s="1"/>
  <c r="AJ237" i="1"/>
  <c r="AL237" i="1" s="1"/>
  <c r="CQ234" i="1"/>
  <c r="CS234" i="1" s="1"/>
  <c r="CU234" i="1" s="1"/>
  <c r="CR234" i="1"/>
  <c r="CT234" i="1" s="1"/>
  <c r="BW235" i="1"/>
  <c r="BY235" i="1" s="1"/>
  <c r="CA235" i="1" s="1"/>
  <c r="BX235" i="1"/>
  <c r="BZ235" i="1" s="1"/>
  <c r="BC236" i="1"/>
  <c r="BE236" i="1" s="1"/>
  <c r="BG236" i="1" s="1"/>
  <c r="BD236" i="1"/>
  <c r="BF236" i="1" s="1"/>
  <c r="BH236" i="1" l="1"/>
  <c r="BJ236" i="1" s="1"/>
  <c r="BL236" i="1" s="1"/>
  <c r="BI236" i="1"/>
  <c r="BK236" i="1" s="1"/>
  <c r="CB235" i="1"/>
  <c r="CD235" i="1" s="1"/>
  <c r="CF235" i="1" s="1"/>
  <c r="CC235" i="1"/>
  <c r="CE235" i="1" s="1"/>
  <c r="CV234" i="1"/>
  <c r="CX234" i="1" s="1"/>
  <c r="CW234" i="1"/>
  <c r="CY234" i="1" s="1"/>
  <c r="AN237" i="1"/>
  <c r="AP237" i="1" s="1"/>
  <c r="AR237" i="1" s="1"/>
  <c r="AO237" i="1"/>
  <c r="AQ237" i="1" s="1"/>
  <c r="J238" i="1"/>
  <c r="L238" i="1" s="1"/>
  <c r="N238" i="1" s="1"/>
  <c r="K238" i="1"/>
  <c r="M238" i="1" s="1"/>
  <c r="D239" i="1"/>
  <c r="U238" i="1"/>
  <c r="W238" i="1" s="1"/>
  <c r="T238" i="1"/>
  <c r="V238" i="1" s="1"/>
  <c r="X238" i="1" s="1"/>
  <c r="CZ234" i="1" l="1"/>
  <c r="DB234" i="1"/>
  <c r="DD234" i="1" s="1"/>
  <c r="DA234" i="1"/>
  <c r="DC234" i="1" s="1"/>
  <c r="CG235" i="1"/>
  <c r="CI235" i="1" s="1"/>
  <c r="CK235" i="1" s="1"/>
  <c r="CH235" i="1"/>
  <c r="CJ235" i="1" s="1"/>
  <c r="BN236" i="1"/>
  <c r="BP236" i="1" s="1"/>
  <c r="BM236" i="1"/>
  <c r="BO236" i="1" s="1"/>
  <c r="BQ236" i="1" s="1"/>
  <c r="AT237" i="1"/>
  <c r="AV237" i="1" s="1"/>
  <c r="AS237" i="1"/>
  <c r="AU237" i="1" s="1"/>
  <c r="AW237" i="1" s="1"/>
  <c r="P238" i="1"/>
  <c r="R238" i="1" s="1"/>
  <c r="Z238" i="1"/>
  <c r="AB238" i="1" s="1"/>
  <c r="Y238" i="1"/>
  <c r="AA238" i="1" s="1"/>
  <c r="AC238" i="1" s="1"/>
  <c r="F239" i="1"/>
  <c r="H239" i="1" s="1"/>
  <c r="E239" i="1"/>
  <c r="AX237" i="1" l="1"/>
  <c r="AZ237" i="1" s="1"/>
  <c r="BB237" i="1" s="1"/>
  <c r="AY237" i="1"/>
  <c r="BA237" i="1" s="1"/>
  <c r="BS236" i="1"/>
  <c r="BU236" i="1" s="1"/>
  <c r="BR236" i="1"/>
  <c r="BT236" i="1" s="1"/>
  <c r="BV236" i="1" s="1"/>
  <c r="CL235" i="1"/>
  <c r="CN235" i="1" s="1"/>
  <c r="CP235" i="1" s="1"/>
  <c r="CM235" i="1"/>
  <c r="CO235" i="1" s="1"/>
  <c r="O238" i="1"/>
  <c r="AD238" i="1"/>
  <c r="AF238" i="1" s="1"/>
  <c r="AH238" i="1" s="1"/>
  <c r="AE238" i="1"/>
  <c r="AG238" i="1" s="1"/>
  <c r="Q239" i="1"/>
  <c r="S239" i="1" s="1"/>
  <c r="G239" i="1"/>
  <c r="I239" i="1" s="1"/>
  <c r="CQ235" i="1" l="1"/>
  <c r="CS235" i="1" s="1"/>
  <c r="CU235" i="1" s="1"/>
  <c r="CR235" i="1"/>
  <c r="CT235" i="1" s="1"/>
  <c r="BC237" i="1"/>
  <c r="BE237" i="1" s="1"/>
  <c r="BG237" i="1" s="1"/>
  <c r="BD237" i="1"/>
  <c r="BF237" i="1" s="1"/>
  <c r="AI238" i="1"/>
  <c r="AK238" i="1" s="1"/>
  <c r="AM238" i="1" s="1"/>
  <c r="AJ238" i="1"/>
  <c r="AL238" i="1" s="1"/>
  <c r="BX236" i="1"/>
  <c r="BZ236" i="1" s="1"/>
  <c r="BW236" i="1"/>
  <c r="BY236" i="1" s="1"/>
  <c r="CA236" i="1" s="1"/>
  <c r="BI237" i="1" l="1"/>
  <c r="BK237" i="1" s="1"/>
  <c r="BH237" i="1"/>
  <c r="BJ237" i="1" s="1"/>
  <c r="BL237" i="1" s="1"/>
  <c r="CW235" i="1"/>
  <c r="CY235" i="1" s="1"/>
  <c r="CV235" i="1"/>
  <c r="CX235" i="1" s="1"/>
  <c r="CC236" i="1"/>
  <c r="CE236" i="1" s="1"/>
  <c r="CB236" i="1"/>
  <c r="CD236" i="1" s="1"/>
  <c r="CF236" i="1" s="1"/>
  <c r="AN238" i="1"/>
  <c r="AP238" i="1" s="1"/>
  <c r="AR238" i="1" s="1"/>
  <c r="AO238" i="1"/>
  <c r="AQ238" i="1" s="1"/>
  <c r="J239" i="1"/>
  <c r="L239" i="1" s="1"/>
  <c r="N239" i="1" s="1"/>
  <c r="K239" i="1"/>
  <c r="M239" i="1" s="1"/>
  <c r="D240" i="1"/>
  <c r="U239" i="1"/>
  <c r="W239" i="1" s="1"/>
  <c r="T239" i="1"/>
  <c r="V239" i="1" s="1"/>
  <c r="X239" i="1" s="1"/>
  <c r="CZ235" i="1" l="1"/>
  <c r="AS238" i="1"/>
  <c r="AU238" i="1" s="1"/>
  <c r="AW238" i="1" s="1"/>
  <c r="AT238" i="1"/>
  <c r="AV238" i="1" s="1"/>
  <c r="CH236" i="1"/>
  <c r="CJ236" i="1" s="1"/>
  <c r="CG236" i="1"/>
  <c r="CI236" i="1" s="1"/>
  <c r="CK236" i="1" s="1"/>
  <c r="BM237" i="1"/>
  <c r="BO237" i="1" s="1"/>
  <c r="BQ237" i="1" s="1"/>
  <c r="BN237" i="1"/>
  <c r="BP237" i="1" s="1"/>
  <c r="P239" i="1"/>
  <c r="R239" i="1" s="1"/>
  <c r="Z239" i="1"/>
  <c r="AB239" i="1" s="1"/>
  <c r="Y239" i="1"/>
  <c r="AA239" i="1" s="1"/>
  <c r="AC239" i="1" s="1"/>
  <c r="F240" i="1"/>
  <c r="H240" i="1" s="1"/>
  <c r="E240" i="1"/>
  <c r="DB235" i="1" l="1"/>
  <c r="DD235" i="1" s="1"/>
  <c r="DA235" i="1"/>
  <c r="DC235" i="1" s="1"/>
  <c r="BS237" i="1"/>
  <c r="BU237" i="1" s="1"/>
  <c r="BR237" i="1"/>
  <c r="BT237" i="1" s="1"/>
  <c r="BV237" i="1" s="1"/>
  <c r="AX238" i="1"/>
  <c r="AZ238" i="1" s="1"/>
  <c r="BB238" i="1" s="1"/>
  <c r="AY238" i="1"/>
  <c r="BA238" i="1" s="1"/>
  <c r="CL236" i="1"/>
  <c r="CN236" i="1" s="1"/>
  <c r="CP236" i="1" s="1"/>
  <c r="CM236" i="1"/>
  <c r="CO236" i="1" s="1"/>
  <c r="O239" i="1"/>
  <c r="AD239" i="1"/>
  <c r="AF239" i="1" s="1"/>
  <c r="AH239" i="1" s="1"/>
  <c r="AE239" i="1"/>
  <c r="AG239" i="1" s="1"/>
  <c r="Q240" i="1"/>
  <c r="S240" i="1" s="1"/>
  <c r="G240" i="1"/>
  <c r="I240" i="1" s="1"/>
  <c r="CQ236" i="1" l="1"/>
  <c r="CS236" i="1" s="1"/>
  <c r="CU236" i="1" s="1"/>
  <c r="CR236" i="1"/>
  <c r="CT236" i="1" s="1"/>
  <c r="BD238" i="1"/>
  <c r="BF238" i="1" s="1"/>
  <c r="BC238" i="1"/>
  <c r="BE238" i="1" s="1"/>
  <c r="BG238" i="1" s="1"/>
  <c r="AJ239" i="1"/>
  <c r="AL239" i="1" s="1"/>
  <c r="AI239" i="1"/>
  <c r="AK239" i="1" s="1"/>
  <c r="AM239" i="1" s="1"/>
  <c r="BX237" i="1"/>
  <c r="BZ237" i="1" s="1"/>
  <c r="BW237" i="1"/>
  <c r="BY237" i="1" s="1"/>
  <c r="CA237" i="1" s="1"/>
  <c r="AN239" i="1" l="1"/>
  <c r="AP239" i="1" s="1"/>
  <c r="AR239" i="1" s="1"/>
  <c r="AO239" i="1"/>
  <c r="AQ239" i="1" s="1"/>
  <c r="CW236" i="1"/>
  <c r="CY236" i="1" s="1"/>
  <c r="CV236" i="1"/>
  <c r="CX236" i="1" s="1"/>
  <c r="CB237" i="1"/>
  <c r="CD237" i="1" s="1"/>
  <c r="CF237" i="1" s="1"/>
  <c r="CC237" i="1"/>
  <c r="CE237" i="1" s="1"/>
  <c r="BH238" i="1"/>
  <c r="BJ238" i="1" s="1"/>
  <c r="BL238" i="1" s="1"/>
  <c r="BI238" i="1"/>
  <c r="BK238" i="1" s="1"/>
  <c r="J240" i="1"/>
  <c r="L240" i="1" s="1"/>
  <c r="N240" i="1" s="1"/>
  <c r="K240" i="1"/>
  <c r="M240" i="1" s="1"/>
  <c r="D241" i="1"/>
  <c r="U240" i="1"/>
  <c r="W240" i="1" s="1"/>
  <c r="T240" i="1"/>
  <c r="V240" i="1" s="1"/>
  <c r="X240" i="1" s="1"/>
  <c r="CZ236" i="1" l="1"/>
  <c r="BM238" i="1"/>
  <c r="BO238" i="1" s="1"/>
  <c r="BQ238" i="1" s="1"/>
  <c r="BN238" i="1"/>
  <c r="BP238" i="1" s="1"/>
  <c r="CG237" i="1"/>
  <c r="CI237" i="1" s="1"/>
  <c r="CK237" i="1" s="1"/>
  <c r="CH237" i="1"/>
  <c r="CJ237" i="1" s="1"/>
  <c r="AT239" i="1"/>
  <c r="AV239" i="1" s="1"/>
  <c r="AS239" i="1"/>
  <c r="AU239" i="1" s="1"/>
  <c r="AW239" i="1" s="1"/>
  <c r="P240" i="1"/>
  <c r="R240" i="1" s="1"/>
  <c r="O240" i="1"/>
  <c r="Y240" i="1"/>
  <c r="AA240" i="1" s="1"/>
  <c r="AC240" i="1" s="1"/>
  <c r="Z240" i="1"/>
  <c r="AB240" i="1" s="1"/>
  <c r="F241" i="1"/>
  <c r="H241" i="1" s="1"/>
  <c r="E241" i="1"/>
  <c r="DA236" i="1" l="1"/>
  <c r="DC236" i="1" s="1"/>
  <c r="DB236" i="1"/>
  <c r="DD236" i="1" s="1"/>
  <c r="CM237" i="1"/>
  <c r="CO237" i="1" s="1"/>
  <c r="CL237" i="1"/>
  <c r="CN237" i="1" s="1"/>
  <c r="CP237" i="1" s="1"/>
  <c r="BR238" i="1"/>
  <c r="BT238" i="1" s="1"/>
  <c r="BV238" i="1" s="1"/>
  <c r="BS238" i="1"/>
  <c r="BU238" i="1" s="1"/>
  <c r="AY239" i="1"/>
  <c r="BA239" i="1" s="1"/>
  <c r="AX239" i="1"/>
  <c r="AZ239" i="1" s="1"/>
  <c r="BB239" i="1" s="1"/>
  <c r="AE240" i="1"/>
  <c r="AG240" i="1" s="1"/>
  <c r="AD240" i="1"/>
  <c r="AF240" i="1" s="1"/>
  <c r="AH240" i="1" s="1"/>
  <c r="Q241" i="1"/>
  <c r="S241" i="1" s="1"/>
  <c r="G241" i="1"/>
  <c r="I241" i="1" s="1"/>
  <c r="BW238" i="1" l="1"/>
  <c r="BY238" i="1" s="1"/>
  <c r="CA238" i="1" s="1"/>
  <c r="BX238" i="1"/>
  <c r="BZ238" i="1" s="1"/>
  <c r="AJ240" i="1"/>
  <c r="AL240" i="1" s="1"/>
  <c r="AI240" i="1"/>
  <c r="AK240" i="1" s="1"/>
  <c r="AM240" i="1" s="1"/>
  <c r="BC239" i="1"/>
  <c r="BE239" i="1" s="1"/>
  <c r="BG239" i="1" s="1"/>
  <c r="BD239" i="1"/>
  <c r="BF239" i="1" s="1"/>
  <c r="CQ237" i="1"/>
  <c r="CS237" i="1" s="1"/>
  <c r="CU237" i="1" s="1"/>
  <c r="CR237" i="1"/>
  <c r="CT237" i="1" s="1"/>
  <c r="AN240" i="1" l="1"/>
  <c r="AP240" i="1" s="1"/>
  <c r="AR240" i="1" s="1"/>
  <c r="AO240" i="1"/>
  <c r="AQ240" i="1" s="1"/>
  <c r="CB238" i="1"/>
  <c r="CD238" i="1" s="1"/>
  <c r="CF238" i="1" s="1"/>
  <c r="CC238" i="1"/>
  <c r="CE238" i="1" s="1"/>
  <c r="CW237" i="1"/>
  <c r="CY237" i="1" s="1"/>
  <c r="CV237" i="1"/>
  <c r="CX237" i="1" s="1"/>
  <c r="BH239" i="1"/>
  <c r="BJ239" i="1" s="1"/>
  <c r="BL239" i="1" s="1"/>
  <c r="BI239" i="1"/>
  <c r="BK239" i="1" s="1"/>
  <c r="J241" i="1"/>
  <c r="L241" i="1" s="1"/>
  <c r="K241" i="1"/>
  <c r="M241" i="1" s="1"/>
  <c r="D242" i="1"/>
  <c r="U241" i="1"/>
  <c r="W241" i="1" s="1"/>
  <c r="T241" i="1"/>
  <c r="V241" i="1" s="1"/>
  <c r="X241" i="1" s="1"/>
  <c r="CZ237" i="1" l="1"/>
  <c r="N241" i="1"/>
  <c r="BM239" i="1"/>
  <c r="BO239" i="1" s="1"/>
  <c r="BQ239" i="1" s="1"/>
  <c r="BN239" i="1"/>
  <c r="BP239" i="1" s="1"/>
  <c r="CG238" i="1"/>
  <c r="CI238" i="1" s="1"/>
  <c r="CK238" i="1" s="1"/>
  <c r="CH238" i="1"/>
  <c r="CJ238" i="1" s="1"/>
  <c r="AT240" i="1"/>
  <c r="AV240" i="1" s="1"/>
  <c r="AS240" i="1"/>
  <c r="AU240" i="1" s="1"/>
  <c r="AW240" i="1" s="1"/>
  <c r="Z241" i="1"/>
  <c r="AB241" i="1" s="1"/>
  <c r="Y241" i="1"/>
  <c r="AA241" i="1" s="1"/>
  <c r="AC241" i="1" s="1"/>
  <c r="F242" i="1"/>
  <c r="H242" i="1" s="1"/>
  <c r="E242" i="1"/>
  <c r="P241" i="1" l="1"/>
  <c r="R241" i="1" s="1"/>
  <c r="O241" i="1"/>
  <c r="DB237" i="1"/>
  <c r="DD237" i="1" s="1"/>
  <c r="DA237" i="1"/>
  <c r="DC237" i="1" s="1"/>
  <c r="CL238" i="1"/>
  <c r="CN238" i="1" s="1"/>
  <c r="CP238" i="1" s="1"/>
  <c r="CM238" i="1"/>
  <c r="CO238" i="1" s="1"/>
  <c r="BS239" i="1"/>
  <c r="BU239" i="1" s="1"/>
  <c r="BR239" i="1"/>
  <c r="BT239" i="1" s="1"/>
  <c r="BV239" i="1" s="1"/>
  <c r="AY240" i="1"/>
  <c r="BA240" i="1" s="1"/>
  <c r="AX240" i="1"/>
  <c r="AZ240" i="1" s="1"/>
  <c r="BB240" i="1" s="1"/>
  <c r="AE241" i="1"/>
  <c r="AG241" i="1" s="1"/>
  <c r="AD241" i="1"/>
  <c r="AF241" i="1" s="1"/>
  <c r="AH241" i="1" s="1"/>
  <c r="Q242" i="1"/>
  <c r="S242" i="1" s="1"/>
  <c r="G242" i="1"/>
  <c r="I242" i="1" s="1"/>
  <c r="CR238" i="1" l="1"/>
  <c r="CT238" i="1" s="1"/>
  <c r="CQ238" i="1"/>
  <c r="CS238" i="1" s="1"/>
  <c r="CU238" i="1" s="1"/>
  <c r="AJ241" i="1"/>
  <c r="AL241" i="1" s="1"/>
  <c r="AI241" i="1"/>
  <c r="AK241" i="1" s="1"/>
  <c r="AM241" i="1" s="1"/>
  <c r="BC240" i="1"/>
  <c r="BE240" i="1" s="1"/>
  <c r="BG240" i="1" s="1"/>
  <c r="BD240" i="1"/>
  <c r="BF240" i="1" s="1"/>
  <c r="BX239" i="1"/>
  <c r="BZ239" i="1" s="1"/>
  <c r="BW239" i="1"/>
  <c r="BY239" i="1" s="1"/>
  <c r="CA239" i="1" s="1"/>
  <c r="CC239" i="1" l="1"/>
  <c r="CE239" i="1" s="1"/>
  <c r="CB239" i="1"/>
  <c r="CD239" i="1" s="1"/>
  <c r="CF239" i="1" s="1"/>
  <c r="AN241" i="1"/>
  <c r="AP241" i="1" s="1"/>
  <c r="AR241" i="1" s="1"/>
  <c r="AO241" i="1"/>
  <c r="AQ241" i="1" s="1"/>
  <c r="BI240" i="1"/>
  <c r="BK240" i="1" s="1"/>
  <c r="BH240" i="1"/>
  <c r="BJ240" i="1" s="1"/>
  <c r="BL240" i="1" s="1"/>
  <c r="CW238" i="1"/>
  <c r="CY238" i="1" s="1"/>
  <c r="CV238" i="1"/>
  <c r="CX238" i="1" s="1"/>
  <c r="U242" i="1"/>
  <c r="W242" i="1" s="1"/>
  <c r="T242" i="1"/>
  <c r="V242" i="1" s="1"/>
  <c r="X242" i="1" s="1"/>
  <c r="J242" i="1"/>
  <c r="L242" i="1" s="1"/>
  <c r="N242" i="1" s="1"/>
  <c r="K242" i="1"/>
  <c r="M242" i="1" s="1"/>
  <c r="D243" i="1"/>
  <c r="CZ238" i="1" l="1"/>
  <c r="AT241" i="1"/>
  <c r="AV241" i="1" s="1"/>
  <c r="AS241" i="1"/>
  <c r="AU241" i="1" s="1"/>
  <c r="AW241" i="1" s="1"/>
  <c r="BM240" i="1"/>
  <c r="BO240" i="1" s="1"/>
  <c r="BQ240" i="1" s="1"/>
  <c r="BN240" i="1"/>
  <c r="BP240" i="1" s="1"/>
  <c r="CG239" i="1"/>
  <c r="CI239" i="1" s="1"/>
  <c r="CK239" i="1" s="1"/>
  <c r="CH239" i="1"/>
  <c r="CJ239" i="1" s="1"/>
  <c r="P242" i="1"/>
  <c r="R242" i="1" s="1"/>
  <c r="E243" i="1"/>
  <c r="F243" i="1"/>
  <c r="H243" i="1" s="1"/>
  <c r="Y242" i="1"/>
  <c r="AA242" i="1" s="1"/>
  <c r="AC242" i="1" s="1"/>
  <c r="Z242" i="1"/>
  <c r="AB242" i="1" s="1"/>
  <c r="DB238" i="1" l="1"/>
  <c r="DD238" i="1" s="1"/>
  <c r="DA238" i="1"/>
  <c r="DC238" i="1" s="1"/>
  <c r="CL239" i="1"/>
  <c r="CN239" i="1" s="1"/>
  <c r="CP239" i="1" s="1"/>
  <c r="CM239" i="1"/>
  <c r="CO239" i="1" s="1"/>
  <c r="BS240" i="1"/>
  <c r="BU240" i="1" s="1"/>
  <c r="BR240" i="1"/>
  <c r="BT240" i="1" s="1"/>
  <c r="BV240" i="1" s="1"/>
  <c r="AY241" i="1"/>
  <c r="BA241" i="1" s="1"/>
  <c r="AX241" i="1"/>
  <c r="AZ241" i="1" s="1"/>
  <c r="BB241" i="1" s="1"/>
  <c r="O242" i="1"/>
  <c r="AD242" i="1"/>
  <c r="AF242" i="1" s="1"/>
  <c r="AH242" i="1" s="1"/>
  <c r="AE242" i="1"/>
  <c r="AG242" i="1" s="1"/>
  <c r="Q243" i="1"/>
  <c r="S243" i="1" s="1"/>
  <c r="G243" i="1"/>
  <c r="I243" i="1" s="1"/>
  <c r="CQ239" i="1" l="1"/>
  <c r="CS239" i="1" s="1"/>
  <c r="CU239" i="1" s="1"/>
  <c r="CR239" i="1"/>
  <c r="CT239" i="1" s="1"/>
  <c r="AJ242" i="1"/>
  <c r="AL242" i="1" s="1"/>
  <c r="AI242" i="1"/>
  <c r="AK242" i="1" s="1"/>
  <c r="AM242" i="1" s="1"/>
  <c r="BC241" i="1"/>
  <c r="BE241" i="1" s="1"/>
  <c r="BG241" i="1" s="1"/>
  <c r="BD241" i="1"/>
  <c r="BF241" i="1" s="1"/>
  <c r="BX240" i="1"/>
  <c r="BZ240" i="1" s="1"/>
  <c r="BW240" i="1"/>
  <c r="BY240" i="1" s="1"/>
  <c r="CA240" i="1" s="1"/>
  <c r="CB240" i="1" l="1"/>
  <c r="CD240" i="1" s="1"/>
  <c r="CF240" i="1" s="1"/>
  <c r="CC240" i="1"/>
  <c r="CE240" i="1" s="1"/>
  <c r="AN242" i="1"/>
  <c r="AP242" i="1" s="1"/>
  <c r="AR242" i="1" s="1"/>
  <c r="AO242" i="1"/>
  <c r="AQ242" i="1" s="1"/>
  <c r="CV239" i="1"/>
  <c r="CX239" i="1" s="1"/>
  <c r="CW239" i="1"/>
  <c r="CY239" i="1" s="1"/>
  <c r="BH241" i="1"/>
  <c r="BJ241" i="1" s="1"/>
  <c r="BL241" i="1" s="1"/>
  <c r="BI241" i="1"/>
  <c r="BK241" i="1" s="1"/>
  <c r="J243" i="1"/>
  <c r="L243" i="1" s="1"/>
  <c r="N243" i="1" s="1"/>
  <c r="K243" i="1"/>
  <c r="M243" i="1" s="1"/>
  <c r="D244" i="1"/>
  <c r="T243" i="1"/>
  <c r="V243" i="1" s="1"/>
  <c r="X243" i="1" s="1"/>
  <c r="U243" i="1"/>
  <c r="W243" i="1" s="1"/>
  <c r="CZ239" i="1" l="1"/>
  <c r="BN241" i="1"/>
  <c r="BP241" i="1" s="1"/>
  <c r="BM241" i="1"/>
  <c r="BO241" i="1" s="1"/>
  <c r="BQ241" i="1" s="1"/>
  <c r="DA239" i="1"/>
  <c r="DC239" i="1" s="1"/>
  <c r="DB239" i="1"/>
  <c r="DD239" i="1" s="1"/>
  <c r="AS242" i="1"/>
  <c r="AU242" i="1" s="1"/>
  <c r="AW242" i="1" s="1"/>
  <c r="AT242" i="1"/>
  <c r="AV242" i="1" s="1"/>
  <c r="CH240" i="1"/>
  <c r="CJ240" i="1" s="1"/>
  <c r="CG240" i="1"/>
  <c r="CI240" i="1" s="1"/>
  <c r="CK240" i="1" s="1"/>
  <c r="P243" i="1"/>
  <c r="R243" i="1" s="1"/>
  <c r="Y243" i="1"/>
  <c r="AA243" i="1" s="1"/>
  <c r="AC243" i="1" s="1"/>
  <c r="Z243" i="1"/>
  <c r="AB243" i="1" s="1"/>
  <c r="E244" i="1"/>
  <c r="F244" i="1"/>
  <c r="H244" i="1" s="1"/>
  <c r="AX242" i="1" l="1"/>
  <c r="AZ242" i="1" s="1"/>
  <c r="BB242" i="1" s="1"/>
  <c r="AY242" i="1"/>
  <c r="BA242" i="1" s="1"/>
  <c r="CM240" i="1"/>
  <c r="CO240" i="1" s="1"/>
  <c r="CL240" i="1"/>
  <c r="CN240" i="1" s="1"/>
  <c r="CP240" i="1" s="1"/>
  <c r="BS241" i="1"/>
  <c r="BU241" i="1" s="1"/>
  <c r="BR241" i="1"/>
  <c r="BT241" i="1" s="1"/>
  <c r="BV241" i="1" s="1"/>
  <c r="O243" i="1"/>
  <c r="AD243" i="1"/>
  <c r="AF243" i="1" s="1"/>
  <c r="AH243" i="1" s="1"/>
  <c r="AE243" i="1"/>
  <c r="AG243" i="1" s="1"/>
  <c r="Q244" i="1"/>
  <c r="S244" i="1" s="1"/>
  <c r="G244" i="1"/>
  <c r="I244" i="1" s="1"/>
  <c r="BC242" i="1" l="1"/>
  <c r="BE242" i="1" s="1"/>
  <c r="BG242" i="1" s="1"/>
  <c r="BD242" i="1"/>
  <c r="BF242" i="1" s="1"/>
  <c r="AJ243" i="1"/>
  <c r="AL243" i="1" s="1"/>
  <c r="AI243" i="1"/>
  <c r="AK243" i="1" s="1"/>
  <c r="AM243" i="1" s="1"/>
  <c r="BX241" i="1"/>
  <c r="BZ241" i="1" s="1"/>
  <c r="BW241" i="1"/>
  <c r="BY241" i="1" s="1"/>
  <c r="CA241" i="1" s="1"/>
  <c r="CR240" i="1"/>
  <c r="CT240" i="1" s="1"/>
  <c r="CQ240" i="1"/>
  <c r="CS240" i="1" s="1"/>
  <c r="CU240" i="1" s="1"/>
  <c r="CB241" i="1" l="1"/>
  <c r="CD241" i="1" s="1"/>
  <c r="CF241" i="1" s="1"/>
  <c r="CC241" i="1"/>
  <c r="CE241" i="1" s="1"/>
  <c r="AO243" i="1"/>
  <c r="AQ243" i="1" s="1"/>
  <c r="AN243" i="1"/>
  <c r="AP243" i="1" s="1"/>
  <c r="AR243" i="1" s="1"/>
  <c r="BI242" i="1"/>
  <c r="BK242" i="1" s="1"/>
  <c r="BH242" i="1"/>
  <c r="BJ242" i="1" s="1"/>
  <c r="BL242" i="1" s="1"/>
  <c r="CV240" i="1"/>
  <c r="CX240" i="1" s="1"/>
  <c r="CZ240" i="1" s="1"/>
  <c r="CW240" i="1"/>
  <c r="CY240" i="1" s="1"/>
  <c r="J244" i="1"/>
  <c r="L244" i="1" s="1"/>
  <c r="N244" i="1" s="1"/>
  <c r="K244" i="1"/>
  <c r="M244" i="1" s="1"/>
  <c r="D245" i="1"/>
  <c r="U244" i="1"/>
  <c r="W244" i="1" s="1"/>
  <c r="T244" i="1"/>
  <c r="V244" i="1" s="1"/>
  <c r="X244" i="1" s="1"/>
  <c r="DA240" i="1" l="1"/>
  <c r="DC240" i="1" s="1"/>
  <c r="DB240" i="1"/>
  <c r="DD240" i="1" s="1"/>
  <c r="CH241" i="1"/>
  <c r="CJ241" i="1" s="1"/>
  <c r="CG241" i="1"/>
  <c r="CI241" i="1" s="1"/>
  <c r="CK241" i="1" s="1"/>
  <c r="BM242" i="1"/>
  <c r="BO242" i="1" s="1"/>
  <c r="BQ242" i="1" s="1"/>
  <c r="BN242" i="1"/>
  <c r="BP242" i="1" s="1"/>
  <c r="AT243" i="1"/>
  <c r="AV243" i="1" s="1"/>
  <c r="AS243" i="1"/>
  <c r="AU243" i="1" s="1"/>
  <c r="AW243" i="1" s="1"/>
  <c r="P244" i="1"/>
  <c r="R244" i="1" s="1"/>
  <c r="Z244" i="1"/>
  <c r="AB244" i="1" s="1"/>
  <c r="Y244" i="1"/>
  <c r="AA244" i="1" s="1"/>
  <c r="AC244" i="1" s="1"/>
  <c r="E245" i="1"/>
  <c r="F245" i="1"/>
  <c r="H245" i="1" s="1"/>
  <c r="BR242" i="1" l="1"/>
  <c r="BT242" i="1" s="1"/>
  <c r="BV242" i="1" s="1"/>
  <c r="BS242" i="1"/>
  <c r="BU242" i="1" s="1"/>
  <c r="AY243" i="1"/>
  <c r="BA243" i="1" s="1"/>
  <c r="AX243" i="1"/>
  <c r="AZ243" i="1" s="1"/>
  <c r="BB243" i="1" s="1"/>
  <c r="CL241" i="1"/>
  <c r="CN241" i="1" s="1"/>
  <c r="CP241" i="1" s="1"/>
  <c r="CM241" i="1"/>
  <c r="CO241" i="1" s="1"/>
  <c r="O244" i="1"/>
  <c r="AD244" i="1"/>
  <c r="AF244" i="1" s="1"/>
  <c r="AH244" i="1" s="1"/>
  <c r="AE244" i="1"/>
  <c r="AG244" i="1" s="1"/>
  <c r="Q245" i="1"/>
  <c r="S245" i="1" s="1"/>
  <c r="G245" i="1"/>
  <c r="I245" i="1" s="1"/>
  <c r="CR241" i="1" l="1"/>
  <c r="CT241" i="1" s="1"/>
  <c r="CQ241" i="1"/>
  <c r="CS241" i="1" s="1"/>
  <c r="CU241" i="1" s="1"/>
  <c r="BX242" i="1"/>
  <c r="BZ242" i="1" s="1"/>
  <c r="BW242" i="1"/>
  <c r="BY242" i="1" s="1"/>
  <c r="CA242" i="1" s="1"/>
  <c r="AJ244" i="1"/>
  <c r="AL244" i="1" s="1"/>
  <c r="AI244" i="1"/>
  <c r="AK244" i="1" s="1"/>
  <c r="AM244" i="1" s="1"/>
  <c r="BC243" i="1"/>
  <c r="BE243" i="1" s="1"/>
  <c r="BG243" i="1" s="1"/>
  <c r="BD243" i="1"/>
  <c r="BF243" i="1" s="1"/>
  <c r="AO244" i="1" l="1"/>
  <c r="AQ244" i="1" s="1"/>
  <c r="AN244" i="1"/>
  <c r="AP244" i="1" s="1"/>
  <c r="AR244" i="1" s="1"/>
  <c r="BI243" i="1"/>
  <c r="BK243" i="1" s="1"/>
  <c r="BH243" i="1"/>
  <c r="BJ243" i="1" s="1"/>
  <c r="BL243" i="1" s="1"/>
  <c r="CB242" i="1"/>
  <c r="CD242" i="1" s="1"/>
  <c r="CF242" i="1" s="1"/>
  <c r="CC242" i="1"/>
  <c r="CE242" i="1" s="1"/>
  <c r="CV241" i="1"/>
  <c r="CX241" i="1" s="1"/>
  <c r="CW241" i="1"/>
  <c r="CY241" i="1" s="1"/>
  <c r="J245" i="1"/>
  <c r="L245" i="1" s="1"/>
  <c r="N245" i="1" s="1"/>
  <c r="K245" i="1"/>
  <c r="M245" i="1" s="1"/>
  <c r="D246" i="1"/>
  <c r="U245" i="1"/>
  <c r="W245" i="1" s="1"/>
  <c r="T245" i="1"/>
  <c r="V245" i="1" s="1"/>
  <c r="X245" i="1" s="1"/>
  <c r="CZ241" i="1" l="1"/>
  <c r="DA241" i="1"/>
  <c r="DC241" i="1" s="1"/>
  <c r="DB241" i="1"/>
  <c r="DD241" i="1" s="1"/>
  <c r="CH242" i="1"/>
  <c r="CJ242" i="1" s="1"/>
  <c r="CG242" i="1"/>
  <c r="CI242" i="1" s="1"/>
  <c r="CK242" i="1" s="1"/>
  <c r="BM243" i="1"/>
  <c r="BO243" i="1" s="1"/>
  <c r="BQ243" i="1" s="1"/>
  <c r="BN243" i="1"/>
  <c r="BP243" i="1" s="1"/>
  <c r="AT244" i="1"/>
  <c r="AV244" i="1" s="1"/>
  <c r="AS244" i="1"/>
  <c r="AU244" i="1" s="1"/>
  <c r="AW244" i="1" s="1"/>
  <c r="P245" i="1"/>
  <c r="R245" i="1" s="1"/>
  <c r="Z245" i="1"/>
  <c r="AB245" i="1" s="1"/>
  <c r="Y245" i="1"/>
  <c r="AA245" i="1" s="1"/>
  <c r="AC245" i="1" s="1"/>
  <c r="F246" i="1"/>
  <c r="H246" i="1" s="1"/>
  <c r="E246" i="1"/>
  <c r="BS243" i="1" l="1"/>
  <c r="BU243" i="1" s="1"/>
  <c r="BR243" i="1"/>
  <c r="BT243" i="1" s="1"/>
  <c r="BV243" i="1" s="1"/>
  <c r="AX244" i="1"/>
  <c r="AZ244" i="1" s="1"/>
  <c r="BB244" i="1" s="1"/>
  <c r="AY244" i="1"/>
  <c r="BA244" i="1" s="1"/>
  <c r="CL242" i="1"/>
  <c r="CN242" i="1" s="1"/>
  <c r="CP242" i="1" s="1"/>
  <c r="CM242" i="1"/>
  <c r="CO242" i="1" s="1"/>
  <c r="O245" i="1"/>
  <c r="AD245" i="1"/>
  <c r="AF245" i="1" s="1"/>
  <c r="AH245" i="1" s="1"/>
  <c r="AE245" i="1"/>
  <c r="AG245" i="1" s="1"/>
  <c r="G246" i="1"/>
  <c r="I246" i="1" s="1"/>
  <c r="Q246" i="1"/>
  <c r="S246" i="1" s="1"/>
  <c r="CR242" i="1" l="1"/>
  <c r="CT242" i="1" s="1"/>
  <c r="CQ242" i="1"/>
  <c r="CS242" i="1" s="1"/>
  <c r="CU242" i="1" s="1"/>
  <c r="BC244" i="1"/>
  <c r="BE244" i="1" s="1"/>
  <c r="BG244" i="1" s="1"/>
  <c r="BD244" i="1"/>
  <c r="BF244" i="1" s="1"/>
  <c r="AJ245" i="1"/>
  <c r="AL245" i="1" s="1"/>
  <c r="AI245" i="1"/>
  <c r="AK245" i="1" s="1"/>
  <c r="AM245" i="1" s="1"/>
  <c r="BW243" i="1"/>
  <c r="BY243" i="1" s="1"/>
  <c r="CA243" i="1" s="1"/>
  <c r="BX243" i="1"/>
  <c r="BZ243" i="1" s="1"/>
  <c r="AN245" i="1" l="1"/>
  <c r="AP245" i="1" s="1"/>
  <c r="AR245" i="1" s="1"/>
  <c r="AO245" i="1"/>
  <c r="AQ245" i="1" s="1"/>
  <c r="BI244" i="1"/>
  <c r="BK244" i="1" s="1"/>
  <c r="BH244" i="1"/>
  <c r="BJ244" i="1" s="1"/>
  <c r="BL244" i="1" s="1"/>
  <c r="CB243" i="1"/>
  <c r="CD243" i="1" s="1"/>
  <c r="CF243" i="1" s="1"/>
  <c r="CC243" i="1"/>
  <c r="CE243" i="1" s="1"/>
  <c r="CW242" i="1"/>
  <c r="CY242" i="1" s="1"/>
  <c r="CV242" i="1"/>
  <c r="CX242" i="1" s="1"/>
  <c r="J246" i="1"/>
  <c r="L246" i="1" s="1"/>
  <c r="N246" i="1" s="1"/>
  <c r="K246" i="1"/>
  <c r="M246" i="1" s="1"/>
  <c r="T246" i="1"/>
  <c r="V246" i="1" s="1"/>
  <c r="X246" i="1" s="1"/>
  <c r="U246" i="1"/>
  <c r="W246" i="1" s="1"/>
  <c r="CZ242" i="1" l="1"/>
  <c r="CG243" i="1"/>
  <c r="CI243" i="1" s="1"/>
  <c r="CK243" i="1" s="1"/>
  <c r="CH243" i="1"/>
  <c r="CJ243" i="1" s="1"/>
  <c r="AS245" i="1"/>
  <c r="AU245" i="1" s="1"/>
  <c r="AW245" i="1" s="1"/>
  <c r="AT245" i="1"/>
  <c r="AV245" i="1" s="1"/>
  <c r="BN244" i="1"/>
  <c r="BP244" i="1" s="1"/>
  <c r="BM244" i="1"/>
  <c r="BO244" i="1" s="1"/>
  <c r="BQ244" i="1" s="1"/>
  <c r="P246" i="1"/>
  <c r="R246" i="1" s="1"/>
  <c r="O246" i="1"/>
  <c r="Z246" i="1"/>
  <c r="AB246" i="1" s="1"/>
  <c r="Y246" i="1"/>
  <c r="AA246" i="1" s="1"/>
  <c r="AC246" i="1" s="1"/>
  <c r="DA242" i="1" l="1"/>
  <c r="DC242" i="1" s="1"/>
  <c r="DB242" i="1"/>
  <c r="DD242" i="1" s="1"/>
  <c r="AY245" i="1"/>
  <c r="BA245" i="1" s="1"/>
  <c r="AX245" i="1"/>
  <c r="AZ245" i="1" s="1"/>
  <c r="BB245" i="1" s="1"/>
  <c r="CL243" i="1"/>
  <c r="CN243" i="1" s="1"/>
  <c r="CP243" i="1" s="1"/>
  <c r="CM243" i="1"/>
  <c r="CO243" i="1" s="1"/>
  <c r="BR244" i="1"/>
  <c r="BT244" i="1" s="1"/>
  <c r="BV244" i="1" s="1"/>
  <c r="BS244" i="1"/>
  <c r="BU244" i="1" s="1"/>
  <c r="AE246" i="1"/>
  <c r="AG246" i="1" s="1"/>
  <c r="AD246" i="1"/>
  <c r="AF246" i="1" s="1"/>
  <c r="AH246" i="1" s="1"/>
  <c r="BX244" i="1" l="1"/>
  <c r="BZ244" i="1" s="1"/>
  <c r="BW244" i="1"/>
  <c r="BY244" i="1" s="1"/>
  <c r="CA244" i="1" s="1"/>
  <c r="CR243" i="1"/>
  <c r="CT243" i="1" s="1"/>
  <c r="CQ243" i="1"/>
  <c r="CS243" i="1" s="1"/>
  <c r="CU243" i="1" s="1"/>
  <c r="AI246" i="1"/>
  <c r="AK246" i="1" s="1"/>
  <c r="AM246" i="1" s="1"/>
  <c r="AJ246" i="1"/>
  <c r="AL246" i="1" s="1"/>
  <c r="BD245" i="1"/>
  <c r="BF245" i="1" s="1"/>
  <c r="BC245" i="1"/>
  <c r="BE245" i="1" s="1"/>
  <c r="BG245" i="1" s="1"/>
  <c r="AN246" i="1" l="1"/>
  <c r="AP246" i="1" s="1"/>
  <c r="AR246" i="1" s="1"/>
  <c r="AO246" i="1"/>
  <c r="AQ246" i="1" s="1"/>
  <c r="BH245" i="1"/>
  <c r="BJ245" i="1" s="1"/>
  <c r="BL245" i="1" s="1"/>
  <c r="BI245" i="1"/>
  <c r="BK245" i="1" s="1"/>
  <c r="CW243" i="1"/>
  <c r="CY243" i="1" s="1"/>
  <c r="CV243" i="1"/>
  <c r="CX243" i="1" s="1"/>
  <c r="CB244" i="1"/>
  <c r="CD244" i="1" s="1"/>
  <c r="CF244" i="1" s="1"/>
  <c r="CC244" i="1"/>
  <c r="CE244" i="1" s="1"/>
  <c r="CZ243" i="1" l="1"/>
  <c r="CH244" i="1"/>
  <c r="CJ244" i="1" s="1"/>
  <c r="CG244" i="1"/>
  <c r="CI244" i="1" s="1"/>
  <c r="CK244" i="1" s="1"/>
  <c r="BN245" i="1"/>
  <c r="BP245" i="1" s="1"/>
  <c r="BM245" i="1"/>
  <c r="BO245" i="1" s="1"/>
  <c r="BQ245" i="1" s="1"/>
  <c r="AT246" i="1"/>
  <c r="AV246" i="1" s="1"/>
  <c r="AS246" i="1"/>
  <c r="AU246" i="1" s="1"/>
  <c r="AW246" i="1" s="1"/>
  <c r="DB243" i="1" l="1"/>
  <c r="DD243" i="1" s="1"/>
  <c r="DA243" i="1"/>
  <c r="DC243" i="1" s="1"/>
  <c r="AY246" i="1"/>
  <c r="BA246" i="1" s="1"/>
  <c r="AX246" i="1"/>
  <c r="AZ246" i="1" s="1"/>
  <c r="BB246" i="1" s="1"/>
  <c r="BR245" i="1"/>
  <c r="BT245" i="1" s="1"/>
  <c r="BV245" i="1" s="1"/>
  <c r="BS245" i="1"/>
  <c r="BU245" i="1" s="1"/>
  <c r="CL244" i="1"/>
  <c r="CN244" i="1" s="1"/>
  <c r="CP244" i="1" s="1"/>
  <c r="CM244" i="1"/>
  <c r="CO244" i="1" s="1"/>
  <c r="CQ244" i="1" l="1"/>
  <c r="CS244" i="1" s="1"/>
  <c r="CU244" i="1" s="1"/>
  <c r="CR244" i="1"/>
  <c r="CT244" i="1" s="1"/>
  <c r="BW245" i="1"/>
  <c r="BY245" i="1" s="1"/>
  <c r="CA245" i="1" s="1"/>
  <c r="BX245" i="1"/>
  <c r="BZ245" i="1" s="1"/>
  <c r="BD246" i="1"/>
  <c r="BF246" i="1" s="1"/>
  <c r="BC246" i="1"/>
  <c r="BE246" i="1" s="1"/>
  <c r="BG246" i="1" s="1"/>
  <c r="CC245" i="1" l="1"/>
  <c r="CE245" i="1" s="1"/>
  <c r="CB245" i="1"/>
  <c r="CD245" i="1" s="1"/>
  <c r="CF245" i="1" s="1"/>
  <c r="CW244" i="1"/>
  <c r="CY244" i="1" s="1"/>
  <c r="CV244" i="1"/>
  <c r="CX244" i="1" s="1"/>
  <c r="BI246" i="1"/>
  <c r="BK246" i="1" s="1"/>
  <c r="BH246" i="1"/>
  <c r="BJ246" i="1" s="1"/>
  <c r="BL246" i="1" s="1"/>
  <c r="CZ244" i="1" l="1"/>
  <c r="BN246" i="1"/>
  <c r="BP246" i="1" s="1"/>
  <c r="BM246" i="1"/>
  <c r="BO246" i="1" s="1"/>
  <c r="BQ246" i="1" s="1"/>
  <c r="CG245" i="1"/>
  <c r="CI245" i="1" s="1"/>
  <c r="CK245" i="1" s="1"/>
  <c r="CH245" i="1"/>
  <c r="CJ245" i="1" s="1"/>
  <c r="CM245" i="1" l="1"/>
  <c r="CO245" i="1" s="1"/>
  <c r="CL245" i="1"/>
  <c r="CN245" i="1" s="1"/>
  <c r="CP245" i="1" s="1"/>
  <c r="DA244" i="1"/>
  <c r="DC244" i="1" s="1"/>
  <c r="DB244" i="1"/>
  <c r="DD244" i="1" s="1"/>
  <c r="BS246" i="1"/>
  <c r="BU246" i="1" s="1"/>
  <c r="BR246" i="1"/>
  <c r="BT246" i="1" s="1"/>
  <c r="BV246" i="1" s="1"/>
  <c r="BW246" i="1" l="1"/>
  <c r="BY246" i="1" s="1"/>
  <c r="CA246" i="1" s="1"/>
  <c r="BX246" i="1"/>
  <c r="BZ246" i="1" s="1"/>
  <c r="CQ245" i="1"/>
  <c r="CS245" i="1" s="1"/>
  <c r="CU245" i="1" s="1"/>
  <c r="CR245" i="1"/>
  <c r="CT245" i="1" s="1"/>
  <c r="CC246" i="1" l="1"/>
  <c r="CE246" i="1" s="1"/>
  <c r="CB246" i="1"/>
  <c r="CD246" i="1" s="1"/>
  <c r="CF246" i="1" s="1"/>
  <c r="CV245" i="1"/>
  <c r="CX245" i="1" s="1"/>
  <c r="CW245" i="1"/>
  <c r="CY245" i="1" s="1"/>
  <c r="CZ245" i="1" l="1"/>
  <c r="DA245" i="1"/>
  <c r="DC245" i="1" s="1"/>
  <c r="CG246" i="1"/>
  <c r="CI246" i="1" s="1"/>
  <c r="CK246" i="1" s="1"/>
  <c r="CH246" i="1"/>
  <c r="CJ246" i="1" s="1"/>
  <c r="DB245" i="1" l="1"/>
  <c r="DD245" i="1" s="1"/>
  <c r="CL246" i="1"/>
  <c r="CN246" i="1" s="1"/>
  <c r="CP246" i="1" s="1"/>
  <c r="CM246" i="1"/>
  <c r="CO246" i="1" s="1"/>
  <c r="CR246" i="1" l="1"/>
  <c r="CT246" i="1" s="1"/>
  <c r="CQ246" i="1"/>
  <c r="CS246" i="1" s="1"/>
  <c r="CU246" i="1" s="1"/>
  <c r="CW246" i="1" l="1"/>
  <c r="CY246" i="1" s="1"/>
  <c r="CV246" i="1"/>
  <c r="CX246" i="1" s="1"/>
  <c r="CZ246" i="1" l="1"/>
  <c r="DA246" i="1" l="1"/>
  <c r="DC246" i="1" s="1"/>
  <c r="C255" i="1"/>
  <c r="C263" i="1" s="1"/>
  <c r="DB246" i="1"/>
  <c r="DD246" i="1" s="1"/>
  <c r="BF267" i="1" l="1"/>
  <c r="M268" i="1"/>
  <c r="BU268" i="1"/>
  <c r="CE268" i="1"/>
  <c r="R268" i="1"/>
  <c r="AB267" i="1"/>
  <c r="H269" i="1"/>
  <c r="BA268" i="1"/>
  <c r="BA267" i="1"/>
  <c r="BK267" i="1"/>
  <c r="R267" i="1"/>
  <c r="BZ268" i="1"/>
  <c r="BP267" i="1"/>
  <c r="BU267" i="1"/>
  <c r="AG267" i="1"/>
  <c r="M256" i="1" s="1"/>
  <c r="H255" i="1" s="1"/>
  <c r="AQ267" i="1"/>
  <c r="CY267" i="1"/>
  <c r="BP268" i="1"/>
  <c r="H267" i="1"/>
  <c r="AB268" i="1"/>
  <c r="W267" i="1"/>
  <c r="CJ268" i="1"/>
  <c r="M267" i="1"/>
  <c r="BZ267" i="1"/>
  <c r="CO267" i="1"/>
  <c r="AG268" i="1"/>
  <c r="CE267" i="1"/>
  <c r="AL268" i="1"/>
  <c r="CT268" i="1"/>
  <c r="CY268" i="1"/>
  <c r="CZ268" i="1" s="1"/>
  <c r="CO268" i="1"/>
  <c r="DD267" i="1"/>
  <c r="W268" i="1"/>
  <c r="AQ268" i="1"/>
  <c r="AL267" i="1"/>
  <c r="BK268" i="1"/>
  <c r="H268" i="1"/>
  <c r="CJ267" i="1"/>
  <c r="AV268" i="1"/>
  <c r="CT267" i="1"/>
  <c r="BF268" i="1"/>
  <c r="AV267" i="1"/>
  <c r="M269" i="1"/>
  <c r="W269" i="1"/>
  <c r="R269" i="1"/>
  <c r="AB269" i="1"/>
  <c r="H270" i="1"/>
  <c r="AG269" i="1"/>
  <c r="M270" i="1"/>
  <c r="W270" i="1"/>
  <c r="AL269" i="1"/>
  <c r="H271" i="1"/>
  <c r="AB270" i="1"/>
  <c r="R270" i="1"/>
  <c r="AQ269" i="1"/>
  <c r="AV269" i="1"/>
  <c r="AG270" i="1"/>
  <c r="AL270" i="1"/>
  <c r="M271" i="1"/>
  <c r="W271" i="1"/>
  <c r="BA269" i="1"/>
  <c r="AQ270" i="1"/>
  <c r="H272" i="1"/>
  <c r="AB271" i="1"/>
  <c r="R271" i="1"/>
  <c r="BF269" i="1"/>
  <c r="AG271" i="1"/>
  <c r="BK269" i="1"/>
  <c r="AV270" i="1"/>
  <c r="W272" i="1"/>
  <c r="M272" i="1"/>
  <c r="BA270" i="1"/>
  <c r="AL271" i="1"/>
  <c r="BP269" i="1"/>
  <c r="BU269" i="1"/>
  <c r="BF270" i="1"/>
  <c r="AB272" i="1"/>
  <c r="H273" i="1"/>
  <c r="AQ271" i="1"/>
  <c r="R272" i="1"/>
  <c r="AV271" i="1"/>
  <c r="BZ269" i="1"/>
  <c r="BK270" i="1"/>
  <c r="AG272" i="1"/>
  <c r="AL272" i="1"/>
  <c r="M273" i="1"/>
  <c r="W273" i="1"/>
  <c r="BA271" i="1"/>
  <c r="CE269" i="1"/>
  <c r="BP270" i="1"/>
  <c r="BF271" i="1"/>
  <c r="R273" i="1"/>
  <c r="BU270" i="1"/>
  <c r="AQ272" i="1"/>
  <c r="H274" i="1"/>
  <c r="AB273" i="1"/>
  <c r="CJ269" i="1"/>
  <c r="AV272" i="1"/>
  <c r="BZ270" i="1"/>
  <c r="CO269" i="1"/>
  <c r="AG273" i="1"/>
  <c r="BK271" i="1"/>
  <c r="CT269" i="1"/>
  <c r="W274" i="1"/>
  <c r="AL273" i="1"/>
  <c r="M274" i="1"/>
  <c r="BP271" i="1"/>
  <c r="CE270" i="1"/>
  <c r="BA272" i="1"/>
  <c r="CJ270" i="1"/>
  <c r="BU271" i="1"/>
  <c r="BF272" i="1"/>
  <c r="H275" i="1"/>
  <c r="AQ273" i="1"/>
  <c r="AB274" i="1"/>
  <c r="R274" i="1"/>
  <c r="CO270" i="1"/>
  <c r="BZ271" i="1"/>
  <c r="AV273" i="1"/>
  <c r="BK272" i="1"/>
  <c r="AG274" i="1"/>
  <c r="BP272" i="1"/>
  <c r="AL274" i="1"/>
  <c r="CE271" i="1"/>
  <c r="BA273" i="1"/>
  <c r="W275" i="1"/>
  <c r="M275" i="1"/>
  <c r="AQ274" i="1"/>
  <c r="H276" i="1"/>
  <c r="BF273" i="1"/>
  <c r="CJ271" i="1"/>
  <c r="BU272" i="1"/>
  <c r="AB275" i="1"/>
  <c r="R275" i="1"/>
  <c r="AV274" i="1"/>
  <c r="BZ272" i="1"/>
  <c r="AG275" i="1"/>
  <c r="BK273" i="1"/>
  <c r="BP273" i="1"/>
  <c r="W276" i="1"/>
  <c r="M276" i="1"/>
  <c r="CE272" i="1"/>
  <c r="AL275" i="1"/>
  <c r="BA274" i="1"/>
  <c r="BF274" i="1"/>
  <c r="AQ275" i="1"/>
  <c r="R276" i="1"/>
  <c r="AB276" i="1"/>
  <c r="BU273" i="1"/>
  <c r="H277" i="1"/>
  <c r="BZ273" i="1"/>
  <c r="BK274" i="1"/>
  <c r="AV275" i="1"/>
  <c r="AG276" i="1"/>
  <c r="AL276" i="1"/>
  <c r="W277" i="1"/>
  <c r="M277" i="1"/>
  <c r="BP274" i="1"/>
  <c r="BA275" i="1"/>
  <c r="AB277" i="1"/>
  <c r="AQ276" i="1"/>
  <c r="H278" i="1"/>
  <c r="R277" i="1"/>
  <c r="BF275" i="1"/>
  <c r="BU274" i="1"/>
  <c r="AV276" i="1"/>
  <c r="AG277" i="1"/>
  <c r="BK275" i="1"/>
  <c r="M278" i="1"/>
  <c r="BA276" i="1"/>
  <c r="BP275" i="1"/>
  <c r="W278" i="1"/>
  <c r="AL277" i="1"/>
  <c r="H279" i="1"/>
  <c r="BF276" i="1"/>
  <c r="AQ277" i="1"/>
  <c r="R278" i="1"/>
  <c r="AB278" i="1"/>
  <c r="AV277" i="1"/>
  <c r="BK276" i="1"/>
  <c r="AG278" i="1"/>
  <c r="BA277" i="1"/>
  <c r="W279" i="1"/>
  <c r="M279" i="1"/>
  <c r="AL278" i="1"/>
  <c r="BF277" i="1"/>
  <c r="R279" i="1"/>
  <c r="AQ278" i="1"/>
  <c r="H280" i="1"/>
  <c r="AB279" i="1"/>
  <c r="AV278" i="1"/>
  <c r="AG279" i="1"/>
  <c r="W280" i="1"/>
  <c r="BA278" i="1"/>
  <c r="M280" i="1"/>
  <c r="AL279" i="1"/>
  <c r="AB280" i="1"/>
  <c r="AQ279" i="1"/>
  <c r="H281" i="1"/>
  <c r="R280" i="1"/>
  <c r="AG280" i="1"/>
  <c r="AV279" i="1"/>
  <c r="W281" i="1"/>
  <c r="AL280" i="1"/>
  <c r="M281" i="1"/>
  <c r="AQ280" i="1"/>
  <c r="H282" i="1"/>
  <c r="R281" i="1"/>
  <c r="AB281" i="1"/>
  <c r="AG281" i="1"/>
  <c r="M282" i="1"/>
  <c r="W282" i="1"/>
  <c r="AL281" i="1"/>
  <c r="H283" i="1"/>
  <c r="AB282" i="1"/>
  <c r="R282" i="1"/>
  <c r="AG282" i="1"/>
  <c r="W283" i="1"/>
  <c r="M283" i="1"/>
  <c r="AB283" i="1"/>
  <c r="R283" i="1"/>
  <c r="H284" i="1"/>
  <c r="W284" i="1"/>
  <c r="M284" i="1"/>
  <c r="R284" i="1"/>
  <c r="H285" i="1"/>
  <c r="M285" i="1"/>
  <c r="R285" i="1"/>
  <c r="H286" i="1"/>
  <c r="M286" i="1"/>
  <c r="H287" i="1"/>
  <c r="CU269" i="1" l="1"/>
  <c r="DB268" i="1"/>
  <c r="DD268" i="1" s="1"/>
  <c r="DA268" i="1"/>
  <c r="DC268" i="1" s="1"/>
  <c r="CV269" i="1" l="1"/>
  <c r="CX269" i="1" s="1"/>
  <c r="CW269" i="1"/>
  <c r="CY269" i="1" s="1"/>
  <c r="CP270" i="1"/>
  <c r="CR270" i="1" l="1"/>
  <c r="CT270" i="1" s="1"/>
  <c r="CQ270" i="1"/>
  <c r="CS270" i="1" s="1"/>
  <c r="CK271" i="1"/>
  <c r="CZ269" i="1"/>
  <c r="CL271" i="1" l="1"/>
  <c r="CN271" i="1" s="1"/>
  <c r="CM271" i="1"/>
  <c r="CO271" i="1" s="1"/>
  <c r="CF272" i="1"/>
  <c r="DB269" i="1"/>
  <c r="DD269" i="1" s="1"/>
  <c r="DA269" i="1"/>
  <c r="DC269" i="1" s="1"/>
  <c r="CU270" i="1"/>
  <c r="CH272" i="1" l="1"/>
  <c r="CJ272" i="1" s="1"/>
  <c r="CG272" i="1"/>
  <c r="CI272" i="1" s="1"/>
  <c r="CA273" i="1"/>
  <c r="CW270" i="1"/>
  <c r="CY270" i="1" s="1"/>
  <c r="CV270" i="1"/>
  <c r="CX270" i="1" s="1"/>
  <c r="CP271" i="1"/>
  <c r="CQ271" i="1" l="1"/>
  <c r="CS271" i="1" s="1"/>
  <c r="CR271" i="1"/>
  <c r="CT271" i="1" s="1"/>
  <c r="CZ270" i="1"/>
  <c r="CC273" i="1"/>
  <c r="CE273" i="1" s="1"/>
  <c r="CB273" i="1"/>
  <c r="CD273" i="1" s="1"/>
  <c r="BV274" i="1"/>
  <c r="CK272" i="1"/>
  <c r="CL272" i="1" l="1"/>
  <c r="CN272" i="1" s="1"/>
  <c r="CM272" i="1"/>
  <c r="CO272" i="1" s="1"/>
  <c r="CF273" i="1"/>
  <c r="BX274" i="1"/>
  <c r="BZ274" i="1" s="1"/>
  <c r="BW274" i="1"/>
  <c r="BY274" i="1" s="1"/>
  <c r="CA274" i="1" s="1"/>
  <c r="BQ275" i="1"/>
  <c r="DA270" i="1"/>
  <c r="DC270" i="1" s="1"/>
  <c r="DB270" i="1"/>
  <c r="DD270" i="1" s="1"/>
  <c r="CU271" i="1"/>
  <c r="BR275" i="1" l="1"/>
  <c r="BT275" i="1" s="1"/>
  <c r="BV275" i="1" s="1"/>
  <c r="BS275" i="1"/>
  <c r="BU275" i="1" s="1"/>
  <c r="BL276" i="1"/>
  <c r="CV271" i="1"/>
  <c r="CX271" i="1" s="1"/>
  <c r="CW271" i="1"/>
  <c r="CY271" i="1" s="1"/>
  <c r="CB274" i="1"/>
  <c r="CD274" i="1" s="1"/>
  <c r="CC274" i="1"/>
  <c r="CE274" i="1" s="1"/>
  <c r="CH273" i="1"/>
  <c r="CJ273" i="1" s="1"/>
  <c r="CG273" i="1"/>
  <c r="CI273" i="1" s="1"/>
  <c r="CP272" i="1"/>
  <c r="CQ272" i="1" l="1"/>
  <c r="CS272" i="1" s="1"/>
  <c r="CR272" i="1"/>
  <c r="CT272" i="1" s="1"/>
  <c r="BN276" i="1"/>
  <c r="BP276" i="1" s="1"/>
  <c r="BM276" i="1"/>
  <c r="BO276" i="1" s="1"/>
  <c r="BQ276" i="1" s="1"/>
  <c r="BG277" i="1"/>
  <c r="CK273" i="1"/>
  <c r="CF274" i="1"/>
  <c r="CZ271" i="1"/>
  <c r="BX275" i="1"/>
  <c r="BZ275" i="1" s="1"/>
  <c r="BW275" i="1"/>
  <c r="BY275" i="1" s="1"/>
  <c r="CA275" i="1" s="1"/>
  <c r="CC275" i="1" l="1"/>
  <c r="CE275" i="1" s="1"/>
  <c r="CB275" i="1"/>
  <c r="CD275" i="1" s="1"/>
  <c r="CG274" i="1"/>
  <c r="CI274" i="1" s="1"/>
  <c r="CH274" i="1"/>
  <c r="CJ274" i="1" s="1"/>
  <c r="BS276" i="1"/>
  <c r="BU276" i="1" s="1"/>
  <c r="BR276" i="1"/>
  <c r="BT276" i="1" s="1"/>
  <c r="BV276" i="1" s="1"/>
  <c r="DA271" i="1"/>
  <c r="DC271" i="1" s="1"/>
  <c r="DB271" i="1"/>
  <c r="DD271" i="1" s="1"/>
  <c r="CL273" i="1"/>
  <c r="CN273" i="1" s="1"/>
  <c r="CP273" i="1" s="1"/>
  <c r="CM273" i="1"/>
  <c r="CO273" i="1" s="1"/>
  <c r="BI277" i="1"/>
  <c r="BK277" i="1" s="1"/>
  <c r="BH277" i="1"/>
  <c r="BJ277" i="1" s="1"/>
  <c r="BL277" i="1" s="1"/>
  <c r="BB278" i="1"/>
  <c r="CU272" i="1"/>
  <c r="CK274" i="1" l="1"/>
  <c r="BX276" i="1"/>
  <c r="BZ276" i="1" s="1"/>
  <c r="BW276" i="1"/>
  <c r="BY276" i="1" s="1"/>
  <c r="CV272" i="1"/>
  <c r="CX272" i="1" s="1"/>
  <c r="CZ272" i="1" s="1"/>
  <c r="CW272" i="1"/>
  <c r="CY272" i="1" s="1"/>
  <c r="CF275" i="1"/>
  <c r="CQ273" i="1"/>
  <c r="CS273" i="1" s="1"/>
  <c r="CR273" i="1"/>
  <c r="CT273" i="1" s="1"/>
  <c r="BD278" i="1"/>
  <c r="BF278" i="1" s="1"/>
  <c r="BC278" i="1"/>
  <c r="BE278" i="1" s="1"/>
  <c r="BG278" i="1" s="1"/>
  <c r="AW279" i="1"/>
  <c r="BN277" i="1"/>
  <c r="BP277" i="1" s="1"/>
  <c r="BM277" i="1"/>
  <c r="BO277" i="1" s="1"/>
  <c r="BQ277" i="1" s="1"/>
  <c r="AX279" i="1" l="1"/>
  <c r="AZ279" i="1" s="1"/>
  <c r="BB279" i="1" s="1"/>
  <c r="AY279" i="1"/>
  <c r="BA279" i="1" s="1"/>
  <c r="AR280" i="1"/>
  <c r="BH278" i="1"/>
  <c r="BJ278" i="1" s="1"/>
  <c r="BL278" i="1" s="1"/>
  <c r="BI278" i="1"/>
  <c r="BK278" i="1" s="1"/>
  <c r="CH275" i="1"/>
  <c r="CJ275" i="1" s="1"/>
  <c r="CG275" i="1"/>
  <c r="CI275" i="1" s="1"/>
  <c r="CU273" i="1"/>
  <c r="DA272" i="1"/>
  <c r="DC272" i="1" s="1"/>
  <c r="DB272" i="1"/>
  <c r="DD272" i="1" s="1"/>
  <c r="CA276" i="1"/>
  <c r="BR277" i="1"/>
  <c r="BT277" i="1" s="1"/>
  <c r="BS277" i="1"/>
  <c r="BU277" i="1" s="1"/>
  <c r="CL274" i="1"/>
  <c r="CN274" i="1" s="1"/>
  <c r="CM274" i="1"/>
  <c r="CO274" i="1" s="1"/>
  <c r="CP274" i="1" l="1"/>
  <c r="CC276" i="1"/>
  <c r="CE276" i="1" s="1"/>
  <c r="CB276" i="1"/>
  <c r="CD276" i="1" s="1"/>
  <c r="CW273" i="1"/>
  <c r="CY273" i="1" s="1"/>
  <c r="CV273" i="1"/>
  <c r="CX273" i="1" s="1"/>
  <c r="CZ273" i="1" s="1"/>
  <c r="BN278" i="1"/>
  <c r="BP278" i="1" s="1"/>
  <c r="BM278" i="1"/>
  <c r="BO278" i="1" s="1"/>
  <c r="AT280" i="1"/>
  <c r="AV280" i="1" s="1"/>
  <c r="AS280" i="1"/>
  <c r="AU280" i="1" s="1"/>
  <c r="AW280" i="1" s="1"/>
  <c r="AM281" i="1"/>
  <c r="BV277" i="1"/>
  <c r="BD279" i="1"/>
  <c r="BF279" i="1" s="1"/>
  <c r="BC279" i="1"/>
  <c r="BE279" i="1" s="1"/>
  <c r="BG279" i="1" s="1"/>
  <c r="AN281" i="1" l="1"/>
  <c r="AP281" i="1" s="1"/>
  <c r="AR281" i="1" s="1"/>
  <c r="AO281" i="1"/>
  <c r="AQ281" i="1" s="1"/>
  <c r="AH282" i="1"/>
  <c r="BW277" i="1"/>
  <c r="BY277" i="1" s="1"/>
  <c r="BX277" i="1"/>
  <c r="BZ277" i="1" s="1"/>
  <c r="DB273" i="1"/>
  <c r="DD273" i="1" s="1"/>
  <c r="DA273" i="1"/>
  <c r="DC273" i="1" s="1"/>
  <c r="CQ274" i="1"/>
  <c r="CS274" i="1" s="1"/>
  <c r="CU274" i="1" s="1"/>
  <c r="CR274" i="1"/>
  <c r="CT274" i="1" s="1"/>
  <c r="AX280" i="1"/>
  <c r="AZ280" i="1" s="1"/>
  <c r="BB280" i="1" s="1"/>
  <c r="AY280" i="1"/>
  <c r="BA280" i="1" s="1"/>
  <c r="BQ278" i="1"/>
  <c r="BH279" i="1"/>
  <c r="BJ279" i="1" s="1"/>
  <c r="BL279" i="1" s="1"/>
  <c r="BI279" i="1"/>
  <c r="BK279" i="1" s="1"/>
  <c r="CK275" i="1"/>
  <c r="BD280" i="1" l="1"/>
  <c r="BF280" i="1" s="1"/>
  <c r="BC280" i="1"/>
  <c r="BE280" i="1" s="1"/>
  <c r="BG280" i="1" s="1"/>
  <c r="CL275" i="1"/>
  <c r="CN275" i="1" s="1"/>
  <c r="CP275" i="1" s="1"/>
  <c r="CM275" i="1"/>
  <c r="CO275" i="1" s="1"/>
  <c r="AI282" i="1"/>
  <c r="AK282" i="1" s="1"/>
  <c r="AM282" i="1" s="1"/>
  <c r="AJ282" i="1"/>
  <c r="AL282" i="1" s="1"/>
  <c r="AC283" i="1"/>
  <c r="CF276" i="1"/>
  <c r="CV274" i="1"/>
  <c r="CX274" i="1" s="1"/>
  <c r="CZ274" i="1" s="1"/>
  <c r="CW274" i="1"/>
  <c r="CY274" i="1" s="1"/>
  <c r="BM279" i="1"/>
  <c r="BO279" i="1" s="1"/>
  <c r="BN279" i="1"/>
  <c r="BP279" i="1" s="1"/>
  <c r="BS278" i="1"/>
  <c r="BU278" i="1" s="1"/>
  <c r="BR278" i="1"/>
  <c r="BT278" i="1" s="1"/>
  <c r="AT281" i="1"/>
  <c r="AV281" i="1" s="1"/>
  <c r="AS281" i="1"/>
  <c r="AU281" i="1" s="1"/>
  <c r="AW281" i="1" s="1"/>
  <c r="DB274" i="1" l="1"/>
  <c r="DD274" i="1" s="1"/>
  <c r="DA274" i="1"/>
  <c r="DC274" i="1" s="1"/>
  <c r="CH276" i="1"/>
  <c r="CJ276" i="1" s="1"/>
  <c r="CG276" i="1"/>
  <c r="CI276" i="1" s="1"/>
  <c r="CK276" i="1" s="1"/>
  <c r="AO282" i="1"/>
  <c r="AQ282" i="1" s="1"/>
  <c r="AN282" i="1"/>
  <c r="AP282" i="1" s="1"/>
  <c r="AR282" i="1" s="1"/>
  <c r="CA277" i="1"/>
  <c r="BV278" i="1"/>
  <c r="BH280" i="1"/>
  <c r="BJ280" i="1" s="1"/>
  <c r="BI280" i="1"/>
  <c r="BK280" i="1" s="1"/>
  <c r="AD283" i="1"/>
  <c r="AF283" i="1" s="1"/>
  <c r="AH283" i="1" s="1"/>
  <c r="AE283" i="1"/>
  <c r="AG283" i="1" s="1"/>
  <c r="X284" i="1"/>
  <c r="AY281" i="1"/>
  <c r="BA281" i="1" s="1"/>
  <c r="AX281" i="1"/>
  <c r="AZ281" i="1" s="1"/>
  <c r="BB281" i="1" s="1"/>
  <c r="CR275" i="1"/>
  <c r="CT275" i="1" s="1"/>
  <c r="CQ275" i="1"/>
  <c r="CS275" i="1" s="1"/>
  <c r="CU275" i="1" s="1"/>
  <c r="AT282" i="1" l="1"/>
  <c r="AV282" i="1" s="1"/>
  <c r="AS282" i="1"/>
  <c r="AU282" i="1" s="1"/>
  <c r="AW282" i="1" s="1"/>
  <c r="BD281" i="1"/>
  <c r="BF281" i="1" s="1"/>
  <c r="BC281" i="1"/>
  <c r="BE281" i="1" s="1"/>
  <c r="CW275" i="1"/>
  <c r="CY275" i="1" s="1"/>
  <c r="CV275" i="1"/>
  <c r="CX275" i="1" s="1"/>
  <c r="CZ275" i="1" s="1"/>
  <c r="Z284" i="1"/>
  <c r="AB284" i="1" s="1"/>
  <c r="Y284" i="1"/>
  <c r="AA284" i="1" s="1"/>
  <c r="AC284" i="1" s="1"/>
  <c r="S285" i="1"/>
  <c r="BX278" i="1"/>
  <c r="BZ278" i="1" s="1"/>
  <c r="BW278" i="1"/>
  <c r="BY278" i="1" s="1"/>
  <c r="CA278" i="1" s="1"/>
  <c r="CC277" i="1"/>
  <c r="CE277" i="1" s="1"/>
  <c r="CB277" i="1"/>
  <c r="CD277" i="1" s="1"/>
  <c r="CF277" i="1" s="1"/>
  <c r="CL276" i="1"/>
  <c r="CN276" i="1" s="1"/>
  <c r="CP276" i="1" s="1"/>
  <c r="CM276" i="1"/>
  <c r="CO276" i="1" s="1"/>
  <c r="BQ279" i="1"/>
  <c r="AJ283" i="1"/>
  <c r="AL283" i="1" s="1"/>
  <c r="AI283" i="1"/>
  <c r="AK283" i="1" s="1"/>
  <c r="AM283" i="1" s="1"/>
  <c r="AE284" i="1" l="1"/>
  <c r="AG284" i="1" s="1"/>
  <c r="AD284" i="1"/>
  <c r="AF284" i="1" s="1"/>
  <c r="AH284" i="1" s="1"/>
  <c r="T285" i="1"/>
  <c r="V285" i="1" s="1"/>
  <c r="X285" i="1" s="1"/>
  <c r="U285" i="1"/>
  <c r="W285" i="1" s="1"/>
  <c r="N286" i="1"/>
  <c r="AN283" i="1"/>
  <c r="AP283" i="1" s="1"/>
  <c r="AR283" i="1" s="1"/>
  <c r="AO283" i="1"/>
  <c r="AQ283" i="1" s="1"/>
  <c r="BG281" i="1"/>
  <c r="CC278" i="1"/>
  <c r="CE278" i="1" s="1"/>
  <c r="CB278" i="1"/>
  <c r="CD278" i="1" s="1"/>
  <c r="CF278" i="1" s="1"/>
  <c r="DB275" i="1"/>
  <c r="DD275" i="1" s="1"/>
  <c r="DA275" i="1"/>
  <c r="DC275" i="1" s="1"/>
  <c r="BS279" i="1"/>
  <c r="BU279" i="1" s="1"/>
  <c r="BR279" i="1"/>
  <c r="BT279" i="1" s="1"/>
  <c r="BV279" i="1" s="1"/>
  <c r="BL280" i="1"/>
  <c r="CR276" i="1"/>
  <c r="CT276" i="1" s="1"/>
  <c r="CQ276" i="1"/>
  <c r="CS276" i="1" s="1"/>
  <c r="CU276" i="1" s="1"/>
  <c r="CH277" i="1"/>
  <c r="CJ277" i="1" s="1"/>
  <c r="CG277" i="1"/>
  <c r="CI277" i="1" s="1"/>
  <c r="CK277" i="1" s="1"/>
  <c r="AY282" i="1"/>
  <c r="BA282" i="1" s="1"/>
  <c r="AX282" i="1"/>
  <c r="AZ282" i="1" s="1"/>
  <c r="BB282" i="1" s="1"/>
  <c r="BC282" i="1" l="1"/>
  <c r="BE282" i="1" s="1"/>
  <c r="BD282" i="1"/>
  <c r="BF282" i="1" s="1"/>
  <c r="CG278" i="1"/>
  <c r="CI278" i="1" s="1"/>
  <c r="CH278" i="1"/>
  <c r="CJ278" i="1" s="1"/>
  <c r="BI281" i="1"/>
  <c r="BK281" i="1" s="1"/>
  <c r="BH281" i="1"/>
  <c r="BJ281" i="1" s="1"/>
  <c r="CL277" i="1"/>
  <c r="CN277" i="1" s="1"/>
  <c r="CP277" i="1" s="1"/>
  <c r="CM277" i="1"/>
  <c r="CO277" i="1" s="1"/>
  <c r="P286" i="1"/>
  <c r="R286" i="1" s="1"/>
  <c r="O286" i="1"/>
  <c r="I287" i="1"/>
  <c r="Z285" i="1"/>
  <c r="AB285" i="1" s="1"/>
  <c r="Y285" i="1"/>
  <c r="AA285" i="1" s="1"/>
  <c r="AC285" i="1" s="1"/>
  <c r="CV276" i="1"/>
  <c r="CX276" i="1" s="1"/>
  <c r="CW276" i="1"/>
  <c r="CY276" i="1" s="1"/>
  <c r="BM280" i="1"/>
  <c r="BO280" i="1" s="1"/>
  <c r="BQ280" i="1" s="1"/>
  <c r="BN280" i="1"/>
  <c r="BP280" i="1" s="1"/>
  <c r="S286" i="1"/>
  <c r="AT283" i="1"/>
  <c r="AV283" i="1" s="1"/>
  <c r="AS283" i="1"/>
  <c r="AU283" i="1" s="1"/>
  <c r="AW283" i="1" s="1"/>
  <c r="BX279" i="1"/>
  <c r="BZ279" i="1" s="1"/>
  <c r="BW279" i="1"/>
  <c r="BY279" i="1" s="1"/>
  <c r="CA279" i="1" s="1"/>
  <c r="AI284" i="1"/>
  <c r="AK284" i="1" s="1"/>
  <c r="AM284" i="1" s="1"/>
  <c r="AJ284" i="1"/>
  <c r="AL284" i="1" s="1"/>
  <c r="J287" i="1" l="1"/>
  <c r="L287" i="1" s="1"/>
  <c r="N287" i="1" s="1"/>
  <c r="K287" i="1"/>
  <c r="M287" i="1" s="1"/>
  <c r="D288" i="1"/>
  <c r="AY283" i="1"/>
  <c r="BA283" i="1" s="1"/>
  <c r="AX283" i="1"/>
  <c r="AZ283" i="1" s="1"/>
  <c r="BL281" i="1"/>
  <c r="AO284" i="1"/>
  <c r="AQ284" i="1" s="1"/>
  <c r="AN284" i="1"/>
  <c r="AP284" i="1" s="1"/>
  <c r="AR284" i="1" s="1"/>
  <c r="U286" i="1"/>
  <c r="W286" i="1" s="1"/>
  <c r="T286" i="1"/>
  <c r="V286" i="1" s="1"/>
  <c r="X286" i="1" s="1"/>
  <c r="S287" i="1" s="1"/>
  <c r="CK278" i="1"/>
  <c r="BR280" i="1"/>
  <c r="BT280" i="1" s="1"/>
  <c r="BV280" i="1" s="1"/>
  <c r="BS280" i="1"/>
  <c r="BU280" i="1" s="1"/>
  <c r="CZ276" i="1"/>
  <c r="CB279" i="1"/>
  <c r="CD279" i="1" s="1"/>
  <c r="CC279" i="1"/>
  <c r="CE279" i="1" s="1"/>
  <c r="CR277" i="1"/>
  <c r="CT277" i="1" s="1"/>
  <c r="CQ277" i="1"/>
  <c r="CS277" i="1" s="1"/>
  <c r="CU277" i="1" s="1"/>
  <c r="AD285" i="1"/>
  <c r="AF285" i="1" s="1"/>
  <c r="AH285" i="1" s="1"/>
  <c r="AE285" i="1"/>
  <c r="AG285" i="1" s="1"/>
  <c r="BG282" i="1"/>
  <c r="U287" i="1" l="1"/>
  <c r="W287" i="1" s="1"/>
  <c r="T287" i="1"/>
  <c r="V287" i="1" s="1"/>
  <c r="CL278" i="1"/>
  <c r="CN278" i="1" s="1"/>
  <c r="CP278" i="1" s="1"/>
  <c r="CM278" i="1"/>
  <c r="CO278" i="1" s="1"/>
  <c r="CW277" i="1"/>
  <c r="CY277" i="1" s="1"/>
  <c r="CV277" i="1"/>
  <c r="CX277" i="1" s="1"/>
  <c r="DB276" i="1"/>
  <c r="DD276" i="1" s="1"/>
  <c r="DA276" i="1"/>
  <c r="DC276" i="1" s="1"/>
  <c r="CZ277" i="1"/>
  <c r="BH282" i="1"/>
  <c r="BJ282" i="1" s="1"/>
  <c r="BI282" i="1"/>
  <c r="BK282" i="1" s="1"/>
  <c r="AS284" i="1"/>
  <c r="AU284" i="1" s="1"/>
  <c r="AW284" i="1" s="1"/>
  <c r="AT284" i="1"/>
  <c r="AV284" i="1" s="1"/>
  <c r="CF279" i="1"/>
  <c r="E288" i="1"/>
  <c r="F288" i="1"/>
  <c r="H288" i="1" s="1"/>
  <c r="Z286" i="1"/>
  <c r="AB286" i="1" s="1"/>
  <c r="Y286" i="1"/>
  <c r="AA286" i="1" s="1"/>
  <c r="AC286" i="1" s="1"/>
  <c r="AJ285" i="1"/>
  <c r="AL285" i="1" s="1"/>
  <c r="AI285" i="1"/>
  <c r="AK285" i="1" s="1"/>
  <c r="AM285" i="1" s="1"/>
  <c r="BN281" i="1"/>
  <c r="BP281" i="1" s="1"/>
  <c r="BM281" i="1"/>
  <c r="BO281" i="1" s="1"/>
  <c r="BQ281" i="1" s="1"/>
  <c r="BB283" i="1"/>
  <c r="BW280" i="1"/>
  <c r="BY280" i="1" s="1"/>
  <c r="BX280" i="1"/>
  <c r="BZ280" i="1" s="1"/>
  <c r="P287" i="1"/>
  <c r="R287" i="1" s="1"/>
  <c r="O287" i="1"/>
  <c r="AN285" i="1" l="1"/>
  <c r="AP285" i="1" s="1"/>
  <c r="AR285" i="1" s="1"/>
  <c r="AO285" i="1"/>
  <c r="AQ285" i="1" s="1"/>
  <c r="BC283" i="1"/>
  <c r="BE283" i="1" s="1"/>
  <c r="BD283" i="1"/>
  <c r="BF283" i="1" s="1"/>
  <c r="BL282" i="1"/>
  <c r="AY284" i="1"/>
  <c r="BA284" i="1" s="1"/>
  <c r="AX284" i="1"/>
  <c r="AZ284" i="1" s="1"/>
  <c r="AE286" i="1"/>
  <c r="AG286" i="1" s="1"/>
  <c r="AD286" i="1"/>
  <c r="AF286" i="1" s="1"/>
  <c r="AH286" i="1" s="1"/>
  <c r="CQ278" i="1"/>
  <c r="CS278" i="1" s="1"/>
  <c r="CU278" i="1" s="1"/>
  <c r="CR278" i="1"/>
  <c r="CT278" i="1" s="1"/>
  <c r="BR281" i="1"/>
  <c r="BT281" i="1" s="1"/>
  <c r="BV281" i="1" s="1"/>
  <c r="BS281" i="1"/>
  <c r="BU281" i="1" s="1"/>
  <c r="G288" i="1"/>
  <c r="I288" i="1" s="1"/>
  <c r="Q288" i="1"/>
  <c r="CG279" i="1"/>
  <c r="CI279" i="1" s="1"/>
  <c r="CK279" i="1" s="1"/>
  <c r="CH279" i="1"/>
  <c r="CJ279" i="1" s="1"/>
  <c r="X287" i="1"/>
  <c r="DB277" i="1"/>
  <c r="DD277" i="1" s="1"/>
  <c r="DA277" i="1"/>
  <c r="DC277" i="1" s="1"/>
  <c r="CA280" i="1"/>
  <c r="BX281" i="1" l="1"/>
  <c r="BZ281" i="1" s="1"/>
  <c r="BW281" i="1"/>
  <c r="BY281" i="1" s="1"/>
  <c r="AJ286" i="1"/>
  <c r="AL286" i="1" s="1"/>
  <c r="AI286" i="1"/>
  <c r="AK286" i="1" s="1"/>
  <c r="AM286" i="1" s="1"/>
  <c r="Z287" i="1"/>
  <c r="AB287" i="1" s="1"/>
  <c r="Y287" i="1"/>
  <c r="AA287" i="1" s="1"/>
  <c r="AC287" i="1" s="1"/>
  <c r="CV278" i="1"/>
  <c r="CX278" i="1" s="1"/>
  <c r="CW278" i="1"/>
  <c r="CY278" i="1" s="1"/>
  <c r="S288" i="1"/>
  <c r="BB284" i="1"/>
  <c r="CL279" i="1"/>
  <c r="CN279" i="1" s="1"/>
  <c r="CP279" i="1" s="1"/>
  <c r="CM279" i="1"/>
  <c r="CO279" i="1" s="1"/>
  <c r="J288" i="1"/>
  <c r="L288" i="1" s="1"/>
  <c r="N288" i="1" s="1"/>
  <c r="K288" i="1"/>
  <c r="M288" i="1" s="1"/>
  <c r="D289" i="1"/>
  <c r="CB280" i="1"/>
  <c r="CD280" i="1" s="1"/>
  <c r="CF280" i="1" s="1"/>
  <c r="CC280" i="1"/>
  <c r="CE280" i="1" s="1"/>
  <c r="BM282" i="1"/>
  <c r="BO282" i="1" s="1"/>
  <c r="BQ282" i="1" s="1"/>
  <c r="BN282" i="1"/>
  <c r="BP282" i="1" s="1"/>
  <c r="BG283" i="1"/>
  <c r="AS285" i="1"/>
  <c r="AU285" i="1" s="1"/>
  <c r="AW285" i="1" s="1"/>
  <c r="AT285" i="1"/>
  <c r="AV285" i="1" s="1"/>
  <c r="CR279" i="1" l="1"/>
  <c r="CT279" i="1" s="1"/>
  <c r="CQ279" i="1"/>
  <c r="CS279" i="1" s="1"/>
  <c r="U288" i="1"/>
  <c r="W288" i="1" s="1"/>
  <c r="T288" i="1"/>
  <c r="V288" i="1" s="1"/>
  <c r="X288" i="1" s="1"/>
  <c r="BR282" i="1"/>
  <c r="BT282" i="1" s="1"/>
  <c r="BS282" i="1"/>
  <c r="BU282" i="1" s="1"/>
  <c r="AX285" i="1"/>
  <c r="AZ285" i="1" s="1"/>
  <c r="AY285" i="1"/>
  <c r="BA285" i="1" s="1"/>
  <c r="BD284" i="1"/>
  <c r="BF284" i="1" s="1"/>
  <c r="BC284" i="1"/>
  <c r="BE284" i="1" s="1"/>
  <c r="BG284" i="1" s="1"/>
  <c r="CZ278" i="1"/>
  <c r="CH280" i="1"/>
  <c r="CJ280" i="1" s="1"/>
  <c r="CG280" i="1"/>
  <c r="CI280" i="1" s="1"/>
  <c r="CK280" i="1" s="1"/>
  <c r="F289" i="1"/>
  <c r="H289" i="1" s="1"/>
  <c r="E289" i="1"/>
  <c r="CA281" i="1"/>
  <c r="BI283" i="1"/>
  <c r="BK283" i="1" s="1"/>
  <c r="BH283" i="1"/>
  <c r="BJ283" i="1" s="1"/>
  <c r="BL283" i="1" s="1"/>
  <c r="AD287" i="1"/>
  <c r="AF287" i="1" s="1"/>
  <c r="AH287" i="1" s="1"/>
  <c r="AE287" i="1"/>
  <c r="AG287" i="1" s="1"/>
  <c r="AN286" i="1"/>
  <c r="AP286" i="1" s="1"/>
  <c r="AR286" i="1" s="1"/>
  <c r="AO286" i="1"/>
  <c r="AQ286" i="1" s="1"/>
  <c r="O288" i="1"/>
  <c r="P288" i="1"/>
  <c r="R288" i="1" s="1"/>
  <c r="DB278" i="1" l="1"/>
  <c r="DD278" i="1" s="1"/>
  <c r="DA278" i="1"/>
  <c r="DC278" i="1" s="1"/>
  <c r="AI287" i="1"/>
  <c r="AK287" i="1" s="1"/>
  <c r="AM287" i="1" s="1"/>
  <c r="AJ287" i="1"/>
  <c r="AL287" i="1" s="1"/>
  <c r="BI284" i="1"/>
  <c r="BK284" i="1" s="1"/>
  <c r="BH284" i="1"/>
  <c r="BJ284" i="1" s="1"/>
  <c r="BB285" i="1"/>
  <c r="CB281" i="1"/>
  <c r="CD281" i="1" s="1"/>
  <c r="CF281" i="1" s="1"/>
  <c r="CC281" i="1"/>
  <c r="CE281" i="1" s="1"/>
  <c r="AS286" i="1"/>
  <c r="AU286" i="1" s="1"/>
  <c r="AW286" i="1" s="1"/>
  <c r="AT286" i="1"/>
  <c r="AV286" i="1" s="1"/>
  <c r="BN283" i="1"/>
  <c r="BP283" i="1" s="1"/>
  <c r="BM283" i="1"/>
  <c r="BO283" i="1" s="1"/>
  <c r="BV282" i="1"/>
  <c r="CU279" i="1"/>
  <c r="Z288" i="1"/>
  <c r="AB288" i="1" s="1"/>
  <c r="Y288" i="1"/>
  <c r="AA288" i="1" s="1"/>
  <c r="AC288" i="1" s="1"/>
  <c r="G289" i="1"/>
  <c r="I289" i="1" s="1"/>
  <c r="Q289" i="1"/>
  <c r="S289" i="1" s="1"/>
  <c r="CL280" i="1"/>
  <c r="CN280" i="1" s="1"/>
  <c r="CP280" i="1" s="1"/>
  <c r="CM280" i="1"/>
  <c r="CO280" i="1" s="1"/>
  <c r="J289" i="1" l="1"/>
  <c r="L289" i="1" s="1"/>
  <c r="N289" i="1" s="1"/>
  <c r="K289" i="1"/>
  <c r="M289" i="1" s="1"/>
  <c r="D290" i="1"/>
  <c r="T289" i="1"/>
  <c r="V289" i="1" s="1"/>
  <c r="X289" i="1" s="1"/>
  <c r="U289" i="1"/>
  <c r="W289" i="1" s="1"/>
  <c r="CG281" i="1"/>
  <c r="CI281" i="1" s="1"/>
  <c r="CK281" i="1" s="1"/>
  <c r="CH281" i="1"/>
  <c r="CJ281" i="1" s="1"/>
  <c r="AO287" i="1"/>
  <c r="AQ287" i="1" s="1"/>
  <c r="AN287" i="1"/>
  <c r="AP287" i="1" s="1"/>
  <c r="AR287" i="1" s="1"/>
  <c r="AX286" i="1"/>
  <c r="AZ286" i="1" s="1"/>
  <c r="AY286" i="1"/>
  <c r="BA286" i="1" s="1"/>
  <c r="CQ280" i="1"/>
  <c r="CS280" i="1" s="1"/>
  <c r="CR280" i="1"/>
  <c r="CT280" i="1" s="1"/>
  <c r="BD285" i="1"/>
  <c r="BF285" i="1" s="1"/>
  <c r="BC285" i="1"/>
  <c r="BE285" i="1" s="1"/>
  <c r="AD288" i="1"/>
  <c r="AF288" i="1" s="1"/>
  <c r="AH288" i="1" s="1"/>
  <c r="AE288" i="1"/>
  <c r="AG288" i="1" s="1"/>
  <c r="CW279" i="1"/>
  <c r="CY279" i="1" s="1"/>
  <c r="CV279" i="1"/>
  <c r="CX279" i="1" s="1"/>
  <c r="CZ279" i="1" s="1"/>
  <c r="BX282" i="1"/>
  <c r="BZ282" i="1" s="1"/>
  <c r="BW282" i="1"/>
  <c r="BY282" i="1" s="1"/>
  <c r="CA282" i="1" s="1"/>
  <c r="BQ283" i="1"/>
  <c r="BL284" i="1" s="1"/>
  <c r="BM284" i="1" l="1"/>
  <c r="BO284" i="1" s="1"/>
  <c r="BN284" i="1"/>
  <c r="BP284" i="1" s="1"/>
  <c r="CC282" i="1"/>
  <c r="CE282" i="1" s="1"/>
  <c r="CB282" i="1"/>
  <c r="CD282" i="1" s="1"/>
  <c r="CF282" i="1" s="1"/>
  <c r="AT287" i="1"/>
  <c r="AV287" i="1" s="1"/>
  <c r="AS287" i="1"/>
  <c r="AU287" i="1" s="1"/>
  <c r="AJ288" i="1"/>
  <c r="AL288" i="1" s="1"/>
  <c r="AI288" i="1"/>
  <c r="AK288" i="1" s="1"/>
  <c r="AM288" i="1" s="1"/>
  <c r="DB279" i="1"/>
  <c r="DD279" i="1" s="1"/>
  <c r="DA279" i="1"/>
  <c r="DC279" i="1" s="1"/>
  <c r="Y289" i="1"/>
  <c r="AA289" i="1" s="1"/>
  <c r="AC289" i="1" s="1"/>
  <c r="Z289" i="1"/>
  <c r="AB289" i="1" s="1"/>
  <c r="F290" i="1"/>
  <c r="H290" i="1" s="1"/>
  <c r="E290" i="1"/>
  <c r="BR283" i="1"/>
  <c r="BT283" i="1" s="1"/>
  <c r="BV283" i="1" s="1"/>
  <c r="BS283" i="1"/>
  <c r="BU283" i="1" s="1"/>
  <c r="CL281" i="1"/>
  <c r="CN281" i="1" s="1"/>
  <c r="CM281" i="1"/>
  <c r="CO281" i="1" s="1"/>
  <c r="BG285" i="1"/>
  <c r="BB286" i="1" s="1"/>
  <c r="CU280" i="1"/>
  <c r="P289" i="1"/>
  <c r="R289" i="1" s="1"/>
  <c r="O289" i="1"/>
  <c r="BD286" i="1" l="1"/>
  <c r="BF286" i="1" s="1"/>
  <c r="BC286" i="1"/>
  <c r="BE286" i="1" s="1"/>
  <c r="AO288" i="1"/>
  <c r="AQ288" i="1" s="1"/>
  <c r="AN288" i="1"/>
  <c r="AP288" i="1" s="1"/>
  <c r="AR288" i="1" s="1"/>
  <c r="BX283" i="1"/>
  <c r="BZ283" i="1" s="1"/>
  <c r="BW283" i="1"/>
  <c r="BY283" i="1" s="1"/>
  <c r="CA283" i="1" s="1"/>
  <c r="CV280" i="1"/>
  <c r="CX280" i="1" s="1"/>
  <c r="CW280" i="1"/>
  <c r="CY280" i="1" s="1"/>
  <c r="Q290" i="1"/>
  <c r="S290" i="1" s="1"/>
  <c r="G290" i="1"/>
  <c r="I290" i="1" s="1"/>
  <c r="BI285" i="1"/>
  <c r="BK285" i="1" s="1"/>
  <c r="BH285" i="1"/>
  <c r="BJ285" i="1" s="1"/>
  <c r="BL285" i="1" s="1"/>
  <c r="CP281" i="1"/>
  <c r="AW287" i="1"/>
  <c r="CH282" i="1"/>
  <c r="CJ282" i="1" s="1"/>
  <c r="CG282" i="1"/>
  <c r="CI282" i="1" s="1"/>
  <c r="CK282" i="1" s="1"/>
  <c r="AE289" i="1"/>
  <c r="AG289" i="1" s="1"/>
  <c r="AD289" i="1"/>
  <c r="AF289" i="1" s="1"/>
  <c r="AH289" i="1" s="1"/>
  <c r="BQ284" i="1"/>
  <c r="BN285" i="1" l="1"/>
  <c r="BP285" i="1" s="1"/>
  <c r="BM285" i="1"/>
  <c r="BO285" i="1" s="1"/>
  <c r="BS284" i="1"/>
  <c r="BU284" i="1" s="1"/>
  <c r="BR284" i="1"/>
  <c r="BT284" i="1" s="1"/>
  <c r="BV284" i="1" s="1"/>
  <c r="J290" i="1"/>
  <c r="L290" i="1" s="1"/>
  <c r="N290" i="1" s="1"/>
  <c r="K290" i="1"/>
  <c r="M290" i="1" s="1"/>
  <c r="D291" i="1"/>
  <c r="CZ280" i="1"/>
  <c r="T290" i="1"/>
  <c r="V290" i="1" s="1"/>
  <c r="X290" i="1" s="1"/>
  <c r="U290" i="1"/>
  <c r="W290" i="1" s="1"/>
  <c r="CC283" i="1"/>
  <c r="CE283" i="1" s="1"/>
  <c r="CB283" i="1"/>
  <c r="CD283" i="1" s="1"/>
  <c r="CF283" i="1" s="1"/>
  <c r="AT288" i="1"/>
  <c r="AV288" i="1" s="1"/>
  <c r="AS288" i="1"/>
  <c r="AU288" i="1" s="1"/>
  <c r="BG286" i="1"/>
  <c r="AJ289" i="1"/>
  <c r="AL289" i="1" s="1"/>
  <c r="AI289" i="1"/>
  <c r="AK289" i="1" s="1"/>
  <c r="AM289" i="1" s="1"/>
  <c r="CL282" i="1"/>
  <c r="CN282" i="1" s="1"/>
  <c r="CM282" i="1"/>
  <c r="CO282" i="1" s="1"/>
  <c r="AY287" i="1"/>
  <c r="BA287" i="1" s="1"/>
  <c r="AX287" i="1"/>
  <c r="AZ287" i="1" s="1"/>
  <c r="BB287" i="1" s="1"/>
  <c r="CR281" i="1"/>
  <c r="CT281" i="1" s="1"/>
  <c r="CQ281" i="1"/>
  <c r="CS281" i="1" s="1"/>
  <c r="CU281" i="1" s="1"/>
  <c r="Z290" i="1" l="1"/>
  <c r="AB290" i="1" s="1"/>
  <c r="Y290" i="1"/>
  <c r="AA290" i="1" s="1"/>
  <c r="AC290" i="1" s="1"/>
  <c r="F291" i="1"/>
  <c r="H291" i="1" s="1"/>
  <c r="E291" i="1"/>
  <c r="CW281" i="1"/>
  <c r="CY281" i="1" s="1"/>
  <c r="CV281" i="1"/>
  <c r="CX281" i="1" s="1"/>
  <c r="DA280" i="1"/>
  <c r="DC280" i="1" s="1"/>
  <c r="DB280" i="1"/>
  <c r="DD280" i="1" s="1"/>
  <c r="CZ281" i="1"/>
  <c r="P290" i="1"/>
  <c r="R290" i="1" s="1"/>
  <c r="O290" i="1"/>
  <c r="CH283" i="1"/>
  <c r="CJ283" i="1" s="1"/>
  <c r="CG283" i="1"/>
  <c r="CI283" i="1" s="1"/>
  <c r="BH286" i="1"/>
  <c r="BJ286" i="1" s="1"/>
  <c r="BI286" i="1"/>
  <c r="BK286" i="1" s="1"/>
  <c r="BQ285" i="1"/>
  <c r="BD287" i="1"/>
  <c r="BF287" i="1" s="1"/>
  <c r="BC287" i="1"/>
  <c r="BE287" i="1" s="1"/>
  <c r="CP282" i="1"/>
  <c r="AN289" i="1"/>
  <c r="AP289" i="1" s="1"/>
  <c r="AR289" i="1" s="1"/>
  <c r="AO289" i="1"/>
  <c r="AQ289" i="1" s="1"/>
  <c r="BW284" i="1"/>
  <c r="BY284" i="1" s="1"/>
  <c r="CA284" i="1" s="1"/>
  <c r="BX284" i="1"/>
  <c r="BZ284" i="1" s="1"/>
  <c r="AW288" i="1"/>
  <c r="CC284" i="1" l="1"/>
  <c r="CE284" i="1" s="1"/>
  <c r="CB284" i="1"/>
  <c r="CD284" i="1" s="1"/>
  <c r="AT289" i="1"/>
  <c r="AV289" i="1" s="1"/>
  <c r="AS289" i="1"/>
  <c r="AU289" i="1" s="1"/>
  <c r="BR285" i="1"/>
  <c r="BT285" i="1" s="1"/>
  <c r="BV285" i="1" s="1"/>
  <c r="BS285" i="1"/>
  <c r="BU285" i="1" s="1"/>
  <c r="CR282" i="1"/>
  <c r="CT282" i="1" s="1"/>
  <c r="CQ282" i="1"/>
  <c r="CS282" i="1" s="1"/>
  <c r="CU282" i="1" s="1"/>
  <c r="BL286" i="1"/>
  <c r="AD290" i="1"/>
  <c r="AF290" i="1" s="1"/>
  <c r="AH290" i="1" s="1"/>
  <c r="AE290" i="1"/>
  <c r="AG290" i="1" s="1"/>
  <c r="DB281" i="1"/>
  <c r="DD281" i="1" s="1"/>
  <c r="DA281" i="1"/>
  <c r="DC281" i="1" s="1"/>
  <c r="G291" i="1"/>
  <c r="I291" i="1" s="1"/>
  <c r="Q291" i="1"/>
  <c r="S291" i="1" s="1"/>
  <c r="CK283" i="1"/>
  <c r="AX288" i="1"/>
  <c r="AZ288" i="1" s="1"/>
  <c r="AY288" i="1"/>
  <c r="BA288" i="1" s="1"/>
  <c r="AI290" i="1" l="1"/>
  <c r="AK290" i="1" s="1"/>
  <c r="AM290" i="1" s="1"/>
  <c r="AJ290" i="1"/>
  <c r="AL290" i="1" s="1"/>
  <c r="CL283" i="1"/>
  <c r="CN283" i="1" s="1"/>
  <c r="CP283" i="1" s="1"/>
  <c r="CM283" i="1"/>
  <c r="CO283" i="1" s="1"/>
  <c r="BN286" i="1"/>
  <c r="BP286" i="1" s="1"/>
  <c r="BM286" i="1"/>
  <c r="BO286" i="1" s="1"/>
  <c r="BQ286" i="1" s="1"/>
  <c r="BX285" i="1"/>
  <c r="BZ285" i="1" s="1"/>
  <c r="BW285" i="1"/>
  <c r="BY285" i="1" s="1"/>
  <c r="CA285" i="1" s="1"/>
  <c r="J291" i="1"/>
  <c r="L291" i="1" s="1"/>
  <c r="N291" i="1" s="1"/>
  <c r="K291" i="1"/>
  <c r="M291" i="1" s="1"/>
  <c r="D292" i="1"/>
  <c r="CF284" i="1"/>
  <c r="CV282" i="1"/>
  <c r="CX282" i="1" s="1"/>
  <c r="CW282" i="1"/>
  <c r="CY282" i="1" s="1"/>
  <c r="T291" i="1"/>
  <c r="V291" i="1" s="1"/>
  <c r="X291" i="1" s="1"/>
  <c r="U291" i="1"/>
  <c r="W291" i="1" s="1"/>
  <c r="BG287" i="1"/>
  <c r="BR286" i="1" l="1"/>
  <c r="BT286" i="1" s="1"/>
  <c r="BV286" i="1" s="1"/>
  <c r="BS286" i="1"/>
  <c r="BU286" i="1" s="1"/>
  <c r="F292" i="1"/>
  <c r="H292" i="1" s="1"/>
  <c r="E292" i="1"/>
  <c r="BI287" i="1"/>
  <c r="BK287" i="1" s="1"/>
  <c r="BH287" i="1"/>
  <c r="BJ287" i="1" s="1"/>
  <c r="BL287" i="1" s="1"/>
  <c r="BB288" i="1"/>
  <c r="CB285" i="1"/>
  <c r="CD285" i="1" s="1"/>
  <c r="CF285" i="1" s="1"/>
  <c r="CC285" i="1"/>
  <c r="CE285" i="1" s="1"/>
  <c r="Y291" i="1"/>
  <c r="AA291" i="1" s="1"/>
  <c r="AC291" i="1" s="1"/>
  <c r="Z291" i="1"/>
  <c r="AB291" i="1" s="1"/>
  <c r="CZ282" i="1"/>
  <c r="P291" i="1"/>
  <c r="R291" i="1" s="1"/>
  <c r="O291" i="1"/>
  <c r="CR283" i="1"/>
  <c r="CT283" i="1" s="1"/>
  <c r="CQ283" i="1"/>
  <c r="CS283" i="1" s="1"/>
  <c r="CU283" i="1" s="1"/>
  <c r="CH284" i="1"/>
  <c r="CJ284" i="1" s="1"/>
  <c r="CG284" i="1"/>
  <c r="CI284" i="1" s="1"/>
  <c r="CK284" i="1" s="1"/>
  <c r="AN290" i="1"/>
  <c r="AP290" i="1" s="1"/>
  <c r="AO290" i="1"/>
  <c r="AQ290" i="1" s="1"/>
  <c r="AD291" i="1" l="1"/>
  <c r="AF291" i="1" s="1"/>
  <c r="AH291" i="1" s="1"/>
  <c r="AE291" i="1"/>
  <c r="AG291" i="1" s="1"/>
  <c r="CH285" i="1"/>
  <c r="CJ285" i="1" s="1"/>
  <c r="CG285" i="1"/>
  <c r="CI285" i="1" s="1"/>
  <c r="BD288" i="1"/>
  <c r="BF288" i="1" s="1"/>
  <c r="BC288" i="1"/>
  <c r="BE288" i="1" s="1"/>
  <c r="BG288" i="1" s="1"/>
  <c r="AW289" i="1"/>
  <c r="CV283" i="1"/>
  <c r="CX283" i="1" s="1"/>
  <c r="CW283" i="1"/>
  <c r="CY283" i="1" s="1"/>
  <c r="CM284" i="1"/>
  <c r="CO284" i="1" s="1"/>
  <c r="CL284" i="1"/>
  <c r="CN284" i="1" s="1"/>
  <c r="CP284" i="1" s="1"/>
  <c r="AR290" i="1"/>
  <c r="BN287" i="1"/>
  <c r="BP287" i="1" s="1"/>
  <c r="BM287" i="1"/>
  <c r="BO287" i="1" s="1"/>
  <c r="BQ287" i="1" s="1"/>
  <c r="G292" i="1"/>
  <c r="I292" i="1" s="1"/>
  <c r="Q292" i="1"/>
  <c r="S292" i="1" s="1"/>
  <c r="DB282" i="1"/>
  <c r="DD282" i="1" s="1"/>
  <c r="DA282" i="1"/>
  <c r="DC282" i="1" s="1"/>
  <c r="BX286" i="1"/>
  <c r="BZ286" i="1" s="1"/>
  <c r="BW286" i="1"/>
  <c r="BY286" i="1" s="1"/>
  <c r="CA286" i="1" s="1"/>
  <c r="AY289" i="1" l="1"/>
  <c r="BA289" i="1" s="1"/>
  <c r="AX289" i="1"/>
  <c r="AZ289" i="1" s="1"/>
  <c r="BB289" i="1" s="1"/>
  <c r="CR284" i="1"/>
  <c r="CT284" i="1" s="1"/>
  <c r="CQ284" i="1"/>
  <c r="CS284" i="1" s="1"/>
  <c r="BI288" i="1"/>
  <c r="BK288" i="1" s="1"/>
  <c r="BH288" i="1"/>
  <c r="BJ288" i="1" s="1"/>
  <c r="BL288" i="1" s="1"/>
  <c r="J292" i="1"/>
  <c r="L292" i="1" s="1"/>
  <c r="N292" i="1" s="1"/>
  <c r="K292" i="1"/>
  <c r="M292" i="1" s="1"/>
  <c r="D293" i="1"/>
  <c r="CZ283" i="1"/>
  <c r="U292" i="1"/>
  <c r="W292" i="1" s="1"/>
  <c r="T292" i="1"/>
  <c r="V292" i="1" s="1"/>
  <c r="X292" i="1" s="1"/>
  <c r="BS287" i="1"/>
  <c r="BU287" i="1" s="1"/>
  <c r="BR287" i="1"/>
  <c r="BT287" i="1" s="1"/>
  <c r="BV287" i="1" s="1"/>
  <c r="AS290" i="1"/>
  <c r="AU290" i="1" s="1"/>
  <c r="AW290" i="1" s="1"/>
  <c r="AT290" i="1"/>
  <c r="AV290" i="1" s="1"/>
  <c r="CC286" i="1"/>
  <c r="CE286" i="1" s="1"/>
  <c r="CB286" i="1"/>
  <c r="CD286" i="1" s="1"/>
  <c r="CK285" i="1"/>
  <c r="AJ291" i="1"/>
  <c r="AL291" i="1" s="1"/>
  <c r="AI291" i="1"/>
  <c r="AK291" i="1" s="1"/>
  <c r="AM291" i="1" s="1"/>
  <c r="Y292" i="1" l="1"/>
  <c r="AA292" i="1" s="1"/>
  <c r="AC292" i="1" s="1"/>
  <c r="Z292" i="1"/>
  <c r="AB292" i="1" s="1"/>
  <c r="AO291" i="1"/>
  <c r="AQ291" i="1" s="1"/>
  <c r="AN291" i="1"/>
  <c r="AP291" i="1" s="1"/>
  <c r="AR291" i="1" s="1"/>
  <c r="O292" i="1"/>
  <c r="P292" i="1"/>
  <c r="R292" i="1" s="1"/>
  <c r="CF286" i="1"/>
  <c r="CU284" i="1"/>
  <c r="BX287" i="1"/>
  <c r="BZ287" i="1" s="1"/>
  <c r="BW287" i="1"/>
  <c r="BY287" i="1" s="1"/>
  <c r="CA287" i="1" s="1"/>
  <c r="DB283" i="1"/>
  <c r="DD283" i="1" s="1"/>
  <c r="DA283" i="1"/>
  <c r="DC283" i="1" s="1"/>
  <c r="F293" i="1"/>
  <c r="H293" i="1" s="1"/>
  <c r="E293" i="1"/>
  <c r="CL285" i="1"/>
  <c r="CN285" i="1" s="1"/>
  <c r="CM285" i="1"/>
  <c r="CO285" i="1" s="1"/>
  <c r="BM288" i="1"/>
  <c r="BO288" i="1" s="1"/>
  <c r="BQ288" i="1" s="1"/>
  <c r="BN288" i="1"/>
  <c r="BP288" i="1" s="1"/>
  <c r="AX290" i="1"/>
  <c r="AZ290" i="1" s="1"/>
  <c r="AY290" i="1"/>
  <c r="BA290" i="1" s="1"/>
  <c r="BD289" i="1"/>
  <c r="BF289" i="1" s="1"/>
  <c r="BC289" i="1"/>
  <c r="BE289" i="1" s="1"/>
  <c r="BG289" i="1" s="1"/>
  <c r="BB290" i="1" l="1"/>
  <c r="CV284" i="1"/>
  <c r="CX284" i="1" s="1"/>
  <c r="CW284" i="1"/>
  <c r="CY284" i="1" s="1"/>
  <c r="BH289" i="1"/>
  <c r="BJ289" i="1" s="1"/>
  <c r="BL289" i="1" s="1"/>
  <c r="BI289" i="1"/>
  <c r="BK289" i="1" s="1"/>
  <c r="CH286" i="1"/>
  <c r="CJ286" i="1" s="1"/>
  <c r="CG286" i="1"/>
  <c r="CI286" i="1" s="1"/>
  <c r="CK286" i="1" s="1"/>
  <c r="AT291" i="1"/>
  <c r="AV291" i="1" s="1"/>
  <c r="AS291" i="1"/>
  <c r="AU291" i="1" s="1"/>
  <c r="AW291" i="1" s="1"/>
  <c r="G293" i="1"/>
  <c r="I293" i="1" s="1"/>
  <c r="Q293" i="1"/>
  <c r="S293" i="1" s="1"/>
  <c r="CC287" i="1"/>
  <c r="CE287" i="1" s="1"/>
  <c r="CB287" i="1"/>
  <c r="CD287" i="1" s="1"/>
  <c r="BS288" i="1"/>
  <c r="BU288" i="1" s="1"/>
  <c r="BR288" i="1"/>
  <c r="BT288" i="1" s="1"/>
  <c r="BV288" i="1" s="1"/>
  <c r="CP285" i="1"/>
  <c r="AD292" i="1"/>
  <c r="AF292" i="1" s="1"/>
  <c r="AH292" i="1" s="1"/>
  <c r="AE292" i="1"/>
  <c r="AG292" i="1" s="1"/>
  <c r="AY291" i="1" l="1"/>
  <c r="BA291" i="1" s="1"/>
  <c r="AX291" i="1"/>
  <c r="AZ291" i="1" s="1"/>
  <c r="CL286" i="1"/>
  <c r="CN286" i="1" s="1"/>
  <c r="CM286" i="1"/>
  <c r="CO286" i="1" s="1"/>
  <c r="CR285" i="1"/>
  <c r="CT285" i="1" s="1"/>
  <c r="CQ285" i="1"/>
  <c r="CS285" i="1" s="1"/>
  <c r="J293" i="1"/>
  <c r="L293" i="1" s="1"/>
  <c r="N293" i="1" s="1"/>
  <c r="K293" i="1"/>
  <c r="M293" i="1" s="1"/>
  <c r="D294" i="1"/>
  <c r="BM289" i="1"/>
  <c r="BO289" i="1" s="1"/>
  <c r="BQ289" i="1" s="1"/>
  <c r="BN289" i="1"/>
  <c r="BP289" i="1" s="1"/>
  <c r="CZ284" i="1"/>
  <c r="U293" i="1"/>
  <c r="W293" i="1" s="1"/>
  <c r="T293" i="1"/>
  <c r="V293" i="1" s="1"/>
  <c r="X293" i="1" s="1"/>
  <c r="AJ292" i="1"/>
  <c r="AL292" i="1" s="1"/>
  <c r="AI292" i="1"/>
  <c r="AK292" i="1" s="1"/>
  <c r="AM292" i="1" s="1"/>
  <c r="BW288" i="1"/>
  <c r="BY288" i="1" s="1"/>
  <c r="BX288" i="1"/>
  <c r="BZ288" i="1" s="1"/>
  <c r="CF287" i="1"/>
  <c r="BC290" i="1"/>
  <c r="BE290" i="1" s="1"/>
  <c r="BG290" i="1" s="1"/>
  <c r="BD290" i="1"/>
  <c r="BF290" i="1" s="1"/>
  <c r="BH290" i="1" l="1"/>
  <c r="BJ290" i="1" s="1"/>
  <c r="BL290" i="1" s="1"/>
  <c r="BI290" i="1"/>
  <c r="BK290" i="1" s="1"/>
  <c r="DB284" i="1"/>
  <c r="DD284" i="1" s="1"/>
  <c r="DA284" i="1"/>
  <c r="DC284" i="1" s="1"/>
  <c r="F294" i="1"/>
  <c r="H294" i="1" s="1"/>
  <c r="E294" i="1"/>
  <c r="CH287" i="1"/>
  <c r="CJ287" i="1" s="1"/>
  <c r="CG287" i="1"/>
  <c r="CI287" i="1" s="1"/>
  <c r="CU285" i="1"/>
  <c r="O293" i="1"/>
  <c r="P293" i="1"/>
  <c r="R293" i="1" s="1"/>
  <c r="BB291" i="1"/>
  <c r="BS289" i="1"/>
  <c r="BU289" i="1" s="1"/>
  <c r="BR289" i="1"/>
  <c r="BT289" i="1" s="1"/>
  <c r="CA288" i="1"/>
  <c r="AN292" i="1"/>
  <c r="AP292" i="1" s="1"/>
  <c r="AR292" i="1" s="1"/>
  <c r="AO292" i="1"/>
  <c r="AQ292" i="1" s="1"/>
  <c r="Z293" i="1"/>
  <c r="AB293" i="1" s="1"/>
  <c r="Y293" i="1"/>
  <c r="AA293" i="1" s="1"/>
  <c r="AC293" i="1" s="1"/>
  <c r="AS292" i="1" l="1"/>
  <c r="AU292" i="1" s="1"/>
  <c r="AW292" i="1" s="1"/>
  <c r="AT292" i="1"/>
  <c r="AV292" i="1" s="1"/>
  <c r="CV285" i="1"/>
  <c r="CX285" i="1" s="1"/>
  <c r="CW285" i="1"/>
  <c r="CY285" i="1" s="1"/>
  <c r="CB288" i="1"/>
  <c r="CD288" i="1" s="1"/>
  <c r="CC288" i="1"/>
  <c r="CE288" i="1" s="1"/>
  <c r="BD291" i="1"/>
  <c r="BF291" i="1" s="1"/>
  <c r="BC291" i="1"/>
  <c r="BE291" i="1" s="1"/>
  <c r="BG291" i="1" s="1"/>
  <c r="CP286" i="1"/>
  <c r="AD293" i="1"/>
  <c r="AF293" i="1" s="1"/>
  <c r="AH293" i="1" s="1"/>
  <c r="AE293" i="1"/>
  <c r="AG293" i="1" s="1"/>
  <c r="G294" i="1"/>
  <c r="I294" i="1" s="1"/>
  <c r="Q294" i="1"/>
  <c r="S294" i="1" s="1"/>
  <c r="BV289" i="1"/>
  <c r="BN290" i="1"/>
  <c r="BP290" i="1" s="1"/>
  <c r="BM290" i="1"/>
  <c r="BO290" i="1" s="1"/>
  <c r="BQ290" i="1" s="1"/>
  <c r="CR286" i="1" l="1"/>
  <c r="CT286" i="1" s="1"/>
  <c r="CQ286" i="1"/>
  <c r="CS286" i="1" s="1"/>
  <c r="BH291" i="1"/>
  <c r="BJ291" i="1" s="1"/>
  <c r="BL291" i="1" s="1"/>
  <c r="BI291" i="1"/>
  <c r="BK291" i="1" s="1"/>
  <c r="BX289" i="1"/>
  <c r="BZ289" i="1" s="1"/>
  <c r="BW289" i="1"/>
  <c r="BY289" i="1" s="1"/>
  <c r="CK287" i="1"/>
  <c r="AJ293" i="1"/>
  <c r="AL293" i="1" s="1"/>
  <c r="AI293" i="1"/>
  <c r="AK293" i="1" s="1"/>
  <c r="AM293" i="1" s="1"/>
  <c r="BS290" i="1"/>
  <c r="BU290" i="1" s="1"/>
  <c r="BR290" i="1"/>
  <c r="BT290" i="1" s="1"/>
  <c r="CZ285" i="1"/>
  <c r="T294" i="1"/>
  <c r="V294" i="1" s="1"/>
  <c r="X294" i="1" s="1"/>
  <c r="U294" i="1"/>
  <c r="W294" i="1" s="1"/>
  <c r="J294" i="1"/>
  <c r="L294" i="1" s="1"/>
  <c r="N294" i="1" s="1"/>
  <c r="K294" i="1"/>
  <c r="M294" i="1" s="1"/>
  <c r="D295" i="1"/>
  <c r="AX292" i="1"/>
  <c r="AZ292" i="1" s="1"/>
  <c r="BB292" i="1" s="1"/>
  <c r="AY292" i="1"/>
  <c r="BA292" i="1" s="1"/>
  <c r="BD292" i="1" l="1"/>
  <c r="BF292" i="1" s="1"/>
  <c r="BC292" i="1"/>
  <c r="BE292" i="1" s="1"/>
  <c r="BG292" i="1" s="1"/>
  <c r="AN293" i="1"/>
  <c r="AP293" i="1" s="1"/>
  <c r="AR293" i="1" s="1"/>
  <c r="AO293" i="1"/>
  <c r="AQ293" i="1" s="1"/>
  <c r="CM287" i="1"/>
  <c r="CO287" i="1" s="1"/>
  <c r="CL287" i="1"/>
  <c r="CN287" i="1" s="1"/>
  <c r="CP287" i="1" s="1"/>
  <c r="E295" i="1"/>
  <c r="F295" i="1"/>
  <c r="H295" i="1" s="1"/>
  <c r="CF288" i="1"/>
  <c r="Y294" i="1"/>
  <c r="AA294" i="1" s="1"/>
  <c r="AC294" i="1" s="1"/>
  <c r="Z294" i="1"/>
  <c r="AB294" i="1" s="1"/>
  <c r="CU286" i="1"/>
  <c r="P294" i="1"/>
  <c r="R294" i="1" s="1"/>
  <c r="O294" i="1"/>
  <c r="BN291" i="1"/>
  <c r="BP291" i="1" s="1"/>
  <c r="BM291" i="1"/>
  <c r="BO291" i="1" s="1"/>
  <c r="DB285" i="1"/>
  <c r="DD285" i="1" s="1"/>
  <c r="DA285" i="1"/>
  <c r="DC285" i="1" s="1"/>
  <c r="CR287" i="1" l="1"/>
  <c r="CT287" i="1" s="1"/>
  <c r="CQ287" i="1"/>
  <c r="CS287" i="1" s="1"/>
  <c r="BH292" i="1"/>
  <c r="BJ292" i="1" s="1"/>
  <c r="BI292" i="1"/>
  <c r="BK292" i="1" s="1"/>
  <c r="CH288" i="1"/>
  <c r="CJ288" i="1" s="1"/>
  <c r="CG288" i="1"/>
  <c r="CI288" i="1" s="1"/>
  <c r="CK288" i="1" s="1"/>
  <c r="G295" i="1"/>
  <c r="I295" i="1" s="1"/>
  <c r="Q295" i="1"/>
  <c r="S295" i="1" s="1"/>
  <c r="AT293" i="1"/>
  <c r="AV293" i="1" s="1"/>
  <c r="AS293" i="1"/>
  <c r="AU293" i="1" s="1"/>
  <c r="AW293" i="1" s="1"/>
  <c r="CA289" i="1"/>
  <c r="AE294" i="1"/>
  <c r="AG294" i="1" s="1"/>
  <c r="AD294" i="1"/>
  <c r="AF294" i="1" s="1"/>
  <c r="AH294" i="1" s="1"/>
  <c r="CW286" i="1"/>
  <c r="CY286" i="1" s="1"/>
  <c r="CV286" i="1"/>
  <c r="CX286" i="1" s="1"/>
  <c r="CZ286" i="1" s="1"/>
  <c r="AY293" i="1" l="1"/>
  <c r="BA293" i="1" s="1"/>
  <c r="AX293" i="1"/>
  <c r="AZ293" i="1" s="1"/>
  <c r="BB293" i="1" s="1"/>
  <c r="CM288" i="1"/>
  <c r="CO288" i="1" s="1"/>
  <c r="CL288" i="1"/>
  <c r="CN288" i="1" s="1"/>
  <c r="CB289" i="1"/>
  <c r="CD289" i="1" s="1"/>
  <c r="CF289" i="1" s="1"/>
  <c r="CC289" i="1"/>
  <c r="CE289" i="1" s="1"/>
  <c r="BV290" i="1"/>
  <c r="DB286" i="1"/>
  <c r="DD286" i="1" s="1"/>
  <c r="DA286" i="1"/>
  <c r="DC286" i="1" s="1"/>
  <c r="U295" i="1"/>
  <c r="W295" i="1" s="1"/>
  <c r="T295" i="1"/>
  <c r="V295" i="1" s="1"/>
  <c r="X295" i="1" s="1"/>
  <c r="K295" i="1"/>
  <c r="M295" i="1" s="1"/>
  <c r="J295" i="1"/>
  <c r="L295" i="1" s="1"/>
  <c r="N295" i="1" s="1"/>
  <c r="D296" i="1"/>
  <c r="CU287" i="1"/>
  <c r="AJ294" i="1"/>
  <c r="AL294" i="1" s="1"/>
  <c r="AI294" i="1"/>
  <c r="AK294" i="1" s="1"/>
  <c r="AM294" i="1" s="1"/>
  <c r="Z295" i="1" l="1"/>
  <c r="AB295" i="1" s="1"/>
  <c r="Y295" i="1"/>
  <c r="AA295" i="1" s="1"/>
  <c r="AC295" i="1" s="1"/>
  <c r="BX290" i="1"/>
  <c r="BZ290" i="1" s="1"/>
  <c r="BW290" i="1"/>
  <c r="BY290" i="1" s="1"/>
  <c r="CA290" i="1" s="1"/>
  <c r="BQ291" i="1"/>
  <c r="CW287" i="1"/>
  <c r="CY287" i="1" s="1"/>
  <c r="CV287" i="1"/>
  <c r="CX287" i="1" s="1"/>
  <c r="CZ287" i="1" s="1"/>
  <c r="F296" i="1"/>
  <c r="H296" i="1" s="1"/>
  <c r="E296" i="1"/>
  <c r="CP288" i="1"/>
  <c r="BD293" i="1"/>
  <c r="BF293" i="1" s="1"/>
  <c r="BC293" i="1"/>
  <c r="BE293" i="1" s="1"/>
  <c r="AN294" i="1"/>
  <c r="AP294" i="1" s="1"/>
  <c r="AR294" i="1" s="1"/>
  <c r="AO294" i="1"/>
  <c r="AQ294" i="1" s="1"/>
  <c r="CG289" i="1"/>
  <c r="CI289" i="1" s="1"/>
  <c r="CH289" i="1"/>
  <c r="CJ289" i="1" s="1"/>
  <c r="O295" i="1"/>
  <c r="P295" i="1"/>
  <c r="R295" i="1" s="1"/>
  <c r="CR288" i="1" l="1"/>
  <c r="CT288" i="1" s="1"/>
  <c r="CQ288" i="1"/>
  <c r="CS288" i="1" s="1"/>
  <c r="CU288" i="1" s="1"/>
  <c r="Q296" i="1"/>
  <c r="S296" i="1" s="1"/>
  <c r="G296" i="1"/>
  <c r="I296" i="1" s="1"/>
  <c r="DA287" i="1"/>
  <c r="DC287" i="1" s="1"/>
  <c r="DB287" i="1"/>
  <c r="DD287" i="1" s="1"/>
  <c r="CC290" i="1"/>
  <c r="CE290" i="1" s="1"/>
  <c r="CB290" i="1"/>
  <c r="CD290" i="1" s="1"/>
  <c r="CF290" i="1" s="1"/>
  <c r="BS291" i="1"/>
  <c r="BU291" i="1" s="1"/>
  <c r="BR291" i="1"/>
  <c r="BT291" i="1" s="1"/>
  <c r="BV291" i="1" s="1"/>
  <c r="BL292" i="1"/>
  <c r="BG293" i="1" s="1"/>
  <c r="AE295" i="1"/>
  <c r="AG295" i="1" s="1"/>
  <c r="AD295" i="1"/>
  <c r="AF295" i="1" s="1"/>
  <c r="AH295" i="1" s="1"/>
  <c r="CK289" i="1"/>
  <c r="AT294" i="1"/>
  <c r="AV294" i="1" s="1"/>
  <c r="AS294" i="1"/>
  <c r="AU294" i="1" s="1"/>
  <c r="AW294" i="1" s="1"/>
  <c r="BH293" i="1" l="1"/>
  <c r="BJ293" i="1" s="1"/>
  <c r="BI293" i="1"/>
  <c r="BK293" i="1" s="1"/>
  <c r="BW291" i="1"/>
  <c r="BY291" i="1" s="1"/>
  <c r="CA291" i="1" s="1"/>
  <c r="BX291" i="1"/>
  <c r="BZ291" i="1" s="1"/>
  <c r="CG290" i="1"/>
  <c r="CI290" i="1" s="1"/>
  <c r="CH290" i="1"/>
  <c r="CJ290" i="1" s="1"/>
  <c r="CL289" i="1"/>
  <c r="CN289" i="1" s="1"/>
  <c r="CP289" i="1" s="1"/>
  <c r="CM289" i="1"/>
  <c r="CO289" i="1" s="1"/>
  <c r="CV288" i="1"/>
  <c r="CX288" i="1" s="1"/>
  <c r="CW288" i="1"/>
  <c r="CY288" i="1" s="1"/>
  <c r="BN292" i="1"/>
  <c r="BP292" i="1" s="1"/>
  <c r="BM292" i="1"/>
  <c r="BO292" i="1" s="1"/>
  <c r="BQ292" i="1" s="1"/>
  <c r="AX294" i="1"/>
  <c r="AZ294" i="1" s="1"/>
  <c r="BB294" i="1" s="1"/>
  <c r="AY294" i="1"/>
  <c r="BA294" i="1" s="1"/>
  <c r="K296" i="1"/>
  <c r="M296" i="1" s="1"/>
  <c r="J296" i="1"/>
  <c r="L296" i="1" s="1"/>
  <c r="N296" i="1" s="1"/>
  <c r="D297" i="1"/>
  <c r="T296" i="1"/>
  <c r="V296" i="1" s="1"/>
  <c r="X296" i="1" s="1"/>
  <c r="U296" i="1"/>
  <c r="W296" i="1" s="1"/>
  <c r="AJ295" i="1"/>
  <c r="AL295" i="1" s="1"/>
  <c r="AI295" i="1"/>
  <c r="AK295" i="1" s="1"/>
  <c r="AM295" i="1" s="1"/>
  <c r="Z296" i="1" l="1"/>
  <c r="AB296" i="1" s="1"/>
  <c r="Y296" i="1"/>
  <c r="AA296" i="1" s="1"/>
  <c r="AC296" i="1" s="1"/>
  <c r="AN295" i="1"/>
  <c r="AP295" i="1" s="1"/>
  <c r="AR295" i="1" s="1"/>
  <c r="AO295" i="1"/>
  <c r="AQ295" i="1" s="1"/>
  <c r="F297" i="1"/>
  <c r="H297" i="1" s="1"/>
  <c r="E297" i="1"/>
  <c r="CZ288" i="1"/>
  <c r="CR289" i="1"/>
  <c r="CT289" i="1" s="1"/>
  <c r="CQ289" i="1"/>
  <c r="CS289" i="1" s="1"/>
  <c r="CK290" i="1"/>
  <c r="BR292" i="1"/>
  <c r="BT292" i="1" s="1"/>
  <c r="BV292" i="1" s="1"/>
  <c r="BS292" i="1"/>
  <c r="BU292" i="1" s="1"/>
  <c r="O296" i="1"/>
  <c r="P296" i="1"/>
  <c r="R296" i="1" s="1"/>
  <c r="CC291" i="1"/>
  <c r="CE291" i="1" s="1"/>
  <c r="CB291" i="1"/>
  <c r="CD291" i="1" s="1"/>
  <c r="BC294" i="1"/>
  <c r="BE294" i="1" s="1"/>
  <c r="BD294" i="1"/>
  <c r="BF294" i="1" s="1"/>
  <c r="BL293" i="1"/>
  <c r="DA288" i="1" l="1"/>
  <c r="DC288" i="1" s="1"/>
  <c r="DB288" i="1"/>
  <c r="DD288" i="1" s="1"/>
  <c r="BG294" i="1"/>
  <c r="BX292" i="1"/>
  <c r="BZ292" i="1" s="1"/>
  <c r="BW292" i="1"/>
  <c r="BY292" i="1" s="1"/>
  <c r="CA292" i="1" s="1"/>
  <c r="CU289" i="1"/>
  <c r="Q297" i="1"/>
  <c r="S297" i="1" s="1"/>
  <c r="G297" i="1"/>
  <c r="I297" i="1" s="1"/>
  <c r="AD296" i="1"/>
  <c r="AF296" i="1" s="1"/>
  <c r="AH296" i="1" s="1"/>
  <c r="AE296" i="1"/>
  <c r="AG296" i="1" s="1"/>
  <c r="CM290" i="1"/>
  <c r="CO290" i="1" s="1"/>
  <c r="CL290" i="1"/>
  <c r="CN290" i="1" s="1"/>
  <c r="BN293" i="1"/>
  <c r="BP293" i="1" s="1"/>
  <c r="BM293" i="1"/>
  <c r="BO293" i="1" s="1"/>
  <c r="BQ293" i="1" s="1"/>
  <c r="CF291" i="1"/>
  <c r="AT295" i="1"/>
  <c r="AV295" i="1" s="1"/>
  <c r="AS295" i="1"/>
  <c r="AU295" i="1" s="1"/>
  <c r="AW295" i="1" s="1"/>
  <c r="J297" i="1" l="1"/>
  <c r="L297" i="1" s="1"/>
  <c r="N297" i="1" s="1"/>
  <c r="K297" i="1"/>
  <c r="M297" i="1" s="1"/>
  <c r="D298" i="1"/>
  <c r="CV289" i="1"/>
  <c r="CX289" i="1" s="1"/>
  <c r="CW289" i="1"/>
  <c r="CY289" i="1" s="1"/>
  <c r="T297" i="1"/>
  <c r="V297" i="1" s="1"/>
  <c r="X297" i="1" s="1"/>
  <c r="U297" i="1"/>
  <c r="W297" i="1" s="1"/>
  <c r="CB292" i="1"/>
  <c r="CD292" i="1" s="1"/>
  <c r="CC292" i="1"/>
  <c r="CE292" i="1" s="1"/>
  <c r="BI294" i="1"/>
  <c r="BK294" i="1" s="1"/>
  <c r="BH294" i="1"/>
  <c r="BJ294" i="1" s="1"/>
  <c r="BL294" i="1" s="1"/>
  <c r="AJ296" i="1"/>
  <c r="AL296" i="1" s="1"/>
  <c r="AI296" i="1"/>
  <c r="AK296" i="1" s="1"/>
  <c r="AM296" i="1" s="1"/>
  <c r="AY295" i="1"/>
  <c r="BA295" i="1" s="1"/>
  <c r="AX295" i="1"/>
  <c r="AZ295" i="1" s="1"/>
  <c r="BB295" i="1" s="1"/>
  <c r="CH291" i="1"/>
  <c r="CJ291" i="1" s="1"/>
  <c r="CG291" i="1"/>
  <c r="CI291" i="1" s="1"/>
  <c r="BR293" i="1"/>
  <c r="BT293" i="1" s="1"/>
  <c r="BV293" i="1" s="1"/>
  <c r="BS293" i="1"/>
  <c r="BU293" i="1" s="1"/>
  <c r="CP290" i="1"/>
  <c r="BX293" i="1" l="1"/>
  <c r="BZ293" i="1" s="1"/>
  <c r="BW293" i="1"/>
  <c r="BY293" i="1" s="1"/>
  <c r="CR290" i="1"/>
  <c r="CT290" i="1" s="1"/>
  <c r="CQ290" i="1"/>
  <c r="CS290" i="1" s="1"/>
  <c r="Z297" i="1"/>
  <c r="AB297" i="1" s="1"/>
  <c r="Y297" i="1"/>
  <c r="AA297" i="1" s="1"/>
  <c r="AC297" i="1" s="1"/>
  <c r="BN294" i="1"/>
  <c r="BP294" i="1" s="1"/>
  <c r="BM294" i="1"/>
  <c r="BO294" i="1" s="1"/>
  <c r="BQ294" i="1" s="1"/>
  <c r="CF292" i="1"/>
  <c r="CZ289" i="1"/>
  <c r="E298" i="1"/>
  <c r="F298" i="1"/>
  <c r="H298" i="1" s="1"/>
  <c r="CK291" i="1"/>
  <c r="BD295" i="1"/>
  <c r="BF295" i="1" s="1"/>
  <c r="BC295" i="1"/>
  <c r="BE295" i="1" s="1"/>
  <c r="BG295" i="1" s="1"/>
  <c r="AN296" i="1"/>
  <c r="AP296" i="1" s="1"/>
  <c r="AR296" i="1" s="1"/>
  <c r="AO296" i="1"/>
  <c r="AQ296" i="1" s="1"/>
  <c r="P297" i="1"/>
  <c r="R297" i="1" s="1"/>
  <c r="O297" i="1"/>
  <c r="G298" i="1" l="1"/>
  <c r="I298" i="1" s="1"/>
  <c r="Q298" i="1"/>
  <c r="S298" i="1" s="1"/>
  <c r="BR294" i="1"/>
  <c r="BT294" i="1" s="1"/>
  <c r="BS294" i="1"/>
  <c r="BU294" i="1" s="1"/>
  <c r="DB289" i="1"/>
  <c r="DD289" i="1" s="1"/>
  <c r="DA289" i="1"/>
  <c r="DC289" i="1" s="1"/>
  <c r="AT296" i="1"/>
  <c r="AV296" i="1" s="1"/>
  <c r="AS296" i="1"/>
  <c r="AU296" i="1" s="1"/>
  <c r="AW296" i="1" s="1"/>
  <c r="CH292" i="1"/>
  <c r="CJ292" i="1" s="1"/>
  <c r="CG292" i="1"/>
  <c r="CI292" i="1" s="1"/>
  <c r="CK292" i="1" s="1"/>
  <c r="AD297" i="1"/>
  <c r="AF297" i="1" s="1"/>
  <c r="AH297" i="1" s="1"/>
  <c r="AE297" i="1"/>
  <c r="AG297" i="1" s="1"/>
  <c r="BI295" i="1"/>
  <c r="BK295" i="1" s="1"/>
  <c r="BH295" i="1"/>
  <c r="BJ295" i="1" s="1"/>
  <c r="BL295" i="1" s="1"/>
  <c r="CU290" i="1"/>
  <c r="CM291" i="1"/>
  <c r="CO291" i="1" s="1"/>
  <c r="CL291" i="1"/>
  <c r="CN291" i="1" s="1"/>
  <c r="CP291" i="1" s="1"/>
  <c r="CA293" i="1"/>
  <c r="AY296" i="1" l="1"/>
  <c r="BA296" i="1" s="1"/>
  <c r="AX296" i="1"/>
  <c r="AZ296" i="1" s="1"/>
  <c r="BB296" i="1" s="1"/>
  <c r="CL292" i="1"/>
  <c r="CN292" i="1" s="1"/>
  <c r="CM292" i="1"/>
  <c r="CO292" i="1" s="1"/>
  <c r="CB293" i="1"/>
  <c r="CD293" i="1" s="1"/>
  <c r="CF293" i="1" s="1"/>
  <c r="CC293" i="1"/>
  <c r="CE293" i="1" s="1"/>
  <c r="CQ291" i="1"/>
  <c r="CS291" i="1" s="1"/>
  <c r="CR291" i="1"/>
  <c r="CT291" i="1" s="1"/>
  <c r="T298" i="1"/>
  <c r="V298" i="1" s="1"/>
  <c r="X298" i="1" s="1"/>
  <c r="U298" i="1"/>
  <c r="W298" i="1" s="1"/>
  <c r="AJ297" i="1"/>
  <c r="AL297" i="1" s="1"/>
  <c r="AI297" i="1"/>
  <c r="AK297" i="1" s="1"/>
  <c r="AM297" i="1" s="1"/>
  <c r="CV290" i="1"/>
  <c r="CX290" i="1" s="1"/>
  <c r="CW290" i="1"/>
  <c r="CY290" i="1" s="1"/>
  <c r="BN295" i="1"/>
  <c r="BP295" i="1" s="1"/>
  <c r="BM295" i="1"/>
  <c r="BO295" i="1" s="1"/>
  <c r="BV294" i="1"/>
  <c r="J298" i="1"/>
  <c r="L298" i="1" s="1"/>
  <c r="N298" i="1" s="1"/>
  <c r="K298" i="1"/>
  <c r="M298" i="1" s="1"/>
  <c r="D299" i="1"/>
  <c r="AN297" i="1" l="1"/>
  <c r="AP297" i="1" s="1"/>
  <c r="AR297" i="1" s="1"/>
  <c r="AO297" i="1"/>
  <c r="AQ297" i="1" s="1"/>
  <c r="Z298" i="1"/>
  <c r="AB298" i="1" s="1"/>
  <c r="Y298" i="1"/>
  <c r="AA298" i="1" s="1"/>
  <c r="AC298" i="1" s="1"/>
  <c r="F299" i="1"/>
  <c r="H299" i="1" s="1"/>
  <c r="E299" i="1"/>
  <c r="P298" i="1"/>
  <c r="R298" i="1" s="1"/>
  <c r="O298" i="1"/>
  <c r="CH293" i="1"/>
  <c r="CJ293" i="1" s="1"/>
  <c r="CG293" i="1"/>
  <c r="CI293" i="1" s="1"/>
  <c r="CU291" i="1"/>
  <c r="BX294" i="1"/>
  <c r="BZ294" i="1" s="1"/>
  <c r="BW294" i="1"/>
  <c r="BY294" i="1" s="1"/>
  <c r="CA294" i="1" s="1"/>
  <c r="BQ295" i="1"/>
  <c r="BD296" i="1"/>
  <c r="BF296" i="1" s="1"/>
  <c r="BC296" i="1"/>
  <c r="BE296" i="1" s="1"/>
  <c r="BG296" i="1" s="1"/>
  <c r="CZ290" i="1"/>
  <c r="CV291" i="1" l="1"/>
  <c r="CX291" i="1" s="1"/>
  <c r="CW291" i="1"/>
  <c r="CY291" i="1" s="1"/>
  <c r="DA290" i="1"/>
  <c r="DC290" i="1" s="1"/>
  <c r="DB290" i="1"/>
  <c r="DD290" i="1" s="1"/>
  <c r="CZ291" i="1"/>
  <c r="G299" i="1"/>
  <c r="I299" i="1" s="1"/>
  <c r="Q299" i="1"/>
  <c r="S299" i="1" s="1"/>
  <c r="BH296" i="1"/>
  <c r="BJ296" i="1" s="1"/>
  <c r="BL296" i="1" s="1"/>
  <c r="BI296" i="1"/>
  <c r="BK296" i="1" s="1"/>
  <c r="CP292" i="1"/>
  <c r="CK293" i="1" s="1"/>
  <c r="CB294" i="1"/>
  <c r="CD294" i="1" s="1"/>
  <c r="CC294" i="1"/>
  <c r="CE294" i="1" s="1"/>
  <c r="AE298" i="1"/>
  <c r="AG298" i="1" s="1"/>
  <c r="AD298" i="1"/>
  <c r="AF298" i="1" s="1"/>
  <c r="AH298" i="1" s="1"/>
  <c r="BR295" i="1"/>
  <c r="BT295" i="1" s="1"/>
  <c r="BV295" i="1" s="1"/>
  <c r="BS295" i="1"/>
  <c r="BU295" i="1" s="1"/>
  <c r="AT297" i="1"/>
  <c r="AV297" i="1" s="1"/>
  <c r="AS297" i="1"/>
  <c r="AU297" i="1" s="1"/>
  <c r="AW297" i="1" s="1"/>
  <c r="CL293" i="1" l="1"/>
  <c r="CN293" i="1" s="1"/>
  <c r="CM293" i="1"/>
  <c r="CO293" i="1" s="1"/>
  <c r="BN296" i="1"/>
  <c r="BP296" i="1" s="1"/>
  <c r="BM296" i="1"/>
  <c r="BO296" i="1" s="1"/>
  <c r="BQ296" i="1" s="1"/>
  <c r="J299" i="1"/>
  <c r="L299" i="1" s="1"/>
  <c r="N299" i="1" s="1"/>
  <c r="K299" i="1"/>
  <c r="M299" i="1" s="1"/>
  <c r="D300" i="1"/>
  <c r="DB291" i="1"/>
  <c r="DD291" i="1" s="1"/>
  <c r="DA291" i="1"/>
  <c r="DC291" i="1" s="1"/>
  <c r="CF294" i="1"/>
  <c r="CR292" i="1"/>
  <c r="CT292" i="1" s="1"/>
  <c r="CQ292" i="1"/>
  <c r="CS292" i="1" s="1"/>
  <c r="CU292" i="1" s="1"/>
  <c r="T299" i="1"/>
  <c r="V299" i="1" s="1"/>
  <c r="X299" i="1" s="1"/>
  <c r="U299" i="1"/>
  <c r="W299" i="1" s="1"/>
  <c r="BX295" i="1"/>
  <c r="BZ295" i="1" s="1"/>
  <c r="BW295" i="1"/>
  <c r="BY295" i="1" s="1"/>
  <c r="AJ298" i="1"/>
  <c r="AL298" i="1" s="1"/>
  <c r="AI298" i="1"/>
  <c r="AK298" i="1" s="1"/>
  <c r="AM298" i="1" s="1"/>
  <c r="AX297" i="1"/>
  <c r="AZ297" i="1" s="1"/>
  <c r="BB297" i="1" s="1"/>
  <c r="AY297" i="1"/>
  <c r="BA297" i="1" s="1"/>
  <c r="CA295" i="1" l="1"/>
  <c r="CG294" i="1"/>
  <c r="CI294" i="1" s="1"/>
  <c r="CH294" i="1"/>
  <c r="CJ294" i="1" s="1"/>
  <c r="AN298" i="1"/>
  <c r="AP298" i="1" s="1"/>
  <c r="AR298" i="1" s="1"/>
  <c r="AO298" i="1"/>
  <c r="AQ298" i="1" s="1"/>
  <c r="P299" i="1"/>
  <c r="R299" i="1" s="1"/>
  <c r="O299" i="1"/>
  <c r="Z299" i="1"/>
  <c r="AB299" i="1" s="1"/>
  <c r="Y299" i="1"/>
  <c r="AA299" i="1" s="1"/>
  <c r="AC299" i="1" s="1"/>
  <c r="BC297" i="1"/>
  <c r="BE297" i="1" s="1"/>
  <c r="BG297" i="1" s="1"/>
  <c r="BD297" i="1"/>
  <c r="BF297" i="1" s="1"/>
  <c r="E300" i="1"/>
  <c r="F300" i="1"/>
  <c r="H300" i="1" s="1"/>
  <c r="BR296" i="1"/>
  <c r="BT296" i="1" s="1"/>
  <c r="BV296" i="1" s="1"/>
  <c r="BS296" i="1"/>
  <c r="BU296" i="1" s="1"/>
  <c r="CV292" i="1"/>
  <c r="CX292" i="1" s="1"/>
  <c r="CW292" i="1"/>
  <c r="CY292" i="1" s="1"/>
  <c r="CP293" i="1"/>
  <c r="G300" i="1" l="1"/>
  <c r="I300" i="1" s="1"/>
  <c r="Q300" i="1"/>
  <c r="S300" i="1" s="1"/>
  <c r="BI297" i="1"/>
  <c r="BK297" i="1" s="1"/>
  <c r="BH297" i="1"/>
  <c r="BJ297" i="1" s="1"/>
  <c r="BL297" i="1" s="1"/>
  <c r="CZ292" i="1"/>
  <c r="AT298" i="1"/>
  <c r="AV298" i="1" s="1"/>
  <c r="AS298" i="1"/>
  <c r="AU298" i="1" s="1"/>
  <c r="AW298" i="1" s="1"/>
  <c r="CK294" i="1"/>
  <c r="AD299" i="1"/>
  <c r="AF299" i="1" s="1"/>
  <c r="AH299" i="1" s="1"/>
  <c r="AE299" i="1"/>
  <c r="AG299" i="1" s="1"/>
  <c r="CQ293" i="1"/>
  <c r="CS293" i="1" s="1"/>
  <c r="CU293" i="1" s="1"/>
  <c r="CR293" i="1"/>
  <c r="CT293" i="1" s="1"/>
  <c r="BX296" i="1"/>
  <c r="BZ296" i="1" s="1"/>
  <c r="BW296" i="1"/>
  <c r="BY296" i="1" s="1"/>
  <c r="CB295" i="1"/>
  <c r="CD295" i="1" s="1"/>
  <c r="CC295" i="1"/>
  <c r="CE295" i="1" s="1"/>
  <c r="CV293" i="1" l="1"/>
  <c r="CX293" i="1" s="1"/>
  <c r="CW293" i="1"/>
  <c r="CY293" i="1" s="1"/>
  <c r="AX298" i="1"/>
  <c r="AZ298" i="1" s="1"/>
  <c r="BB298" i="1" s="1"/>
  <c r="AY298" i="1"/>
  <c r="BA298" i="1" s="1"/>
  <c r="DB292" i="1"/>
  <c r="DD292" i="1" s="1"/>
  <c r="DA292" i="1"/>
  <c r="DC292" i="1" s="1"/>
  <c r="CZ293" i="1"/>
  <c r="BM297" i="1"/>
  <c r="BO297" i="1" s="1"/>
  <c r="BQ297" i="1" s="1"/>
  <c r="BN297" i="1"/>
  <c r="BP297" i="1" s="1"/>
  <c r="CA296" i="1"/>
  <c r="T300" i="1"/>
  <c r="V300" i="1" s="1"/>
  <c r="X300" i="1" s="1"/>
  <c r="U300" i="1"/>
  <c r="W300" i="1" s="1"/>
  <c r="AJ299" i="1"/>
  <c r="AL299" i="1" s="1"/>
  <c r="AI299" i="1"/>
  <c r="AK299" i="1" s="1"/>
  <c r="AM299" i="1" s="1"/>
  <c r="CM294" i="1"/>
  <c r="CO294" i="1" s="1"/>
  <c r="CL294" i="1"/>
  <c r="CN294" i="1" s="1"/>
  <c r="CP294" i="1" s="1"/>
  <c r="CF295" i="1"/>
  <c r="K300" i="1"/>
  <c r="M300" i="1" s="1"/>
  <c r="J300" i="1"/>
  <c r="L300" i="1" s="1"/>
  <c r="N300" i="1" s="1"/>
  <c r="D301" i="1"/>
  <c r="Z300" i="1" l="1"/>
  <c r="AB300" i="1" s="1"/>
  <c r="Y300" i="1"/>
  <c r="AA300" i="1" s="1"/>
  <c r="AC300" i="1" s="1"/>
  <c r="F301" i="1"/>
  <c r="H301" i="1" s="1"/>
  <c r="E301" i="1"/>
  <c r="BR297" i="1"/>
  <c r="BT297" i="1" s="1"/>
  <c r="BV297" i="1" s="1"/>
  <c r="BS297" i="1"/>
  <c r="BU297" i="1" s="1"/>
  <c r="CH295" i="1"/>
  <c r="CJ295" i="1" s="1"/>
  <c r="CG295" i="1"/>
  <c r="CI295" i="1" s="1"/>
  <c r="CK295" i="1" s="1"/>
  <c r="P300" i="1"/>
  <c r="R300" i="1" s="1"/>
  <c r="O300" i="1"/>
  <c r="AN299" i="1"/>
  <c r="AP299" i="1" s="1"/>
  <c r="AR299" i="1" s="1"/>
  <c r="AO299" i="1"/>
  <c r="AQ299" i="1" s="1"/>
  <c r="CB296" i="1"/>
  <c r="CD296" i="1" s="1"/>
  <c r="CC296" i="1"/>
  <c r="CE296" i="1" s="1"/>
  <c r="DB293" i="1"/>
  <c r="DD293" i="1" s="1"/>
  <c r="DA293" i="1"/>
  <c r="DC293" i="1" s="1"/>
  <c r="CR294" i="1"/>
  <c r="CT294" i="1" s="1"/>
  <c r="CQ294" i="1"/>
  <c r="CS294" i="1" s="1"/>
  <c r="CU294" i="1" s="1"/>
  <c r="BC298" i="1"/>
  <c r="BE298" i="1" s="1"/>
  <c r="BG298" i="1" s="1"/>
  <c r="BD298" i="1"/>
  <c r="BF298" i="1" s="1"/>
  <c r="BH298" i="1" l="1"/>
  <c r="BJ298" i="1" s="1"/>
  <c r="BL298" i="1" s="1"/>
  <c r="BI298" i="1"/>
  <c r="BK298" i="1" s="1"/>
  <c r="BX297" i="1"/>
  <c r="BZ297" i="1" s="1"/>
  <c r="BW297" i="1"/>
  <c r="BY297" i="1" s="1"/>
  <c r="CW294" i="1"/>
  <c r="CY294" i="1" s="1"/>
  <c r="CV294" i="1"/>
  <c r="CX294" i="1" s="1"/>
  <c r="CZ294" i="1" s="1"/>
  <c r="Q301" i="1"/>
  <c r="S301" i="1" s="1"/>
  <c r="G301" i="1"/>
  <c r="I301" i="1" s="1"/>
  <c r="AD300" i="1"/>
  <c r="AF300" i="1" s="1"/>
  <c r="AH300" i="1" s="1"/>
  <c r="AE300" i="1"/>
  <c r="AG300" i="1" s="1"/>
  <c r="AT299" i="1"/>
  <c r="AV299" i="1" s="1"/>
  <c r="AS299" i="1"/>
  <c r="AU299" i="1" s="1"/>
  <c r="AW299" i="1" s="1"/>
  <c r="CM295" i="1"/>
  <c r="CO295" i="1" s="1"/>
  <c r="CL295" i="1"/>
  <c r="CN295" i="1" s="1"/>
  <c r="CP295" i="1" s="1"/>
  <c r="CF296" i="1"/>
  <c r="AY299" i="1" l="1"/>
  <c r="BA299" i="1" s="1"/>
  <c r="AX299" i="1"/>
  <c r="AZ299" i="1" s="1"/>
  <c r="BB299" i="1" s="1"/>
  <c r="AI300" i="1"/>
  <c r="AK300" i="1" s="1"/>
  <c r="AM300" i="1" s="1"/>
  <c r="AJ300" i="1"/>
  <c r="AL300" i="1" s="1"/>
  <c r="DB294" i="1"/>
  <c r="DD294" i="1" s="1"/>
  <c r="DA294" i="1"/>
  <c r="DC294" i="1" s="1"/>
  <c r="J301" i="1"/>
  <c r="L301" i="1" s="1"/>
  <c r="N301" i="1" s="1"/>
  <c r="K301" i="1"/>
  <c r="M301" i="1" s="1"/>
  <c r="D302" i="1"/>
  <c r="CH296" i="1"/>
  <c r="CJ296" i="1" s="1"/>
  <c r="CG296" i="1"/>
  <c r="CI296" i="1" s="1"/>
  <c r="CK296" i="1" s="1"/>
  <c r="T301" i="1"/>
  <c r="V301" i="1" s="1"/>
  <c r="X301" i="1" s="1"/>
  <c r="U301" i="1"/>
  <c r="W301" i="1" s="1"/>
  <c r="CA297" i="1"/>
  <c r="CR295" i="1"/>
  <c r="CT295" i="1" s="1"/>
  <c r="CQ295" i="1"/>
  <c r="CS295" i="1" s="1"/>
  <c r="CU295" i="1" s="1"/>
  <c r="BM298" i="1"/>
  <c r="BO298" i="1" s="1"/>
  <c r="BQ298" i="1" s="1"/>
  <c r="BN298" i="1"/>
  <c r="BP298" i="1" s="1"/>
  <c r="CL296" i="1" l="1"/>
  <c r="CN296" i="1" s="1"/>
  <c r="CP296" i="1" s="1"/>
  <c r="CM296" i="1"/>
  <c r="CO296" i="1" s="1"/>
  <c r="P301" i="1"/>
  <c r="R301" i="1" s="1"/>
  <c r="O301" i="1"/>
  <c r="CV295" i="1"/>
  <c r="CX295" i="1" s="1"/>
  <c r="CW295" i="1"/>
  <c r="CY295" i="1" s="1"/>
  <c r="F302" i="1"/>
  <c r="H302" i="1" s="1"/>
  <c r="E302" i="1"/>
  <c r="CB297" i="1"/>
  <c r="CD297" i="1" s="1"/>
  <c r="CF297" i="1" s="1"/>
  <c r="CC297" i="1"/>
  <c r="CE297" i="1" s="1"/>
  <c r="BS298" i="1"/>
  <c r="BU298" i="1" s="1"/>
  <c r="BR298" i="1"/>
  <c r="BT298" i="1" s="1"/>
  <c r="BV298" i="1" s="1"/>
  <c r="AN300" i="1"/>
  <c r="AP300" i="1" s="1"/>
  <c r="AR300" i="1" s="1"/>
  <c r="AO300" i="1"/>
  <c r="AQ300" i="1" s="1"/>
  <c r="BC299" i="1"/>
  <c r="BE299" i="1" s="1"/>
  <c r="BG299" i="1" s="1"/>
  <c r="BD299" i="1"/>
  <c r="BF299" i="1" s="1"/>
  <c r="Z301" i="1"/>
  <c r="AB301" i="1" s="1"/>
  <c r="Y301" i="1"/>
  <c r="AA301" i="1" s="1"/>
  <c r="AC301" i="1" s="1"/>
  <c r="G302" i="1" l="1"/>
  <c r="I302" i="1" s="1"/>
  <c r="Q302" i="1"/>
  <c r="S302" i="1" s="1"/>
  <c r="CH297" i="1"/>
  <c r="CJ297" i="1" s="1"/>
  <c r="CG297" i="1"/>
  <c r="CI297" i="1" s="1"/>
  <c r="CK297" i="1" s="1"/>
  <c r="BI299" i="1"/>
  <c r="BK299" i="1" s="1"/>
  <c r="BH299" i="1"/>
  <c r="BJ299" i="1" s="1"/>
  <c r="BL299" i="1" s="1"/>
  <c r="AD301" i="1"/>
  <c r="AF301" i="1" s="1"/>
  <c r="AH301" i="1" s="1"/>
  <c r="AE301" i="1"/>
  <c r="AG301" i="1" s="1"/>
  <c r="CZ295" i="1"/>
  <c r="AS300" i="1"/>
  <c r="AU300" i="1" s="1"/>
  <c r="AW300" i="1" s="1"/>
  <c r="AT300" i="1"/>
  <c r="AV300" i="1" s="1"/>
  <c r="BX298" i="1"/>
  <c r="BZ298" i="1" s="1"/>
  <c r="BW298" i="1"/>
  <c r="BY298" i="1" s="1"/>
  <c r="CA298" i="1" s="1"/>
  <c r="CR296" i="1"/>
  <c r="CT296" i="1" s="1"/>
  <c r="CQ296" i="1"/>
  <c r="CS296" i="1" s="1"/>
  <c r="AX300" i="1" l="1"/>
  <c r="AZ300" i="1" s="1"/>
  <c r="BB300" i="1" s="1"/>
  <c r="AY300" i="1"/>
  <c r="BA300" i="1" s="1"/>
  <c r="AJ301" i="1"/>
  <c r="AL301" i="1" s="1"/>
  <c r="AI301" i="1"/>
  <c r="AK301" i="1" s="1"/>
  <c r="AM301" i="1" s="1"/>
  <c r="BM299" i="1"/>
  <c r="BO299" i="1" s="1"/>
  <c r="BQ299" i="1" s="1"/>
  <c r="BN299" i="1"/>
  <c r="BP299" i="1" s="1"/>
  <c r="U302" i="1"/>
  <c r="W302" i="1" s="1"/>
  <c r="T302" i="1"/>
  <c r="V302" i="1" s="1"/>
  <c r="X302" i="1" s="1"/>
  <c r="DB295" i="1"/>
  <c r="DD295" i="1" s="1"/>
  <c r="DA295" i="1"/>
  <c r="DC295" i="1" s="1"/>
  <c r="CL297" i="1"/>
  <c r="CN297" i="1" s="1"/>
  <c r="CP297" i="1" s="1"/>
  <c r="CM297" i="1"/>
  <c r="CO297" i="1" s="1"/>
  <c r="CU296" i="1"/>
  <c r="CB298" i="1"/>
  <c r="CD298" i="1" s="1"/>
  <c r="CF298" i="1" s="1"/>
  <c r="CC298" i="1"/>
  <c r="CE298" i="1" s="1"/>
  <c r="K302" i="1"/>
  <c r="M302" i="1" s="1"/>
  <c r="J302" i="1"/>
  <c r="L302" i="1" s="1"/>
  <c r="N302" i="1" s="1"/>
  <c r="D303" i="1"/>
  <c r="CR297" i="1" l="1"/>
  <c r="CT297" i="1" s="1"/>
  <c r="CQ297" i="1"/>
  <c r="CS297" i="1" s="1"/>
  <c r="P302" i="1"/>
  <c r="R302" i="1" s="1"/>
  <c r="O302" i="1"/>
  <c r="E303" i="1"/>
  <c r="F303" i="1"/>
  <c r="H303" i="1" s="1"/>
  <c r="AN301" i="1"/>
  <c r="AP301" i="1" s="1"/>
  <c r="AR301" i="1" s="1"/>
  <c r="AO301" i="1"/>
  <c r="AQ301" i="1" s="1"/>
  <c r="CW296" i="1"/>
  <c r="CY296" i="1" s="1"/>
  <c r="CV296" i="1"/>
  <c r="CX296" i="1" s="1"/>
  <c r="CZ296" i="1" s="1"/>
  <c r="Z302" i="1"/>
  <c r="AB302" i="1" s="1"/>
  <c r="Y302" i="1"/>
  <c r="AA302" i="1" s="1"/>
  <c r="AC302" i="1" s="1"/>
  <c r="BR299" i="1"/>
  <c r="BT299" i="1" s="1"/>
  <c r="BV299" i="1" s="1"/>
  <c r="BS299" i="1"/>
  <c r="BU299" i="1" s="1"/>
  <c r="CH298" i="1"/>
  <c r="CJ298" i="1" s="1"/>
  <c r="CG298" i="1"/>
  <c r="CI298" i="1" s="1"/>
  <c r="CK298" i="1" s="1"/>
  <c r="BD300" i="1"/>
  <c r="BF300" i="1" s="1"/>
  <c r="BC300" i="1"/>
  <c r="BE300" i="1" s="1"/>
  <c r="BG300" i="1" s="1"/>
  <c r="DA296" i="1" l="1"/>
  <c r="DC296" i="1" s="1"/>
  <c r="DB296" i="1"/>
  <c r="DD296" i="1" s="1"/>
  <c r="AT301" i="1"/>
  <c r="AV301" i="1" s="1"/>
  <c r="AS301" i="1"/>
  <c r="AU301" i="1" s="1"/>
  <c r="AW301" i="1" s="1"/>
  <c r="G303" i="1"/>
  <c r="I303" i="1" s="1"/>
  <c r="Q303" i="1"/>
  <c r="S303" i="1" s="1"/>
  <c r="BX299" i="1"/>
  <c r="BZ299" i="1" s="1"/>
  <c r="BW299" i="1"/>
  <c r="BY299" i="1" s="1"/>
  <c r="CA299" i="1" s="1"/>
  <c r="CU297" i="1"/>
  <c r="BI300" i="1"/>
  <c r="BK300" i="1" s="1"/>
  <c r="BH300" i="1"/>
  <c r="BJ300" i="1" s="1"/>
  <c r="BL300" i="1" s="1"/>
  <c r="CL298" i="1"/>
  <c r="CN298" i="1" s="1"/>
  <c r="CM298" i="1"/>
  <c r="CO298" i="1" s="1"/>
  <c r="AE302" i="1"/>
  <c r="AG302" i="1" s="1"/>
  <c r="AD302" i="1"/>
  <c r="AF302" i="1" s="1"/>
  <c r="AH302" i="1" s="1"/>
  <c r="CB299" i="1" l="1"/>
  <c r="CD299" i="1" s="1"/>
  <c r="CF299" i="1" s="1"/>
  <c r="CC299" i="1"/>
  <c r="CE299" i="1" s="1"/>
  <c r="J303" i="1"/>
  <c r="L303" i="1" s="1"/>
  <c r="N303" i="1" s="1"/>
  <c r="K303" i="1"/>
  <c r="M303" i="1" s="1"/>
  <c r="D304" i="1"/>
  <c r="AY301" i="1"/>
  <c r="BA301" i="1" s="1"/>
  <c r="AX301" i="1"/>
  <c r="AZ301" i="1" s="1"/>
  <c r="BB301" i="1" s="1"/>
  <c r="BN300" i="1"/>
  <c r="BP300" i="1" s="1"/>
  <c r="BM300" i="1"/>
  <c r="BO300" i="1" s="1"/>
  <c r="BQ300" i="1" s="1"/>
  <c r="CV297" i="1"/>
  <c r="CX297" i="1" s="1"/>
  <c r="CZ297" i="1" s="1"/>
  <c r="CW297" i="1"/>
  <c r="CY297" i="1" s="1"/>
  <c r="U303" i="1"/>
  <c r="W303" i="1" s="1"/>
  <c r="T303" i="1"/>
  <c r="V303" i="1" s="1"/>
  <c r="X303" i="1" s="1"/>
  <c r="AJ302" i="1"/>
  <c r="AL302" i="1" s="1"/>
  <c r="AI302" i="1"/>
  <c r="AK302" i="1" s="1"/>
  <c r="AM302" i="1" s="1"/>
  <c r="CP298" i="1"/>
  <c r="BC301" i="1" l="1"/>
  <c r="BE301" i="1" s="1"/>
  <c r="BG301" i="1" s="1"/>
  <c r="BD301" i="1"/>
  <c r="BF301" i="1" s="1"/>
  <c r="DA297" i="1"/>
  <c r="DC297" i="1" s="1"/>
  <c r="DB297" i="1"/>
  <c r="DD297" i="1" s="1"/>
  <c r="O303" i="1"/>
  <c r="P303" i="1"/>
  <c r="R303" i="1" s="1"/>
  <c r="BR300" i="1"/>
  <c r="BT300" i="1" s="1"/>
  <c r="BV300" i="1" s="1"/>
  <c r="BS300" i="1"/>
  <c r="BU300" i="1" s="1"/>
  <c r="F304" i="1"/>
  <c r="H304" i="1" s="1"/>
  <c r="E304" i="1"/>
  <c r="CR298" i="1"/>
  <c r="CT298" i="1" s="1"/>
  <c r="CQ298" i="1"/>
  <c r="CS298" i="1" s="1"/>
  <c r="CU298" i="1" s="1"/>
  <c r="AN302" i="1"/>
  <c r="AP302" i="1" s="1"/>
  <c r="AR302" i="1" s="1"/>
  <c r="AO302" i="1"/>
  <c r="AQ302" i="1" s="1"/>
  <c r="Z303" i="1"/>
  <c r="AB303" i="1" s="1"/>
  <c r="Y303" i="1"/>
  <c r="AA303" i="1" s="1"/>
  <c r="AC303" i="1" s="1"/>
  <c r="CH299" i="1"/>
  <c r="CJ299" i="1" s="1"/>
  <c r="CG299" i="1"/>
  <c r="CI299" i="1" s="1"/>
  <c r="CK299" i="1" s="1"/>
  <c r="BX300" i="1" l="1"/>
  <c r="BZ300" i="1" s="1"/>
  <c r="BW300" i="1"/>
  <c r="BY300" i="1" s="1"/>
  <c r="CA300" i="1" s="1"/>
  <c r="CL299" i="1"/>
  <c r="CN299" i="1" s="1"/>
  <c r="CP299" i="1" s="1"/>
  <c r="CM299" i="1"/>
  <c r="CO299" i="1" s="1"/>
  <c r="AS302" i="1"/>
  <c r="AU302" i="1" s="1"/>
  <c r="AW302" i="1" s="1"/>
  <c r="AT302" i="1"/>
  <c r="AV302" i="1" s="1"/>
  <c r="AD303" i="1"/>
  <c r="AF303" i="1" s="1"/>
  <c r="AH303" i="1" s="1"/>
  <c r="AE303" i="1"/>
  <c r="AG303" i="1" s="1"/>
  <c r="CW298" i="1"/>
  <c r="CY298" i="1" s="1"/>
  <c r="CV298" i="1"/>
  <c r="CX298" i="1" s="1"/>
  <c r="G304" i="1"/>
  <c r="I304" i="1" s="1"/>
  <c r="Q304" i="1"/>
  <c r="S304" i="1" s="1"/>
  <c r="BI301" i="1"/>
  <c r="BK301" i="1" s="1"/>
  <c r="BH301" i="1"/>
  <c r="BJ301" i="1" s="1"/>
  <c r="BL301" i="1" s="1"/>
  <c r="T304" i="1" l="1"/>
  <c r="V304" i="1" s="1"/>
  <c r="X304" i="1" s="1"/>
  <c r="U304" i="1"/>
  <c r="W304" i="1" s="1"/>
  <c r="AI303" i="1"/>
  <c r="AK303" i="1" s="1"/>
  <c r="AM303" i="1" s="1"/>
  <c r="AJ303" i="1"/>
  <c r="AL303" i="1" s="1"/>
  <c r="J304" i="1"/>
  <c r="L304" i="1" s="1"/>
  <c r="N304" i="1" s="1"/>
  <c r="K304" i="1"/>
  <c r="M304" i="1" s="1"/>
  <c r="D305" i="1"/>
  <c r="BM301" i="1"/>
  <c r="BO301" i="1" s="1"/>
  <c r="BQ301" i="1" s="1"/>
  <c r="BN301" i="1"/>
  <c r="BP301" i="1" s="1"/>
  <c r="CZ298" i="1"/>
  <c r="AX302" i="1"/>
  <c r="AZ302" i="1" s="1"/>
  <c r="BB302" i="1" s="1"/>
  <c r="AY302" i="1"/>
  <c r="BA302" i="1" s="1"/>
  <c r="CQ299" i="1"/>
  <c r="CS299" i="1" s="1"/>
  <c r="CR299" i="1"/>
  <c r="CT299" i="1" s="1"/>
  <c r="CC300" i="1"/>
  <c r="CE300" i="1" s="1"/>
  <c r="CB300" i="1"/>
  <c r="CD300" i="1" s="1"/>
  <c r="CF300" i="1" s="1"/>
  <c r="DB298" i="1" l="1"/>
  <c r="DD298" i="1" s="1"/>
  <c r="DA298" i="1"/>
  <c r="DC298" i="1" s="1"/>
  <c r="P304" i="1"/>
  <c r="R304" i="1" s="1"/>
  <c r="O304" i="1"/>
  <c r="BC302" i="1"/>
  <c r="BE302" i="1" s="1"/>
  <c r="BG302" i="1" s="1"/>
  <c r="BD302" i="1"/>
  <c r="BF302" i="1" s="1"/>
  <c r="BR301" i="1"/>
  <c r="BT301" i="1" s="1"/>
  <c r="BV301" i="1" s="1"/>
  <c r="BS301" i="1"/>
  <c r="BU301" i="1" s="1"/>
  <c r="F305" i="1"/>
  <c r="H305" i="1" s="1"/>
  <c r="E305" i="1"/>
  <c r="CH300" i="1"/>
  <c r="CJ300" i="1" s="1"/>
  <c r="CG300" i="1"/>
  <c r="CI300" i="1" s="1"/>
  <c r="CK300" i="1" s="1"/>
  <c r="AN303" i="1"/>
  <c r="AP303" i="1" s="1"/>
  <c r="AR303" i="1" s="1"/>
  <c r="AO303" i="1"/>
  <c r="AQ303" i="1" s="1"/>
  <c r="CU299" i="1"/>
  <c r="Z304" i="1"/>
  <c r="AB304" i="1" s="1"/>
  <c r="Y304" i="1"/>
  <c r="AA304" i="1" s="1"/>
  <c r="AC304" i="1" s="1"/>
  <c r="BW301" i="1" l="1"/>
  <c r="BY301" i="1" s="1"/>
  <c r="CA301" i="1" s="1"/>
  <c r="BX301" i="1"/>
  <c r="BZ301" i="1" s="1"/>
  <c r="BH302" i="1"/>
  <c r="BJ302" i="1" s="1"/>
  <c r="BL302" i="1" s="1"/>
  <c r="BI302" i="1"/>
  <c r="BK302" i="1" s="1"/>
  <c r="CV299" i="1"/>
  <c r="CX299" i="1" s="1"/>
  <c r="CZ299" i="1" s="1"/>
  <c r="CW299" i="1"/>
  <c r="CY299" i="1" s="1"/>
  <c r="AT303" i="1"/>
  <c r="AV303" i="1" s="1"/>
  <c r="AS303" i="1"/>
  <c r="AU303" i="1" s="1"/>
  <c r="AW303" i="1" s="1"/>
  <c r="Q305" i="1"/>
  <c r="S305" i="1" s="1"/>
  <c r="G305" i="1"/>
  <c r="I305" i="1" s="1"/>
  <c r="AD304" i="1"/>
  <c r="AF304" i="1" s="1"/>
  <c r="AH304" i="1" s="1"/>
  <c r="AE304" i="1"/>
  <c r="AG304" i="1" s="1"/>
  <c r="CL300" i="1"/>
  <c r="CN300" i="1" s="1"/>
  <c r="CP300" i="1" s="1"/>
  <c r="CM300" i="1"/>
  <c r="CO300" i="1" s="1"/>
  <c r="J305" i="1" l="1"/>
  <c r="L305" i="1" s="1"/>
  <c r="N305" i="1" s="1"/>
  <c r="K305" i="1"/>
  <c r="M305" i="1" s="1"/>
  <c r="D306" i="1"/>
  <c r="DA299" i="1"/>
  <c r="DC299" i="1" s="1"/>
  <c r="DB299" i="1"/>
  <c r="DD299" i="1" s="1"/>
  <c r="AX303" i="1"/>
  <c r="AZ303" i="1" s="1"/>
  <c r="BB303" i="1" s="1"/>
  <c r="AY303" i="1"/>
  <c r="BA303" i="1" s="1"/>
  <c r="AJ304" i="1"/>
  <c r="AL304" i="1" s="1"/>
  <c r="AI304" i="1"/>
  <c r="AK304" i="1" s="1"/>
  <c r="AM304" i="1" s="1"/>
  <c r="T305" i="1"/>
  <c r="V305" i="1" s="1"/>
  <c r="X305" i="1" s="1"/>
  <c r="U305" i="1"/>
  <c r="W305" i="1" s="1"/>
  <c r="BN302" i="1"/>
  <c r="BP302" i="1" s="1"/>
  <c r="BM302" i="1"/>
  <c r="BO302" i="1" s="1"/>
  <c r="BQ302" i="1" s="1"/>
  <c r="CR300" i="1"/>
  <c r="CT300" i="1" s="1"/>
  <c r="CQ300" i="1"/>
  <c r="CS300" i="1" s="1"/>
  <c r="CU300" i="1" s="1"/>
  <c r="CC301" i="1"/>
  <c r="CE301" i="1" s="1"/>
  <c r="CB301" i="1"/>
  <c r="CD301" i="1" s="1"/>
  <c r="CF301" i="1" s="1"/>
  <c r="Z305" i="1" l="1"/>
  <c r="AB305" i="1" s="1"/>
  <c r="Y305" i="1"/>
  <c r="AA305" i="1" s="1"/>
  <c r="AC305" i="1" s="1"/>
  <c r="BC303" i="1"/>
  <c r="BE303" i="1" s="1"/>
  <c r="BG303" i="1" s="1"/>
  <c r="BD303" i="1"/>
  <c r="BF303" i="1" s="1"/>
  <c r="CV300" i="1"/>
  <c r="CX300" i="1" s="1"/>
  <c r="CW300" i="1"/>
  <c r="CY300" i="1" s="1"/>
  <c r="AN304" i="1"/>
  <c r="AP304" i="1" s="1"/>
  <c r="AR304" i="1" s="1"/>
  <c r="AO304" i="1"/>
  <c r="AQ304" i="1" s="1"/>
  <c r="F306" i="1"/>
  <c r="H306" i="1" s="1"/>
  <c r="E306" i="1"/>
  <c r="CH301" i="1"/>
  <c r="CJ301" i="1" s="1"/>
  <c r="CG301" i="1"/>
  <c r="CI301" i="1" s="1"/>
  <c r="CK301" i="1" s="1"/>
  <c r="BR302" i="1"/>
  <c r="BT302" i="1" s="1"/>
  <c r="BV302" i="1" s="1"/>
  <c r="BS302" i="1"/>
  <c r="BU302" i="1" s="1"/>
  <c r="P305" i="1"/>
  <c r="R305" i="1" s="1"/>
  <c r="O305" i="1"/>
  <c r="AT304" i="1" l="1"/>
  <c r="AV304" i="1" s="1"/>
  <c r="AS304" i="1"/>
  <c r="AU304" i="1" s="1"/>
  <c r="AW304" i="1" s="1"/>
  <c r="AE305" i="1"/>
  <c r="AG305" i="1" s="1"/>
  <c r="AD305" i="1"/>
  <c r="AF305" i="1" s="1"/>
  <c r="AH305" i="1" s="1"/>
  <c r="G306" i="1"/>
  <c r="I306" i="1" s="1"/>
  <c r="Q306" i="1"/>
  <c r="S306" i="1" s="1"/>
  <c r="CZ300" i="1"/>
  <c r="BH303" i="1"/>
  <c r="BJ303" i="1" s="1"/>
  <c r="BL303" i="1" s="1"/>
  <c r="BI303" i="1"/>
  <c r="BK303" i="1" s="1"/>
  <c r="BX302" i="1"/>
  <c r="BZ302" i="1" s="1"/>
  <c r="BW302" i="1"/>
  <c r="BY302" i="1" s="1"/>
  <c r="CA302" i="1" s="1"/>
  <c r="CL301" i="1"/>
  <c r="CN301" i="1" s="1"/>
  <c r="CP301" i="1" s="1"/>
  <c r="CM301" i="1"/>
  <c r="CO301" i="1" s="1"/>
  <c r="CQ301" i="1" l="1"/>
  <c r="CS301" i="1" s="1"/>
  <c r="CU301" i="1" s="1"/>
  <c r="CR301" i="1"/>
  <c r="CT301" i="1" s="1"/>
  <c r="DB300" i="1"/>
  <c r="DD300" i="1" s="1"/>
  <c r="DA300" i="1"/>
  <c r="DC300" i="1" s="1"/>
  <c r="CB302" i="1"/>
  <c r="CD302" i="1" s="1"/>
  <c r="CF302" i="1" s="1"/>
  <c r="CC302" i="1"/>
  <c r="CE302" i="1" s="1"/>
  <c r="J306" i="1"/>
  <c r="L306" i="1" s="1"/>
  <c r="N306" i="1" s="1"/>
  <c r="K306" i="1"/>
  <c r="M306" i="1" s="1"/>
  <c r="D307" i="1"/>
  <c r="BN303" i="1"/>
  <c r="BP303" i="1" s="1"/>
  <c r="BM303" i="1"/>
  <c r="BO303" i="1" s="1"/>
  <c r="BQ303" i="1" s="1"/>
  <c r="U306" i="1"/>
  <c r="W306" i="1" s="1"/>
  <c r="T306" i="1"/>
  <c r="V306" i="1" s="1"/>
  <c r="X306" i="1" s="1"/>
  <c r="AJ305" i="1"/>
  <c r="AL305" i="1" s="1"/>
  <c r="AI305" i="1"/>
  <c r="AK305" i="1" s="1"/>
  <c r="AM305" i="1" s="1"/>
  <c r="AX304" i="1"/>
  <c r="AZ304" i="1" s="1"/>
  <c r="BB304" i="1" s="1"/>
  <c r="AY304" i="1"/>
  <c r="BA304" i="1" s="1"/>
  <c r="F307" i="1" l="1"/>
  <c r="H307" i="1" s="1"/>
  <c r="E307" i="1"/>
  <c r="CG302" i="1"/>
  <c r="CI302" i="1" s="1"/>
  <c r="CK302" i="1" s="1"/>
  <c r="CH302" i="1"/>
  <c r="CJ302" i="1" s="1"/>
  <c r="BS303" i="1"/>
  <c r="BU303" i="1" s="1"/>
  <c r="BR303" i="1"/>
  <c r="BT303" i="1" s="1"/>
  <c r="BV303" i="1" s="1"/>
  <c r="BD304" i="1"/>
  <c r="BF304" i="1" s="1"/>
  <c r="BC304" i="1"/>
  <c r="BE304" i="1" s="1"/>
  <c r="BG304" i="1" s="1"/>
  <c r="P306" i="1"/>
  <c r="R306" i="1" s="1"/>
  <c r="O306" i="1"/>
  <c r="AN305" i="1"/>
  <c r="AP305" i="1" s="1"/>
  <c r="AR305" i="1" s="1"/>
  <c r="AO305" i="1"/>
  <c r="AQ305" i="1" s="1"/>
  <c r="Y306" i="1"/>
  <c r="AA306" i="1" s="1"/>
  <c r="AC306" i="1" s="1"/>
  <c r="Z306" i="1"/>
  <c r="AB306" i="1" s="1"/>
  <c r="CV301" i="1"/>
  <c r="CX301" i="1" s="1"/>
  <c r="CW301" i="1"/>
  <c r="CY301" i="1" s="1"/>
  <c r="AT305" i="1" l="1"/>
  <c r="AV305" i="1" s="1"/>
  <c r="AS305" i="1"/>
  <c r="AU305" i="1" s="1"/>
  <c r="AW305" i="1" s="1"/>
  <c r="BW303" i="1"/>
  <c r="BY303" i="1" s="1"/>
  <c r="CA303" i="1" s="1"/>
  <c r="BX303" i="1"/>
  <c r="BZ303" i="1" s="1"/>
  <c r="BH304" i="1"/>
  <c r="BJ304" i="1" s="1"/>
  <c r="BL304" i="1" s="1"/>
  <c r="BI304" i="1"/>
  <c r="BK304" i="1" s="1"/>
  <c r="CM302" i="1"/>
  <c r="CO302" i="1" s="1"/>
  <c r="CL302" i="1"/>
  <c r="CN302" i="1" s="1"/>
  <c r="CP302" i="1" s="1"/>
  <c r="CZ301" i="1"/>
  <c r="AD306" i="1"/>
  <c r="AF306" i="1" s="1"/>
  <c r="AH306" i="1" s="1"/>
  <c r="AE306" i="1"/>
  <c r="AG306" i="1" s="1"/>
  <c r="G307" i="1"/>
  <c r="I307" i="1" s="1"/>
  <c r="Q307" i="1"/>
  <c r="S307" i="1" s="1"/>
  <c r="J307" i="1" l="1"/>
  <c r="L307" i="1" s="1"/>
  <c r="N307" i="1" s="1"/>
  <c r="K307" i="1"/>
  <c r="M307" i="1" s="1"/>
  <c r="D308" i="1"/>
  <c r="AJ306" i="1"/>
  <c r="AL306" i="1" s="1"/>
  <c r="AI306" i="1"/>
  <c r="AK306" i="1" s="1"/>
  <c r="AM306" i="1" s="1"/>
  <c r="DA301" i="1"/>
  <c r="DC301" i="1" s="1"/>
  <c r="DB301" i="1"/>
  <c r="DD301" i="1" s="1"/>
  <c r="BN304" i="1"/>
  <c r="BP304" i="1" s="1"/>
  <c r="BM304" i="1"/>
  <c r="BO304" i="1" s="1"/>
  <c r="BQ304" i="1" s="1"/>
  <c r="CR302" i="1"/>
  <c r="CT302" i="1" s="1"/>
  <c r="CQ302" i="1"/>
  <c r="CS302" i="1" s="1"/>
  <c r="CU302" i="1" s="1"/>
  <c r="CB303" i="1"/>
  <c r="CD303" i="1" s="1"/>
  <c r="CF303" i="1" s="1"/>
  <c r="CC303" i="1"/>
  <c r="CE303" i="1" s="1"/>
  <c r="AX305" i="1"/>
  <c r="AZ305" i="1" s="1"/>
  <c r="BB305" i="1" s="1"/>
  <c r="AY305" i="1"/>
  <c r="BA305" i="1" s="1"/>
  <c r="T307" i="1"/>
  <c r="V307" i="1" s="1"/>
  <c r="X307" i="1" s="1"/>
  <c r="U307" i="1"/>
  <c r="W307" i="1" s="1"/>
  <c r="BR304" i="1" l="1"/>
  <c r="BT304" i="1" s="1"/>
  <c r="BV304" i="1" s="1"/>
  <c r="BS304" i="1"/>
  <c r="BU304" i="1" s="1"/>
  <c r="Z307" i="1"/>
  <c r="AB307" i="1" s="1"/>
  <c r="Y307" i="1"/>
  <c r="AA307" i="1" s="1"/>
  <c r="AC307" i="1" s="1"/>
  <c r="CV302" i="1"/>
  <c r="CX302" i="1" s="1"/>
  <c r="CW302" i="1"/>
  <c r="CY302" i="1" s="1"/>
  <c r="AN306" i="1"/>
  <c r="AP306" i="1" s="1"/>
  <c r="AR306" i="1" s="1"/>
  <c r="AO306" i="1"/>
  <c r="AQ306" i="1" s="1"/>
  <c r="BD305" i="1"/>
  <c r="BF305" i="1" s="1"/>
  <c r="BC305" i="1"/>
  <c r="BE305" i="1" s="1"/>
  <c r="BG305" i="1" s="1"/>
  <c r="F308" i="1"/>
  <c r="H308" i="1" s="1"/>
  <c r="E308" i="1"/>
  <c r="CH303" i="1"/>
  <c r="CJ303" i="1" s="1"/>
  <c r="CG303" i="1"/>
  <c r="CI303" i="1" s="1"/>
  <c r="CK303" i="1" s="1"/>
  <c r="O307" i="1"/>
  <c r="P307" i="1"/>
  <c r="R307" i="1" s="1"/>
  <c r="BI305" i="1" l="1"/>
  <c r="BK305" i="1" s="1"/>
  <c r="BH305" i="1"/>
  <c r="BJ305" i="1" s="1"/>
  <c r="BL305" i="1" s="1"/>
  <c r="Q308" i="1"/>
  <c r="S308" i="1" s="1"/>
  <c r="G308" i="1"/>
  <c r="I308" i="1" s="1"/>
  <c r="CZ302" i="1"/>
  <c r="AD307" i="1"/>
  <c r="AF307" i="1" s="1"/>
  <c r="AH307" i="1" s="1"/>
  <c r="AE307" i="1"/>
  <c r="AG307" i="1" s="1"/>
  <c r="AT306" i="1"/>
  <c r="AV306" i="1" s="1"/>
  <c r="AS306" i="1"/>
  <c r="AU306" i="1" s="1"/>
  <c r="AW306" i="1" s="1"/>
  <c r="CL303" i="1"/>
  <c r="CN303" i="1" s="1"/>
  <c r="CP303" i="1" s="1"/>
  <c r="CM303" i="1"/>
  <c r="CO303" i="1" s="1"/>
  <c r="BW304" i="1"/>
  <c r="BY304" i="1" s="1"/>
  <c r="CA304" i="1" s="1"/>
  <c r="BX304" i="1"/>
  <c r="BZ304" i="1" s="1"/>
  <c r="AX306" i="1" l="1"/>
  <c r="AZ306" i="1" s="1"/>
  <c r="BB306" i="1" s="1"/>
  <c r="AY306" i="1"/>
  <c r="BA306" i="1" s="1"/>
  <c r="CC304" i="1"/>
  <c r="CE304" i="1" s="1"/>
  <c r="CB304" i="1"/>
  <c r="CD304" i="1" s="1"/>
  <c r="CF304" i="1" s="1"/>
  <c r="J308" i="1"/>
  <c r="L308" i="1" s="1"/>
  <c r="N308" i="1" s="1"/>
  <c r="K308" i="1"/>
  <c r="M308" i="1" s="1"/>
  <c r="D309" i="1"/>
  <c r="DB302" i="1"/>
  <c r="DD302" i="1" s="1"/>
  <c r="DA302" i="1"/>
  <c r="DC302" i="1" s="1"/>
  <c r="CR303" i="1"/>
  <c r="CT303" i="1" s="1"/>
  <c r="CQ303" i="1"/>
  <c r="CS303" i="1" s="1"/>
  <c r="CU303" i="1" s="1"/>
  <c r="AJ307" i="1"/>
  <c r="AL307" i="1" s="1"/>
  <c r="AI307" i="1"/>
  <c r="AK307" i="1" s="1"/>
  <c r="AM307" i="1" s="1"/>
  <c r="T308" i="1"/>
  <c r="V308" i="1" s="1"/>
  <c r="X308" i="1" s="1"/>
  <c r="U308" i="1"/>
  <c r="W308" i="1" s="1"/>
  <c r="BM305" i="1"/>
  <c r="BO305" i="1" s="1"/>
  <c r="BQ305" i="1" s="1"/>
  <c r="BN305" i="1"/>
  <c r="BP305" i="1" s="1"/>
  <c r="BR305" i="1" l="1"/>
  <c r="BT305" i="1" s="1"/>
  <c r="BV305" i="1" s="1"/>
  <c r="BS305" i="1"/>
  <c r="BU305" i="1" s="1"/>
  <c r="P308" i="1"/>
  <c r="R308" i="1" s="1"/>
  <c r="O308" i="1"/>
  <c r="Z308" i="1"/>
  <c r="AB308" i="1" s="1"/>
  <c r="Y308" i="1"/>
  <c r="AA308" i="1" s="1"/>
  <c r="AC308" i="1" s="1"/>
  <c r="CV303" i="1"/>
  <c r="CX303" i="1" s="1"/>
  <c r="CZ303" i="1" s="1"/>
  <c r="CW303" i="1"/>
  <c r="CY303" i="1" s="1"/>
  <c r="F309" i="1"/>
  <c r="H309" i="1" s="1"/>
  <c r="E309" i="1"/>
  <c r="CG304" i="1"/>
  <c r="CI304" i="1" s="1"/>
  <c r="CK304" i="1" s="1"/>
  <c r="CH304" i="1"/>
  <c r="CJ304" i="1" s="1"/>
  <c r="AN307" i="1"/>
  <c r="AP307" i="1" s="1"/>
  <c r="AR307" i="1" s="1"/>
  <c r="AO307" i="1"/>
  <c r="AQ307" i="1" s="1"/>
  <c r="BC306" i="1"/>
  <c r="BE306" i="1" s="1"/>
  <c r="BG306" i="1" s="1"/>
  <c r="BD306" i="1"/>
  <c r="BF306" i="1" s="1"/>
  <c r="CL304" i="1" l="1"/>
  <c r="CN304" i="1" s="1"/>
  <c r="CP304" i="1" s="1"/>
  <c r="CM304" i="1"/>
  <c r="CO304" i="1" s="1"/>
  <c r="BI306" i="1"/>
  <c r="BK306" i="1" s="1"/>
  <c r="BH306" i="1"/>
  <c r="BJ306" i="1" s="1"/>
  <c r="BL306" i="1" s="1"/>
  <c r="DA303" i="1"/>
  <c r="DC303" i="1" s="1"/>
  <c r="DB303" i="1"/>
  <c r="DD303" i="1" s="1"/>
  <c r="AD308" i="1"/>
  <c r="AF308" i="1" s="1"/>
  <c r="AH308" i="1" s="1"/>
  <c r="AE308" i="1"/>
  <c r="AG308" i="1" s="1"/>
  <c r="G309" i="1"/>
  <c r="I309" i="1" s="1"/>
  <c r="Q309" i="1"/>
  <c r="S309" i="1" s="1"/>
  <c r="AS307" i="1"/>
  <c r="AU307" i="1" s="1"/>
  <c r="AW307" i="1" s="1"/>
  <c r="AT307" i="1"/>
  <c r="AV307" i="1" s="1"/>
  <c r="BX305" i="1"/>
  <c r="BZ305" i="1" s="1"/>
  <c r="BW305" i="1"/>
  <c r="BY305" i="1" s="1"/>
  <c r="CA305" i="1" s="1"/>
  <c r="T309" i="1" l="1"/>
  <c r="V309" i="1" s="1"/>
  <c r="X309" i="1" s="1"/>
  <c r="U309" i="1"/>
  <c r="W309" i="1" s="1"/>
  <c r="BM306" i="1"/>
  <c r="BO306" i="1" s="1"/>
  <c r="BQ306" i="1" s="1"/>
  <c r="BN306" i="1"/>
  <c r="BP306" i="1" s="1"/>
  <c r="J309" i="1"/>
  <c r="L309" i="1" s="1"/>
  <c r="N309" i="1" s="1"/>
  <c r="K309" i="1"/>
  <c r="M309" i="1" s="1"/>
  <c r="D310" i="1"/>
  <c r="CB305" i="1"/>
  <c r="CD305" i="1" s="1"/>
  <c r="CF305" i="1" s="1"/>
  <c r="CC305" i="1"/>
  <c r="CE305" i="1" s="1"/>
  <c r="AI308" i="1"/>
  <c r="AK308" i="1" s="1"/>
  <c r="AM308" i="1" s="1"/>
  <c r="AJ308" i="1"/>
  <c r="AL308" i="1" s="1"/>
  <c r="AY307" i="1"/>
  <c r="BA307" i="1" s="1"/>
  <c r="AX307" i="1"/>
  <c r="AZ307" i="1" s="1"/>
  <c r="BB307" i="1" s="1"/>
  <c r="CR304" i="1"/>
  <c r="CT304" i="1" s="1"/>
  <c r="CQ304" i="1"/>
  <c r="CS304" i="1" s="1"/>
  <c r="CU304" i="1" s="1"/>
  <c r="CH305" i="1" l="1"/>
  <c r="CJ305" i="1" s="1"/>
  <c r="CG305" i="1"/>
  <c r="CI305" i="1" s="1"/>
  <c r="CK305" i="1" s="1"/>
  <c r="AN308" i="1"/>
  <c r="AP308" i="1" s="1"/>
  <c r="AR308" i="1" s="1"/>
  <c r="AO308" i="1"/>
  <c r="AQ308" i="1" s="1"/>
  <c r="BS306" i="1"/>
  <c r="BU306" i="1" s="1"/>
  <c r="BR306" i="1"/>
  <c r="BT306" i="1" s="1"/>
  <c r="BV306" i="1" s="1"/>
  <c r="O309" i="1"/>
  <c r="P309" i="1"/>
  <c r="R309" i="1" s="1"/>
  <c r="F310" i="1"/>
  <c r="H310" i="1" s="1"/>
  <c r="E310" i="1"/>
  <c r="CV304" i="1"/>
  <c r="CX304" i="1" s="1"/>
  <c r="CZ304" i="1" s="1"/>
  <c r="CW304" i="1"/>
  <c r="CY304" i="1" s="1"/>
  <c r="BD307" i="1"/>
  <c r="BF307" i="1" s="1"/>
  <c r="BC307" i="1"/>
  <c r="BE307" i="1" s="1"/>
  <c r="BG307" i="1" s="1"/>
  <c r="Z309" i="1"/>
  <c r="AB309" i="1" s="1"/>
  <c r="Y309" i="1"/>
  <c r="AA309" i="1" s="1"/>
  <c r="AC309" i="1" s="1"/>
  <c r="DA304" i="1" l="1"/>
  <c r="DC304" i="1" s="1"/>
  <c r="DB304" i="1"/>
  <c r="DD304" i="1" s="1"/>
  <c r="BW306" i="1"/>
  <c r="BY306" i="1" s="1"/>
  <c r="CA306" i="1" s="1"/>
  <c r="BX306" i="1"/>
  <c r="BZ306" i="1" s="1"/>
  <c r="AS308" i="1"/>
  <c r="AU308" i="1" s="1"/>
  <c r="AW308" i="1" s="1"/>
  <c r="AT308" i="1"/>
  <c r="AV308" i="1" s="1"/>
  <c r="Q310" i="1"/>
  <c r="S310" i="1" s="1"/>
  <c r="G310" i="1"/>
  <c r="I310" i="1" s="1"/>
  <c r="AD309" i="1"/>
  <c r="AF309" i="1" s="1"/>
  <c r="AH309" i="1" s="1"/>
  <c r="AE309" i="1"/>
  <c r="AG309" i="1" s="1"/>
  <c r="BH307" i="1"/>
  <c r="BJ307" i="1" s="1"/>
  <c r="BL307" i="1" s="1"/>
  <c r="BI307" i="1"/>
  <c r="BK307" i="1" s="1"/>
  <c r="CL305" i="1"/>
  <c r="CN305" i="1" s="1"/>
  <c r="CP305" i="1" s="1"/>
  <c r="CM305" i="1"/>
  <c r="CO305" i="1" s="1"/>
  <c r="T310" i="1" l="1"/>
  <c r="V310" i="1" s="1"/>
  <c r="X310" i="1" s="1"/>
  <c r="U310" i="1"/>
  <c r="W310" i="1" s="1"/>
  <c r="AX308" i="1"/>
  <c r="AZ308" i="1" s="1"/>
  <c r="BB308" i="1" s="1"/>
  <c r="AY308" i="1"/>
  <c r="BA308" i="1" s="1"/>
  <c r="AJ309" i="1"/>
  <c r="AL309" i="1" s="1"/>
  <c r="AI309" i="1"/>
  <c r="AK309" i="1" s="1"/>
  <c r="AM309" i="1" s="1"/>
  <c r="BN307" i="1"/>
  <c r="BP307" i="1" s="1"/>
  <c r="BM307" i="1"/>
  <c r="BO307" i="1" s="1"/>
  <c r="BQ307" i="1" s="1"/>
  <c r="K310" i="1"/>
  <c r="M310" i="1" s="1"/>
  <c r="J310" i="1"/>
  <c r="L310" i="1" s="1"/>
  <c r="N310" i="1" s="1"/>
  <c r="D311" i="1"/>
  <c r="CC306" i="1"/>
  <c r="CE306" i="1" s="1"/>
  <c r="CB306" i="1"/>
  <c r="CD306" i="1" s="1"/>
  <c r="CF306" i="1" s="1"/>
  <c r="CQ305" i="1"/>
  <c r="CS305" i="1" s="1"/>
  <c r="CU305" i="1" s="1"/>
  <c r="CR305" i="1"/>
  <c r="CT305" i="1" s="1"/>
  <c r="F311" i="1" l="1"/>
  <c r="H311" i="1" s="1"/>
  <c r="E311" i="1"/>
  <c r="P310" i="1"/>
  <c r="R310" i="1" s="1"/>
  <c r="O310" i="1"/>
  <c r="BC308" i="1"/>
  <c r="BE308" i="1" s="1"/>
  <c r="BG308" i="1" s="1"/>
  <c r="BD308" i="1"/>
  <c r="BF308" i="1" s="1"/>
  <c r="AO309" i="1"/>
  <c r="AQ309" i="1" s="1"/>
  <c r="AN309" i="1"/>
  <c r="AP309" i="1" s="1"/>
  <c r="AR309" i="1" s="1"/>
  <c r="CV305" i="1"/>
  <c r="CX305" i="1" s="1"/>
  <c r="CZ305" i="1" s="1"/>
  <c r="CW305" i="1"/>
  <c r="CY305" i="1" s="1"/>
  <c r="BR307" i="1"/>
  <c r="BT307" i="1" s="1"/>
  <c r="BV307" i="1" s="1"/>
  <c r="BS307" i="1"/>
  <c r="BU307" i="1" s="1"/>
  <c r="CH306" i="1"/>
  <c r="CJ306" i="1" s="1"/>
  <c r="CG306" i="1"/>
  <c r="CI306" i="1" s="1"/>
  <c r="CK306" i="1" s="1"/>
  <c r="Y310" i="1"/>
  <c r="AA310" i="1" s="1"/>
  <c r="AC310" i="1" s="1"/>
  <c r="Z310" i="1"/>
  <c r="AB310" i="1" s="1"/>
  <c r="AS309" i="1" l="1"/>
  <c r="AU309" i="1" s="1"/>
  <c r="AW309" i="1" s="1"/>
  <c r="AT309" i="1"/>
  <c r="AV309" i="1" s="1"/>
  <c r="DB305" i="1"/>
  <c r="DD305" i="1" s="1"/>
  <c r="DA305" i="1"/>
  <c r="DC305" i="1" s="1"/>
  <c r="BI308" i="1"/>
  <c r="BK308" i="1" s="1"/>
  <c r="BH308" i="1"/>
  <c r="BJ308" i="1" s="1"/>
  <c r="BL308" i="1" s="1"/>
  <c r="CL306" i="1"/>
  <c r="CN306" i="1" s="1"/>
  <c r="CP306" i="1" s="1"/>
  <c r="CM306" i="1"/>
  <c r="CO306" i="1" s="1"/>
  <c r="G311" i="1"/>
  <c r="I311" i="1" s="1"/>
  <c r="Q311" i="1"/>
  <c r="S311" i="1" s="1"/>
  <c r="BW307" i="1"/>
  <c r="BY307" i="1" s="1"/>
  <c r="CA307" i="1" s="1"/>
  <c r="BX307" i="1"/>
  <c r="BZ307" i="1" s="1"/>
  <c r="AD310" i="1"/>
  <c r="AF310" i="1" s="1"/>
  <c r="AH310" i="1" s="1"/>
  <c r="AE310" i="1"/>
  <c r="AG310" i="1" s="1"/>
  <c r="CB307" i="1" l="1"/>
  <c r="CD307" i="1" s="1"/>
  <c r="CF307" i="1" s="1"/>
  <c r="CC307" i="1"/>
  <c r="CE307" i="1" s="1"/>
  <c r="J311" i="1"/>
  <c r="L311" i="1" s="1"/>
  <c r="N311" i="1" s="1"/>
  <c r="K311" i="1"/>
  <c r="M311" i="1" s="1"/>
  <c r="D312" i="1"/>
  <c r="T311" i="1"/>
  <c r="V311" i="1" s="1"/>
  <c r="X311" i="1" s="1"/>
  <c r="U311" i="1"/>
  <c r="W311" i="1" s="1"/>
  <c r="BM308" i="1"/>
  <c r="BO308" i="1" s="1"/>
  <c r="BQ308" i="1" s="1"/>
  <c r="BN308" i="1"/>
  <c r="BP308" i="1" s="1"/>
  <c r="AJ310" i="1"/>
  <c r="AL310" i="1" s="1"/>
  <c r="AI310" i="1"/>
  <c r="AK310" i="1" s="1"/>
  <c r="AM310" i="1" s="1"/>
  <c r="CQ306" i="1"/>
  <c r="CS306" i="1" s="1"/>
  <c r="CU306" i="1" s="1"/>
  <c r="CR306" i="1"/>
  <c r="CT306" i="1" s="1"/>
  <c r="AX309" i="1"/>
  <c r="AZ309" i="1" s="1"/>
  <c r="BB309" i="1" s="1"/>
  <c r="AY309" i="1"/>
  <c r="BA309" i="1" s="1"/>
  <c r="CV306" i="1" l="1"/>
  <c r="CX306" i="1" s="1"/>
  <c r="CW306" i="1"/>
  <c r="CY306" i="1" s="1"/>
  <c r="BR308" i="1"/>
  <c r="BT308" i="1" s="1"/>
  <c r="BV308" i="1" s="1"/>
  <c r="BS308" i="1"/>
  <c r="BU308" i="1" s="1"/>
  <c r="O311" i="1"/>
  <c r="P311" i="1"/>
  <c r="R311" i="1" s="1"/>
  <c r="Z311" i="1"/>
  <c r="AB311" i="1" s="1"/>
  <c r="Y311" i="1"/>
  <c r="AA311" i="1" s="1"/>
  <c r="AC311" i="1" s="1"/>
  <c r="BD309" i="1"/>
  <c r="BF309" i="1" s="1"/>
  <c r="BC309" i="1"/>
  <c r="BE309" i="1" s="1"/>
  <c r="BG309" i="1" s="1"/>
  <c r="AN310" i="1"/>
  <c r="AP310" i="1" s="1"/>
  <c r="AR310" i="1" s="1"/>
  <c r="AO310" i="1"/>
  <c r="AQ310" i="1" s="1"/>
  <c r="F312" i="1"/>
  <c r="H312" i="1" s="1"/>
  <c r="E312" i="1"/>
  <c r="CH307" i="1"/>
  <c r="CJ307" i="1" s="1"/>
  <c r="CG307" i="1"/>
  <c r="CI307" i="1" s="1"/>
  <c r="CK307" i="1" s="1"/>
  <c r="AD311" i="1" l="1"/>
  <c r="AF311" i="1" s="1"/>
  <c r="AH311" i="1" s="1"/>
  <c r="AE311" i="1"/>
  <c r="AG311" i="1" s="1"/>
  <c r="BH309" i="1"/>
  <c r="BJ309" i="1" s="1"/>
  <c r="BL309" i="1" s="1"/>
  <c r="BI309" i="1"/>
  <c r="BK309" i="1" s="1"/>
  <c r="CM307" i="1"/>
  <c r="CO307" i="1" s="1"/>
  <c r="CL307" i="1"/>
  <c r="CN307" i="1" s="1"/>
  <c r="CP307" i="1" s="1"/>
  <c r="AT310" i="1"/>
  <c r="AV310" i="1" s="1"/>
  <c r="AS310" i="1"/>
  <c r="AU310" i="1" s="1"/>
  <c r="AW310" i="1" s="1"/>
  <c r="BX308" i="1"/>
  <c r="BZ308" i="1" s="1"/>
  <c r="BW308" i="1"/>
  <c r="BY308" i="1" s="1"/>
  <c r="CA308" i="1" s="1"/>
  <c r="Q312" i="1"/>
  <c r="S312" i="1" s="1"/>
  <c r="G312" i="1"/>
  <c r="I312" i="1" s="1"/>
  <c r="CZ306" i="1"/>
  <c r="K312" i="1" l="1"/>
  <c r="M312" i="1" s="1"/>
  <c r="J312" i="1"/>
  <c r="L312" i="1" s="1"/>
  <c r="N312" i="1" s="1"/>
  <c r="D313" i="1"/>
  <c r="U312" i="1"/>
  <c r="W312" i="1" s="1"/>
  <c r="T312" i="1"/>
  <c r="V312" i="1" s="1"/>
  <c r="X312" i="1" s="1"/>
  <c r="AX310" i="1"/>
  <c r="AZ310" i="1" s="1"/>
  <c r="BB310" i="1" s="1"/>
  <c r="AY310" i="1"/>
  <c r="BA310" i="1" s="1"/>
  <c r="BN309" i="1"/>
  <c r="BP309" i="1" s="1"/>
  <c r="BM309" i="1"/>
  <c r="BO309" i="1" s="1"/>
  <c r="BQ309" i="1" s="1"/>
  <c r="CC308" i="1"/>
  <c r="CE308" i="1" s="1"/>
  <c r="CB308" i="1"/>
  <c r="CD308" i="1" s="1"/>
  <c r="CF308" i="1" s="1"/>
  <c r="CR307" i="1"/>
  <c r="CT307" i="1" s="1"/>
  <c r="CQ307" i="1"/>
  <c r="CS307" i="1" s="1"/>
  <c r="CU307" i="1" s="1"/>
  <c r="DA306" i="1"/>
  <c r="DC306" i="1" s="1"/>
  <c r="DB306" i="1"/>
  <c r="DD306" i="1" s="1"/>
  <c r="AI311" i="1"/>
  <c r="AK311" i="1" s="1"/>
  <c r="AM311" i="1" s="1"/>
  <c r="AJ311" i="1"/>
  <c r="AL311" i="1" s="1"/>
  <c r="BD310" i="1" l="1"/>
  <c r="BF310" i="1" s="1"/>
  <c r="BC310" i="1"/>
  <c r="BE310" i="1" s="1"/>
  <c r="BG310" i="1" s="1"/>
  <c r="BR309" i="1"/>
  <c r="BT309" i="1" s="1"/>
  <c r="BV309" i="1" s="1"/>
  <c r="BS309" i="1"/>
  <c r="BU309" i="1" s="1"/>
  <c r="Z312" i="1"/>
  <c r="AB312" i="1" s="1"/>
  <c r="Y312" i="1"/>
  <c r="AA312" i="1" s="1"/>
  <c r="AC312" i="1" s="1"/>
  <c r="F313" i="1"/>
  <c r="H313" i="1" s="1"/>
  <c r="E313" i="1"/>
  <c r="P312" i="1"/>
  <c r="R312" i="1" s="1"/>
  <c r="O312" i="1"/>
  <c r="CH308" i="1"/>
  <c r="CJ308" i="1" s="1"/>
  <c r="CG308" i="1"/>
  <c r="CI308" i="1" s="1"/>
  <c r="CK308" i="1" s="1"/>
  <c r="AN311" i="1"/>
  <c r="AP311" i="1" s="1"/>
  <c r="AR311" i="1" s="1"/>
  <c r="AO311" i="1"/>
  <c r="AQ311" i="1" s="1"/>
  <c r="CV307" i="1"/>
  <c r="CX307" i="1" s="1"/>
  <c r="CZ307" i="1" s="1"/>
  <c r="CW307" i="1"/>
  <c r="CY307" i="1" s="1"/>
  <c r="DB307" i="1" l="1"/>
  <c r="DD307" i="1" s="1"/>
  <c r="DA307" i="1"/>
  <c r="DC307" i="1" s="1"/>
  <c r="G313" i="1"/>
  <c r="I313" i="1" s="1"/>
  <c r="Q313" i="1"/>
  <c r="S313" i="1" s="1"/>
  <c r="AS311" i="1"/>
  <c r="AU311" i="1" s="1"/>
  <c r="AW311" i="1" s="1"/>
  <c r="AT311" i="1"/>
  <c r="AV311" i="1" s="1"/>
  <c r="BH310" i="1"/>
  <c r="BJ310" i="1" s="1"/>
  <c r="BL310" i="1" s="1"/>
  <c r="BI310" i="1"/>
  <c r="BK310" i="1" s="1"/>
  <c r="AE312" i="1"/>
  <c r="AG312" i="1" s="1"/>
  <c r="AD312" i="1"/>
  <c r="AF312" i="1" s="1"/>
  <c r="AH312" i="1" s="1"/>
  <c r="BX309" i="1"/>
  <c r="BZ309" i="1" s="1"/>
  <c r="BW309" i="1"/>
  <c r="BY309" i="1" s="1"/>
  <c r="CA309" i="1" s="1"/>
  <c r="CL308" i="1"/>
  <c r="CN308" i="1" s="1"/>
  <c r="CP308" i="1" s="1"/>
  <c r="CM308" i="1"/>
  <c r="CO308" i="1" s="1"/>
  <c r="AX311" i="1" l="1"/>
  <c r="AZ311" i="1" s="1"/>
  <c r="BB311" i="1" s="1"/>
  <c r="AY311" i="1"/>
  <c r="BA311" i="1" s="1"/>
  <c r="BM310" i="1"/>
  <c r="BO310" i="1" s="1"/>
  <c r="BQ310" i="1" s="1"/>
  <c r="BN310" i="1"/>
  <c r="BP310" i="1" s="1"/>
  <c r="K313" i="1"/>
  <c r="M313" i="1" s="1"/>
  <c r="J313" i="1"/>
  <c r="L313" i="1" s="1"/>
  <c r="N313" i="1" s="1"/>
  <c r="D314" i="1"/>
  <c r="CR308" i="1"/>
  <c r="CT308" i="1" s="1"/>
  <c r="CQ308" i="1"/>
  <c r="CS308" i="1" s="1"/>
  <c r="CU308" i="1" s="1"/>
  <c r="AI312" i="1"/>
  <c r="AK312" i="1" s="1"/>
  <c r="AM312" i="1" s="1"/>
  <c r="AJ312" i="1"/>
  <c r="AL312" i="1" s="1"/>
  <c r="T313" i="1"/>
  <c r="V313" i="1" s="1"/>
  <c r="X313" i="1" s="1"/>
  <c r="U313" i="1"/>
  <c r="W313" i="1" s="1"/>
  <c r="CB309" i="1"/>
  <c r="CD309" i="1" s="1"/>
  <c r="CF309" i="1" s="1"/>
  <c r="CC309" i="1"/>
  <c r="CE309" i="1" s="1"/>
  <c r="CV308" i="1" l="1"/>
  <c r="CX308" i="1" s="1"/>
  <c r="CW308" i="1"/>
  <c r="CY308" i="1" s="1"/>
  <c r="AO312" i="1"/>
  <c r="AQ312" i="1" s="1"/>
  <c r="AN312" i="1"/>
  <c r="AP312" i="1" s="1"/>
  <c r="AR312" i="1" s="1"/>
  <c r="P313" i="1"/>
  <c r="R313" i="1" s="1"/>
  <c r="O313" i="1"/>
  <c r="BR310" i="1"/>
  <c r="BT310" i="1" s="1"/>
  <c r="BV310" i="1" s="1"/>
  <c r="BS310" i="1"/>
  <c r="BU310" i="1" s="1"/>
  <c r="Z313" i="1"/>
  <c r="AB313" i="1" s="1"/>
  <c r="Y313" i="1"/>
  <c r="AA313" i="1" s="1"/>
  <c r="AC313" i="1" s="1"/>
  <c r="E314" i="1"/>
  <c r="F314" i="1"/>
  <c r="H314" i="1" s="1"/>
  <c r="CG309" i="1"/>
  <c r="CI309" i="1" s="1"/>
  <c r="CK309" i="1" s="1"/>
  <c r="CH309" i="1"/>
  <c r="CJ309" i="1" s="1"/>
  <c r="BD311" i="1"/>
  <c r="BF311" i="1" s="1"/>
  <c r="BC311" i="1"/>
  <c r="BE311" i="1" s="1"/>
  <c r="BG311" i="1" s="1"/>
  <c r="G314" i="1" l="1"/>
  <c r="I314" i="1" s="1"/>
  <c r="Q314" i="1"/>
  <c r="S314" i="1" s="1"/>
  <c r="AD313" i="1"/>
  <c r="AF313" i="1" s="1"/>
  <c r="AH313" i="1" s="1"/>
  <c r="AE313" i="1"/>
  <c r="AG313" i="1" s="1"/>
  <c r="BH311" i="1"/>
  <c r="BJ311" i="1" s="1"/>
  <c r="BL311" i="1" s="1"/>
  <c r="BI311" i="1"/>
  <c r="BK311" i="1" s="1"/>
  <c r="BX310" i="1"/>
  <c r="BZ310" i="1" s="1"/>
  <c r="BW310" i="1"/>
  <c r="BY310" i="1" s="1"/>
  <c r="CA310" i="1" s="1"/>
  <c r="AS312" i="1"/>
  <c r="AU312" i="1" s="1"/>
  <c r="AW312" i="1" s="1"/>
  <c r="AT312" i="1"/>
  <c r="AV312" i="1" s="1"/>
  <c r="CL309" i="1"/>
  <c r="CN309" i="1" s="1"/>
  <c r="CP309" i="1" s="1"/>
  <c r="CM309" i="1"/>
  <c r="CO309" i="1" s="1"/>
  <c r="CZ308" i="1"/>
  <c r="AY312" i="1" l="1"/>
  <c r="BA312" i="1" s="1"/>
  <c r="AX312" i="1"/>
  <c r="AZ312" i="1" s="1"/>
  <c r="BB312" i="1" s="1"/>
  <c r="CQ309" i="1"/>
  <c r="CS309" i="1" s="1"/>
  <c r="CU309" i="1" s="1"/>
  <c r="CR309" i="1"/>
  <c r="CT309" i="1" s="1"/>
  <c r="CC310" i="1"/>
  <c r="CE310" i="1" s="1"/>
  <c r="CB310" i="1"/>
  <c r="CD310" i="1" s="1"/>
  <c r="CF310" i="1" s="1"/>
  <c r="AI313" i="1"/>
  <c r="AK313" i="1" s="1"/>
  <c r="AM313" i="1" s="1"/>
  <c r="AJ313" i="1"/>
  <c r="AL313" i="1" s="1"/>
  <c r="T314" i="1"/>
  <c r="V314" i="1" s="1"/>
  <c r="X314" i="1" s="1"/>
  <c r="U314" i="1"/>
  <c r="W314" i="1" s="1"/>
  <c r="BN311" i="1"/>
  <c r="BP311" i="1" s="1"/>
  <c r="BM311" i="1"/>
  <c r="BO311" i="1" s="1"/>
  <c r="BQ311" i="1" s="1"/>
  <c r="DB308" i="1"/>
  <c r="DD308" i="1" s="1"/>
  <c r="DA308" i="1"/>
  <c r="DC308" i="1" s="1"/>
  <c r="J314" i="1"/>
  <c r="L314" i="1" s="1"/>
  <c r="N314" i="1" s="1"/>
  <c r="K314" i="1"/>
  <c r="M314" i="1" s="1"/>
  <c r="D315" i="1"/>
  <c r="Z314" i="1" l="1"/>
  <c r="AB314" i="1" s="1"/>
  <c r="Y314" i="1"/>
  <c r="AA314" i="1" s="1"/>
  <c r="AC314" i="1" s="1"/>
  <c r="F315" i="1"/>
  <c r="H315" i="1" s="1"/>
  <c r="E315" i="1"/>
  <c r="P314" i="1"/>
  <c r="R314" i="1" s="1"/>
  <c r="O314" i="1"/>
  <c r="CH310" i="1"/>
  <c r="CJ310" i="1" s="1"/>
  <c r="CG310" i="1"/>
  <c r="CI310" i="1" s="1"/>
  <c r="CK310" i="1" s="1"/>
  <c r="CW309" i="1"/>
  <c r="CY309" i="1" s="1"/>
  <c r="CV309" i="1"/>
  <c r="CX309" i="1" s="1"/>
  <c r="CZ309" i="1" s="1"/>
  <c r="BD312" i="1"/>
  <c r="BF312" i="1" s="1"/>
  <c r="BC312" i="1"/>
  <c r="BE312" i="1" s="1"/>
  <c r="BG312" i="1" s="1"/>
  <c r="BR311" i="1"/>
  <c r="BT311" i="1" s="1"/>
  <c r="BV311" i="1" s="1"/>
  <c r="BS311" i="1"/>
  <c r="BU311" i="1" s="1"/>
  <c r="AN313" i="1"/>
  <c r="AP313" i="1" s="1"/>
  <c r="AR313" i="1" s="1"/>
  <c r="AO313" i="1"/>
  <c r="AQ313" i="1" s="1"/>
  <c r="DA309" i="1" l="1"/>
  <c r="DC309" i="1" s="1"/>
  <c r="DB309" i="1"/>
  <c r="DD309" i="1" s="1"/>
  <c r="AD314" i="1"/>
  <c r="AF314" i="1" s="1"/>
  <c r="AH314" i="1" s="1"/>
  <c r="AE314" i="1"/>
  <c r="AG314" i="1" s="1"/>
  <c r="CM310" i="1"/>
  <c r="CO310" i="1" s="1"/>
  <c r="CL310" i="1"/>
  <c r="CN310" i="1" s="1"/>
  <c r="CP310" i="1" s="1"/>
  <c r="AS313" i="1"/>
  <c r="AU313" i="1" s="1"/>
  <c r="AW313" i="1" s="1"/>
  <c r="AT313" i="1"/>
  <c r="AV313" i="1" s="1"/>
  <c r="Q315" i="1"/>
  <c r="S315" i="1" s="1"/>
  <c r="G315" i="1"/>
  <c r="I315" i="1" s="1"/>
  <c r="BX311" i="1"/>
  <c r="BZ311" i="1" s="1"/>
  <c r="BW311" i="1"/>
  <c r="BY311" i="1" s="1"/>
  <c r="CA311" i="1" s="1"/>
  <c r="BH312" i="1"/>
  <c r="BJ312" i="1" s="1"/>
  <c r="BL312" i="1" s="1"/>
  <c r="BI312" i="1"/>
  <c r="BK312" i="1" s="1"/>
  <c r="U315" i="1" l="1"/>
  <c r="W315" i="1" s="1"/>
  <c r="T315" i="1"/>
  <c r="V315" i="1" s="1"/>
  <c r="X315" i="1" s="1"/>
  <c r="CB311" i="1"/>
  <c r="CD311" i="1" s="1"/>
  <c r="CF311" i="1" s="1"/>
  <c r="CC311" i="1"/>
  <c r="CE311" i="1" s="1"/>
  <c r="CR310" i="1"/>
  <c r="CT310" i="1" s="1"/>
  <c r="CQ310" i="1"/>
  <c r="CS310" i="1" s="1"/>
  <c r="CU310" i="1" s="1"/>
  <c r="K315" i="1"/>
  <c r="M315" i="1" s="1"/>
  <c r="J315" i="1"/>
  <c r="L315" i="1" s="1"/>
  <c r="N315" i="1" s="1"/>
  <c r="D316" i="1"/>
  <c r="AX313" i="1"/>
  <c r="AZ313" i="1" s="1"/>
  <c r="BB313" i="1" s="1"/>
  <c r="AY313" i="1"/>
  <c r="BA313" i="1" s="1"/>
  <c r="AJ314" i="1"/>
  <c r="AL314" i="1" s="1"/>
  <c r="AI314" i="1"/>
  <c r="AK314" i="1" s="1"/>
  <c r="AM314" i="1" s="1"/>
  <c r="BM312" i="1"/>
  <c r="BO312" i="1" s="1"/>
  <c r="BQ312" i="1" s="1"/>
  <c r="BN312" i="1"/>
  <c r="BP312" i="1" s="1"/>
  <c r="E316" i="1" l="1"/>
  <c r="F316" i="1"/>
  <c r="H316" i="1" s="1"/>
  <c r="P315" i="1"/>
  <c r="R315" i="1" s="1"/>
  <c r="O315" i="1"/>
  <c r="BD313" i="1"/>
  <c r="BF313" i="1" s="1"/>
  <c r="BC313" i="1"/>
  <c r="BE313" i="1" s="1"/>
  <c r="BG313" i="1" s="1"/>
  <c r="CG311" i="1"/>
  <c r="CI311" i="1" s="1"/>
  <c r="CK311" i="1" s="1"/>
  <c r="CH311" i="1"/>
  <c r="CJ311" i="1" s="1"/>
  <c r="Y315" i="1"/>
  <c r="AA315" i="1" s="1"/>
  <c r="AC315" i="1" s="1"/>
  <c r="Z315" i="1"/>
  <c r="AB315" i="1" s="1"/>
  <c r="CV310" i="1"/>
  <c r="CX310" i="1" s="1"/>
  <c r="CZ310" i="1" s="1"/>
  <c r="CW310" i="1"/>
  <c r="CY310" i="1" s="1"/>
  <c r="BR312" i="1"/>
  <c r="BT312" i="1" s="1"/>
  <c r="BV312" i="1" s="1"/>
  <c r="BS312" i="1"/>
  <c r="BU312" i="1" s="1"/>
  <c r="AN314" i="1"/>
  <c r="AP314" i="1" s="1"/>
  <c r="AR314" i="1" s="1"/>
  <c r="AO314" i="1"/>
  <c r="AQ314" i="1" s="1"/>
  <c r="AD315" i="1" l="1"/>
  <c r="AF315" i="1" s="1"/>
  <c r="AH315" i="1" s="1"/>
  <c r="AE315" i="1"/>
  <c r="AG315" i="1" s="1"/>
  <c r="CL311" i="1"/>
  <c r="CN311" i="1" s="1"/>
  <c r="CP311" i="1" s="1"/>
  <c r="CM311" i="1"/>
  <c r="CO311" i="1" s="1"/>
  <c r="BI313" i="1"/>
  <c r="BK313" i="1" s="1"/>
  <c r="BH313" i="1"/>
  <c r="BJ313" i="1" s="1"/>
  <c r="BL313" i="1" s="1"/>
  <c r="AT314" i="1"/>
  <c r="AV314" i="1" s="1"/>
  <c r="AS314" i="1"/>
  <c r="AU314" i="1" s="1"/>
  <c r="AW314" i="1" s="1"/>
  <c r="BX312" i="1"/>
  <c r="BZ312" i="1" s="1"/>
  <c r="BW312" i="1"/>
  <c r="BY312" i="1" s="1"/>
  <c r="CA312" i="1" s="1"/>
  <c r="DA310" i="1"/>
  <c r="DC310" i="1" s="1"/>
  <c r="DB310" i="1"/>
  <c r="DD310" i="1" s="1"/>
  <c r="G316" i="1"/>
  <c r="I316" i="1" s="1"/>
  <c r="Q316" i="1"/>
  <c r="S316" i="1" s="1"/>
  <c r="BN313" i="1" l="1"/>
  <c r="BP313" i="1" s="1"/>
  <c r="BM313" i="1"/>
  <c r="BO313" i="1" s="1"/>
  <c r="BQ313" i="1" s="1"/>
  <c r="CB312" i="1"/>
  <c r="CD312" i="1" s="1"/>
  <c r="CF312" i="1" s="1"/>
  <c r="CC312" i="1"/>
  <c r="CE312" i="1" s="1"/>
  <c r="CR311" i="1"/>
  <c r="CT311" i="1" s="1"/>
  <c r="CQ311" i="1"/>
  <c r="CS311" i="1" s="1"/>
  <c r="CU311" i="1" s="1"/>
  <c r="AY314" i="1"/>
  <c r="BA314" i="1" s="1"/>
  <c r="AX314" i="1"/>
  <c r="AZ314" i="1" s="1"/>
  <c r="BB314" i="1" s="1"/>
  <c r="U316" i="1"/>
  <c r="W316" i="1" s="1"/>
  <c r="T316" i="1"/>
  <c r="V316" i="1" s="1"/>
  <c r="X316" i="1" s="1"/>
  <c r="J316" i="1"/>
  <c r="L316" i="1" s="1"/>
  <c r="N316" i="1" s="1"/>
  <c r="K316" i="1"/>
  <c r="M316" i="1" s="1"/>
  <c r="D317" i="1"/>
  <c r="AJ315" i="1"/>
  <c r="AL315" i="1" s="1"/>
  <c r="AI315" i="1"/>
  <c r="AK315" i="1" s="1"/>
  <c r="AM315" i="1" s="1"/>
  <c r="P316" i="1" l="1"/>
  <c r="R316" i="1" s="1"/>
  <c r="O316" i="1"/>
  <c r="Z316" i="1"/>
  <c r="AB316" i="1" s="1"/>
  <c r="Y316" i="1"/>
  <c r="AA316" i="1" s="1"/>
  <c r="AC316" i="1" s="1"/>
  <c r="CV311" i="1"/>
  <c r="CX311" i="1" s="1"/>
  <c r="CW311" i="1"/>
  <c r="CY311" i="1" s="1"/>
  <c r="AN315" i="1"/>
  <c r="AP315" i="1" s="1"/>
  <c r="AR315" i="1" s="1"/>
  <c r="AO315" i="1"/>
  <c r="AQ315" i="1" s="1"/>
  <c r="BR313" i="1"/>
  <c r="BT313" i="1" s="1"/>
  <c r="BV313" i="1" s="1"/>
  <c r="BS313" i="1"/>
  <c r="BU313" i="1" s="1"/>
  <c r="BD314" i="1"/>
  <c r="BF314" i="1" s="1"/>
  <c r="BC314" i="1"/>
  <c r="BE314" i="1" s="1"/>
  <c r="BG314" i="1" s="1"/>
  <c r="CH312" i="1"/>
  <c r="CJ312" i="1" s="1"/>
  <c r="CG312" i="1"/>
  <c r="CI312" i="1" s="1"/>
  <c r="CK312" i="1" s="1"/>
  <c r="F317" i="1"/>
  <c r="H317" i="1" s="1"/>
  <c r="E317" i="1"/>
  <c r="CZ311" i="1" l="1"/>
  <c r="BI314" i="1"/>
  <c r="BK314" i="1" s="1"/>
  <c r="BH314" i="1"/>
  <c r="BJ314" i="1" s="1"/>
  <c r="BL314" i="1" s="1"/>
  <c r="AD316" i="1"/>
  <c r="AF316" i="1" s="1"/>
  <c r="AH316" i="1" s="1"/>
  <c r="AE316" i="1"/>
  <c r="AG316" i="1" s="1"/>
  <c r="BX313" i="1"/>
  <c r="BZ313" i="1" s="1"/>
  <c r="BW313" i="1"/>
  <c r="BY313" i="1" s="1"/>
  <c r="CA313" i="1" s="1"/>
  <c r="AS315" i="1"/>
  <c r="AU315" i="1" s="1"/>
  <c r="AW315" i="1" s="1"/>
  <c r="AT315" i="1"/>
  <c r="AV315" i="1" s="1"/>
  <c r="G317" i="1"/>
  <c r="I317" i="1" s="1"/>
  <c r="Q317" i="1"/>
  <c r="S317" i="1" s="1"/>
  <c r="CL312" i="1"/>
  <c r="CN312" i="1" s="1"/>
  <c r="CP312" i="1" s="1"/>
  <c r="CM312" i="1"/>
  <c r="CO312" i="1" s="1"/>
  <c r="K317" i="1" l="1"/>
  <c r="M317" i="1" s="1"/>
  <c r="J317" i="1"/>
  <c r="L317" i="1" s="1"/>
  <c r="N317" i="1" s="1"/>
  <c r="D318" i="1"/>
  <c r="CR312" i="1"/>
  <c r="CT312" i="1" s="1"/>
  <c r="CQ312" i="1"/>
  <c r="CS312" i="1" s="1"/>
  <c r="CU312" i="1" s="1"/>
  <c r="CC313" i="1"/>
  <c r="CE313" i="1" s="1"/>
  <c r="CB313" i="1"/>
  <c r="CD313" i="1" s="1"/>
  <c r="CF313" i="1" s="1"/>
  <c r="AI316" i="1"/>
  <c r="AK316" i="1" s="1"/>
  <c r="AM316" i="1" s="1"/>
  <c r="AJ316" i="1"/>
  <c r="AL316" i="1" s="1"/>
  <c r="T317" i="1"/>
  <c r="V317" i="1" s="1"/>
  <c r="X317" i="1" s="1"/>
  <c r="U317" i="1"/>
  <c r="W317" i="1" s="1"/>
  <c r="AX315" i="1"/>
  <c r="AZ315" i="1" s="1"/>
  <c r="BB315" i="1" s="1"/>
  <c r="AY315" i="1"/>
  <c r="BA315" i="1" s="1"/>
  <c r="BM314" i="1"/>
  <c r="BO314" i="1" s="1"/>
  <c r="BQ314" i="1" s="1"/>
  <c r="BN314" i="1"/>
  <c r="BP314" i="1" s="1"/>
  <c r="DA311" i="1"/>
  <c r="DC311" i="1" s="1"/>
  <c r="DB311" i="1"/>
  <c r="DD311" i="1" s="1"/>
  <c r="CH313" i="1" l="1"/>
  <c r="CJ313" i="1" s="1"/>
  <c r="CG313" i="1"/>
  <c r="CI313" i="1" s="1"/>
  <c r="CK313" i="1" s="1"/>
  <c r="BD315" i="1"/>
  <c r="BF315" i="1" s="1"/>
  <c r="BC315" i="1"/>
  <c r="BE315" i="1" s="1"/>
  <c r="BG315" i="1" s="1"/>
  <c r="AN316" i="1"/>
  <c r="AP316" i="1" s="1"/>
  <c r="AR316" i="1" s="1"/>
  <c r="AO316" i="1"/>
  <c r="AQ316" i="1" s="1"/>
  <c r="P317" i="1"/>
  <c r="R317" i="1" s="1"/>
  <c r="O317" i="1"/>
  <c r="Z317" i="1"/>
  <c r="AB317" i="1" s="1"/>
  <c r="Y317" i="1"/>
  <c r="AA317" i="1" s="1"/>
  <c r="AC317" i="1" s="1"/>
  <c r="CV312" i="1"/>
  <c r="CX312" i="1" s="1"/>
  <c r="CZ312" i="1" s="1"/>
  <c r="CW312" i="1"/>
  <c r="CY312" i="1" s="1"/>
  <c r="F318" i="1"/>
  <c r="H318" i="1" s="1"/>
  <c r="E318" i="1"/>
  <c r="BR314" i="1"/>
  <c r="BT314" i="1" s="1"/>
  <c r="BV314" i="1" s="1"/>
  <c r="BS314" i="1"/>
  <c r="BU314" i="1" s="1"/>
  <c r="DB312" i="1" l="1"/>
  <c r="DD312" i="1" s="1"/>
  <c r="DA312" i="1"/>
  <c r="DC312" i="1" s="1"/>
  <c r="AT316" i="1"/>
  <c r="AV316" i="1" s="1"/>
  <c r="AS316" i="1"/>
  <c r="AU316" i="1" s="1"/>
  <c r="AW316" i="1" s="1"/>
  <c r="AE317" i="1"/>
  <c r="AG317" i="1" s="1"/>
  <c r="AD317" i="1"/>
  <c r="AF317" i="1" s="1"/>
  <c r="AH317" i="1" s="1"/>
  <c r="BW314" i="1"/>
  <c r="BY314" i="1" s="1"/>
  <c r="CA314" i="1" s="1"/>
  <c r="BX314" i="1"/>
  <c r="BZ314" i="1" s="1"/>
  <c r="Q318" i="1"/>
  <c r="S318" i="1" s="1"/>
  <c r="G318" i="1"/>
  <c r="I318" i="1" s="1"/>
  <c r="BI315" i="1"/>
  <c r="BK315" i="1" s="1"/>
  <c r="BH315" i="1"/>
  <c r="BJ315" i="1" s="1"/>
  <c r="BL315" i="1" s="1"/>
  <c r="CL313" i="1"/>
  <c r="CN313" i="1" s="1"/>
  <c r="CP313" i="1" s="1"/>
  <c r="CM313" i="1"/>
  <c r="CO313" i="1" s="1"/>
  <c r="AJ317" i="1" l="1"/>
  <c r="AL317" i="1" s="1"/>
  <c r="AI317" i="1"/>
  <c r="AK317" i="1" s="1"/>
  <c r="AM317" i="1" s="1"/>
  <c r="U318" i="1"/>
  <c r="W318" i="1" s="1"/>
  <c r="T318" i="1"/>
  <c r="V318" i="1" s="1"/>
  <c r="X318" i="1" s="1"/>
  <c r="CC314" i="1"/>
  <c r="CE314" i="1" s="1"/>
  <c r="CB314" i="1"/>
  <c r="CD314" i="1" s="1"/>
  <c r="CF314" i="1" s="1"/>
  <c r="AX316" i="1"/>
  <c r="AZ316" i="1" s="1"/>
  <c r="BB316" i="1" s="1"/>
  <c r="AY316" i="1"/>
  <c r="BA316" i="1" s="1"/>
  <c r="CQ313" i="1"/>
  <c r="CS313" i="1" s="1"/>
  <c r="CU313" i="1" s="1"/>
  <c r="CR313" i="1"/>
  <c r="CT313" i="1" s="1"/>
  <c r="J318" i="1"/>
  <c r="L318" i="1" s="1"/>
  <c r="N318" i="1" s="1"/>
  <c r="K318" i="1"/>
  <c r="M318" i="1" s="1"/>
  <c r="D319" i="1"/>
  <c r="BN315" i="1"/>
  <c r="BP315" i="1" s="1"/>
  <c r="BM315" i="1"/>
  <c r="BO315" i="1" s="1"/>
  <c r="BQ315" i="1" s="1"/>
  <c r="CV313" i="1" l="1"/>
  <c r="CX313" i="1" s="1"/>
  <c r="CW313" i="1"/>
  <c r="CY313" i="1" s="1"/>
  <c r="Y318" i="1"/>
  <c r="AA318" i="1" s="1"/>
  <c r="AC318" i="1" s="1"/>
  <c r="Z318" i="1"/>
  <c r="AB318" i="1" s="1"/>
  <c r="P318" i="1"/>
  <c r="R318" i="1" s="1"/>
  <c r="O318" i="1"/>
  <c r="CH314" i="1"/>
  <c r="CJ314" i="1" s="1"/>
  <c r="CG314" i="1"/>
  <c r="CI314" i="1" s="1"/>
  <c r="CK314" i="1" s="1"/>
  <c r="AN317" i="1"/>
  <c r="AP317" i="1" s="1"/>
  <c r="AR317" i="1" s="1"/>
  <c r="AO317" i="1"/>
  <c r="AQ317" i="1" s="1"/>
  <c r="BC316" i="1"/>
  <c r="BE316" i="1" s="1"/>
  <c r="BG316" i="1" s="1"/>
  <c r="BD316" i="1"/>
  <c r="BF316" i="1" s="1"/>
  <c r="BS315" i="1"/>
  <c r="BU315" i="1" s="1"/>
  <c r="BR315" i="1"/>
  <c r="BT315" i="1" s="1"/>
  <c r="BV315" i="1" s="1"/>
  <c r="E319" i="1"/>
  <c r="F319" i="1"/>
  <c r="H319" i="1" s="1"/>
  <c r="BI316" i="1" l="1"/>
  <c r="BK316" i="1" s="1"/>
  <c r="BH316" i="1"/>
  <c r="BJ316" i="1" s="1"/>
  <c r="BL316" i="1" s="1"/>
  <c r="AT317" i="1"/>
  <c r="AV317" i="1" s="1"/>
  <c r="AS317" i="1"/>
  <c r="AU317" i="1" s="1"/>
  <c r="AW317" i="1" s="1"/>
  <c r="AE318" i="1"/>
  <c r="AG318" i="1" s="1"/>
  <c r="AD318" i="1"/>
  <c r="AF318" i="1" s="1"/>
  <c r="AH318" i="1" s="1"/>
  <c r="Q319" i="1"/>
  <c r="S319" i="1" s="1"/>
  <c r="G319" i="1"/>
  <c r="I319" i="1" s="1"/>
  <c r="CL314" i="1"/>
  <c r="CN314" i="1" s="1"/>
  <c r="CP314" i="1" s="1"/>
  <c r="CM314" i="1"/>
  <c r="CO314" i="1" s="1"/>
  <c r="BX315" i="1"/>
  <c r="BZ315" i="1" s="1"/>
  <c r="BW315" i="1"/>
  <c r="BY315" i="1" s="1"/>
  <c r="CA315" i="1" s="1"/>
  <c r="CZ313" i="1"/>
  <c r="CR314" i="1" l="1"/>
  <c r="CT314" i="1" s="1"/>
  <c r="CQ314" i="1"/>
  <c r="CS314" i="1" s="1"/>
  <c r="CU314" i="1" s="1"/>
  <c r="CB315" i="1"/>
  <c r="CD315" i="1" s="1"/>
  <c r="CF315" i="1" s="1"/>
  <c r="CC315" i="1"/>
  <c r="CE315" i="1" s="1"/>
  <c r="U319" i="1"/>
  <c r="W319" i="1" s="1"/>
  <c r="T319" i="1"/>
  <c r="V319" i="1" s="1"/>
  <c r="X319" i="1" s="1"/>
  <c r="AI318" i="1"/>
  <c r="AK318" i="1" s="1"/>
  <c r="AM318" i="1" s="1"/>
  <c r="AJ318" i="1"/>
  <c r="AL318" i="1" s="1"/>
  <c r="AY317" i="1"/>
  <c r="BA317" i="1" s="1"/>
  <c r="AX317" i="1"/>
  <c r="AZ317" i="1" s="1"/>
  <c r="BB317" i="1" s="1"/>
  <c r="BN316" i="1"/>
  <c r="BP316" i="1" s="1"/>
  <c r="BM316" i="1"/>
  <c r="BO316" i="1" s="1"/>
  <c r="BQ316" i="1" s="1"/>
  <c r="K319" i="1"/>
  <c r="M319" i="1" s="1"/>
  <c r="J319" i="1"/>
  <c r="L319" i="1" s="1"/>
  <c r="N319" i="1" s="1"/>
  <c r="D320" i="1"/>
  <c r="DB313" i="1"/>
  <c r="DD313" i="1" s="1"/>
  <c r="DA313" i="1"/>
  <c r="DC313" i="1" s="1"/>
  <c r="BD317" i="1" l="1"/>
  <c r="BF317" i="1" s="1"/>
  <c r="BC317" i="1"/>
  <c r="BE317" i="1" s="1"/>
  <c r="BG317" i="1" s="1"/>
  <c r="E320" i="1"/>
  <c r="F320" i="1"/>
  <c r="H320" i="1" s="1"/>
  <c r="BR316" i="1"/>
  <c r="BT316" i="1" s="1"/>
  <c r="BV316" i="1" s="1"/>
  <c r="BS316" i="1"/>
  <c r="BU316" i="1" s="1"/>
  <c r="Z319" i="1"/>
  <c r="AB319" i="1" s="1"/>
  <c r="Y319" i="1"/>
  <c r="AA319" i="1" s="1"/>
  <c r="AC319" i="1" s="1"/>
  <c r="P319" i="1"/>
  <c r="R319" i="1" s="1"/>
  <c r="O319" i="1"/>
  <c r="AN318" i="1"/>
  <c r="AP318" i="1" s="1"/>
  <c r="AR318" i="1" s="1"/>
  <c r="AO318" i="1"/>
  <c r="AQ318" i="1" s="1"/>
  <c r="CH315" i="1"/>
  <c r="CJ315" i="1" s="1"/>
  <c r="CG315" i="1"/>
  <c r="CI315" i="1" s="1"/>
  <c r="CK315" i="1" s="1"/>
  <c r="CW314" i="1"/>
  <c r="CY314" i="1" s="1"/>
  <c r="CV314" i="1"/>
  <c r="CX314" i="1" s="1"/>
  <c r="CZ314" i="1" s="1"/>
  <c r="AE319" i="1" l="1"/>
  <c r="AG319" i="1" s="1"/>
  <c r="AD319" i="1"/>
  <c r="AF319" i="1" s="1"/>
  <c r="AH319" i="1" s="1"/>
  <c r="DB314" i="1"/>
  <c r="DD314" i="1" s="1"/>
  <c r="DA314" i="1"/>
  <c r="DC314" i="1" s="1"/>
  <c r="AT318" i="1"/>
  <c r="AV318" i="1" s="1"/>
  <c r="AS318" i="1"/>
  <c r="AU318" i="1" s="1"/>
  <c r="AW318" i="1" s="1"/>
  <c r="BX316" i="1"/>
  <c r="BZ316" i="1" s="1"/>
  <c r="BW316" i="1"/>
  <c r="BY316" i="1" s="1"/>
  <c r="CA316" i="1" s="1"/>
  <c r="CL315" i="1"/>
  <c r="CN315" i="1" s="1"/>
  <c r="CP315" i="1" s="1"/>
  <c r="CM315" i="1"/>
  <c r="CO315" i="1" s="1"/>
  <c r="Q320" i="1"/>
  <c r="S320" i="1" s="1"/>
  <c r="G320" i="1"/>
  <c r="I320" i="1" s="1"/>
  <c r="BI317" i="1"/>
  <c r="BK317" i="1" s="1"/>
  <c r="BH317" i="1"/>
  <c r="BJ317" i="1" s="1"/>
  <c r="BL317" i="1" s="1"/>
  <c r="CB316" i="1" l="1"/>
  <c r="CD316" i="1" s="1"/>
  <c r="CF316" i="1" s="1"/>
  <c r="CC316" i="1"/>
  <c r="CE316" i="1" s="1"/>
  <c r="U320" i="1"/>
  <c r="W320" i="1" s="1"/>
  <c r="T320" i="1"/>
  <c r="V320" i="1" s="1"/>
  <c r="X320" i="1" s="1"/>
  <c r="AY318" i="1"/>
  <c r="BA318" i="1" s="1"/>
  <c r="AX318" i="1"/>
  <c r="AZ318" i="1" s="1"/>
  <c r="BB318" i="1" s="1"/>
  <c r="AI319" i="1"/>
  <c r="AK319" i="1" s="1"/>
  <c r="AM319" i="1" s="1"/>
  <c r="AJ319" i="1"/>
  <c r="AL319" i="1" s="1"/>
  <c r="CQ315" i="1"/>
  <c r="CS315" i="1" s="1"/>
  <c r="CU315" i="1" s="1"/>
  <c r="CR315" i="1"/>
  <c r="CT315" i="1" s="1"/>
  <c r="BM317" i="1"/>
  <c r="BO317" i="1" s="1"/>
  <c r="BQ317" i="1" s="1"/>
  <c r="BN317" i="1"/>
  <c r="BP317" i="1" s="1"/>
  <c r="J320" i="1"/>
  <c r="L320" i="1" s="1"/>
  <c r="N320" i="1" s="1"/>
  <c r="K320" i="1"/>
  <c r="M320" i="1" s="1"/>
  <c r="D321" i="1"/>
  <c r="CV315" i="1" l="1"/>
  <c r="CX315" i="1" s="1"/>
  <c r="CW315" i="1"/>
  <c r="CY315" i="1" s="1"/>
  <c r="BS317" i="1"/>
  <c r="BU317" i="1" s="1"/>
  <c r="BR317" i="1"/>
  <c r="BT317" i="1" s="1"/>
  <c r="BV317" i="1" s="1"/>
  <c r="BC318" i="1"/>
  <c r="BE318" i="1" s="1"/>
  <c r="BG318" i="1" s="1"/>
  <c r="BD318" i="1"/>
  <c r="BF318" i="1" s="1"/>
  <c r="AO319" i="1"/>
  <c r="AQ319" i="1" s="1"/>
  <c r="AN319" i="1"/>
  <c r="AP319" i="1" s="1"/>
  <c r="AR319" i="1" s="1"/>
  <c r="Z320" i="1"/>
  <c r="AB320" i="1" s="1"/>
  <c r="Y320" i="1"/>
  <c r="AA320" i="1" s="1"/>
  <c r="AC320" i="1" s="1"/>
  <c r="E321" i="1"/>
  <c r="F321" i="1"/>
  <c r="H321" i="1" s="1"/>
  <c r="O320" i="1"/>
  <c r="P320" i="1"/>
  <c r="R320" i="1" s="1"/>
  <c r="CH316" i="1"/>
  <c r="CJ316" i="1" s="1"/>
  <c r="CG316" i="1"/>
  <c r="CI316" i="1" s="1"/>
  <c r="CK316" i="1" s="1"/>
  <c r="AE320" i="1" l="1"/>
  <c r="AG320" i="1" s="1"/>
  <c r="AD320" i="1"/>
  <c r="AF320" i="1" s="1"/>
  <c r="AH320" i="1" s="1"/>
  <c r="AT319" i="1"/>
  <c r="AV319" i="1" s="1"/>
  <c r="AS319" i="1"/>
  <c r="AU319" i="1" s="1"/>
  <c r="AW319" i="1" s="1"/>
  <c r="CL316" i="1"/>
  <c r="CN316" i="1" s="1"/>
  <c r="CP316" i="1" s="1"/>
  <c r="CM316" i="1"/>
  <c r="CO316" i="1" s="1"/>
  <c r="BH318" i="1"/>
  <c r="BJ318" i="1" s="1"/>
  <c r="BL318" i="1" s="1"/>
  <c r="BI318" i="1"/>
  <c r="BK318" i="1" s="1"/>
  <c r="G321" i="1"/>
  <c r="I321" i="1" s="1"/>
  <c r="Q321" i="1"/>
  <c r="S321" i="1" s="1"/>
  <c r="BW317" i="1"/>
  <c r="BY317" i="1" s="1"/>
  <c r="CA317" i="1" s="1"/>
  <c r="BX317" i="1"/>
  <c r="BZ317" i="1" s="1"/>
  <c r="CZ315" i="1"/>
  <c r="U321" i="1" l="1"/>
  <c r="W321" i="1" s="1"/>
  <c r="T321" i="1"/>
  <c r="V321" i="1" s="1"/>
  <c r="X321" i="1" s="1"/>
  <c r="K321" i="1"/>
  <c r="M321" i="1" s="1"/>
  <c r="J321" i="1"/>
  <c r="L321" i="1" s="1"/>
  <c r="N321" i="1" s="1"/>
  <c r="D322" i="1"/>
  <c r="CQ316" i="1"/>
  <c r="CS316" i="1" s="1"/>
  <c r="CU316" i="1" s="1"/>
  <c r="CR316" i="1"/>
  <c r="CT316" i="1" s="1"/>
  <c r="CB317" i="1"/>
  <c r="CD317" i="1" s="1"/>
  <c r="CF317" i="1" s="1"/>
  <c r="CC317" i="1"/>
  <c r="CE317" i="1" s="1"/>
  <c r="BM318" i="1"/>
  <c r="BO318" i="1" s="1"/>
  <c r="BQ318" i="1" s="1"/>
  <c r="BN318" i="1"/>
  <c r="BP318" i="1" s="1"/>
  <c r="AY319" i="1"/>
  <c r="BA319" i="1" s="1"/>
  <c r="AX319" i="1"/>
  <c r="AZ319" i="1" s="1"/>
  <c r="BB319" i="1" s="1"/>
  <c r="AI320" i="1"/>
  <c r="AK320" i="1" s="1"/>
  <c r="AM320" i="1" s="1"/>
  <c r="AJ320" i="1"/>
  <c r="AL320" i="1" s="1"/>
  <c r="DB315" i="1"/>
  <c r="DD315" i="1" s="1"/>
  <c r="DA315" i="1"/>
  <c r="DC315" i="1" s="1"/>
  <c r="CV316" i="1" l="1"/>
  <c r="CX316" i="1" s="1"/>
  <c r="CW316" i="1"/>
  <c r="CY316" i="1" s="1"/>
  <c r="CG317" i="1"/>
  <c r="CI317" i="1" s="1"/>
  <c r="CK317" i="1" s="1"/>
  <c r="CH317" i="1"/>
  <c r="CJ317" i="1" s="1"/>
  <c r="F322" i="1"/>
  <c r="H322" i="1" s="1"/>
  <c r="E322" i="1"/>
  <c r="Y321" i="1"/>
  <c r="AA321" i="1" s="1"/>
  <c r="AC321" i="1" s="1"/>
  <c r="Z321" i="1"/>
  <c r="AB321" i="1" s="1"/>
  <c r="BS318" i="1"/>
  <c r="BU318" i="1" s="1"/>
  <c r="BR318" i="1"/>
  <c r="BT318" i="1" s="1"/>
  <c r="BV318" i="1" s="1"/>
  <c r="O321" i="1"/>
  <c r="P321" i="1"/>
  <c r="R321" i="1" s="1"/>
  <c r="AN320" i="1"/>
  <c r="AP320" i="1" s="1"/>
  <c r="AR320" i="1" s="1"/>
  <c r="AO320" i="1"/>
  <c r="AQ320" i="1" s="1"/>
  <c r="BD319" i="1"/>
  <c r="BF319" i="1" s="1"/>
  <c r="BC319" i="1"/>
  <c r="BE319" i="1" s="1"/>
  <c r="BG319" i="1" s="1"/>
  <c r="BI319" i="1" l="1"/>
  <c r="BK319" i="1" s="1"/>
  <c r="BH319" i="1"/>
  <c r="BJ319" i="1" s="1"/>
  <c r="BL319" i="1" s="1"/>
  <c r="AD321" i="1"/>
  <c r="AF321" i="1" s="1"/>
  <c r="AH321" i="1" s="1"/>
  <c r="AE321" i="1"/>
  <c r="AG321" i="1" s="1"/>
  <c r="BX318" i="1"/>
  <c r="BZ318" i="1" s="1"/>
  <c r="BW318" i="1"/>
  <c r="BY318" i="1" s="1"/>
  <c r="CA318" i="1" s="1"/>
  <c r="Q322" i="1"/>
  <c r="S322" i="1" s="1"/>
  <c r="G322" i="1"/>
  <c r="I322" i="1" s="1"/>
  <c r="CM317" i="1"/>
  <c r="CO317" i="1" s="1"/>
  <c r="CL317" i="1"/>
  <c r="CN317" i="1" s="1"/>
  <c r="CP317" i="1" s="1"/>
  <c r="AS320" i="1"/>
  <c r="AU320" i="1" s="1"/>
  <c r="AW320" i="1" s="1"/>
  <c r="AT320" i="1"/>
  <c r="AV320" i="1" s="1"/>
  <c r="CZ316" i="1"/>
  <c r="AY320" i="1" l="1"/>
  <c r="BA320" i="1" s="1"/>
  <c r="AX320" i="1"/>
  <c r="AZ320" i="1" s="1"/>
  <c r="BB320" i="1" s="1"/>
  <c r="K322" i="1"/>
  <c r="M322" i="1" s="1"/>
  <c r="J322" i="1"/>
  <c r="L322" i="1" s="1"/>
  <c r="N322" i="1" s="1"/>
  <c r="D323" i="1"/>
  <c r="CQ317" i="1"/>
  <c r="CS317" i="1" s="1"/>
  <c r="CU317" i="1" s="1"/>
  <c r="CR317" i="1"/>
  <c r="CT317" i="1" s="1"/>
  <c r="T322" i="1"/>
  <c r="V322" i="1" s="1"/>
  <c r="X322" i="1" s="1"/>
  <c r="U322" i="1"/>
  <c r="W322" i="1" s="1"/>
  <c r="BM319" i="1"/>
  <c r="BO319" i="1" s="1"/>
  <c r="BQ319" i="1" s="1"/>
  <c r="BN319" i="1"/>
  <c r="BP319" i="1" s="1"/>
  <c r="CC318" i="1"/>
  <c r="CE318" i="1" s="1"/>
  <c r="CB318" i="1"/>
  <c r="CD318" i="1" s="1"/>
  <c r="CF318" i="1" s="1"/>
  <c r="AI321" i="1"/>
  <c r="AK321" i="1" s="1"/>
  <c r="AM321" i="1" s="1"/>
  <c r="AJ321" i="1"/>
  <c r="AL321" i="1" s="1"/>
  <c r="DA316" i="1"/>
  <c r="DC316" i="1" s="1"/>
  <c r="DB316" i="1"/>
  <c r="DD316" i="1" s="1"/>
  <c r="CV317" i="1" l="1"/>
  <c r="CX317" i="1" s="1"/>
  <c r="CW317" i="1"/>
  <c r="CY317" i="1" s="1"/>
  <c r="E323" i="1"/>
  <c r="F323" i="1"/>
  <c r="H323" i="1" s="1"/>
  <c r="Y322" i="1"/>
  <c r="AA322" i="1" s="1"/>
  <c r="AC322" i="1" s="1"/>
  <c r="Z322" i="1"/>
  <c r="AB322" i="1" s="1"/>
  <c r="BD320" i="1"/>
  <c r="BF320" i="1" s="1"/>
  <c r="BC320" i="1"/>
  <c r="BE320" i="1" s="1"/>
  <c r="BG320" i="1" s="1"/>
  <c r="BS319" i="1"/>
  <c r="BU319" i="1" s="1"/>
  <c r="BR319" i="1"/>
  <c r="BT319" i="1" s="1"/>
  <c r="BV319" i="1" s="1"/>
  <c r="O322" i="1"/>
  <c r="P322" i="1"/>
  <c r="R322" i="1" s="1"/>
  <c r="AO321" i="1"/>
  <c r="AQ321" i="1" s="1"/>
  <c r="AN321" i="1"/>
  <c r="AP321" i="1" s="1"/>
  <c r="AR321" i="1" s="1"/>
  <c r="CG318" i="1"/>
  <c r="CI318" i="1" s="1"/>
  <c r="CK318" i="1" s="1"/>
  <c r="CH318" i="1"/>
  <c r="CJ318" i="1" s="1"/>
  <c r="AE322" i="1" l="1"/>
  <c r="AG322" i="1" s="1"/>
  <c r="AD322" i="1"/>
  <c r="AF322" i="1" s="1"/>
  <c r="AH322" i="1" s="1"/>
  <c r="BI320" i="1"/>
  <c r="BK320" i="1" s="1"/>
  <c r="BH320" i="1"/>
  <c r="BJ320" i="1" s="1"/>
  <c r="BL320" i="1" s="1"/>
  <c r="CL318" i="1"/>
  <c r="CN318" i="1" s="1"/>
  <c r="CP318" i="1" s="1"/>
  <c r="CM318" i="1"/>
  <c r="CO318" i="1" s="1"/>
  <c r="G323" i="1"/>
  <c r="I323" i="1" s="1"/>
  <c r="Q323" i="1"/>
  <c r="S323" i="1" s="1"/>
  <c r="BW319" i="1"/>
  <c r="BY319" i="1" s="1"/>
  <c r="CA319" i="1" s="1"/>
  <c r="BX319" i="1"/>
  <c r="BZ319" i="1" s="1"/>
  <c r="AS321" i="1"/>
  <c r="AU321" i="1" s="1"/>
  <c r="AW321" i="1" s="1"/>
  <c r="AT321" i="1"/>
  <c r="AV321" i="1" s="1"/>
  <c r="CZ317" i="1"/>
  <c r="CC319" i="1" l="1"/>
  <c r="CE319" i="1" s="1"/>
  <c r="CB319" i="1"/>
  <c r="CD319" i="1" s="1"/>
  <c r="CF319" i="1" s="1"/>
  <c r="T323" i="1"/>
  <c r="V323" i="1" s="1"/>
  <c r="X323" i="1" s="1"/>
  <c r="U323" i="1"/>
  <c r="W323" i="1" s="1"/>
  <c r="CR318" i="1"/>
  <c r="CT318" i="1" s="1"/>
  <c r="CQ318" i="1"/>
  <c r="CS318" i="1" s="1"/>
  <c r="CU318" i="1" s="1"/>
  <c r="AI322" i="1"/>
  <c r="AK322" i="1" s="1"/>
  <c r="AM322" i="1" s="1"/>
  <c r="AJ322" i="1"/>
  <c r="AL322" i="1" s="1"/>
  <c r="AX321" i="1"/>
  <c r="AZ321" i="1" s="1"/>
  <c r="BB321" i="1" s="1"/>
  <c r="AY321" i="1"/>
  <c r="BA321" i="1" s="1"/>
  <c r="K323" i="1"/>
  <c r="M323" i="1" s="1"/>
  <c r="J323" i="1"/>
  <c r="L323" i="1" s="1"/>
  <c r="N323" i="1" s="1"/>
  <c r="D324" i="1"/>
  <c r="BM320" i="1"/>
  <c r="BO320" i="1" s="1"/>
  <c r="BQ320" i="1" s="1"/>
  <c r="BN320" i="1"/>
  <c r="BP320" i="1" s="1"/>
  <c r="DA317" i="1"/>
  <c r="DC317" i="1" s="1"/>
  <c r="DB317" i="1"/>
  <c r="DD317" i="1" s="1"/>
  <c r="BC321" i="1" l="1"/>
  <c r="BE321" i="1" s="1"/>
  <c r="BG321" i="1" s="1"/>
  <c r="BD321" i="1"/>
  <c r="BF321" i="1" s="1"/>
  <c r="AO322" i="1"/>
  <c r="AQ322" i="1" s="1"/>
  <c r="AN322" i="1"/>
  <c r="AP322" i="1" s="1"/>
  <c r="AR322" i="1" s="1"/>
  <c r="O323" i="1"/>
  <c r="P323" i="1"/>
  <c r="R323" i="1" s="1"/>
  <c r="CV318" i="1"/>
  <c r="CX318" i="1" s="1"/>
  <c r="CW318" i="1"/>
  <c r="CY318" i="1" s="1"/>
  <c r="BS320" i="1"/>
  <c r="BU320" i="1" s="1"/>
  <c r="BR320" i="1"/>
  <c r="BT320" i="1" s="1"/>
  <c r="BV320" i="1" s="1"/>
  <c r="Z323" i="1"/>
  <c r="AB323" i="1" s="1"/>
  <c r="Y323" i="1"/>
  <c r="AA323" i="1" s="1"/>
  <c r="AC323" i="1" s="1"/>
  <c r="CG319" i="1"/>
  <c r="CI319" i="1" s="1"/>
  <c r="CK319" i="1" s="1"/>
  <c r="CH319" i="1"/>
  <c r="CJ319" i="1" s="1"/>
  <c r="E324" i="1"/>
  <c r="F324" i="1"/>
  <c r="H324" i="1" s="1"/>
  <c r="BX320" i="1" l="1"/>
  <c r="BZ320" i="1" s="1"/>
  <c r="BW320" i="1"/>
  <c r="BY320" i="1" s="1"/>
  <c r="CA320" i="1" s="1"/>
  <c r="AE323" i="1"/>
  <c r="AG323" i="1" s="1"/>
  <c r="AD323" i="1"/>
  <c r="AF323" i="1" s="1"/>
  <c r="AH323" i="1" s="1"/>
  <c r="CZ318" i="1"/>
  <c r="AS322" i="1"/>
  <c r="AU322" i="1" s="1"/>
  <c r="AW322" i="1" s="1"/>
  <c r="AT322" i="1"/>
  <c r="AV322" i="1" s="1"/>
  <c r="G324" i="1"/>
  <c r="I324" i="1" s="1"/>
  <c r="Q324" i="1"/>
  <c r="S324" i="1" s="1"/>
  <c r="CL319" i="1"/>
  <c r="CN319" i="1" s="1"/>
  <c r="CP319" i="1" s="1"/>
  <c r="CM319" i="1"/>
  <c r="CO319" i="1" s="1"/>
  <c r="BH321" i="1"/>
  <c r="BJ321" i="1" s="1"/>
  <c r="BL321" i="1" s="1"/>
  <c r="BI321" i="1"/>
  <c r="BK321" i="1" s="1"/>
  <c r="U324" i="1" l="1"/>
  <c r="W324" i="1" s="1"/>
  <c r="T324" i="1"/>
  <c r="V324" i="1" s="1"/>
  <c r="X324" i="1" s="1"/>
  <c r="AY322" i="1"/>
  <c r="BA322" i="1" s="1"/>
  <c r="AX322" i="1"/>
  <c r="AZ322" i="1" s="1"/>
  <c r="BB322" i="1" s="1"/>
  <c r="BN321" i="1"/>
  <c r="BP321" i="1" s="1"/>
  <c r="BM321" i="1"/>
  <c r="BO321" i="1" s="1"/>
  <c r="BQ321" i="1" s="1"/>
  <c r="J324" i="1"/>
  <c r="L324" i="1" s="1"/>
  <c r="N324" i="1" s="1"/>
  <c r="K324" i="1"/>
  <c r="M324" i="1" s="1"/>
  <c r="D325" i="1"/>
  <c r="DA318" i="1"/>
  <c r="DC318" i="1" s="1"/>
  <c r="DB318" i="1"/>
  <c r="DD318" i="1" s="1"/>
  <c r="CQ319" i="1"/>
  <c r="CS319" i="1" s="1"/>
  <c r="CU319" i="1" s="1"/>
  <c r="CR319" i="1"/>
  <c r="CT319" i="1" s="1"/>
  <c r="AJ323" i="1"/>
  <c r="AL323" i="1" s="1"/>
  <c r="AI323" i="1"/>
  <c r="AK323" i="1" s="1"/>
  <c r="AM323" i="1" s="1"/>
  <c r="CC320" i="1"/>
  <c r="CE320" i="1" s="1"/>
  <c r="CB320" i="1"/>
  <c r="CD320" i="1" s="1"/>
  <c r="CF320" i="1" s="1"/>
  <c r="BS321" i="1" l="1"/>
  <c r="BU321" i="1" s="1"/>
  <c r="BR321" i="1"/>
  <c r="BT321" i="1" s="1"/>
  <c r="BV321" i="1" s="1"/>
  <c r="CW319" i="1"/>
  <c r="CY319" i="1" s="1"/>
  <c r="CV319" i="1"/>
  <c r="CX319" i="1" s="1"/>
  <c r="CZ319" i="1" s="1"/>
  <c r="O324" i="1"/>
  <c r="P324" i="1"/>
  <c r="R324" i="1" s="1"/>
  <c r="AO323" i="1"/>
  <c r="AQ323" i="1" s="1"/>
  <c r="AN323" i="1"/>
  <c r="AP323" i="1" s="1"/>
  <c r="AR323" i="1" s="1"/>
  <c r="E325" i="1"/>
  <c r="F325" i="1"/>
  <c r="H325" i="1" s="1"/>
  <c r="Z324" i="1"/>
  <c r="AB324" i="1" s="1"/>
  <c r="Y324" i="1"/>
  <c r="AA324" i="1" s="1"/>
  <c r="AC324" i="1" s="1"/>
  <c r="CG320" i="1"/>
  <c r="CI320" i="1" s="1"/>
  <c r="CK320" i="1" s="1"/>
  <c r="CH320" i="1"/>
  <c r="CJ320" i="1" s="1"/>
  <c r="BD322" i="1"/>
  <c r="BF322" i="1" s="1"/>
  <c r="BC322" i="1"/>
  <c r="BE322" i="1" s="1"/>
  <c r="BG322" i="1" s="1"/>
  <c r="AS323" i="1" l="1"/>
  <c r="AU323" i="1" s="1"/>
  <c r="AW323" i="1" s="1"/>
  <c r="AT323" i="1"/>
  <c r="AV323" i="1" s="1"/>
  <c r="G325" i="1"/>
  <c r="I325" i="1" s="1"/>
  <c r="Q325" i="1"/>
  <c r="S325" i="1" s="1"/>
  <c r="DA319" i="1"/>
  <c r="DC319" i="1" s="1"/>
  <c r="DB319" i="1"/>
  <c r="DD319" i="1" s="1"/>
  <c r="BW321" i="1"/>
  <c r="BY321" i="1" s="1"/>
  <c r="CA321" i="1" s="1"/>
  <c r="BX321" i="1"/>
  <c r="BZ321" i="1" s="1"/>
  <c r="BH322" i="1"/>
  <c r="BJ322" i="1" s="1"/>
  <c r="BL322" i="1" s="1"/>
  <c r="BI322" i="1"/>
  <c r="BK322" i="1" s="1"/>
  <c r="CL320" i="1"/>
  <c r="CN320" i="1" s="1"/>
  <c r="CP320" i="1" s="1"/>
  <c r="CM320" i="1"/>
  <c r="CO320" i="1" s="1"/>
  <c r="AE324" i="1"/>
  <c r="AG324" i="1" s="1"/>
  <c r="AD324" i="1"/>
  <c r="AF324" i="1" s="1"/>
  <c r="AH324" i="1" s="1"/>
  <c r="BM322" i="1" l="1"/>
  <c r="BO322" i="1" s="1"/>
  <c r="BQ322" i="1" s="1"/>
  <c r="BN322" i="1"/>
  <c r="BP322" i="1" s="1"/>
  <c r="CQ320" i="1"/>
  <c r="CS320" i="1" s="1"/>
  <c r="CU320" i="1" s="1"/>
  <c r="CR320" i="1"/>
  <c r="CT320" i="1" s="1"/>
  <c r="U325" i="1"/>
  <c r="W325" i="1" s="1"/>
  <c r="T325" i="1"/>
  <c r="V325" i="1" s="1"/>
  <c r="X325" i="1" s="1"/>
  <c r="CC321" i="1"/>
  <c r="CE321" i="1" s="1"/>
  <c r="CB321" i="1"/>
  <c r="CD321" i="1" s="1"/>
  <c r="CF321" i="1" s="1"/>
  <c r="AJ324" i="1"/>
  <c r="AL324" i="1" s="1"/>
  <c r="AI324" i="1"/>
  <c r="AK324" i="1" s="1"/>
  <c r="AM324" i="1" s="1"/>
  <c r="K325" i="1"/>
  <c r="M325" i="1" s="1"/>
  <c r="J325" i="1"/>
  <c r="L325" i="1" s="1"/>
  <c r="N325" i="1" s="1"/>
  <c r="D326" i="1"/>
  <c r="AX323" i="1"/>
  <c r="AZ323" i="1" s="1"/>
  <c r="BB323" i="1" s="1"/>
  <c r="AY323" i="1"/>
  <c r="BA323" i="1" s="1"/>
  <c r="CG321" i="1" l="1"/>
  <c r="CI321" i="1" s="1"/>
  <c r="CK321" i="1" s="1"/>
  <c r="CH321" i="1"/>
  <c r="CJ321" i="1" s="1"/>
  <c r="AO324" i="1"/>
  <c r="AQ324" i="1" s="1"/>
  <c r="AN324" i="1"/>
  <c r="AP324" i="1" s="1"/>
  <c r="AR324" i="1" s="1"/>
  <c r="CW320" i="1"/>
  <c r="CY320" i="1" s="1"/>
  <c r="CV320" i="1"/>
  <c r="CX320" i="1" s="1"/>
  <c r="CZ320" i="1" s="1"/>
  <c r="O325" i="1"/>
  <c r="P325" i="1"/>
  <c r="R325" i="1" s="1"/>
  <c r="Y325" i="1"/>
  <c r="AA325" i="1" s="1"/>
  <c r="AC325" i="1" s="1"/>
  <c r="Z325" i="1"/>
  <c r="AB325" i="1" s="1"/>
  <c r="BC323" i="1"/>
  <c r="BE323" i="1" s="1"/>
  <c r="BG323" i="1" s="1"/>
  <c r="BD323" i="1"/>
  <c r="BF323" i="1" s="1"/>
  <c r="E326" i="1"/>
  <c r="F326" i="1"/>
  <c r="H326" i="1" s="1"/>
  <c r="BR322" i="1"/>
  <c r="BT322" i="1" s="1"/>
  <c r="BV322" i="1" s="1"/>
  <c r="BS322" i="1"/>
  <c r="BU322" i="1" s="1"/>
  <c r="BI323" i="1" l="1"/>
  <c r="BK323" i="1" s="1"/>
  <c r="BH323" i="1"/>
  <c r="BJ323" i="1" s="1"/>
  <c r="BL323" i="1" s="1"/>
  <c r="AE325" i="1"/>
  <c r="AG325" i="1" s="1"/>
  <c r="AD325" i="1"/>
  <c r="AF325" i="1" s="1"/>
  <c r="AH325" i="1" s="1"/>
  <c r="AT324" i="1"/>
  <c r="AV324" i="1" s="1"/>
  <c r="AS324" i="1"/>
  <c r="AU324" i="1" s="1"/>
  <c r="AW324" i="1" s="1"/>
  <c r="DA320" i="1"/>
  <c r="DC320" i="1" s="1"/>
  <c r="DB320" i="1"/>
  <c r="DD320" i="1" s="1"/>
  <c r="BW322" i="1"/>
  <c r="BY322" i="1" s="1"/>
  <c r="CA322" i="1" s="1"/>
  <c r="BX322" i="1"/>
  <c r="BZ322" i="1" s="1"/>
  <c r="G326" i="1"/>
  <c r="I326" i="1" s="1"/>
  <c r="Q326" i="1"/>
  <c r="S326" i="1" s="1"/>
  <c r="CL321" i="1"/>
  <c r="CN321" i="1" s="1"/>
  <c r="CP321" i="1" s="1"/>
  <c r="CM321" i="1"/>
  <c r="CO321" i="1" s="1"/>
  <c r="K326" i="1" l="1"/>
  <c r="M326" i="1" s="1"/>
  <c r="J326" i="1"/>
  <c r="L326" i="1" s="1"/>
  <c r="N326" i="1" s="1"/>
  <c r="D327" i="1"/>
  <c r="AY324" i="1"/>
  <c r="BA324" i="1" s="1"/>
  <c r="AX324" i="1"/>
  <c r="AZ324" i="1" s="1"/>
  <c r="BB324" i="1" s="1"/>
  <c r="BN323" i="1"/>
  <c r="BP323" i="1" s="1"/>
  <c r="BM323" i="1"/>
  <c r="BO323" i="1" s="1"/>
  <c r="BQ323" i="1" s="1"/>
  <c r="CC322" i="1"/>
  <c r="CE322" i="1" s="1"/>
  <c r="CB322" i="1"/>
  <c r="CD322" i="1" s="1"/>
  <c r="CF322" i="1" s="1"/>
  <c r="AI325" i="1"/>
  <c r="AK325" i="1" s="1"/>
  <c r="AM325" i="1" s="1"/>
  <c r="AJ325" i="1"/>
  <c r="AL325" i="1" s="1"/>
  <c r="CQ321" i="1"/>
  <c r="CS321" i="1" s="1"/>
  <c r="CU321" i="1" s="1"/>
  <c r="CR321" i="1"/>
  <c r="CT321" i="1" s="1"/>
  <c r="U326" i="1"/>
  <c r="W326" i="1" s="1"/>
  <c r="T326" i="1"/>
  <c r="V326" i="1" s="1"/>
  <c r="X326" i="1" s="1"/>
  <c r="CH322" i="1" l="1"/>
  <c r="CJ322" i="1" s="1"/>
  <c r="CG322" i="1"/>
  <c r="CI322" i="1" s="1"/>
  <c r="CK322" i="1" s="1"/>
  <c r="BS323" i="1"/>
  <c r="BU323" i="1" s="1"/>
  <c r="BR323" i="1"/>
  <c r="BT323" i="1" s="1"/>
  <c r="BV323" i="1" s="1"/>
  <c r="AO325" i="1"/>
  <c r="AQ325" i="1" s="1"/>
  <c r="AN325" i="1"/>
  <c r="AP325" i="1" s="1"/>
  <c r="AR325" i="1" s="1"/>
  <c r="Z326" i="1"/>
  <c r="AB326" i="1" s="1"/>
  <c r="Y326" i="1"/>
  <c r="AA326" i="1" s="1"/>
  <c r="AC326" i="1" s="1"/>
  <c r="CV321" i="1"/>
  <c r="CX321" i="1" s="1"/>
  <c r="CW321" i="1"/>
  <c r="CY321" i="1" s="1"/>
  <c r="BC324" i="1"/>
  <c r="BE324" i="1" s="1"/>
  <c r="BG324" i="1" s="1"/>
  <c r="BD324" i="1"/>
  <c r="BF324" i="1" s="1"/>
  <c r="E327" i="1"/>
  <c r="F327" i="1"/>
  <c r="H327" i="1" s="1"/>
  <c r="P326" i="1"/>
  <c r="R326" i="1" s="1"/>
  <c r="O326" i="1"/>
  <c r="BH324" i="1" l="1"/>
  <c r="BJ324" i="1" s="1"/>
  <c r="BL324" i="1" s="1"/>
  <c r="BI324" i="1"/>
  <c r="BK324" i="1" s="1"/>
  <c r="CZ321" i="1"/>
  <c r="AS325" i="1"/>
  <c r="AU325" i="1" s="1"/>
  <c r="AW325" i="1" s="1"/>
  <c r="AT325" i="1"/>
  <c r="AV325" i="1" s="1"/>
  <c r="CM322" i="1"/>
  <c r="CO322" i="1" s="1"/>
  <c r="CL322" i="1"/>
  <c r="CN322" i="1" s="1"/>
  <c r="CP322" i="1" s="1"/>
  <c r="AE326" i="1"/>
  <c r="AG326" i="1" s="1"/>
  <c r="AD326" i="1"/>
  <c r="AF326" i="1" s="1"/>
  <c r="AH326" i="1" s="1"/>
  <c r="BW323" i="1"/>
  <c r="BY323" i="1" s="1"/>
  <c r="CA323" i="1" s="1"/>
  <c r="BX323" i="1"/>
  <c r="BZ323" i="1" s="1"/>
  <c r="G327" i="1"/>
  <c r="I327" i="1" s="1"/>
  <c r="Q327" i="1"/>
  <c r="S327" i="1" s="1"/>
  <c r="J327" i="1" l="1"/>
  <c r="L327" i="1" s="1"/>
  <c r="N327" i="1" s="1"/>
  <c r="K327" i="1"/>
  <c r="M327" i="1" s="1"/>
  <c r="D328" i="1"/>
  <c r="CR322" i="1"/>
  <c r="CT322" i="1" s="1"/>
  <c r="CQ322" i="1"/>
  <c r="CS322" i="1" s="1"/>
  <c r="CU322" i="1" s="1"/>
  <c r="CC323" i="1"/>
  <c r="CE323" i="1" s="1"/>
  <c r="CB323" i="1"/>
  <c r="CD323" i="1" s="1"/>
  <c r="CF323" i="1" s="1"/>
  <c r="AY325" i="1"/>
  <c r="BA325" i="1" s="1"/>
  <c r="AX325" i="1"/>
  <c r="AZ325" i="1" s="1"/>
  <c r="BB325" i="1" s="1"/>
  <c r="AI326" i="1"/>
  <c r="AK326" i="1" s="1"/>
  <c r="AM326" i="1" s="1"/>
  <c r="AJ326" i="1"/>
  <c r="AL326" i="1" s="1"/>
  <c r="DA321" i="1"/>
  <c r="DC321" i="1" s="1"/>
  <c r="DB321" i="1"/>
  <c r="DD321" i="1" s="1"/>
  <c r="U327" i="1"/>
  <c r="W327" i="1" s="1"/>
  <c r="T327" i="1"/>
  <c r="V327" i="1" s="1"/>
  <c r="X327" i="1" s="1"/>
  <c r="BM324" i="1"/>
  <c r="BO324" i="1" s="1"/>
  <c r="BQ324" i="1" s="1"/>
  <c r="BN324" i="1"/>
  <c r="BP324" i="1" s="1"/>
  <c r="BC325" i="1" l="1"/>
  <c r="BE325" i="1" s="1"/>
  <c r="BG325" i="1" s="1"/>
  <c r="BD325" i="1"/>
  <c r="BF325" i="1" s="1"/>
  <c r="CG323" i="1"/>
  <c r="CI323" i="1" s="1"/>
  <c r="CK323" i="1" s="1"/>
  <c r="CH323" i="1"/>
  <c r="CJ323" i="1" s="1"/>
  <c r="CW322" i="1"/>
  <c r="CY322" i="1" s="1"/>
  <c r="CV322" i="1"/>
  <c r="CX322" i="1" s="1"/>
  <c r="AN326" i="1"/>
  <c r="AP326" i="1" s="1"/>
  <c r="AR326" i="1" s="1"/>
  <c r="AO326" i="1"/>
  <c r="AQ326" i="1" s="1"/>
  <c r="Z327" i="1"/>
  <c r="AB327" i="1" s="1"/>
  <c r="Y327" i="1"/>
  <c r="AA327" i="1" s="1"/>
  <c r="AC327" i="1" s="1"/>
  <c r="BR324" i="1"/>
  <c r="BT324" i="1" s="1"/>
  <c r="BV324" i="1" s="1"/>
  <c r="BS324" i="1"/>
  <c r="BU324" i="1" s="1"/>
  <c r="E328" i="1"/>
  <c r="F328" i="1"/>
  <c r="H328" i="1" s="1"/>
  <c r="P327" i="1"/>
  <c r="R327" i="1" s="1"/>
  <c r="O327" i="1"/>
  <c r="AS326" i="1" l="1"/>
  <c r="AU326" i="1" s="1"/>
  <c r="AW326" i="1" s="1"/>
  <c r="AT326" i="1"/>
  <c r="AV326" i="1" s="1"/>
  <c r="BX324" i="1"/>
  <c r="BZ324" i="1" s="1"/>
  <c r="BW324" i="1"/>
  <c r="BY324" i="1" s="1"/>
  <c r="CA324" i="1" s="1"/>
  <c r="CM323" i="1"/>
  <c r="CO323" i="1" s="1"/>
  <c r="CL323" i="1"/>
  <c r="CN323" i="1" s="1"/>
  <c r="CP323" i="1" s="1"/>
  <c r="AE327" i="1"/>
  <c r="AG327" i="1" s="1"/>
  <c r="AD327" i="1"/>
  <c r="AF327" i="1" s="1"/>
  <c r="AH327" i="1" s="1"/>
  <c r="CZ322" i="1"/>
  <c r="G328" i="1"/>
  <c r="I328" i="1" s="1"/>
  <c r="Q328" i="1"/>
  <c r="S328" i="1" s="1"/>
  <c r="BH325" i="1"/>
  <c r="BJ325" i="1" s="1"/>
  <c r="BL325" i="1" s="1"/>
  <c r="BI325" i="1"/>
  <c r="BK325" i="1" s="1"/>
  <c r="K328" i="1" l="1"/>
  <c r="M328" i="1" s="1"/>
  <c r="J328" i="1"/>
  <c r="L328" i="1" s="1"/>
  <c r="N328" i="1" s="1"/>
  <c r="D329" i="1"/>
  <c r="U328" i="1"/>
  <c r="W328" i="1" s="1"/>
  <c r="T328" i="1"/>
  <c r="V328" i="1" s="1"/>
  <c r="X328" i="1" s="1"/>
  <c r="BN325" i="1"/>
  <c r="BP325" i="1" s="1"/>
  <c r="BM325" i="1"/>
  <c r="BO325" i="1" s="1"/>
  <c r="BQ325" i="1" s="1"/>
  <c r="AI327" i="1"/>
  <c r="AK327" i="1" s="1"/>
  <c r="AM327" i="1" s="1"/>
  <c r="AJ327" i="1"/>
  <c r="AL327" i="1" s="1"/>
  <c r="CB324" i="1"/>
  <c r="CD324" i="1" s="1"/>
  <c r="CF324" i="1" s="1"/>
  <c r="CC324" i="1"/>
  <c r="CE324" i="1" s="1"/>
  <c r="DA322" i="1"/>
  <c r="DC322" i="1" s="1"/>
  <c r="DB322" i="1"/>
  <c r="DD322" i="1" s="1"/>
  <c r="CQ323" i="1"/>
  <c r="CS323" i="1" s="1"/>
  <c r="CU323" i="1" s="1"/>
  <c r="CR323" i="1"/>
  <c r="CT323" i="1" s="1"/>
  <c r="AY326" i="1"/>
  <c r="BA326" i="1" s="1"/>
  <c r="AX326" i="1"/>
  <c r="AZ326" i="1" s="1"/>
  <c r="BB326" i="1" s="1"/>
  <c r="CG324" i="1" l="1"/>
  <c r="CI324" i="1" s="1"/>
  <c r="CK324" i="1" s="1"/>
  <c r="CH324" i="1"/>
  <c r="CJ324" i="1" s="1"/>
  <c r="AO327" i="1"/>
  <c r="AQ327" i="1" s="1"/>
  <c r="AN327" i="1"/>
  <c r="AP327" i="1" s="1"/>
  <c r="AR327" i="1" s="1"/>
  <c r="BS325" i="1"/>
  <c r="BU325" i="1" s="1"/>
  <c r="BR325" i="1"/>
  <c r="BT325" i="1" s="1"/>
  <c r="BV325" i="1" s="1"/>
  <c r="Y328" i="1"/>
  <c r="AA328" i="1" s="1"/>
  <c r="AC328" i="1" s="1"/>
  <c r="Z328" i="1"/>
  <c r="AB328" i="1" s="1"/>
  <c r="CW323" i="1"/>
  <c r="CY323" i="1" s="1"/>
  <c r="CV323" i="1"/>
  <c r="CX323" i="1" s="1"/>
  <c r="CZ323" i="1" s="1"/>
  <c r="BC326" i="1"/>
  <c r="BE326" i="1" s="1"/>
  <c r="BG326" i="1" s="1"/>
  <c r="BD326" i="1"/>
  <c r="BF326" i="1" s="1"/>
  <c r="E329" i="1"/>
  <c r="F329" i="1"/>
  <c r="H329" i="1" s="1"/>
  <c r="O328" i="1"/>
  <c r="P328" i="1"/>
  <c r="R328" i="1" s="1"/>
  <c r="BW325" i="1" l="1"/>
  <c r="BY325" i="1" s="1"/>
  <c r="CA325" i="1" s="1"/>
  <c r="BX325" i="1"/>
  <c r="BZ325" i="1" s="1"/>
  <c r="BI326" i="1"/>
  <c r="BK326" i="1" s="1"/>
  <c r="BH326" i="1"/>
  <c r="BJ326" i="1" s="1"/>
  <c r="BL326" i="1" s="1"/>
  <c r="AE328" i="1"/>
  <c r="AG328" i="1" s="1"/>
  <c r="AD328" i="1"/>
  <c r="AF328" i="1" s="1"/>
  <c r="AH328" i="1" s="1"/>
  <c r="DA323" i="1"/>
  <c r="DC323" i="1" s="1"/>
  <c r="DB323" i="1"/>
  <c r="DD323" i="1" s="1"/>
  <c r="AT327" i="1"/>
  <c r="AV327" i="1" s="1"/>
  <c r="AS327" i="1"/>
  <c r="AU327" i="1" s="1"/>
  <c r="AW327" i="1" s="1"/>
  <c r="Q329" i="1"/>
  <c r="S329" i="1" s="1"/>
  <c r="G329" i="1"/>
  <c r="I329" i="1" s="1"/>
  <c r="CM324" i="1"/>
  <c r="CO324" i="1" s="1"/>
  <c r="CL324" i="1"/>
  <c r="CN324" i="1" s="1"/>
  <c r="CP324" i="1" s="1"/>
  <c r="AY327" i="1" l="1"/>
  <c r="BA327" i="1" s="1"/>
  <c r="AX327" i="1"/>
  <c r="AZ327" i="1" s="1"/>
  <c r="BB327" i="1" s="1"/>
  <c r="BN326" i="1"/>
  <c r="BP326" i="1" s="1"/>
  <c r="BM326" i="1"/>
  <c r="BO326" i="1" s="1"/>
  <c r="BQ326" i="1" s="1"/>
  <c r="U329" i="1"/>
  <c r="W329" i="1" s="1"/>
  <c r="T329" i="1"/>
  <c r="V329" i="1" s="1"/>
  <c r="X329" i="1" s="1"/>
  <c r="AI328" i="1"/>
  <c r="AK328" i="1" s="1"/>
  <c r="AM328" i="1" s="1"/>
  <c r="AJ328" i="1"/>
  <c r="AL328" i="1" s="1"/>
  <c r="K329" i="1"/>
  <c r="M329" i="1" s="1"/>
  <c r="J329" i="1"/>
  <c r="L329" i="1" s="1"/>
  <c r="N329" i="1" s="1"/>
  <c r="D330" i="1"/>
  <c r="CQ324" i="1"/>
  <c r="CS324" i="1" s="1"/>
  <c r="CU324" i="1" s="1"/>
  <c r="CR324" i="1"/>
  <c r="CT324" i="1" s="1"/>
  <c r="CC325" i="1"/>
  <c r="CE325" i="1" s="1"/>
  <c r="CB325" i="1"/>
  <c r="CD325" i="1" s="1"/>
  <c r="CF325" i="1" s="1"/>
  <c r="O329" i="1" l="1"/>
  <c r="P329" i="1"/>
  <c r="R329" i="1" s="1"/>
  <c r="Z329" i="1"/>
  <c r="AB329" i="1" s="1"/>
  <c r="Y329" i="1"/>
  <c r="AA329" i="1" s="1"/>
  <c r="AC329" i="1" s="1"/>
  <c r="F330" i="1"/>
  <c r="H330" i="1" s="1"/>
  <c r="E330" i="1"/>
  <c r="AO328" i="1"/>
  <c r="AQ328" i="1" s="1"/>
  <c r="AN328" i="1"/>
  <c r="AP328" i="1" s="1"/>
  <c r="AR328" i="1" s="1"/>
  <c r="BS326" i="1"/>
  <c r="BU326" i="1" s="1"/>
  <c r="BR326" i="1"/>
  <c r="BT326" i="1" s="1"/>
  <c r="BV326" i="1" s="1"/>
  <c r="BD327" i="1"/>
  <c r="BF327" i="1" s="1"/>
  <c r="BC327" i="1"/>
  <c r="BE327" i="1" s="1"/>
  <c r="BG327" i="1" s="1"/>
  <c r="CW324" i="1"/>
  <c r="CY324" i="1" s="1"/>
  <c r="CV324" i="1"/>
  <c r="CX324" i="1" s="1"/>
  <c r="CZ324" i="1" s="1"/>
  <c r="CH325" i="1"/>
  <c r="CJ325" i="1" s="1"/>
  <c r="CG325" i="1"/>
  <c r="CI325" i="1" s="1"/>
  <c r="CK325" i="1" s="1"/>
  <c r="CM325" i="1" l="1"/>
  <c r="CO325" i="1" s="1"/>
  <c r="CL325" i="1"/>
  <c r="CN325" i="1" s="1"/>
  <c r="CP325" i="1" s="1"/>
  <c r="BW326" i="1"/>
  <c r="BY326" i="1" s="1"/>
  <c r="CA326" i="1" s="1"/>
  <c r="BX326" i="1"/>
  <c r="BZ326" i="1" s="1"/>
  <c r="AE329" i="1"/>
  <c r="AG329" i="1" s="1"/>
  <c r="AD329" i="1"/>
  <c r="AF329" i="1" s="1"/>
  <c r="AH329" i="1" s="1"/>
  <c r="DB324" i="1"/>
  <c r="DD324" i="1" s="1"/>
  <c r="DA324" i="1"/>
  <c r="DC324" i="1" s="1"/>
  <c r="AS328" i="1"/>
  <c r="AU328" i="1" s="1"/>
  <c r="AW328" i="1" s="1"/>
  <c r="AT328" i="1"/>
  <c r="AV328" i="1" s="1"/>
  <c r="G330" i="1"/>
  <c r="I330" i="1" s="1"/>
  <c r="Q330" i="1"/>
  <c r="S330" i="1" s="1"/>
  <c r="BH327" i="1"/>
  <c r="BJ327" i="1" s="1"/>
  <c r="BL327" i="1" s="1"/>
  <c r="BI327" i="1"/>
  <c r="BK327" i="1" s="1"/>
  <c r="T330" i="1" l="1"/>
  <c r="V330" i="1" s="1"/>
  <c r="X330" i="1" s="1"/>
  <c r="U330" i="1"/>
  <c r="W330" i="1" s="1"/>
  <c r="CB326" i="1"/>
  <c r="CD326" i="1" s="1"/>
  <c r="CF326" i="1" s="1"/>
  <c r="CC326" i="1"/>
  <c r="CE326" i="1" s="1"/>
  <c r="K330" i="1"/>
  <c r="M330" i="1" s="1"/>
  <c r="J330" i="1"/>
  <c r="L330" i="1" s="1"/>
  <c r="N330" i="1" s="1"/>
  <c r="D331" i="1"/>
  <c r="CQ325" i="1"/>
  <c r="CS325" i="1" s="1"/>
  <c r="CU325" i="1" s="1"/>
  <c r="CR325" i="1"/>
  <c r="CT325" i="1" s="1"/>
  <c r="AY328" i="1"/>
  <c r="BA328" i="1" s="1"/>
  <c r="AX328" i="1"/>
  <c r="AZ328" i="1" s="1"/>
  <c r="BB328" i="1" s="1"/>
  <c r="AJ329" i="1"/>
  <c r="AL329" i="1" s="1"/>
  <c r="AI329" i="1"/>
  <c r="AK329" i="1" s="1"/>
  <c r="AM329" i="1" s="1"/>
  <c r="BM327" i="1"/>
  <c r="BO327" i="1" s="1"/>
  <c r="BQ327" i="1" s="1"/>
  <c r="BN327" i="1"/>
  <c r="BP327" i="1" s="1"/>
  <c r="CW325" i="1" l="1"/>
  <c r="CY325" i="1" s="1"/>
  <c r="CV325" i="1"/>
  <c r="CX325" i="1" s="1"/>
  <c r="CZ325" i="1" s="1"/>
  <c r="F331" i="1"/>
  <c r="H331" i="1" s="1"/>
  <c r="E331" i="1"/>
  <c r="CG326" i="1"/>
  <c r="CI326" i="1" s="1"/>
  <c r="CK326" i="1" s="1"/>
  <c r="CH326" i="1"/>
  <c r="CJ326" i="1" s="1"/>
  <c r="BC328" i="1"/>
  <c r="BE328" i="1" s="1"/>
  <c r="BG328" i="1" s="1"/>
  <c r="BD328" i="1"/>
  <c r="BF328" i="1" s="1"/>
  <c r="O330" i="1"/>
  <c r="P330" i="1"/>
  <c r="R330" i="1" s="1"/>
  <c r="BS327" i="1"/>
  <c r="BU327" i="1" s="1"/>
  <c r="BR327" i="1"/>
  <c r="BT327" i="1" s="1"/>
  <c r="BV327" i="1" s="1"/>
  <c r="AO329" i="1"/>
  <c r="AQ329" i="1" s="1"/>
  <c r="AN329" i="1"/>
  <c r="AP329" i="1" s="1"/>
  <c r="AR329" i="1" s="1"/>
  <c r="Y330" i="1"/>
  <c r="AA330" i="1" s="1"/>
  <c r="AC330" i="1" s="1"/>
  <c r="Z330" i="1"/>
  <c r="AB330" i="1" s="1"/>
  <c r="BI328" i="1" l="1"/>
  <c r="BK328" i="1" s="1"/>
  <c r="BH328" i="1"/>
  <c r="BJ328" i="1" s="1"/>
  <c r="BL328" i="1" s="1"/>
  <c r="CM326" i="1"/>
  <c r="CO326" i="1" s="1"/>
  <c r="CL326" i="1"/>
  <c r="CN326" i="1" s="1"/>
  <c r="CP326" i="1" s="1"/>
  <c r="G331" i="1"/>
  <c r="I331" i="1" s="1"/>
  <c r="Q331" i="1"/>
  <c r="S331" i="1" s="1"/>
  <c r="DB325" i="1"/>
  <c r="DD325" i="1" s="1"/>
  <c r="DA325" i="1"/>
  <c r="DC325" i="1" s="1"/>
  <c r="AE330" i="1"/>
  <c r="AG330" i="1" s="1"/>
  <c r="AD330" i="1"/>
  <c r="AF330" i="1" s="1"/>
  <c r="AH330" i="1" s="1"/>
  <c r="AT329" i="1"/>
  <c r="AV329" i="1" s="1"/>
  <c r="AS329" i="1"/>
  <c r="AU329" i="1" s="1"/>
  <c r="AW329" i="1" s="1"/>
  <c r="BX327" i="1"/>
  <c r="BZ327" i="1" s="1"/>
  <c r="BW327" i="1"/>
  <c r="BY327" i="1" s="1"/>
  <c r="CA327" i="1" s="1"/>
  <c r="AJ330" i="1" l="1"/>
  <c r="AL330" i="1" s="1"/>
  <c r="AI330" i="1"/>
  <c r="AK330" i="1" s="1"/>
  <c r="AM330" i="1" s="1"/>
  <c r="K331" i="1"/>
  <c r="M331" i="1" s="1"/>
  <c r="J331" i="1"/>
  <c r="L331" i="1" s="1"/>
  <c r="N331" i="1" s="1"/>
  <c r="D332" i="1"/>
  <c r="CR326" i="1"/>
  <c r="CT326" i="1" s="1"/>
  <c r="CQ326" i="1"/>
  <c r="CS326" i="1" s="1"/>
  <c r="CU326" i="1" s="1"/>
  <c r="BM328" i="1"/>
  <c r="BO328" i="1" s="1"/>
  <c r="BQ328" i="1" s="1"/>
  <c r="BN328" i="1"/>
  <c r="BP328" i="1" s="1"/>
  <c r="U331" i="1"/>
  <c r="W331" i="1" s="1"/>
  <c r="T331" i="1"/>
  <c r="V331" i="1" s="1"/>
  <c r="X331" i="1" s="1"/>
  <c r="CC327" i="1"/>
  <c r="CE327" i="1" s="1"/>
  <c r="CB327" i="1"/>
  <c r="CD327" i="1" s="1"/>
  <c r="CF327" i="1" s="1"/>
  <c r="AY329" i="1"/>
  <c r="BA329" i="1" s="1"/>
  <c r="AX329" i="1"/>
  <c r="AZ329" i="1" s="1"/>
  <c r="BB329" i="1" s="1"/>
  <c r="Y331" i="1" l="1"/>
  <c r="AA331" i="1" s="1"/>
  <c r="AC331" i="1" s="1"/>
  <c r="Z331" i="1"/>
  <c r="AB331" i="1" s="1"/>
  <c r="BC329" i="1"/>
  <c r="BE329" i="1" s="1"/>
  <c r="BG329" i="1" s="1"/>
  <c r="BD329" i="1"/>
  <c r="BF329" i="1" s="1"/>
  <c r="CW326" i="1"/>
  <c r="CY326" i="1" s="1"/>
  <c r="CV326" i="1"/>
  <c r="CX326" i="1" s="1"/>
  <c r="CZ326" i="1" s="1"/>
  <c r="E332" i="1"/>
  <c r="F332" i="1"/>
  <c r="H332" i="1" s="1"/>
  <c r="AN330" i="1"/>
  <c r="AP330" i="1" s="1"/>
  <c r="AR330" i="1" s="1"/>
  <c r="AO330" i="1"/>
  <c r="AQ330" i="1" s="1"/>
  <c r="BS328" i="1"/>
  <c r="BU328" i="1" s="1"/>
  <c r="BR328" i="1"/>
  <c r="BT328" i="1" s="1"/>
  <c r="BV328" i="1" s="1"/>
  <c r="O331" i="1"/>
  <c r="P331" i="1"/>
  <c r="R331" i="1" s="1"/>
  <c r="CH327" i="1"/>
  <c r="CJ327" i="1" s="1"/>
  <c r="CG327" i="1"/>
  <c r="CI327" i="1" s="1"/>
  <c r="CK327" i="1" s="1"/>
  <c r="G332" i="1" l="1"/>
  <c r="I332" i="1" s="1"/>
  <c r="Q332" i="1"/>
  <c r="S332" i="1" s="1"/>
  <c r="CM327" i="1"/>
  <c r="CO327" i="1" s="1"/>
  <c r="CL327" i="1"/>
  <c r="CN327" i="1" s="1"/>
  <c r="CP327" i="1" s="1"/>
  <c r="AS330" i="1"/>
  <c r="AU330" i="1" s="1"/>
  <c r="AW330" i="1" s="1"/>
  <c r="AT330" i="1"/>
  <c r="AV330" i="1" s="1"/>
  <c r="DA326" i="1"/>
  <c r="DC326" i="1" s="1"/>
  <c r="DB326" i="1"/>
  <c r="DD326" i="1" s="1"/>
  <c r="BI329" i="1"/>
  <c r="BK329" i="1" s="1"/>
  <c r="BH329" i="1"/>
  <c r="BJ329" i="1" s="1"/>
  <c r="BL329" i="1" s="1"/>
  <c r="BW328" i="1"/>
  <c r="BY328" i="1" s="1"/>
  <c r="CA328" i="1" s="1"/>
  <c r="BX328" i="1"/>
  <c r="BZ328" i="1" s="1"/>
  <c r="AD331" i="1"/>
  <c r="AF331" i="1" s="1"/>
  <c r="AH331" i="1" s="1"/>
  <c r="AE331" i="1"/>
  <c r="AG331" i="1" s="1"/>
  <c r="CC328" i="1" l="1"/>
  <c r="CE328" i="1" s="1"/>
  <c r="CB328" i="1"/>
  <c r="CD328" i="1" s="1"/>
  <c r="CF328" i="1" s="1"/>
  <c r="BM329" i="1"/>
  <c r="BO329" i="1" s="1"/>
  <c r="BQ329" i="1" s="1"/>
  <c r="BN329" i="1"/>
  <c r="BP329" i="1" s="1"/>
  <c r="CQ327" i="1"/>
  <c r="CS327" i="1" s="1"/>
  <c r="CU327" i="1" s="1"/>
  <c r="CR327" i="1"/>
  <c r="CT327" i="1" s="1"/>
  <c r="T332" i="1"/>
  <c r="V332" i="1" s="1"/>
  <c r="X332" i="1" s="1"/>
  <c r="U332" i="1"/>
  <c r="W332" i="1" s="1"/>
  <c r="AY330" i="1"/>
  <c r="BA330" i="1" s="1"/>
  <c r="AX330" i="1"/>
  <c r="AZ330" i="1" s="1"/>
  <c r="BB330" i="1" s="1"/>
  <c r="AI331" i="1"/>
  <c r="AK331" i="1" s="1"/>
  <c r="AM331" i="1" s="1"/>
  <c r="AJ331" i="1"/>
  <c r="AL331" i="1" s="1"/>
  <c r="J332" i="1"/>
  <c r="L332" i="1" s="1"/>
  <c r="N332" i="1" s="1"/>
  <c r="K332" i="1"/>
  <c r="M332" i="1" s="1"/>
  <c r="D333" i="1"/>
  <c r="BC330" i="1" l="1"/>
  <c r="BE330" i="1" s="1"/>
  <c r="BG330" i="1" s="1"/>
  <c r="BD330" i="1"/>
  <c r="BF330" i="1" s="1"/>
  <c r="Z332" i="1"/>
  <c r="AB332" i="1" s="1"/>
  <c r="Y332" i="1"/>
  <c r="AA332" i="1" s="1"/>
  <c r="AC332" i="1" s="1"/>
  <c r="E333" i="1"/>
  <c r="F333" i="1"/>
  <c r="H333" i="1" s="1"/>
  <c r="AO331" i="1"/>
  <c r="AQ331" i="1" s="1"/>
  <c r="AN331" i="1"/>
  <c r="AP331" i="1" s="1"/>
  <c r="AR331" i="1" s="1"/>
  <c r="CG328" i="1"/>
  <c r="CI328" i="1" s="1"/>
  <c r="CK328" i="1" s="1"/>
  <c r="CH328" i="1"/>
  <c r="CJ328" i="1" s="1"/>
  <c r="CW327" i="1"/>
  <c r="CY327" i="1" s="1"/>
  <c r="CV327" i="1"/>
  <c r="CX327" i="1" s="1"/>
  <c r="BS329" i="1"/>
  <c r="BU329" i="1" s="1"/>
  <c r="BR329" i="1"/>
  <c r="BT329" i="1" s="1"/>
  <c r="BV329" i="1" s="1"/>
  <c r="O332" i="1"/>
  <c r="P332" i="1"/>
  <c r="R332" i="1" s="1"/>
  <c r="AS331" i="1" l="1"/>
  <c r="AU331" i="1" s="1"/>
  <c r="AW331" i="1" s="1"/>
  <c r="AT331" i="1"/>
  <c r="AV331" i="1" s="1"/>
  <c r="AD332" i="1"/>
  <c r="AF332" i="1" s="1"/>
  <c r="AH332" i="1" s="1"/>
  <c r="AE332" i="1"/>
  <c r="AG332" i="1" s="1"/>
  <c r="BW329" i="1"/>
  <c r="BY329" i="1" s="1"/>
  <c r="CA329" i="1" s="1"/>
  <c r="BX329" i="1"/>
  <c r="BZ329" i="1" s="1"/>
  <c r="CM328" i="1"/>
  <c r="CO328" i="1" s="1"/>
  <c r="CL328" i="1"/>
  <c r="CN328" i="1" s="1"/>
  <c r="CP328" i="1" s="1"/>
  <c r="G333" i="1"/>
  <c r="I333" i="1" s="1"/>
  <c r="Q333" i="1"/>
  <c r="S333" i="1" s="1"/>
  <c r="CZ327" i="1"/>
  <c r="BH330" i="1"/>
  <c r="BJ330" i="1" s="1"/>
  <c r="BL330" i="1" s="1"/>
  <c r="BI330" i="1"/>
  <c r="BK330" i="1" s="1"/>
  <c r="T333" i="1" l="1"/>
  <c r="V333" i="1" s="1"/>
  <c r="X333" i="1" s="1"/>
  <c r="U333" i="1"/>
  <c r="W333" i="1" s="1"/>
  <c r="DA327" i="1"/>
  <c r="DC327" i="1" s="1"/>
  <c r="DB327" i="1"/>
  <c r="DD327" i="1" s="1"/>
  <c r="CC329" i="1"/>
  <c r="CE329" i="1" s="1"/>
  <c r="CB329" i="1"/>
  <c r="CD329" i="1" s="1"/>
  <c r="CF329" i="1" s="1"/>
  <c r="K333" i="1"/>
  <c r="M333" i="1" s="1"/>
  <c r="J333" i="1"/>
  <c r="L333" i="1" s="1"/>
  <c r="N333" i="1" s="1"/>
  <c r="D334" i="1"/>
  <c r="BM330" i="1"/>
  <c r="BO330" i="1" s="1"/>
  <c r="BQ330" i="1" s="1"/>
  <c r="BN330" i="1"/>
  <c r="BP330" i="1" s="1"/>
  <c r="CQ328" i="1"/>
  <c r="CS328" i="1" s="1"/>
  <c r="CU328" i="1" s="1"/>
  <c r="CR328" i="1"/>
  <c r="CT328" i="1" s="1"/>
  <c r="AI332" i="1"/>
  <c r="AK332" i="1" s="1"/>
  <c r="AM332" i="1" s="1"/>
  <c r="AJ332" i="1"/>
  <c r="AL332" i="1" s="1"/>
  <c r="AX331" i="1"/>
  <c r="AZ331" i="1" s="1"/>
  <c r="BB331" i="1" s="1"/>
  <c r="AY331" i="1"/>
  <c r="BA331" i="1" s="1"/>
  <c r="CG329" i="1" l="1"/>
  <c r="CI329" i="1" s="1"/>
  <c r="CK329" i="1" s="1"/>
  <c r="CH329" i="1"/>
  <c r="CJ329" i="1" s="1"/>
  <c r="O333" i="1"/>
  <c r="P333" i="1"/>
  <c r="R333" i="1" s="1"/>
  <c r="AO332" i="1"/>
  <c r="AQ332" i="1" s="1"/>
  <c r="AN332" i="1"/>
  <c r="AP332" i="1" s="1"/>
  <c r="AR332" i="1" s="1"/>
  <c r="BS330" i="1"/>
  <c r="BU330" i="1" s="1"/>
  <c r="BR330" i="1"/>
  <c r="BT330" i="1" s="1"/>
  <c r="BV330" i="1" s="1"/>
  <c r="F334" i="1"/>
  <c r="H334" i="1" s="1"/>
  <c r="E334" i="1"/>
  <c r="BC331" i="1"/>
  <c r="BE331" i="1" s="1"/>
  <c r="BG331" i="1" s="1"/>
  <c r="BD331" i="1"/>
  <c r="BF331" i="1" s="1"/>
  <c r="CW328" i="1"/>
  <c r="CY328" i="1" s="1"/>
  <c r="CV328" i="1"/>
  <c r="CX328" i="1" s="1"/>
  <c r="CZ328" i="1" s="1"/>
  <c r="Z333" i="1"/>
  <c r="AB333" i="1" s="1"/>
  <c r="Y333" i="1"/>
  <c r="AA333" i="1" s="1"/>
  <c r="AC333" i="1" s="1"/>
  <c r="G334" i="1" l="1"/>
  <c r="I334" i="1" s="1"/>
  <c r="Q334" i="1"/>
  <c r="S334" i="1" s="1"/>
  <c r="BW330" i="1"/>
  <c r="BY330" i="1" s="1"/>
  <c r="CA330" i="1" s="1"/>
  <c r="BX330" i="1"/>
  <c r="BZ330" i="1" s="1"/>
  <c r="BI331" i="1"/>
  <c r="BK331" i="1" s="1"/>
  <c r="BH331" i="1"/>
  <c r="BJ331" i="1" s="1"/>
  <c r="BL331" i="1" s="1"/>
  <c r="AE333" i="1"/>
  <c r="AG333" i="1" s="1"/>
  <c r="AD333" i="1"/>
  <c r="AF333" i="1" s="1"/>
  <c r="AH333" i="1" s="1"/>
  <c r="AT332" i="1"/>
  <c r="AV332" i="1" s="1"/>
  <c r="AS332" i="1"/>
  <c r="AU332" i="1" s="1"/>
  <c r="AW332" i="1" s="1"/>
  <c r="DB328" i="1"/>
  <c r="DD328" i="1" s="1"/>
  <c r="DA328" i="1"/>
  <c r="DC328" i="1" s="1"/>
  <c r="CM329" i="1"/>
  <c r="CO329" i="1" s="1"/>
  <c r="CL329" i="1"/>
  <c r="CN329" i="1" s="1"/>
  <c r="CP329" i="1" s="1"/>
  <c r="AI333" i="1" l="1"/>
  <c r="AK333" i="1" s="1"/>
  <c r="AM333" i="1" s="1"/>
  <c r="AJ333" i="1"/>
  <c r="AL333" i="1" s="1"/>
  <c r="AY332" i="1"/>
  <c r="BA332" i="1" s="1"/>
  <c r="AX332" i="1"/>
  <c r="AZ332" i="1" s="1"/>
  <c r="BB332" i="1" s="1"/>
  <c r="CQ329" i="1"/>
  <c r="CS329" i="1" s="1"/>
  <c r="CU329" i="1" s="1"/>
  <c r="CR329" i="1"/>
  <c r="CT329" i="1" s="1"/>
  <c r="BM331" i="1"/>
  <c r="BO331" i="1" s="1"/>
  <c r="BQ331" i="1" s="1"/>
  <c r="BN331" i="1"/>
  <c r="BP331" i="1" s="1"/>
  <c r="CB330" i="1"/>
  <c r="CD330" i="1" s="1"/>
  <c r="CF330" i="1" s="1"/>
  <c r="CC330" i="1"/>
  <c r="CE330" i="1" s="1"/>
  <c r="U334" i="1"/>
  <c r="W334" i="1" s="1"/>
  <c r="T334" i="1"/>
  <c r="V334" i="1" s="1"/>
  <c r="X334" i="1" s="1"/>
  <c r="J334" i="1"/>
  <c r="L334" i="1" s="1"/>
  <c r="N334" i="1" s="1"/>
  <c r="K334" i="1"/>
  <c r="M334" i="1" s="1"/>
  <c r="D335" i="1"/>
  <c r="CH330" i="1" l="1"/>
  <c r="CJ330" i="1" s="1"/>
  <c r="CG330" i="1"/>
  <c r="CI330" i="1" s="1"/>
  <c r="CK330" i="1" s="1"/>
  <c r="CW329" i="1"/>
  <c r="CY329" i="1" s="1"/>
  <c r="CV329" i="1"/>
  <c r="CX329" i="1" s="1"/>
  <c r="CZ329" i="1" s="1"/>
  <c r="Y334" i="1"/>
  <c r="AA334" i="1" s="1"/>
  <c r="AC334" i="1" s="1"/>
  <c r="Z334" i="1"/>
  <c r="AB334" i="1" s="1"/>
  <c r="BR331" i="1"/>
  <c r="BT331" i="1" s="1"/>
  <c r="BV331" i="1" s="1"/>
  <c r="BS331" i="1"/>
  <c r="BU331" i="1" s="1"/>
  <c r="BC332" i="1"/>
  <c r="BE332" i="1" s="1"/>
  <c r="BG332" i="1" s="1"/>
  <c r="BD332" i="1"/>
  <c r="BF332" i="1" s="1"/>
  <c r="E335" i="1"/>
  <c r="F335" i="1"/>
  <c r="H335" i="1" s="1"/>
  <c r="O334" i="1"/>
  <c r="P334" i="1"/>
  <c r="R334" i="1" s="1"/>
  <c r="AO333" i="1"/>
  <c r="AQ333" i="1" s="1"/>
  <c r="AN333" i="1"/>
  <c r="AP333" i="1" s="1"/>
  <c r="AR333" i="1" s="1"/>
  <c r="AE334" i="1" l="1"/>
  <c r="AG334" i="1" s="1"/>
  <c r="AD334" i="1"/>
  <c r="AF334" i="1" s="1"/>
  <c r="AH334" i="1" s="1"/>
  <c r="Q335" i="1"/>
  <c r="S335" i="1" s="1"/>
  <c r="G335" i="1"/>
  <c r="I335" i="1" s="1"/>
  <c r="BX331" i="1"/>
  <c r="BZ331" i="1" s="1"/>
  <c r="BW331" i="1"/>
  <c r="BY331" i="1" s="1"/>
  <c r="CA331" i="1" s="1"/>
  <c r="DA329" i="1"/>
  <c r="DC329" i="1" s="1"/>
  <c r="DB329" i="1"/>
  <c r="DD329" i="1" s="1"/>
  <c r="BI332" i="1"/>
  <c r="BK332" i="1" s="1"/>
  <c r="BH332" i="1"/>
  <c r="BJ332" i="1" s="1"/>
  <c r="BL332" i="1" s="1"/>
  <c r="AS333" i="1"/>
  <c r="AU333" i="1" s="1"/>
  <c r="AW333" i="1" s="1"/>
  <c r="AT333" i="1"/>
  <c r="AV333" i="1" s="1"/>
  <c r="CM330" i="1"/>
  <c r="CO330" i="1" s="1"/>
  <c r="CL330" i="1"/>
  <c r="CN330" i="1" s="1"/>
  <c r="CP330" i="1" s="1"/>
  <c r="BM332" i="1" l="1"/>
  <c r="BO332" i="1" s="1"/>
  <c r="BQ332" i="1" s="1"/>
  <c r="BN332" i="1"/>
  <c r="BP332" i="1" s="1"/>
  <c r="AY333" i="1"/>
  <c r="BA333" i="1" s="1"/>
  <c r="AX333" i="1"/>
  <c r="AZ333" i="1" s="1"/>
  <c r="BB333" i="1" s="1"/>
  <c r="K335" i="1"/>
  <c r="M335" i="1" s="1"/>
  <c r="J335" i="1"/>
  <c r="L335" i="1" s="1"/>
  <c r="N335" i="1" s="1"/>
  <c r="D336" i="1"/>
  <c r="CB331" i="1"/>
  <c r="CD331" i="1" s="1"/>
  <c r="CF331" i="1" s="1"/>
  <c r="CC331" i="1"/>
  <c r="CE331" i="1" s="1"/>
  <c r="CQ330" i="1"/>
  <c r="CS330" i="1" s="1"/>
  <c r="CU330" i="1" s="1"/>
  <c r="CR330" i="1"/>
  <c r="CT330" i="1" s="1"/>
  <c r="U335" i="1"/>
  <c r="W335" i="1" s="1"/>
  <c r="T335" i="1"/>
  <c r="V335" i="1" s="1"/>
  <c r="X335" i="1" s="1"/>
  <c r="AI334" i="1"/>
  <c r="AK334" i="1" s="1"/>
  <c r="AM334" i="1" s="1"/>
  <c r="AJ334" i="1"/>
  <c r="AL334" i="1" s="1"/>
  <c r="CW330" i="1" l="1"/>
  <c r="CY330" i="1" s="1"/>
  <c r="CV330" i="1"/>
  <c r="CX330" i="1" s="1"/>
  <c r="CZ330" i="1" s="1"/>
  <c r="P335" i="1"/>
  <c r="R335" i="1" s="1"/>
  <c r="O335" i="1"/>
  <c r="CG331" i="1"/>
  <c r="CI331" i="1" s="1"/>
  <c r="CK331" i="1" s="1"/>
  <c r="CH331" i="1"/>
  <c r="CJ331" i="1" s="1"/>
  <c r="E336" i="1"/>
  <c r="F336" i="1"/>
  <c r="H336" i="1" s="1"/>
  <c r="AO334" i="1"/>
  <c r="AQ334" i="1" s="1"/>
  <c r="AN334" i="1"/>
  <c r="AP334" i="1" s="1"/>
  <c r="AR334" i="1" s="1"/>
  <c r="BD333" i="1"/>
  <c r="BF333" i="1" s="1"/>
  <c r="BC333" i="1"/>
  <c r="BE333" i="1" s="1"/>
  <c r="BG333" i="1" s="1"/>
  <c r="Z335" i="1"/>
  <c r="AB335" i="1" s="1"/>
  <c r="Y335" i="1"/>
  <c r="AA335" i="1" s="1"/>
  <c r="AC335" i="1" s="1"/>
  <c r="BS332" i="1"/>
  <c r="BU332" i="1" s="1"/>
  <c r="BR332" i="1"/>
  <c r="BT332" i="1" s="1"/>
  <c r="BV332" i="1" s="1"/>
  <c r="G336" i="1" l="1"/>
  <c r="I336" i="1" s="1"/>
  <c r="Q336" i="1"/>
  <c r="S336" i="1" s="1"/>
  <c r="AE335" i="1"/>
  <c r="AG335" i="1" s="1"/>
  <c r="AD335" i="1"/>
  <c r="AF335" i="1" s="1"/>
  <c r="AH335" i="1" s="1"/>
  <c r="CM331" i="1"/>
  <c r="CO331" i="1" s="1"/>
  <c r="CL331" i="1"/>
  <c r="CN331" i="1" s="1"/>
  <c r="CP331" i="1" s="1"/>
  <c r="DA330" i="1"/>
  <c r="DC330" i="1" s="1"/>
  <c r="DB330" i="1"/>
  <c r="DD330" i="1" s="1"/>
  <c r="AS334" i="1"/>
  <c r="AU334" i="1" s="1"/>
  <c r="AW334" i="1" s="1"/>
  <c r="AT334" i="1"/>
  <c r="AV334" i="1" s="1"/>
  <c r="BW332" i="1"/>
  <c r="BY332" i="1" s="1"/>
  <c r="CA332" i="1" s="1"/>
  <c r="BX332" i="1"/>
  <c r="BZ332" i="1" s="1"/>
  <c r="BH333" i="1"/>
  <c r="BJ333" i="1" s="1"/>
  <c r="BL333" i="1" s="1"/>
  <c r="BI333" i="1"/>
  <c r="BK333" i="1" s="1"/>
  <c r="AX334" i="1" l="1"/>
  <c r="AZ334" i="1" s="1"/>
  <c r="BB334" i="1" s="1"/>
  <c r="AY334" i="1"/>
  <c r="BA334" i="1" s="1"/>
  <c r="CQ331" i="1"/>
  <c r="CS331" i="1" s="1"/>
  <c r="CU331" i="1" s="1"/>
  <c r="CR331" i="1"/>
  <c r="CT331" i="1" s="1"/>
  <c r="AJ335" i="1"/>
  <c r="AL335" i="1" s="1"/>
  <c r="AI335" i="1"/>
  <c r="AK335" i="1" s="1"/>
  <c r="AM335" i="1" s="1"/>
  <c r="T336" i="1"/>
  <c r="V336" i="1" s="1"/>
  <c r="X336" i="1" s="1"/>
  <c r="U336" i="1"/>
  <c r="W336" i="1" s="1"/>
  <c r="CC332" i="1"/>
  <c r="CE332" i="1" s="1"/>
  <c r="CB332" i="1"/>
  <c r="CD332" i="1" s="1"/>
  <c r="CF332" i="1" s="1"/>
  <c r="BM333" i="1"/>
  <c r="BO333" i="1" s="1"/>
  <c r="BQ333" i="1" s="1"/>
  <c r="BN333" i="1"/>
  <c r="BP333" i="1" s="1"/>
  <c r="J336" i="1"/>
  <c r="L336" i="1" s="1"/>
  <c r="N336" i="1" s="1"/>
  <c r="K336" i="1"/>
  <c r="M336" i="1" s="1"/>
  <c r="D337" i="1"/>
  <c r="BS333" i="1" l="1"/>
  <c r="BU333" i="1" s="1"/>
  <c r="BR333" i="1"/>
  <c r="BT333" i="1" s="1"/>
  <c r="BV333" i="1" s="1"/>
  <c r="Y336" i="1"/>
  <c r="AA336" i="1" s="1"/>
  <c r="AC336" i="1" s="1"/>
  <c r="Z336" i="1"/>
  <c r="AB336" i="1" s="1"/>
  <c r="CG332" i="1"/>
  <c r="CI332" i="1" s="1"/>
  <c r="CK332" i="1" s="1"/>
  <c r="CH332" i="1"/>
  <c r="CJ332" i="1" s="1"/>
  <c r="AO335" i="1"/>
  <c r="AQ335" i="1" s="1"/>
  <c r="AN335" i="1"/>
  <c r="AP335" i="1" s="1"/>
  <c r="AR335" i="1" s="1"/>
  <c r="E337" i="1"/>
  <c r="F337" i="1"/>
  <c r="H337" i="1" s="1"/>
  <c r="CW331" i="1"/>
  <c r="CY331" i="1" s="1"/>
  <c r="CV331" i="1"/>
  <c r="CX331" i="1" s="1"/>
  <c r="O336" i="1"/>
  <c r="P336" i="1"/>
  <c r="R336" i="1" s="1"/>
  <c r="BC334" i="1"/>
  <c r="BE334" i="1" s="1"/>
  <c r="BG334" i="1" s="1"/>
  <c r="BD334" i="1"/>
  <c r="BF334" i="1" s="1"/>
  <c r="G337" i="1" l="1"/>
  <c r="I337" i="1" s="1"/>
  <c r="Q337" i="1"/>
  <c r="S337" i="1" s="1"/>
  <c r="AS335" i="1"/>
  <c r="AU335" i="1" s="1"/>
  <c r="AW335" i="1" s="1"/>
  <c r="AT335" i="1"/>
  <c r="AV335" i="1" s="1"/>
  <c r="CL332" i="1"/>
  <c r="CN332" i="1" s="1"/>
  <c r="CP332" i="1" s="1"/>
  <c r="CM332" i="1"/>
  <c r="CO332" i="1" s="1"/>
  <c r="BX333" i="1"/>
  <c r="BZ333" i="1" s="1"/>
  <c r="BW333" i="1"/>
  <c r="BY333" i="1" s="1"/>
  <c r="CA333" i="1" s="1"/>
  <c r="BI334" i="1"/>
  <c r="BK334" i="1" s="1"/>
  <c r="BH334" i="1"/>
  <c r="BJ334" i="1" s="1"/>
  <c r="BL334" i="1" s="1"/>
  <c r="AE336" i="1"/>
  <c r="AG336" i="1" s="1"/>
  <c r="AD336" i="1"/>
  <c r="AF336" i="1" s="1"/>
  <c r="AH336" i="1" s="1"/>
  <c r="CZ331" i="1"/>
  <c r="AI336" i="1" l="1"/>
  <c r="AK336" i="1" s="1"/>
  <c r="AM336" i="1" s="1"/>
  <c r="AJ336" i="1"/>
  <c r="AL336" i="1" s="1"/>
  <c r="BN334" i="1"/>
  <c r="BP334" i="1" s="1"/>
  <c r="BM334" i="1"/>
  <c r="BO334" i="1" s="1"/>
  <c r="BQ334" i="1" s="1"/>
  <c r="CQ332" i="1"/>
  <c r="CS332" i="1" s="1"/>
  <c r="CU332" i="1" s="1"/>
  <c r="CR332" i="1"/>
  <c r="CT332" i="1" s="1"/>
  <c r="CC333" i="1"/>
  <c r="CE333" i="1" s="1"/>
  <c r="CB333" i="1"/>
  <c r="CD333" i="1" s="1"/>
  <c r="CF333" i="1" s="1"/>
  <c r="AY335" i="1"/>
  <c r="BA335" i="1" s="1"/>
  <c r="AX335" i="1"/>
  <c r="AZ335" i="1" s="1"/>
  <c r="BB335" i="1" s="1"/>
  <c r="T337" i="1"/>
  <c r="V337" i="1" s="1"/>
  <c r="X337" i="1" s="1"/>
  <c r="U337" i="1"/>
  <c r="W337" i="1" s="1"/>
  <c r="DA331" i="1"/>
  <c r="DC331" i="1" s="1"/>
  <c r="DB331" i="1"/>
  <c r="DD331" i="1" s="1"/>
  <c r="K337" i="1"/>
  <c r="M337" i="1" s="1"/>
  <c r="J337" i="1"/>
  <c r="L337" i="1" s="1"/>
  <c r="N337" i="1" s="1"/>
  <c r="D338" i="1"/>
  <c r="O337" i="1" l="1"/>
  <c r="P337" i="1"/>
  <c r="R337" i="1" s="1"/>
  <c r="BC335" i="1"/>
  <c r="BE335" i="1" s="1"/>
  <c r="BG335" i="1" s="1"/>
  <c r="BD335" i="1"/>
  <c r="BF335" i="1" s="1"/>
  <c r="Y337" i="1"/>
  <c r="AA337" i="1" s="1"/>
  <c r="AC337" i="1" s="1"/>
  <c r="Z337" i="1"/>
  <c r="AB337" i="1" s="1"/>
  <c r="F338" i="1"/>
  <c r="H338" i="1" s="1"/>
  <c r="E338" i="1"/>
  <c r="BS334" i="1"/>
  <c r="BU334" i="1" s="1"/>
  <c r="BR334" i="1"/>
  <c r="BT334" i="1" s="1"/>
  <c r="BV334" i="1" s="1"/>
  <c r="CG333" i="1"/>
  <c r="CI333" i="1" s="1"/>
  <c r="CK333" i="1" s="1"/>
  <c r="CH333" i="1"/>
  <c r="CJ333" i="1" s="1"/>
  <c r="CW332" i="1"/>
  <c r="CY332" i="1" s="1"/>
  <c r="CV332" i="1"/>
  <c r="CX332" i="1" s="1"/>
  <c r="CZ332" i="1" s="1"/>
  <c r="AO336" i="1"/>
  <c r="AQ336" i="1" s="1"/>
  <c r="AN336" i="1"/>
  <c r="AP336" i="1" s="1"/>
  <c r="AR336" i="1" s="1"/>
  <c r="BW334" i="1" l="1"/>
  <c r="BY334" i="1" s="1"/>
  <c r="CA334" i="1" s="1"/>
  <c r="BX334" i="1"/>
  <c r="BZ334" i="1" s="1"/>
  <c r="AS336" i="1"/>
  <c r="AU336" i="1" s="1"/>
  <c r="AW336" i="1" s="1"/>
  <c r="AT336" i="1"/>
  <c r="AV336" i="1" s="1"/>
  <c r="CL333" i="1"/>
  <c r="CN333" i="1" s="1"/>
  <c r="CP333" i="1" s="1"/>
  <c r="CM333" i="1"/>
  <c r="CO333" i="1" s="1"/>
  <c r="Q338" i="1"/>
  <c r="S338" i="1" s="1"/>
  <c r="G338" i="1"/>
  <c r="I338" i="1" s="1"/>
  <c r="DA332" i="1"/>
  <c r="DC332" i="1" s="1"/>
  <c r="DB332" i="1"/>
  <c r="DD332" i="1" s="1"/>
  <c r="AD337" i="1"/>
  <c r="AF337" i="1" s="1"/>
  <c r="AH337" i="1" s="1"/>
  <c r="AE337" i="1"/>
  <c r="AG337" i="1" s="1"/>
  <c r="BI335" i="1"/>
  <c r="BK335" i="1" s="1"/>
  <c r="BH335" i="1"/>
  <c r="BJ335" i="1" s="1"/>
  <c r="BL335" i="1" s="1"/>
  <c r="AJ337" i="1" l="1"/>
  <c r="AL337" i="1" s="1"/>
  <c r="AI337" i="1"/>
  <c r="AK337" i="1" s="1"/>
  <c r="AM337" i="1" s="1"/>
  <c r="U338" i="1"/>
  <c r="W338" i="1" s="1"/>
  <c r="T338" i="1"/>
  <c r="V338" i="1" s="1"/>
  <c r="X338" i="1" s="1"/>
  <c r="BM335" i="1"/>
  <c r="BO335" i="1" s="1"/>
  <c r="BQ335" i="1" s="1"/>
  <c r="BN335" i="1"/>
  <c r="BP335" i="1" s="1"/>
  <c r="J338" i="1"/>
  <c r="L338" i="1" s="1"/>
  <c r="N338" i="1" s="1"/>
  <c r="K338" i="1"/>
  <c r="M338" i="1" s="1"/>
  <c r="D339" i="1"/>
  <c r="CR333" i="1"/>
  <c r="CT333" i="1" s="1"/>
  <c r="CQ333" i="1"/>
  <c r="CS333" i="1" s="1"/>
  <c r="CU333" i="1" s="1"/>
  <c r="AX336" i="1"/>
  <c r="AZ336" i="1" s="1"/>
  <c r="BB336" i="1" s="1"/>
  <c r="AY336" i="1"/>
  <c r="BA336" i="1" s="1"/>
  <c r="CB334" i="1"/>
  <c r="CD334" i="1" s="1"/>
  <c r="CF334" i="1" s="1"/>
  <c r="CC334" i="1"/>
  <c r="CE334" i="1" s="1"/>
  <c r="CW333" i="1" l="1"/>
  <c r="CY333" i="1" s="1"/>
  <c r="CV333" i="1"/>
  <c r="CX333" i="1" s="1"/>
  <c r="CZ333" i="1" s="1"/>
  <c r="E339" i="1"/>
  <c r="F339" i="1"/>
  <c r="H339" i="1" s="1"/>
  <c r="BR335" i="1"/>
  <c r="BT335" i="1" s="1"/>
  <c r="BV335" i="1" s="1"/>
  <c r="BS335" i="1"/>
  <c r="BU335" i="1" s="1"/>
  <c r="AO337" i="1"/>
  <c r="AQ337" i="1" s="1"/>
  <c r="AN337" i="1"/>
  <c r="AP337" i="1" s="1"/>
  <c r="AR337" i="1" s="1"/>
  <c r="BD336" i="1"/>
  <c r="BF336" i="1" s="1"/>
  <c r="BC336" i="1"/>
  <c r="BE336" i="1" s="1"/>
  <c r="BG336" i="1" s="1"/>
  <c r="P338" i="1"/>
  <c r="R338" i="1" s="1"/>
  <c r="O338" i="1"/>
  <c r="Z338" i="1"/>
  <c r="AB338" i="1" s="1"/>
  <c r="Y338" i="1"/>
  <c r="AA338" i="1" s="1"/>
  <c r="AC338" i="1" s="1"/>
  <c r="CG334" i="1"/>
  <c r="CI334" i="1" s="1"/>
  <c r="CK334" i="1" s="1"/>
  <c r="CH334" i="1"/>
  <c r="CJ334" i="1" s="1"/>
  <c r="AT337" i="1" l="1"/>
  <c r="AV337" i="1" s="1"/>
  <c r="AS337" i="1"/>
  <c r="AU337" i="1" s="1"/>
  <c r="AW337" i="1" s="1"/>
  <c r="CL334" i="1"/>
  <c r="CN334" i="1" s="1"/>
  <c r="CP334" i="1" s="1"/>
  <c r="CM334" i="1"/>
  <c r="CO334" i="1" s="1"/>
  <c r="BX335" i="1"/>
  <c r="BZ335" i="1" s="1"/>
  <c r="BW335" i="1"/>
  <c r="BY335" i="1" s="1"/>
  <c r="CA335" i="1" s="1"/>
  <c r="DB333" i="1"/>
  <c r="DD333" i="1" s="1"/>
  <c r="DA333" i="1"/>
  <c r="DC333" i="1" s="1"/>
  <c r="BI336" i="1"/>
  <c r="BK336" i="1" s="1"/>
  <c r="BH336" i="1"/>
  <c r="BJ336" i="1" s="1"/>
  <c r="BL336" i="1" s="1"/>
  <c r="AD338" i="1"/>
  <c r="AF338" i="1" s="1"/>
  <c r="AH338" i="1" s="1"/>
  <c r="AE338" i="1"/>
  <c r="AG338" i="1" s="1"/>
  <c r="G339" i="1"/>
  <c r="I339" i="1" s="1"/>
  <c r="Q339" i="1"/>
  <c r="S339" i="1" s="1"/>
  <c r="BN336" i="1" l="1"/>
  <c r="BP336" i="1" s="1"/>
  <c r="BM336" i="1"/>
  <c r="BO336" i="1" s="1"/>
  <c r="BQ336" i="1" s="1"/>
  <c r="CQ334" i="1"/>
  <c r="CS334" i="1" s="1"/>
  <c r="CU334" i="1" s="1"/>
  <c r="CR334" i="1"/>
  <c r="CT334" i="1" s="1"/>
  <c r="AJ338" i="1"/>
  <c r="AL338" i="1" s="1"/>
  <c r="AI338" i="1"/>
  <c r="AK338" i="1" s="1"/>
  <c r="AM338" i="1" s="1"/>
  <c r="CB335" i="1"/>
  <c r="CD335" i="1" s="1"/>
  <c r="CF335" i="1" s="1"/>
  <c r="CC335" i="1"/>
  <c r="CE335" i="1" s="1"/>
  <c r="K339" i="1"/>
  <c r="M339" i="1" s="1"/>
  <c r="J339" i="1"/>
  <c r="L339" i="1" s="1"/>
  <c r="N339" i="1" s="1"/>
  <c r="D340" i="1"/>
  <c r="AX337" i="1"/>
  <c r="AZ337" i="1" s="1"/>
  <c r="BB337" i="1" s="1"/>
  <c r="AY337" i="1"/>
  <c r="BA337" i="1" s="1"/>
  <c r="U339" i="1"/>
  <c r="W339" i="1" s="1"/>
  <c r="T339" i="1"/>
  <c r="V339" i="1" s="1"/>
  <c r="X339" i="1" s="1"/>
  <c r="CH335" i="1" l="1"/>
  <c r="CJ335" i="1" s="1"/>
  <c r="CG335" i="1"/>
  <c r="CI335" i="1" s="1"/>
  <c r="CK335" i="1" s="1"/>
  <c r="O339" i="1"/>
  <c r="P339" i="1"/>
  <c r="R339" i="1" s="1"/>
  <c r="AO338" i="1"/>
  <c r="AQ338" i="1" s="1"/>
  <c r="AN338" i="1"/>
  <c r="AP338" i="1" s="1"/>
  <c r="AR338" i="1" s="1"/>
  <c r="CV334" i="1"/>
  <c r="CX334" i="1" s="1"/>
  <c r="CW334" i="1"/>
  <c r="CY334" i="1" s="1"/>
  <c r="BD337" i="1"/>
  <c r="BF337" i="1" s="1"/>
  <c r="BC337" i="1"/>
  <c r="BE337" i="1" s="1"/>
  <c r="BG337" i="1" s="1"/>
  <c r="E340" i="1"/>
  <c r="F340" i="1"/>
  <c r="H340" i="1" s="1"/>
  <c r="Y339" i="1"/>
  <c r="AA339" i="1" s="1"/>
  <c r="AC339" i="1" s="1"/>
  <c r="Z339" i="1"/>
  <c r="AB339" i="1" s="1"/>
  <c r="BS336" i="1"/>
  <c r="BU336" i="1" s="1"/>
  <c r="BR336" i="1"/>
  <c r="BT336" i="1" s="1"/>
  <c r="BV336" i="1" s="1"/>
  <c r="Q340" i="1" l="1"/>
  <c r="S340" i="1" s="1"/>
  <c r="G340" i="1"/>
  <c r="I340" i="1" s="1"/>
  <c r="AT338" i="1"/>
  <c r="AV338" i="1" s="1"/>
  <c r="AS338" i="1"/>
  <c r="AU338" i="1" s="1"/>
  <c r="AW338" i="1" s="1"/>
  <c r="BH337" i="1"/>
  <c r="BJ337" i="1" s="1"/>
  <c r="BL337" i="1" s="1"/>
  <c r="BI337" i="1"/>
  <c r="BK337" i="1" s="1"/>
  <c r="BW336" i="1"/>
  <c r="BY336" i="1" s="1"/>
  <c r="CA336" i="1" s="1"/>
  <c r="BX336" i="1"/>
  <c r="BZ336" i="1" s="1"/>
  <c r="AE339" i="1"/>
  <c r="AG339" i="1" s="1"/>
  <c r="AD339" i="1"/>
  <c r="AF339" i="1" s="1"/>
  <c r="AH339" i="1" s="1"/>
  <c r="CZ334" i="1"/>
  <c r="CM335" i="1"/>
  <c r="CO335" i="1" s="1"/>
  <c r="CL335" i="1"/>
  <c r="CN335" i="1" s="1"/>
  <c r="CP335" i="1" s="1"/>
  <c r="CC336" i="1" l="1"/>
  <c r="CE336" i="1" s="1"/>
  <c r="CB336" i="1"/>
  <c r="CD336" i="1" s="1"/>
  <c r="CF336" i="1" s="1"/>
  <c r="BM337" i="1"/>
  <c r="BO337" i="1" s="1"/>
  <c r="BQ337" i="1" s="1"/>
  <c r="BN337" i="1"/>
  <c r="BP337" i="1" s="1"/>
  <c r="DA334" i="1"/>
  <c r="DC334" i="1" s="1"/>
  <c r="DB334" i="1"/>
  <c r="DD334" i="1" s="1"/>
  <c r="AY338" i="1"/>
  <c r="BA338" i="1" s="1"/>
  <c r="AX338" i="1"/>
  <c r="AZ338" i="1" s="1"/>
  <c r="BB338" i="1" s="1"/>
  <c r="AJ339" i="1"/>
  <c r="AL339" i="1" s="1"/>
  <c r="AI339" i="1"/>
  <c r="AK339" i="1" s="1"/>
  <c r="AM339" i="1" s="1"/>
  <c r="K340" i="1"/>
  <c r="M340" i="1" s="1"/>
  <c r="J340" i="1"/>
  <c r="L340" i="1" s="1"/>
  <c r="N340" i="1" s="1"/>
  <c r="D341" i="1"/>
  <c r="CR335" i="1"/>
  <c r="CT335" i="1" s="1"/>
  <c r="CQ335" i="1"/>
  <c r="CS335" i="1" s="1"/>
  <c r="CU335" i="1" s="1"/>
  <c r="U340" i="1"/>
  <c r="W340" i="1" s="1"/>
  <c r="T340" i="1"/>
  <c r="V340" i="1" s="1"/>
  <c r="X340" i="1" s="1"/>
  <c r="AN339" i="1" l="1"/>
  <c r="AP339" i="1" s="1"/>
  <c r="AR339" i="1" s="1"/>
  <c r="AO339" i="1"/>
  <c r="AQ339" i="1" s="1"/>
  <c r="BC338" i="1"/>
  <c r="BE338" i="1" s="1"/>
  <c r="BG338" i="1" s="1"/>
  <c r="BD338" i="1"/>
  <c r="BF338" i="1" s="1"/>
  <c r="Y340" i="1"/>
  <c r="AA340" i="1" s="1"/>
  <c r="AC340" i="1" s="1"/>
  <c r="Z340" i="1"/>
  <c r="AB340" i="1" s="1"/>
  <c r="CG336" i="1"/>
  <c r="CI336" i="1" s="1"/>
  <c r="CK336" i="1" s="1"/>
  <c r="CH336" i="1"/>
  <c r="CJ336" i="1" s="1"/>
  <c r="CW335" i="1"/>
  <c r="CY335" i="1" s="1"/>
  <c r="CV335" i="1"/>
  <c r="CX335" i="1" s="1"/>
  <c r="CZ335" i="1" s="1"/>
  <c r="BS337" i="1"/>
  <c r="BU337" i="1" s="1"/>
  <c r="BR337" i="1"/>
  <c r="BT337" i="1" s="1"/>
  <c r="BV337" i="1" s="1"/>
  <c r="E341" i="1"/>
  <c r="F341" i="1"/>
  <c r="H341" i="1" s="1"/>
  <c r="O340" i="1"/>
  <c r="P340" i="1"/>
  <c r="R340" i="1" s="1"/>
  <c r="BX337" i="1" l="1"/>
  <c r="BZ337" i="1" s="1"/>
  <c r="BW337" i="1"/>
  <c r="BY337" i="1" s="1"/>
  <c r="CA337" i="1" s="1"/>
  <c r="DB335" i="1"/>
  <c r="DD335" i="1" s="1"/>
  <c r="DA335" i="1"/>
  <c r="DC335" i="1" s="1"/>
  <c r="CM336" i="1"/>
  <c r="CO336" i="1" s="1"/>
  <c r="CL336" i="1"/>
  <c r="CN336" i="1" s="1"/>
  <c r="CP336" i="1" s="1"/>
  <c r="AE340" i="1"/>
  <c r="AG340" i="1" s="1"/>
  <c r="AD340" i="1"/>
  <c r="AF340" i="1" s="1"/>
  <c r="AH340" i="1" s="1"/>
  <c r="BI338" i="1"/>
  <c r="BK338" i="1" s="1"/>
  <c r="BH338" i="1"/>
  <c r="BJ338" i="1" s="1"/>
  <c r="BL338" i="1" s="1"/>
  <c r="G341" i="1"/>
  <c r="I341" i="1" s="1"/>
  <c r="Q341" i="1"/>
  <c r="S341" i="1" s="1"/>
  <c r="AS339" i="1"/>
  <c r="AU339" i="1" s="1"/>
  <c r="AW339" i="1" s="1"/>
  <c r="AT339" i="1"/>
  <c r="AV339" i="1" s="1"/>
  <c r="K341" i="1" l="1"/>
  <c r="M341" i="1" s="1"/>
  <c r="J341" i="1"/>
  <c r="L341" i="1" s="1"/>
  <c r="N341" i="1" s="1"/>
  <c r="D342" i="1"/>
  <c r="AI340" i="1"/>
  <c r="AK340" i="1" s="1"/>
  <c r="AM340" i="1" s="1"/>
  <c r="AJ340" i="1"/>
  <c r="AL340" i="1" s="1"/>
  <c r="BN338" i="1"/>
  <c r="BP338" i="1" s="1"/>
  <c r="BM338" i="1"/>
  <c r="BO338" i="1" s="1"/>
  <c r="BQ338" i="1" s="1"/>
  <c r="CB337" i="1"/>
  <c r="CD337" i="1" s="1"/>
  <c r="CF337" i="1" s="1"/>
  <c r="CC337" i="1"/>
  <c r="CE337" i="1" s="1"/>
  <c r="CR336" i="1"/>
  <c r="CT336" i="1" s="1"/>
  <c r="CQ336" i="1"/>
  <c r="CS336" i="1" s="1"/>
  <c r="CU336" i="1" s="1"/>
  <c r="AY339" i="1"/>
  <c r="BA339" i="1" s="1"/>
  <c r="AX339" i="1"/>
  <c r="AZ339" i="1" s="1"/>
  <c r="BB339" i="1" s="1"/>
  <c r="U341" i="1"/>
  <c r="W341" i="1" s="1"/>
  <c r="T341" i="1"/>
  <c r="V341" i="1" s="1"/>
  <c r="X341" i="1" s="1"/>
  <c r="CH337" i="1" l="1"/>
  <c r="CJ337" i="1" s="1"/>
  <c r="CG337" i="1"/>
  <c r="CI337" i="1" s="1"/>
  <c r="CK337" i="1" s="1"/>
  <c r="Y341" i="1"/>
  <c r="AA341" i="1" s="1"/>
  <c r="AC341" i="1" s="1"/>
  <c r="Z341" i="1"/>
  <c r="AB341" i="1" s="1"/>
  <c r="E342" i="1"/>
  <c r="F342" i="1"/>
  <c r="H342" i="1" s="1"/>
  <c r="CV336" i="1"/>
  <c r="CX336" i="1" s="1"/>
  <c r="CW336" i="1"/>
  <c r="CY336" i="1" s="1"/>
  <c r="BS338" i="1"/>
  <c r="BU338" i="1" s="1"/>
  <c r="BR338" i="1"/>
  <c r="BT338" i="1" s="1"/>
  <c r="BV338" i="1" s="1"/>
  <c r="AO340" i="1"/>
  <c r="AQ340" i="1" s="1"/>
  <c r="AN340" i="1"/>
  <c r="AP340" i="1" s="1"/>
  <c r="AR340" i="1" s="1"/>
  <c r="P341" i="1"/>
  <c r="R341" i="1" s="1"/>
  <c r="O341" i="1"/>
  <c r="BC339" i="1"/>
  <c r="BE339" i="1" s="1"/>
  <c r="BG339" i="1" s="1"/>
  <c r="BD339" i="1"/>
  <c r="BF339" i="1" s="1"/>
  <c r="CZ336" i="1" l="1"/>
  <c r="BH339" i="1"/>
  <c r="BJ339" i="1" s="1"/>
  <c r="BL339" i="1" s="1"/>
  <c r="BI339" i="1"/>
  <c r="BK339" i="1" s="1"/>
  <c r="BW338" i="1"/>
  <c r="BY338" i="1" s="1"/>
  <c r="CA338" i="1" s="1"/>
  <c r="BX338" i="1"/>
  <c r="BZ338" i="1" s="1"/>
  <c r="G342" i="1"/>
  <c r="I342" i="1" s="1"/>
  <c r="Q342" i="1"/>
  <c r="S342" i="1" s="1"/>
  <c r="CM337" i="1"/>
  <c r="CO337" i="1" s="1"/>
  <c r="CL337" i="1"/>
  <c r="CN337" i="1" s="1"/>
  <c r="CP337" i="1" s="1"/>
  <c r="AD341" i="1"/>
  <c r="AF341" i="1" s="1"/>
  <c r="AH341" i="1" s="1"/>
  <c r="AE341" i="1"/>
  <c r="AG341" i="1" s="1"/>
  <c r="AS340" i="1"/>
  <c r="AU340" i="1" s="1"/>
  <c r="AW340" i="1" s="1"/>
  <c r="AT340" i="1"/>
  <c r="AV340" i="1" s="1"/>
  <c r="CQ337" i="1" l="1"/>
  <c r="CS337" i="1" s="1"/>
  <c r="CU337" i="1" s="1"/>
  <c r="CR337" i="1"/>
  <c r="CT337" i="1" s="1"/>
  <c r="AX340" i="1"/>
  <c r="AZ340" i="1" s="1"/>
  <c r="BB340" i="1" s="1"/>
  <c r="AY340" i="1"/>
  <c r="BA340" i="1" s="1"/>
  <c r="K342" i="1"/>
  <c r="M342" i="1" s="1"/>
  <c r="J342" i="1"/>
  <c r="L342" i="1" s="1"/>
  <c r="N342" i="1" s="1"/>
  <c r="D343" i="1"/>
  <c r="AI341" i="1"/>
  <c r="AK341" i="1" s="1"/>
  <c r="AM341" i="1" s="1"/>
  <c r="AJ341" i="1"/>
  <c r="AL341" i="1" s="1"/>
  <c r="CC338" i="1"/>
  <c r="CE338" i="1" s="1"/>
  <c r="CB338" i="1"/>
  <c r="CD338" i="1" s="1"/>
  <c r="CF338" i="1" s="1"/>
  <c r="BM339" i="1"/>
  <c r="BO339" i="1" s="1"/>
  <c r="BQ339" i="1" s="1"/>
  <c r="BN339" i="1"/>
  <c r="BP339" i="1" s="1"/>
  <c r="U342" i="1"/>
  <c r="W342" i="1" s="1"/>
  <c r="T342" i="1"/>
  <c r="V342" i="1" s="1"/>
  <c r="X342" i="1" s="1"/>
  <c r="DA336" i="1"/>
  <c r="DC336" i="1" s="1"/>
  <c r="DB336" i="1"/>
  <c r="DD336" i="1" s="1"/>
  <c r="CG338" i="1" l="1"/>
  <c r="CI338" i="1" s="1"/>
  <c r="CK338" i="1" s="1"/>
  <c r="CH338" i="1"/>
  <c r="CJ338" i="1" s="1"/>
  <c r="BS339" i="1"/>
  <c r="BU339" i="1" s="1"/>
  <c r="BR339" i="1"/>
  <c r="BT339" i="1" s="1"/>
  <c r="BV339" i="1" s="1"/>
  <c r="O342" i="1"/>
  <c r="P342" i="1"/>
  <c r="R342" i="1" s="1"/>
  <c r="AO341" i="1"/>
  <c r="AQ341" i="1" s="1"/>
  <c r="AN341" i="1"/>
  <c r="AP341" i="1" s="1"/>
  <c r="AR341" i="1" s="1"/>
  <c r="BD340" i="1"/>
  <c r="BF340" i="1" s="1"/>
  <c r="BC340" i="1"/>
  <c r="BE340" i="1" s="1"/>
  <c r="BG340" i="1" s="1"/>
  <c r="F343" i="1"/>
  <c r="H343" i="1" s="1"/>
  <c r="E343" i="1"/>
  <c r="Z342" i="1"/>
  <c r="AB342" i="1" s="1"/>
  <c r="Y342" i="1"/>
  <c r="AA342" i="1" s="1"/>
  <c r="AC342" i="1" s="1"/>
  <c r="CW337" i="1"/>
  <c r="CY337" i="1" s="1"/>
  <c r="CV337" i="1"/>
  <c r="CX337" i="1" s="1"/>
  <c r="CZ337" i="1" s="1"/>
  <c r="BI340" i="1" l="1"/>
  <c r="BK340" i="1" s="1"/>
  <c r="BH340" i="1"/>
  <c r="BJ340" i="1" s="1"/>
  <c r="BL340" i="1" s="1"/>
  <c r="G343" i="1"/>
  <c r="I343" i="1" s="1"/>
  <c r="Q343" i="1"/>
  <c r="S343" i="1" s="1"/>
  <c r="AE342" i="1"/>
  <c r="AG342" i="1" s="1"/>
  <c r="AD342" i="1"/>
  <c r="AF342" i="1" s="1"/>
  <c r="AH342" i="1" s="1"/>
  <c r="AS341" i="1"/>
  <c r="AU341" i="1" s="1"/>
  <c r="AW341" i="1" s="1"/>
  <c r="AT341" i="1"/>
  <c r="AV341" i="1" s="1"/>
  <c r="BW339" i="1"/>
  <c r="BY339" i="1" s="1"/>
  <c r="CA339" i="1" s="1"/>
  <c r="BX339" i="1"/>
  <c r="BZ339" i="1" s="1"/>
  <c r="DA337" i="1"/>
  <c r="DC337" i="1" s="1"/>
  <c r="DB337" i="1"/>
  <c r="DD337" i="1" s="1"/>
  <c r="CL338" i="1"/>
  <c r="CN338" i="1" s="1"/>
  <c r="CP338" i="1" s="1"/>
  <c r="CM338" i="1"/>
  <c r="CO338" i="1" s="1"/>
  <c r="T343" i="1" l="1"/>
  <c r="V343" i="1" s="1"/>
  <c r="X343" i="1" s="1"/>
  <c r="U343" i="1"/>
  <c r="W343" i="1" s="1"/>
  <c r="CB339" i="1"/>
  <c r="CD339" i="1" s="1"/>
  <c r="CF339" i="1" s="1"/>
  <c r="CC339" i="1"/>
  <c r="CE339" i="1" s="1"/>
  <c r="AJ342" i="1"/>
  <c r="AL342" i="1" s="1"/>
  <c r="AI342" i="1"/>
  <c r="AK342" i="1" s="1"/>
  <c r="AM342" i="1" s="1"/>
  <c r="J343" i="1"/>
  <c r="L343" i="1" s="1"/>
  <c r="N343" i="1" s="1"/>
  <c r="K343" i="1"/>
  <c r="M343" i="1" s="1"/>
  <c r="D344" i="1"/>
  <c r="BN340" i="1"/>
  <c r="BP340" i="1" s="1"/>
  <c r="BM340" i="1"/>
  <c r="BO340" i="1" s="1"/>
  <c r="BQ340" i="1" s="1"/>
  <c r="AY341" i="1"/>
  <c r="BA341" i="1" s="1"/>
  <c r="AX341" i="1"/>
  <c r="AZ341" i="1" s="1"/>
  <c r="BB341" i="1" s="1"/>
  <c r="CQ338" i="1"/>
  <c r="CS338" i="1" s="1"/>
  <c r="CU338" i="1" s="1"/>
  <c r="CR338" i="1"/>
  <c r="CT338" i="1" s="1"/>
  <c r="BS340" i="1" l="1"/>
  <c r="BU340" i="1" s="1"/>
  <c r="BR340" i="1"/>
  <c r="BT340" i="1" s="1"/>
  <c r="BV340" i="1" s="1"/>
  <c r="F344" i="1"/>
  <c r="H344" i="1" s="1"/>
  <c r="E344" i="1"/>
  <c r="AO342" i="1"/>
  <c r="AQ342" i="1" s="1"/>
  <c r="AN342" i="1"/>
  <c r="AP342" i="1" s="1"/>
  <c r="AR342" i="1" s="1"/>
  <c r="CW338" i="1"/>
  <c r="CY338" i="1" s="1"/>
  <c r="CV338" i="1"/>
  <c r="CX338" i="1" s="1"/>
  <c r="CZ338" i="1" s="1"/>
  <c r="O343" i="1"/>
  <c r="P343" i="1"/>
  <c r="R343" i="1" s="1"/>
  <c r="CG339" i="1"/>
  <c r="CI339" i="1" s="1"/>
  <c r="CK339" i="1" s="1"/>
  <c r="CH339" i="1"/>
  <c r="CJ339" i="1" s="1"/>
  <c r="BC341" i="1"/>
  <c r="BE341" i="1" s="1"/>
  <c r="BG341" i="1" s="1"/>
  <c r="BD341" i="1"/>
  <c r="BF341" i="1" s="1"/>
  <c r="Z343" i="1"/>
  <c r="AB343" i="1" s="1"/>
  <c r="Y343" i="1"/>
  <c r="AA343" i="1" s="1"/>
  <c r="AC343" i="1" s="1"/>
  <c r="AE343" i="1" l="1"/>
  <c r="AG343" i="1" s="1"/>
  <c r="AD343" i="1"/>
  <c r="AF343" i="1" s="1"/>
  <c r="AH343" i="1" s="1"/>
  <c r="CM339" i="1"/>
  <c r="CO339" i="1" s="1"/>
  <c r="CL339" i="1"/>
  <c r="CN339" i="1" s="1"/>
  <c r="CP339" i="1" s="1"/>
  <c r="AS342" i="1"/>
  <c r="AU342" i="1" s="1"/>
  <c r="AW342" i="1" s="1"/>
  <c r="AT342" i="1"/>
  <c r="AV342" i="1" s="1"/>
  <c r="G344" i="1"/>
  <c r="I344" i="1" s="1"/>
  <c r="Q344" i="1"/>
  <c r="S344" i="1" s="1"/>
  <c r="BX340" i="1"/>
  <c r="BZ340" i="1" s="1"/>
  <c r="BW340" i="1"/>
  <c r="BY340" i="1" s="1"/>
  <c r="CA340" i="1" s="1"/>
  <c r="DB338" i="1"/>
  <c r="DD338" i="1" s="1"/>
  <c r="DA338" i="1"/>
  <c r="DC338" i="1" s="1"/>
  <c r="BI341" i="1"/>
  <c r="BK341" i="1" s="1"/>
  <c r="BH341" i="1"/>
  <c r="BJ341" i="1" s="1"/>
  <c r="BL341" i="1" s="1"/>
  <c r="K344" i="1" l="1"/>
  <c r="M344" i="1" s="1"/>
  <c r="J344" i="1"/>
  <c r="L344" i="1" s="1"/>
  <c r="N344" i="1" s="1"/>
  <c r="D345" i="1"/>
  <c r="CR339" i="1"/>
  <c r="CT339" i="1" s="1"/>
  <c r="CQ339" i="1"/>
  <c r="CS339" i="1" s="1"/>
  <c r="CU339" i="1" s="1"/>
  <c r="U344" i="1"/>
  <c r="W344" i="1" s="1"/>
  <c r="T344" i="1"/>
  <c r="V344" i="1" s="1"/>
  <c r="X344" i="1" s="1"/>
  <c r="BN341" i="1"/>
  <c r="BP341" i="1" s="1"/>
  <c r="BM341" i="1"/>
  <c r="BO341" i="1" s="1"/>
  <c r="BQ341" i="1" s="1"/>
  <c r="CC340" i="1"/>
  <c r="CE340" i="1" s="1"/>
  <c r="CB340" i="1"/>
  <c r="CD340" i="1" s="1"/>
  <c r="CF340" i="1" s="1"/>
  <c r="AX342" i="1"/>
  <c r="AZ342" i="1" s="1"/>
  <c r="BB342" i="1" s="1"/>
  <c r="AY342" i="1"/>
  <c r="BA342" i="1" s="1"/>
  <c r="AI343" i="1"/>
  <c r="AK343" i="1" s="1"/>
  <c r="AM343" i="1" s="1"/>
  <c r="AJ343" i="1"/>
  <c r="AL343" i="1" s="1"/>
  <c r="BS341" i="1" l="1"/>
  <c r="BU341" i="1" s="1"/>
  <c r="BR341" i="1"/>
  <c r="BT341" i="1" s="1"/>
  <c r="BV341" i="1" s="1"/>
  <c r="BC342" i="1"/>
  <c r="BE342" i="1" s="1"/>
  <c r="BG342" i="1" s="1"/>
  <c r="BD342" i="1"/>
  <c r="BF342" i="1" s="1"/>
  <c r="Z344" i="1"/>
  <c r="AB344" i="1" s="1"/>
  <c r="Y344" i="1"/>
  <c r="AA344" i="1" s="1"/>
  <c r="AC344" i="1" s="1"/>
  <c r="F345" i="1"/>
  <c r="H345" i="1" s="1"/>
  <c r="E345" i="1"/>
  <c r="CH340" i="1"/>
  <c r="CJ340" i="1" s="1"/>
  <c r="CG340" i="1"/>
  <c r="CI340" i="1" s="1"/>
  <c r="CK340" i="1" s="1"/>
  <c r="CW339" i="1"/>
  <c r="CY339" i="1" s="1"/>
  <c r="CV339" i="1"/>
  <c r="CX339" i="1" s="1"/>
  <c r="P344" i="1"/>
  <c r="R344" i="1" s="1"/>
  <c r="O344" i="1"/>
  <c r="AN343" i="1"/>
  <c r="AP343" i="1" s="1"/>
  <c r="AR343" i="1" s="1"/>
  <c r="AO343" i="1"/>
  <c r="AQ343" i="1" s="1"/>
  <c r="Q345" i="1" l="1"/>
  <c r="S345" i="1" s="1"/>
  <c r="G345" i="1"/>
  <c r="I345" i="1" s="1"/>
  <c r="BH342" i="1"/>
  <c r="BJ342" i="1" s="1"/>
  <c r="BL342" i="1" s="1"/>
  <c r="BI342" i="1"/>
  <c r="BK342" i="1" s="1"/>
  <c r="AE344" i="1"/>
  <c r="AG344" i="1" s="1"/>
  <c r="AD344" i="1"/>
  <c r="AF344" i="1" s="1"/>
  <c r="AH344" i="1" s="1"/>
  <c r="BX341" i="1"/>
  <c r="BZ341" i="1" s="1"/>
  <c r="BW341" i="1"/>
  <c r="BY341" i="1" s="1"/>
  <c r="CA341" i="1" s="1"/>
  <c r="CL340" i="1"/>
  <c r="CN340" i="1" s="1"/>
  <c r="CP340" i="1" s="1"/>
  <c r="CM340" i="1"/>
  <c r="CO340" i="1" s="1"/>
  <c r="AS343" i="1"/>
  <c r="AU343" i="1" s="1"/>
  <c r="AW343" i="1" s="1"/>
  <c r="AT343" i="1"/>
  <c r="AV343" i="1" s="1"/>
  <c r="CZ339" i="1"/>
  <c r="CB341" i="1" l="1"/>
  <c r="CD341" i="1" s="1"/>
  <c r="CF341" i="1" s="1"/>
  <c r="CC341" i="1"/>
  <c r="CE341" i="1" s="1"/>
  <c r="BN342" i="1"/>
  <c r="BP342" i="1" s="1"/>
  <c r="BM342" i="1"/>
  <c r="BO342" i="1" s="1"/>
  <c r="BQ342" i="1" s="1"/>
  <c r="AY343" i="1"/>
  <c r="BA343" i="1" s="1"/>
  <c r="AX343" i="1"/>
  <c r="AZ343" i="1" s="1"/>
  <c r="BB343" i="1" s="1"/>
  <c r="AJ344" i="1"/>
  <c r="AL344" i="1" s="1"/>
  <c r="AI344" i="1"/>
  <c r="AK344" i="1" s="1"/>
  <c r="AM344" i="1" s="1"/>
  <c r="J345" i="1"/>
  <c r="L345" i="1" s="1"/>
  <c r="N345" i="1" s="1"/>
  <c r="K345" i="1"/>
  <c r="M345" i="1" s="1"/>
  <c r="D346" i="1"/>
  <c r="CR340" i="1"/>
  <c r="CT340" i="1" s="1"/>
  <c r="CQ340" i="1"/>
  <c r="CS340" i="1" s="1"/>
  <c r="CU340" i="1" s="1"/>
  <c r="DA339" i="1"/>
  <c r="DC339" i="1" s="1"/>
  <c r="DB339" i="1"/>
  <c r="DD339" i="1" s="1"/>
  <c r="U345" i="1"/>
  <c r="W345" i="1" s="1"/>
  <c r="T345" i="1"/>
  <c r="V345" i="1" s="1"/>
  <c r="X345" i="1" s="1"/>
  <c r="P345" i="1" l="1"/>
  <c r="R345" i="1" s="1"/>
  <c r="O345" i="1"/>
  <c r="AN344" i="1"/>
  <c r="AP344" i="1" s="1"/>
  <c r="AR344" i="1" s="1"/>
  <c r="AO344" i="1"/>
  <c r="AQ344" i="1" s="1"/>
  <c r="BS342" i="1"/>
  <c r="BU342" i="1" s="1"/>
  <c r="BR342" i="1"/>
  <c r="BT342" i="1" s="1"/>
  <c r="BV342" i="1" s="1"/>
  <c r="Z345" i="1"/>
  <c r="AB345" i="1" s="1"/>
  <c r="Y345" i="1"/>
  <c r="AA345" i="1" s="1"/>
  <c r="AC345" i="1" s="1"/>
  <c r="F346" i="1"/>
  <c r="H346" i="1" s="1"/>
  <c r="E346" i="1"/>
  <c r="BC343" i="1"/>
  <c r="BE343" i="1" s="1"/>
  <c r="BG343" i="1" s="1"/>
  <c r="BD343" i="1"/>
  <c r="BF343" i="1" s="1"/>
  <c r="CV340" i="1"/>
  <c r="CX340" i="1" s="1"/>
  <c r="CZ340" i="1" s="1"/>
  <c r="CW340" i="1"/>
  <c r="CY340" i="1" s="1"/>
  <c r="CG341" i="1"/>
  <c r="CI341" i="1" s="1"/>
  <c r="CK341" i="1" s="1"/>
  <c r="CH341" i="1"/>
  <c r="CJ341" i="1" s="1"/>
  <c r="G346" i="1" l="1"/>
  <c r="I346" i="1" s="1"/>
  <c r="Q346" i="1"/>
  <c r="S346" i="1" s="1"/>
  <c r="AE345" i="1"/>
  <c r="AG345" i="1" s="1"/>
  <c r="AD345" i="1"/>
  <c r="AF345" i="1" s="1"/>
  <c r="AH345" i="1" s="1"/>
  <c r="CL341" i="1"/>
  <c r="CN341" i="1" s="1"/>
  <c r="CP341" i="1" s="1"/>
  <c r="CM341" i="1"/>
  <c r="CO341" i="1" s="1"/>
  <c r="AS344" i="1"/>
  <c r="AU344" i="1" s="1"/>
  <c r="AW344" i="1" s="1"/>
  <c r="AT344" i="1"/>
  <c r="AV344" i="1" s="1"/>
  <c r="DB340" i="1"/>
  <c r="DD340" i="1" s="1"/>
  <c r="DA340" i="1"/>
  <c r="DC340" i="1" s="1"/>
  <c r="BI343" i="1"/>
  <c r="BK343" i="1" s="1"/>
  <c r="BH343" i="1"/>
  <c r="BJ343" i="1" s="1"/>
  <c r="BL343" i="1" s="1"/>
  <c r="BW342" i="1"/>
  <c r="BY342" i="1" s="1"/>
  <c r="CA342" i="1" s="1"/>
  <c r="BX342" i="1"/>
  <c r="BZ342" i="1" s="1"/>
  <c r="AY344" i="1" l="1"/>
  <c r="BA344" i="1" s="1"/>
  <c r="AX344" i="1"/>
  <c r="AZ344" i="1" s="1"/>
  <c r="BB344" i="1" s="1"/>
  <c r="CR341" i="1"/>
  <c r="CT341" i="1" s="1"/>
  <c r="CQ341" i="1"/>
  <c r="CS341" i="1" s="1"/>
  <c r="CU341" i="1" s="1"/>
  <c r="AI345" i="1"/>
  <c r="AK345" i="1" s="1"/>
  <c r="AM345" i="1" s="1"/>
  <c r="AJ345" i="1"/>
  <c r="AL345" i="1" s="1"/>
  <c r="CB342" i="1"/>
  <c r="CD342" i="1" s="1"/>
  <c r="CF342" i="1" s="1"/>
  <c r="CC342" i="1"/>
  <c r="CE342" i="1" s="1"/>
  <c r="T346" i="1"/>
  <c r="V346" i="1" s="1"/>
  <c r="X346" i="1" s="1"/>
  <c r="U346" i="1"/>
  <c r="W346" i="1" s="1"/>
  <c r="BM343" i="1"/>
  <c r="BO343" i="1" s="1"/>
  <c r="BQ343" i="1" s="1"/>
  <c r="BN343" i="1"/>
  <c r="BP343" i="1" s="1"/>
  <c r="J346" i="1"/>
  <c r="L346" i="1" s="1"/>
  <c r="N346" i="1" s="1"/>
  <c r="K346" i="1"/>
  <c r="M346" i="1" s="1"/>
  <c r="D347" i="1"/>
  <c r="CH342" i="1" l="1"/>
  <c r="CJ342" i="1" s="1"/>
  <c r="CG342" i="1"/>
  <c r="CI342" i="1" s="1"/>
  <c r="CK342" i="1" s="1"/>
  <c r="BS343" i="1"/>
  <c r="BU343" i="1" s="1"/>
  <c r="BR343" i="1"/>
  <c r="BT343" i="1" s="1"/>
  <c r="BV343" i="1" s="1"/>
  <c r="CV341" i="1"/>
  <c r="CX341" i="1" s="1"/>
  <c r="CW341" i="1"/>
  <c r="CY341" i="1" s="1"/>
  <c r="BD344" i="1"/>
  <c r="BF344" i="1" s="1"/>
  <c r="BC344" i="1"/>
  <c r="BE344" i="1" s="1"/>
  <c r="BG344" i="1" s="1"/>
  <c r="Z346" i="1"/>
  <c r="AB346" i="1" s="1"/>
  <c r="Y346" i="1"/>
  <c r="AA346" i="1" s="1"/>
  <c r="AC346" i="1" s="1"/>
  <c r="AO345" i="1"/>
  <c r="AQ345" i="1" s="1"/>
  <c r="AN345" i="1"/>
  <c r="AP345" i="1" s="1"/>
  <c r="AR345" i="1" s="1"/>
  <c r="E347" i="1"/>
  <c r="F347" i="1"/>
  <c r="H347" i="1" s="1"/>
  <c r="P346" i="1"/>
  <c r="R346" i="1" s="1"/>
  <c r="O346" i="1"/>
  <c r="AD346" i="1" l="1"/>
  <c r="AF346" i="1" s="1"/>
  <c r="AH346" i="1" s="1"/>
  <c r="AE346" i="1"/>
  <c r="AG346" i="1" s="1"/>
  <c r="BX343" i="1"/>
  <c r="BZ343" i="1" s="1"/>
  <c r="BW343" i="1"/>
  <c r="BY343" i="1" s="1"/>
  <c r="CA343" i="1" s="1"/>
  <c r="CM342" i="1"/>
  <c r="CO342" i="1" s="1"/>
  <c r="CL342" i="1"/>
  <c r="CN342" i="1" s="1"/>
  <c r="CP342" i="1" s="1"/>
  <c r="AT345" i="1"/>
  <c r="AV345" i="1" s="1"/>
  <c r="AS345" i="1"/>
  <c r="AU345" i="1" s="1"/>
  <c r="AW345" i="1" s="1"/>
  <c r="BH344" i="1"/>
  <c r="BJ344" i="1" s="1"/>
  <c r="BL344" i="1" s="1"/>
  <c r="BI344" i="1"/>
  <c r="BK344" i="1" s="1"/>
  <c r="CZ341" i="1"/>
  <c r="Q347" i="1"/>
  <c r="S347" i="1" s="1"/>
  <c r="G347" i="1"/>
  <c r="I347" i="1" s="1"/>
  <c r="CR342" i="1" l="1"/>
  <c r="CT342" i="1" s="1"/>
  <c r="CQ342" i="1"/>
  <c r="CS342" i="1" s="1"/>
  <c r="CU342" i="1" s="1"/>
  <c r="U347" i="1"/>
  <c r="W347" i="1" s="1"/>
  <c r="T347" i="1"/>
  <c r="V347" i="1" s="1"/>
  <c r="X347" i="1" s="1"/>
  <c r="AX345" i="1"/>
  <c r="AZ345" i="1" s="1"/>
  <c r="BB345" i="1" s="1"/>
  <c r="AY345" i="1"/>
  <c r="BA345" i="1" s="1"/>
  <c r="DA341" i="1"/>
  <c r="DC341" i="1" s="1"/>
  <c r="DB341" i="1"/>
  <c r="DD341" i="1" s="1"/>
  <c r="BM344" i="1"/>
  <c r="BO344" i="1" s="1"/>
  <c r="BQ344" i="1" s="1"/>
  <c r="BN344" i="1"/>
  <c r="BP344" i="1" s="1"/>
  <c r="CB343" i="1"/>
  <c r="CD343" i="1" s="1"/>
  <c r="CF343" i="1" s="1"/>
  <c r="CC343" i="1"/>
  <c r="CE343" i="1" s="1"/>
  <c r="K347" i="1"/>
  <c r="M347" i="1" s="1"/>
  <c r="J347" i="1"/>
  <c r="L347" i="1" s="1"/>
  <c r="N347" i="1" s="1"/>
  <c r="D348" i="1"/>
  <c r="AI346" i="1"/>
  <c r="AK346" i="1" s="1"/>
  <c r="AM346" i="1" s="1"/>
  <c r="AJ346" i="1"/>
  <c r="AL346" i="1" s="1"/>
  <c r="Y347" i="1" l="1"/>
  <c r="AA347" i="1" s="1"/>
  <c r="AC347" i="1" s="1"/>
  <c r="Z347" i="1"/>
  <c r="AB347" i="1" s="1"/>
  <c r="BR344" i="1"/>
  <c r="BT344" i="1" s="1"/>
  <c r="BV344" i="1" s="1"/>
  <c r="BS344" i="1"/>
  <c r="BU344" i="1" s="1"/>
  <c r="AO346" i="1"/>
  <c r="AQ346" i="1" s="1"/>
  <c r="AN346" i="1"/>
  <c r="AP346" i="1" s="1"/>
  <c r="AR346" i="1" s="1"/>
  <c r="P347" i="1"/>
  <c r="R347" i="1" s="1"/>
  <c r="O347" i="1"/>
  <c r="CW342" i="1"/>
  <c r="CY342" i="1" s="1"/>
  <c r="CV342" i="1"/>
  <c r="CX342" i="1" s="1"/>
  <c r="CZ342" i="1" s="1"/>
  <c r="CH343" i="1"/>
  <c r="CJ343" i="1" s="1"/>
  <c r="CG343" i="1"/>
  <c r="CI343" i="1" s="1"/>
  <c r="CK343" i="1" s="1"/>
  <c r="BC345" i="1"/>
  <c r="BE345" i="1" s="1"/>
  <c r="BG345" i="1" s="1"/>
  <c r="BD345" i="1"/>
  <c r="BF345" i="1" s="1"/>
  <c r="F348" i="1"/>
  <c r="H348" i="1" s="1"/>
  <c r="E348" i="1"/>
  <c r="CL343" i="1" l="1"/>
  <c r="CN343" i="1" s="1"/>
  <c r="CP343" i="1" s="1"/>
  <c r="CM343" i="1"/>
  <c r="CO343" i="1" s="1"/>
  <c r="BW344" i="1"/>
  <c r="BY344" i="1" s="1"/>
  <c r="CA344" i="1" s="1"/>
  <c r="BX344" i="1"/>
  <c r="BZ344" i="1" s="1"/>
  <c r="AS346" i="1"/>
  <c r="AU346" i="1" s="1"/>
  <c r="AW346" i="1" s="1"/>
  <c r="AT346" i="1"/>
  <c r="AV346" i="1" s="1"/>
  <c r="G348" i="1"/>
  <c r="I348" i="1" s="1"/>
  <c r="Q348" i="1"/>
  <c r="S348" i="1" s="1"/>
  <c r="DB342" i="1"/>
  <c r="DD342" i="1" s="1"/>
  <c r="DA342" i="1"/>
  <c r="DC342" i="1" s="1"/>
  <c r="BH345" i="1"/>
  <c r="BJ345" i="1" s="1"/>
  <c r="BL345" i="1" s="1"/>
  <c r="BI345" i="1"/>
  <c r="BK345" i="1" s="1"/>
  <c r="AD347" i="1"/>
  <c r="AF347" i="1" s="1"/>
  <c r="AH347" i="1" s="1"/>
  <c r="AE347" i="1"/>
  <c r="AG347" i="1" s="1"/>
  <c r="K348" i="1" l="1"/>
  <c r="M348" i="1" s="1"/>
  <c r="J348" i="1"/>
  <c r="L348" i="1" s="1"/>
  <c r="N348" i="1" s="1"/>
  <c r="D349" i="1"/>
  <c r="U348" i="1"/>
  <c r="W348" i="1" s="1"/>
  <c r="T348" i="1"/>
  <c r="V348" i="1" s="1"/>
  <c r="X348" i="1" s="1"/>
  <c r="CB344" i="1"/>
  <c r="CD344" i="1" s="1"/>
  <c r="CF344" i="1" s="1"/>
  <c r="CC344" i="1"/>
  <c r="CE344" i="1" s="1"/>
  <c r="BM345" i="1"/>
  <c r="BO345" i="1" s="1"/>
  <c r="BQ345" i="1" s="1"/>
  <c r="BN345" i="1"/>
  <c r="BP345" i="1" s="1"/>
  <c r="AI347" i="1"/>
  <c r="AK347" i="1" s="1"/>
  <c r="AM347" i="1" s="1"/>
  <c r="AJ347" i="1"/>
  <c r="AL347" i="1" s="1"/>
  <c r="AY346" i="1"/>
  <c r="BA346" i="1" s="1"/>
  <c r="AX346" i="1"/>
  <c r="AZ346" i="1" s="1"/>
  <c r="BB346" i="1" s="1"/>
  <c r="CR343" i="1"/>
  <c r="CT343" i="1" s="1"/>
  <c r="CQ343" i="1"/>
  <c r="CS343" i="1" s="1"/>
  <c r="CU343" i="1" s="1"/>
  <c r="AO347" i="1" l="1"/>
  <c r="AQ347" i="1" s="1"/>
  <c r="AN347" i="1"/>
  <c r="AP347" i="1" s="1"/>
  <c r="AR347" i="1" s="1"/>
  <c r="Y348" i="1"/>
  <c r="AA348" i="1" s="1"/>
  <c r="AC348" i="1" s="1"/>
  <c r="Z348" i="1"/>
  <c r="AB348" i="1" s="1"/>
  <c r="CW343" i="1"/>
  <c r="CY343" i="1" s="1"/>
  <c r="CV343" i="1"/>
  <c r="CX343" i="1" s="1"/>
  <c r="CZ343" i="1" s="1"/>
  <c r="CG344" i="1"/>
  <c r="CI344" i="1" s="1"/>
  <c r="CK344" i="1" s="1"/>
  <c r="CH344" i="1"/>
  <c r="CJ344" i="1" s="1"/>
  <c r="P348" i="1"/>
  <c r="R348" i="1" s="1"/>
  <c r="O348" i="1"/>
  <c r="BR345" i="1"/>
  <c r="BT345" i="1" s="1"/>
  <c r="BV345" i="1" s="1"/>
  <c r="BS345" i="1"/>
  <c r="BU345" i="1" s="1"/>
  <c r="F349" i="1"/>
  <c r="H349" i="1" s="1"/>
  <c r="E349" i="1"/>
  <c r="BC346" i="1"/>
  <c r="BE346" i="1" s="1"/>
  <c r="BG346" i="1" s="1"/>
  <c r="BD346" i="1"/>
  <c r="BF346" i="1" s="1"/>
  <c r="DB343" i="1" l="1"/>
  <c r="DD343" i="1" s="1"/>
  <c r="DA343" i="1"/>
  <c r="DC343" i="1" s="1"/>
  <c r="BX345" i="1"/>
  <c r="BZ345" i="1" s="1"/>
  <c r="BW345" i="1"/>
  <c r="BY345" i="1" s="1"/>
  <c r="CA345" i="1" s="1"/>
  <c r="AD348" i="1"/>
  <c r="AF348" i="1" s="1"/>
  <c r="AH348" i="1" s="1"/>
  <c r="AE348" i="1"/>
  <c r="AG348" i="1" s="1"/>
  <c r="AS347" i="1"/>
  <c r="AU347" i="1" s="1"/>
  <c r="AW347" i="1" s="1"/>
  <c r="AT347" i="1"/>
  <c r="AV347" i="1" s="1"/>
  <c r="CL344" i="1"/>
  <c r="CN344" i="1" s="1"/>
  <c r="CP344" i="1" s="1"/>
  <c r="CM344" i="1"/>
  <c r="CO344" i="1" s="1"/>
  <c r="BI346" i="1"/>
  <c r="BK346" i="1" s="1"/>
  <c r="BH346" i="1"/>
  <c r="BJ346" i="1" s="1"/>
  <c r="BL346" i="1" s="1"/>
  <c r="Q349" i="1"/>
  <c r="S349" i="1" s="1"/>
  <c r="G349" i="1"/>
  <c r="I349" i="1" s="1"/>
  <c r="AI348" i="1" l="1"/>
  <c r="AK348" i="1" s="1"/>
  <c r="AM348" i="1" s="1"/>
  <c r="AJ348" i="1"/>
  <c r="AL348" i="1" s="1"/>
  <c r="AY347" i="1"/>
  <c r="BA347" i="1" s="1"/>
  <c r="AX347" i="1"/>
  <c r="AZ347" i="1" s="1"/>
  <c r="BB347" i="1" s="1"/>
  <c r="K349" i="1"/>
  <c r="M349" i="1" s="1"/>
  <c r="J349" i="1"/>
  <c r="L349" i="1" s="1"/>
  <c r="N349" i="1" s="1"/>
  <c r="D350" i="1"/>
  <c r="CQ344" i="1"/>
  <c r="CS344" i="1" s="1"/>
  <c r="CU344" i="1" s="1"/>
  <c r="CR344" i="1"/>
  <c r="CT344" i="1" s="1"/>
  <c r="CC345" i="1"/>
  <c r="CE345" i="1" s="1"/>
  <c r="CB345" i="1"/>
  <c r="CD345" i="1" s="1"/>
  <c r="CF345" i="1" s="1"/>
  <c r="T349" i="1"/>
  <c r="V349" i="1" s="1"/>
  <c r="X349" i="1" s="1"/>
  <c r="U349" i="1"/>
  <c r="W349" i="1" s="1"/>
  <c r="BN346" i="1"/>
  <c r="BP346" i="1" s="1"/>
  <c r="BM346" i="1"/>
  <c r="BO346" i="1" s="1"/>
  <c r="BQ346" i="1" s="1"/>
  <c r="CH345" i="1" l="1"/>
  <c r="CJ345" i="1" s="1"/>
  <c r="CG345" i="1"/>
  <c r="CI345" i="1" s="1"/>
  <c r="CK345" i="1" s="1"/>
  <c r="E350" i="1"/>
  <c r="F350" i="1"/>
  <c r="H350" i="1" s="1"/>
  <c r="CV344" i="1"/>
  <c r="CX344" i="1" s="1"/>
  <c r="CW344" i="1"/>
  <c r="CY344" i="1" s="1"/>
  <c r="BD347" i="1"/>
  <c r="BF347" i="1" s="1"/>
  <c r="BC347" i="1"/>
  <c r="BE347" i="1" s="1"/>
  <c r="BG347" i="1" s="1"/>
  <c r="Y349" i="1"/>
  <c r="AA349" i="1" s="1"/>
  <c r="AC349" i="1" s="1"/>
  <c r="Z349" i="1"/>
  <c r="AB349" i="1" s="1"/>
  <c r="O349" i="1"/>
  <c r="P349" i="1"/>
  <c r="R349" i="1" s="1"/>
  <c r="BR346" i="1"/>
  <c r="BT346" i="1" s="1"/>
  <c r="BV346" i="1" s="1"/>
  <c r="BS346" i="1"/>
  <c r="BU346" i="1" s="1"/>
  <c r="AO348" i="1"/>
  <c r="AQ348" i="1" s="1"/>
  <c r="AN348" i="1"/>
  <c r="AP348" i="1" s="1"/>
  <c r="AR348" i="1" s="1"/>
  <c r="BH347" i="1" l="1"/>
  <c r="BJ347" i="1" s="1"/>
  <c r="BL347" i="1" s="1"/>
  <c r="BI347" i="1"/>
  <c r="BK347" i="1" s="1"/>
  <c r="AS348" i="1"/>
  <c r="AU348" i="1" s="1"/>
  <c r="AW348" i="1" s="1"/>
  <c r="AT348" i="1"/>
  <c r="AV348" i="1" s="1"/>
  <c r="BX346" i="1"/>
  <c r="BZ346" i="1" s="1"/>
  <c r="BW346" i="1"/>
  <c r="BY346" i="1" s="1"/>
  <c r="CA346" i="1" s="1"/>
  <c r="AE349" i="1"/>
  <c r="AG349" i="1" s="1"/>
  <c r="AD349" i="1"/>
  <c r="AF349" i="1" s="1"/>
  <c r="AH349" i="1" s="1"/>
  <c r="CZ344" i="1"/>
  <c r="G350" i="1"/>
  <c r="I350" i="1" s="1"/>
  <c r="Q350" i="1"/>
  <c r="S350" i="1" s="1"/>
  <c r="CL345" i="1"/>
  <c r="CN345" i="1" s="1"/>
  <c r="CP345" i="1" s="1"/>
  <c r="CM345" i="1"/>
  <c r="CO345" i="1" s="1"/>
  <c r="DB344" i="1" l="1"/>
  <c r="DD344" i="1" s="1"/>
  <c r="DA344" i="1"/>
  <c r="DC344" i="1" s="1"/>
  <c r="T350" i="1"/>
  <c r="V350" i="1" s="1"/>
  <c r="X350" i="1" s="1"/>
  <c r="U350" i="1"/>
  <c r="W350" i="1" s="1"/>
  <c r="CB346" i="1"/>
  <c r="CD346" i="1" s="1"/>
  <c r="CF346" i="1" s="1"/>
  <c r="CC346" i="1"/>
  <c r="CE346" i="1" s="1"/>
  <c r="AI349" i="1"/>
  <c r="AK349" i="1" s="1"/>
  <c r="AM349" i="1" s="1"/>
  <c r="AJ349" i="1"/>
  <c r="AL349" i="1" s="1"/>
  <c r="CR345" i="1"/>
  <c r="CT345" i="1" s="1"/>
  <c r="CQ345" i="1"/>
  <c r="CS345" i="1" s="1"/>
  <c r="CU345" i="1" s="1"/>
  <c r="K350" i="1"/>
  <c r="M350" i="1" s="1"/>
  <c r="J350" i="1"/>
  <c r="L350" i="1" s="1"/>
  <c r="N350" i="1" s="1"/>
  <c r="D351" i="1"/>
  <c r="AX348" i="1"/>
  <c r="AZ348" i="1" s="1"/>
  <c r="BB348" i="1" s="1"/>
  <c r="AY348" i="1"/>
  <c r="BA348" i="1" s="1"/>
  <c r="BN347" i="1"/>
  <c r="BP347" i="1" s="1"/>
  <c r="BM347" i="1"/>
  <c r="BO347" i="1" s="1"/>
  <c r="BQ347" i="1" s="1"/>
  <c r="AO349" i="1" l="1"/>
  <c r="AQ349" i="1" s="1"/>
  <c r="AN349" i="1"/>
  <c r="AP349" i="1" s="1"/>
  <c r="AR349" i="1" s="1"/>
  <c r="CV345" i="1"/>
  <c r="CX345" i="1" s="1"/>
  <c r="CZ345" i="1" s="1"/>
  <c r="CW345" i="1"/>
  <c r="CY345" i="1" s="1"/>
  <c r="CG346" i="1"/>
  <c r="CI346" i="1" s="1"/>
  <c r="CK346" i="1" s="1"/>
  <c r="CH346" i="1"/>
  <c r="CJ346" i="1" s="1"/>
  <c r="BR347" i="1"/>
  <c r="BT347" i="1" s="1"/>
  <c r="BV347" i="1" s="1"/>
  <c r="BS347" i="1"/>
  <c r="BU347" i="1" s="1"/>
  <c r="Y350" i="1"/>
  <c r="AA350" i="1" s="1"/>
  <c r="AC350" i="1" s="1"/>
  <c r="Z350" i="1"/>
  <c r="AB350" i="1" s="1"/>
  <c r="BC348" i="1"/>
  <c r="BE348" i="1" s="1"/>
  <c r="BG348" i="1" s="1"/>
  <c r="BD348" i="1"/>
  <c r="BF348" i="1" s="1"/>
  <c r="E351" i="1"/>
  <c r="F351" i="1"/>
  <c r="H351" i="1" s="1"/>
  <c r="P350" i="1"/>
  <c r="R350" i="1" s="1"/>
  <c r="O350" i="1"/>
  <c r="AD350" i="1" l="1"/>
  <c r="AF350" i="1" s="1"/>
  <c r="AH350" i="1" s="1"/>
  <c r="AE350" i="1"/>
  <c r="AG350" i="1" s="1"/>
  <c r="CL346" i="1"/>
  <c r="CN346" i="1" s="1"/>
  <c r="CP346" i="1" s="1"/>
  <c r="CM346" i="1"/>
  <c r="CO346" i="1" s="1"/>
  <c r="DB345" i="1"/>
  <c r="DD345" i="1" s="1"/>
  <c r="DA345" i="1"/>
  <c r="DC345" i="1" s="1"/>
  <c r="BI348" i="1"/>
  <c r="BK348" i="1" s="1"/>
  <c r="BH348" i="1"/>
  <c r="BJ348" i="1" s="1"/>
  <c r="BL348" i="1" s="1"/>
  <c r="BX347" i="1"/>
  <c r="BZ347" i="1" s="1"/>
  <c r="BW347" i="1"/>
  <c r="BY347" i="1" s="1"/>
  <c r="CA347" i="1" s="1"/>
  <c r="AS349" i="1"/>
  <c r="AU349" i="1" s="1"/>
  <c r="AW349" i="1" s="1"/>
  <c r="AT349" i="1"/>
  <c r="AV349" i="1" s="1"/>
  <c r="Q351" i="1"/>
  <c r="S351" i="1" s="1"/>
  <c r="G351" i="1"/>
  <c r="I351" i="1" s="1"/>
  <c r="CB347" i="1" l="1"/>
  <c r="CD347" i="1" s="1"/>
  <c r="CF347" i="1" s="1"/>
  <c r="CC347" i="1"/>
  <c r="CE347" i="1" s="1"/>
  <c r="BN348" i="1"/>
  <c r="BP348" i="1" s="1"/>
  <c r="BM348" i="1"/>
  <c r="BO348" i="1" s="1"/>
  <c r="BQ348" i="1" s="1"/>
  <c r="J351" i="1"/>
  <c r="L351" i="1" s="1"/>
  <c r="N351" i="1" s="1"/>
  <c r="K351" i="1"/>
  <c r="M351" i="1" s="1"/>
  <c r="D352" i="1"/>
  <c r="CQ346" i="1"/>
  <c r="CS346" i="1" s="1"/>
  <c r="CU346" i="1" s="1"/>
  <c r="CR346" i="1"/>
  <c r="CT346" i="1" s="1"/>
  <c r="AY349" i="1"/>
  <c r="BA349" i="1" s="1"/>
  <c r="AX349" i="1"/>
  <c r="AZ349" i="1" s="1"/>
  <c r="BB349" i="1" s="1"/>
  <c r="U351" i="1"/>
  <c r="W351" i="1" s="1"/>
  <c r="T351" i="1"/>
  <c r="V351" i="1" s="1"/>
  <c r="X351" i="1" s="1"/>
  <c r="AI350" i="1"/>
  <c r="AK350" i="1" s="1"/>
  <c r="AM350" i="1" s="1"/>
  <c r="AJ350" i="1"/>
  <c r="AL350" i="1" s="1"/>
  <c r="BS348" i="1" l="1"/>
  <c r="BU348" i="1" s="1"/>
  <c r="BR348" i="1"/>
  <c r="BT348" i="1" s="1"/>
  <c r="BV348" i="1" s="1"/>
  <c r="BD349" i="1"/>
  <c r="BF349" i="1" s="1"/>
  <c r="BC349" i="1"/>
  <c r="BE349" i="1" s="1"/>
  <c r="BG349" i="1" s="1"/>
  <c r="E352" i="1"/>
  <c r="F352" i="1"/>
  <c r="H352" i="1" s="1"/>
  <c r="O351" i="1"/>
  <c r="P351" i="1"/>
  <c r="R351" i="1" s="1"/>
  <c r="AO350" i="1"/>
  <c r="AQ350" i="1" s="1"/>
  <c r="AN350" i="1"/>
  <c r="AP350" i="1" s="1"/>
  <c r="AR350" i="1" s="1"/>
  <c r="CV346" i="1"/>
  <c r="CX346" i="1" s="1"/>
  <c r="CZ346" i="1" s="1"/>
  <c r="CW346" i="1"/>
  <c r="CY346" i="1" s="1"/>
  <c r="Y351" i="1"/>
  <c r="AA351" i="1" s="1"/>
  <c r="AC351" i="1" s="1"/>
  <c r="Z351" i="1"/>
  <c r="AB351" i="1" s="1"/>
  <c r="CH347" i="1"/>
  <c r="CJ347" i="1" s="1"/>
  <c r="CG347" i="1"/>
  <c r="CI347" i="1" s="1"/>
  <c r="CK347" i="1" s="1"/>
  <c r="AT350" i="1" l="1"/>
  <c r="AV350" i="1" s="1"/>
  <c r="AS350" i="1"/>
  <c r="AU350" i="1" s="1"/>
  <c r="AW350" i="1" s="1"/>
  <c r="Q352" i="1"/>
  <c r="S352" i="1" s="1"/>
  <c r="G352" i="1"/>
  <c r="I352" i="1" s="1"/>
  <c r="CL347" i="1"/>
  <c r="CN347" i="1" s="1"/>
  <c r="CP347" i="1" s="1"/>
  <c r="CM347" i="1"/>
  <c r="CO347" i="1" s="1"/>
  <c r="AE351" i="1"/>
  <c r="AG351" i="1" s="1"/>
  <c r="AD351" i="1"/>
  <c r="AF351" i="1" s="1"/>
  <c r="AH351" i="1" s="1"/>
  <c r="BW348" i="1"/>
  <c r="BY348" i="1" s="1"/>
  <c r="CA348" i="1" s="1"/>
  <c r="BX348" i="1"/>
  <c r="BZ348" i="1" s="1"/>
  <c r="DB346" i="1"/>
  <c r="DD346" i="1" s="1"/>
  <c r="DA346" i="1"/>
  <c r="DC346" i="1" s="1"/>
  <c r="BH349" i="1"/>
  <c r="BJ349" i="1" s="1"/>
  <c r="BL349" i="1" s="1"/>
  <c r="BI349" i="1"/>
  <c r="BK349" i="1" s="1"/>
  <c r="CQ347" i="1" l="1"/>
  <c r="CS347" i="1" s="1"/>
  <c r="CU347" i="1" s="1"/>
  <c r="CR347" i="1"/>
  <c r="CT347" i="1" s="1"/>
  <c r="CB348" i="1"/>
  <c r="CD348" i="1" s="1"/>
  <c r="CF348" i="1" s="1"/>
  <c r="CC348" i="1"/>
  <c r="CE348" i="1" s="1"/>
  <c r="AY350" i="1"/>
  <c r="BA350" i="1" s="1"/>
  <c r="AX350" i="1"/>
  <c r="AZ350" i="1" s="1"/>
  <c r="BB350" i="1" s="1"/>
  <c r="AJ351" i="1"/>
  <c r="AL351" i="1" s="1"/>
  <c r="AI351" i="1"/>
  <c r="AK351" i="1" s="1"/>
  <c r="AM351" i="1" s="1"/>
  <c r="K352" i="1"/>
  <c r="M352" i="1" s="1"/>
  <c r="J352" i="1"/>
  <c r="L352" i="1" s="1"/>
  <c r="N352" i="1" s="1"/>
  <c r="D353" i="1"/>
  <c r="U352" i="1"/>
  <c r="W352" i="1" s="1"/>
  <c r="T352" i="1"/>
  <c r="V352" i="1" s="1"/>
  <c r="X352" i="1" s="1"/>
  <c r="BN349" i="1"/>
  <c r="BP349" i="1" s="1"/>
  <c r="BM349" i="1"/>
  <c r="BO349" i="1" s="1"/>
  <c r="BQ349" i="1" s="1"/>
  <c r="AN351" i="1" l="1"/>
  <c r="AP351" i="1" s="1"/>
  <c r="AR351" i="1" s="1"/>
  <c r="AO351" i="1"/>
  <c r="AQ351" i="1" s="1"/>
  <c r="P352" i="1"/>
  <c r="R352" i="1" s="1"/>
  <c r="O352" i="1"/>
  <c r="CH348" i="1"/>
  <c r="CJ348" i="1" s="1"/>
  <c r="CG348" i="1"/>
  <c r="CI348" i="1" s="1"/>
  <c r="CK348" i="1" s="1"/>
  <c r="F353" i="1"/>
  <c r="H353" i="1" s="1"/>
  <c r="E353" i="1"/>
  <c r="BC350" i="1"/>
  <c r="BE350" i="1" s="1"/>
  <c r="BG350" i="1" s="1"/>
  <c r="BD350" i="1"/>
  <c r="BF350" i="1" s="1"/>
  <c r="BR349" i="1"/>
  <c r="BT349" i="1" s="1"/>
  <c r="BV349" i="1" s="1"/>
  <c r="BS349" i="1"/>
  <c r="BU349" i="1" s="1"/>
  <c r="Z352" i="1"/>
  <c r="AB352" i="1" s="1"/>
  <c r="Y352" i="1"/>
  <c r="AA352" i="1" s="1"/>
  <c r="AC352" i="1" s="1"/>
  <c r="CW347" i="1"/>
  <c r="CY347" i="1" s="1"/>
  <c r="CV347" i="1"/>
  <c r="CX347" i="1" s="1"/>
  <c r="CZ347" i="1" s="1"/>
  <c r="BX349" i="1" l="1"/>
  <c r="BZ349" i="1" s="1"/>
  <c r="BW349" i="1"/>
  <c r="BY349" i="1" s="1"/>
  <c r="CA349" i="1" s="1"/>
  <c r="CM348" i="1"/>
  <c r="CO348" i="1" s="1"/>
  <c r="CL348" i="1"/>
  <c r="CN348" i="1" s="1"/>
  <c r="CP348" i="1" s="1"/>
  <c r="G353" i="1"/>
  <c r="I353" i="1" s="1"/>
  <c r="Q353" i="1"/>
  <c r="S353" i="1" s="1"/>
  <c r="BH350" i="1"/>
  <c r="BJ350" i="1" s="1"/>
  <c r="BL350" i="1" s="1"/>
  <c r="BI350" i="1"/>
  <c r="BK350" i="1" s="1"/>
  <c r="DB347" i="1"/>
  <c r="DD347" i="1" s="1"/>
  <c r="DA347" i="1"/>
  <c r="DC347" i="1" s="1"/>
  <c r="AD352" i="1"/>
  <c r="AF352" i="1" s="1"/>
  <c r="AH352" i="1" s="1"/>
  <c r="AE352" i="1"/>
  <c r="AG352" i="1" s="1"/>
  <c r="AT351" i="1"/>
  <c r="AV351" i="1" s="1"/>
  <c r="AS351" i="1"/>
  <c r="AU351" i="1" s="1"/>
  <c r="AW351" i="1" s="1"/>
  <c r="T353" i="1" l="1"/>
  <c r="V353" i="1" s="1"/>
  <c r="X353" i="1" s="1"/>
  <c r="U353" i="1"/>
  <c r="W353" i="1" s="1"/>
  <c r="BM350" i="1"/>
  <c r="BO350" i="1" s="1"/>
  <c r="BQ350" i="1" s="1"/>
  <c r="BN350" i="1"/>
  <c r="BP350" i="1" s="1"/>
  <c r="AJ352" i="1"/>
  <c r="AL352" i="1" s="1"/>
  <c r="AI352" i="1"/>
  <c r="AK352" i="1" s="1"/>
  <c r="AM352" i="1" s="1"/>
  <c r="K353" i="1"/>
  <c r="M353" i="1" s="1"/>
  <c r="J353" i="1"/>
  <c r="L353" i="1" s="1"/>
  <c r="N353" i="1" s="1"/>
  <c r="D354" i="1"/>
  <c r="AY351" i="1"/>
  <c r="BA351" i="1" s="1"/>
  <c r="AX351" i="1"/>
  <c r="AZ351" i="1" s="1"/>
  <c r="BB351" i="1" s="1"/>
  <c r="CC349" i="1"/>
  <c r="CE349" i="1" s="1"/>
  <c r="CB349" i="1"/>
  <c r="CD349" i="1" s="1"/>
  <c r="CF349" i="1" s="1"/>
  <c r="CQ348" i="1"/>
  <c r="CS348" i="1" s="1"/>
  <c r="CU348" i="1" s="1"/>
  <c r="CR348" i="1"/>
  <c r="CT348" i="1" s="1"/>
  <c r="E354" i="1" l="1"/>
  <c r="F354" i="1"/>
  <c r="H354" i="1" s="1"/>
  <c r="BR350" i="1"/>
  <c r="BT350" i="1" s="1"/>
  <c r="BV350" i="1" s="1"/>
  <c r="BS350" i="1"/>
  <c r="BU350" i="1" s="1"/>
  <c r="BD351" i="1"/>
  <c r="BF351" i="1" s="1"/>
  <c r="BC351" i="1"/>
  <c r="BE351" i="1" s="1"/>
  <c r="BG351" i="1" s="1"/>
  <c r="AO352" i="1"/>
  <c r="AQ352" i="1" s="1"/>
  <c r="AN352" i="1"/>
  <c r="AP352" i="1" s="1"/>
  <c r="AR352" i="1" s="1"/>
  <c r="CV348" i="1"/>
  <c r="CX348" i="1" s="1"/>
  <c r="CW348" i="1"/>
  <c r="CY348" i="1" s="1"/>
  <c r="P353" i="1"/>
  <c r="R353" i="1" s="1"/>
  <c r="O353" i="1"/>
  <c r="CH349" i="1"/>
  <c r="CJ349" i="1" s="1"/>
  <c r="CG349" i="1"/>
  <c r="CI349" i="1" s="1"/>
  <c r="CK349" i="1" s="1"/>
  <c r="Z353" i="1"/>
  <c r="AB353" i="1" s="1"/>
  <c r="Y353" i="1"/>
  <c r="AA353" i="1" s="1"/>
  <c r="AC353" i="1" s="1"/>
  <c r="CZ348" i="1" l="1"/>
  <c r="AS352" i="1"/>
  <c r="AU352" i="1" s="1"/>
  <c r="AW352" i="1" s="1"/>
  <c r="AT352" i="1"/>
  <c r="AV352" i="1" s="1"/>
  <c r="AE353" i="1"/>
  <c r="AG353" i="1" s="1"/>
  <c r="AD353" i="1"/>
  <c r="AF353" i="1" s="1"/>
  <c r="AH353" i="1" s="1"/>
  <c r="BX350" i="1"/>
  <c r="BZ350" i="1" s="1"/>
  <c r="BW350" i="1"/>
  <c r="BY350" i="1" s="1"/>
  <c r="CA350" i="1" s="1"/>
  <c r="BH351" i="1"/>
  <c r="BJ351" i="1" s="1"/>
  <c r="BL351" i="1" s="1"/>
  <c r="BI351" i="1"/>
  <c r="BK351" i="1" s="1"/>
  <c r="CL349" i="1"/>
  <c r="CN349" i="1" s="1"/>
  <c r="CP349" i="1" s="1"/>
  <c r="CM349" i="1"/>
  <c r="CO349" i="1" s="1"/>
  <c r="Q354" i="1"/>
  <c r="S354" i="1" s="1"/>
  <c r="G354" i="1"/>
  <c r="I354" i="1" s="1"/>
  <c r="T354" i="1" l="1"/>
  <c r="V354" i="1" s="1"/>
  <c r="X354" i="1" s="1"/>
  <c r="U354" i="1"/>
  <c r="W354" i="1" s="1"/>
  <c r="CC350" i="1"/>
  <c r="CE350" i="1" s="1"/>
  <c r="CB350" i="1"/>
  <c r="CD350" i="1" s="1"/>
  <c r="CF350" i="1" s="1"/>
  <c r="CQ349" i="1"/>
  <c r="CS349" i="1" s="1"/>
  <c r="CU349" i="1" s="1"/>
  <c r="CR349" i="1"/>
  <c r="CT349" i="1" s="1"/>
  <c r="BM351" i="1"/>
  <c r="BO351" i="1" s="1"/>
  <c r="BQ351" i="1" s="1"/>
  <c r="BN351" i="1"/>
  <c r="BP351" i="1" s="1"/>
  <c r="AJ353" i="1"/>
  <c r="AL353" i="1" s="1"/>
  <c r="AI353" i="1"/>
  <c r="AK353" i="1" s="1"/>
  <c r="AM353" i="1" s="1"/>
  <c r="AX352" i="1"/>
  <c r="AZ352" i="1" s="1"/>
  <c r="BB352" i="1" s="1"/>
  <c r="AY352" i="1"/>
  <c r="BA352" i="1" s="1"/>
  <c r="J354" i="1"/>
  <c r="L354" i="1" s="1"/>
  <c r="N354" i="1" s="1"/>
  <c r="K354" i="1"/>
  <c r="M354" i="1" s="1"/>
  <c r="D355" i="1"/>
  <c r="DA348" i="1"/>
  <c r="DC348" i="1" s="1"/>
  <c r="DB348" i="1"/>
  <c r="DD348" i="1" s="1"/>
  <c r="BD352" i="1" l="1"/>
  <c r="BF352" i="1" s="1"/>
  <c r="BC352" i="1"/>
  <c r="BE352" i="1" s="1"/>
  <c r="BG352" i="1" s="1"/>
  <c r="AN353" i="1"/>
  <c r="AP353" i="1" s="1"/>
  <c r="AR353" i="1" s="1"/>
  <c r="AO353" i="1"/>
  <c r="AQ353" i="1" s="1"/>
  <c r="BR351" i="1"/>
  <c r="BT351" i="1" s="1"/>
  <c r="BV351" i="1" s="1"/>
  <c r="BS351" i="1"/>
  <c r="BU351" i="1" s="1"/>
  <c r="CH350" i="1"/>
  <c r="CJ350" i="1" s="1"/>
  <c r="CG350" i="1"/>
  <c r="CI350" i="1" s="1"/>
  <c r="CK350" i="1" s="1"/>
  <c r="E355" i="1"/>
  <c r="F355" i="1"/>
  <c r="H355" i="1" s="1"/>
  <c r="CV349" i="1"/>
  <c r="CX349" i="1" s="1"/>
  <c r="CZ349" i="1" s="1"/>
  <c r="CW349" i="1"/>
  <c r="CY349" i="1" s="1"/>
  <c r="P354" i="1"/>
  <c r="R354" i="1" s="1"/>
  <c r="O354" i="1"/>
  <c r="Y354" i="1"/>
  <c r="AA354" i="1" s="1"/>
  <c r="AC354" i="1" s="1"/>
  <c r="Z354" i="1"/>
  <c r="AB354" i="1" s="1"/>
  <c r="CM350" i="1" l="1"/>
  <c r="CO350" i="1" s="1"/>
  <c r="CL350" i="1"/>
  <c r="CN350" i="1" s="1"/>
  <c r="CP350" i="1" s="1"/>
  <c r="BW351" i="1"/>
  <c r="BY351" i="1" s="1"/>
  <c r="CA351" i="1" s="1"/>
  <c r="BX351" i="1"/>
  <c r="BZ351" i="1" s="1"/>
  <c r="AS353" i="1"/>
  <c r="AU353" i="1" s="1"/>
  <c r="AW353" i="1" s="1"/>
  <c r="AT353" i="1"/>
  <c r="AV353" i="1" s="1"/>
  <c r="BH352" i="1"/>
  <c r="BJ352" i="1" s="1"/>
  <c r="BL352" i="1" s="1"/>
  <c r="BI352" i="1"/>
  <c r="BK352" i="1" s="1"/>
  <c r="DA349" i="1"/>
  <c r="DC349" i="1" s="1"/>
  <c r="DB349" i="1"/>
  <c r="DD349" i="1" s="1"/>
  <c r="G355" i="1"/>
  <c r="I355" i="1" s="1"/>
  <c r="Q355" i="1"/>
  <c r="S355" i="1" s="1"/>
  <c r="AE354" i="1"/>
  <c r="AG354" i="1" s="1"/>
  <c r="AD354" i="1"/>
  <c r="AF354" i="1" s="1"/>
  <c r="AH354" i="1" s="1"/>
  <c r="CC351" i="1" l="1"/>
  <c r="CE351" i="1" s="1"/>
  <c r="CB351" i="1"/>
  <c r="CD351" i="1" s="1"/>
  <c r="CF351" i="1" s="1"/>
  <c r="U355" i="1"/>
  <c r="W355" i="1" s="1"/>
  <c r="T355" i="1"/>
  <c r="V355" i="1" s="1"/>
  <c r="X355" i="1" s="1"/>
  <c r="AX353" i="1"/>
  <c r="AZ353" i="1" s="1"/>
  <c r="BB353" i="1" s="1"/>
  <c r="AY353" i="1"/>
  <c r="BA353" i="1" s="1"/>
  <c r="CR350" i="1"/>
  <c r="CT350" i="1" s="1"/>
  <c r="CQ350" i="1"/>
  <c r="CS350" i="1" s="1"/>
  <c r="CU350" i="1" s="1"/>
  <c r="K355" i="1"/>
  <c r="M355" i="1" s="1"/>
  <c r="J355" i="1"/>
  <c r="L355" i="1" s="1"/>
  <c r="N355" i="1" s="1"/>
  <c r="D356" i="1"/>
  <c r="BM352" i="1"/>
  <c r="BO352" i="1" s="1"/>
  <c r="BQ352" i="1" s="1"/>
  <c r="BN352" i="1"/>
  <c r="BP352" i="1" s="1"/>
  <c r="AJ354" i="1"/>
  <c r="AL354" i="1" s="1"/>
  <c r="AI354" i="1"/>
  <c r="AK354" i="1" s="1"/>
  <c r="AM354" i="1" s="1"/>
  <c r="P355" i="1" l="1"/>
  <c r="R355" i="1" s="1"/>
  <c r="O355" i="1"/>
  <c r="E356" i="1"/>
  <c r="F356" i="1"/>
  <c r="H356" i="1" s="1"/>
  <c r="AN354" i="1"/>
  <c r="AP354" i="1" s="1"/>
  <c r="AR354" i="1" s="1"/>
  <c r="AO354" i="1"/>
  <c r="AQ354" i="1" s="1"/>
  <c r="CV350" i="1"/>
  <c r="CX350" i="1" s="1"/>
  <c r="CW350" i="1"/>
  <c r="CY350" i="1" s="1"/>
  <c r="Z355" i="1"/>
  <c r="AB355" i="1" s="1"/>
  <c r="Y355" i="1"/>
  <c r="AA355" i="1" s="1"/>
  <c r="AC355" i="1" s="1"/>
  <c r="CH351" i="1"/>
  <c r="CJ351" i="1" s="1"/>
  <c r="CG351" i="1"/>
  <c r="CI351" i="1" s="1"/>
  <c r="CK351" i="1" s="1"/>
  <c r="BS352" i="1"/>
  <c r="BU352" i="1" s="1"/>
  <c r="BR352" i="1"/>
  <c r="BT352" i="1" s="1"/>
  <c r="BV352" i="1" s="1"/>
  <c r="BD353" i="1"/>
  <c r="BF353" i="1" s="1"/>
  <c r="BC353" i="1"/>
  <c r="BE353" i="1" s="1"/>
  <c r="BG353" i="1" s="1"/>
  <c r="AS354" i="1" l="1"/>
  <c r="AU354" i="1" s="1"/>
  <c r="AW354" i="1" s="1"/>
  <c r="AT354" i="1"/>
  <c r="AV354" i="1" s="1"/>
  <c r="Q356" i="1"/>
  <c r="S356" i="1" s="1"/>
  <c r="G356" i="1"/>
  <c r="I356" i="1" s="1"/>
  <c r="CZ350" i="1"/>
  <c r="BW352" i="1"/>
  <c r="BY352" i="1" s="1"/>
  <c r="CA352" i="1" s="1"/>
  <c r="BX352" i="1"/>
  <c r="BZ352" i="1" s="1"/>
  <c r="AE355" i="1"/>
  <c r="AG355" i="1" s="1"/>
  <c r="AD355" i="1"/>
  <c r="AF355" i="1" s="1"/>
  <c r="AH355" i="1" s="1"/>
  <c r="BI353" i="1"/>
  <c r="BK353" i="1" s="1"/>
  <c r="BH353" i="1"/>
  <c r="BJ353" i="1" s="1"/>
  <c r="BL353" i="1" s="1"/>
  <c r="CM351" i="1"/>
  <c r="CO351" i="1" s="1"/>
  <c r="CL351" i="1"/>
  <c r="CN351" i="1" s="1"/>
  <c r="CP351" i="1" s="1"/>
  <c r="CB352" i="1" l="1"/>
  <c r="CD352" i="1" s="1"/>
  <c r="CF352" i="1" s="1"/>
  <c r="CC352" i="1"/>
  <c r="CE352" i="1" s="1"/>
  <c r="K356" i="1"/>
  <c r="M356" i="1" s="1"/>
  <c r="J356" i="1"/>
  <c r="L356" i="1" s="1"/>
  <c r="N356" i="1" s="1"/>
  <c r="D357" i="1"/>
  <c r="AI355" i="1"/>
  <c r="AK355" i="1" s="1"/>
  <c r="AM355" i="1" s="1"/>
  <c r="AJ355" i="1"/>
  <c r="AL355" i="1" s="1"/>
  <c r="T356" i="1"/>
  <c r="V356" i="1" s="1"/>
  <c r="X356" i="1" s="1"/>
  <c r="U356" i="1"/>
  <c r="W356" i="1" s="1"/>
  <c r="BM353" i="1"/>
  <c r="BO353" i="1" s="1"/>
  <c r="BQ353" i="1" s="1"/>
  <c r="BN353" i="1"/>
  <c r="BP353" i="1" s="1"/>
  <c r="DA350" i="1"/>
  <c r="DC350" i="1" s="1"/>
  <c r="DB350" i="1"/>
  <c r="DD350" i="1" s="1"/>
  <c r="CR351" i="1"/>
  <c r="CT351" i="1" s="1"/>
  <c r="CQ351" i="1"/>
  <c r="CS351" i="1" s="1"/>
  <c r="CU351" i="1" s="1"/>
  <c r="AX354" i="1"/>
  <c r="AZ354" i="1" s="1"/>
  <c r="BB354" i="1" s="1"/>
  <c r="AY354" i="1"/>
  <c r="BA354" i="1" s="1"/>
  <c r="BR353" i="1" l="1"/>
  <c r="BT353" i="1" s="1"/>
  <c r="BV353" i="1" s="1"/>
  <c r="BS353" i="1"/>
  <c r="BU353" i="1" s="1"/>
  <c r="F357" i="1"/>
  <c r="H357" i="1" s="1"/>
  <c r="E357" i="1"/>
  <c r="P356" i="1"/>
  <c r="R356" i="1" s="1"/>
  <c r="O356" i="1"/>
  <c r="Z356" i="1"/>
  <c r="AB356" i="1" s="1"/>
  <c r="Y356" i="1"/>
  <c r="AA356" i="1" s="1"/>
  <c r="AC356" i="1" s="1"/>
  <c r="CV351" i="1"/>
  <c r="CX351" i="1" s="1"/>
  <c r="CZ351" i="1" s="1"/>
  <c r="CW351" i="1"/>
  <c r="CY351" i="1" s="1"/>
  <c r="AO355" i="1"/>
  <c r="AQ355" i="1" s="1"/>
  <c r="AN355" i="1"/>
  <c r="AP355" i="1" s="1"/>
  <c r="AR355" i="1" s="1"/>
  <c r="BD354" i="1"/>
  <c r="BF354" i="1" s="1"/>
  <c r="BC354" i="1"/>
  <c r="BE354" i="1" s="1"/>
  <c r="BG354" i="1" s="1"/>
  <c r="CG352" i="1"/>
  <c r="CI352" i="1" s="1"/>
  <c r="CK352" i="1" s="1"/>
  <c r="CH352" i="1"/>
  <c r="CJ352" i="1" s="1"/>
  <c r="AE356" i="1" l="1"/>
  <c r="AG356" i="1" s="1"/>
  <c r="AD356" i="1"/>
  <c r="AF356" i="1" s="1"/>
  <c r="AH356" i="1" s="1"/>
  <c r="DA351" i="1"/>
  <c r="DC351" i="1" s="1"/>
  <c r="DB351" i="1"/>
  <c r="DD351" i="1" s="1"/>
  <c r="G357" i="1"/>
  <c r="I357" i="1" s="1"/>
  <c r="Q357" i="1"/>
  <c r="S357" i="1" s="1"/>
  <c r="BI354" i="1"/>
  <c r="BK354" i="1" s="1"/>
  <c r="BH354" i="1"/>
  <c r="BJ354" i="1" s="1"/>
  <c r="BL354" i="1" s="1"/>
  <c r="CM352" i="1"/>
  <c r="CO352" i="1" s="1"/>
  <c r="CL352" i="1"/>
  <c r="CN352" i="1" s="1"/>
  <c r="CP352" i="1" s="1"/>
  <c r="AS355" i="1"/>
  <c r="AU355" i="1" s="1"/>
  <c r="AW355" i="1" s="1"/>
  <c r="AT355" i="1"/>
  <c r="AV355" i="1" s="1"/>
  <c r="BW353" i="1"/>
  <c r="BY353" i="1" s="1"/>
  <c r="CA353" i="1" s="1"/>
  <c r="BX353" i="1"/>
  <c r="BZ353" i="1" s="1"/>
  <c r="AX355" i="1" l="1"/>
  <c r="AZ355" i="1" s="1"/>
  <c r="BB355" i="1" s="1"/>
  <c r="AY355" i="1"/>
  <c r="BA355" i="1" s="1"/>
  <c r="BM354" i="1"/>
  <c r="BO354" i="1" s="1"/>
  <c r="BQ354" i="1" s="1"/>
  <c r="BN354" i="1"/>
  <c r="BP354" i="1" s="1"/>
  <c r="CQ352" i="1"/>
  <c r="CS352" i="1" s="1"/>
  <c r="CU352" i="1" s="1"/>
  <c r="CR352" i="1"/>
  <c r="CT352" i="1" s="1"/>
  <c r="K357" i="1"/>
  <c r="M357" i="1" s="1"/>
  <c r="J357" i="1"/>
  <c r="L357" i="1" s="1"/>
  <c r="N357" i="1" s="1"/>
  <c r="D358" i="1"/>
  <c r="AJ356" i="1"/>
  <c r="AL356" i="1" s="1"/>
  <c r="AI356" i="1"/>
  <c r="AK356" i="1" s="1"/>
  <c r="AM356" i="1" s="1"/>
  <c r="T357" i="1"/>
  <c r="V357" i="1" s="1"/>
  <c r="X357" i="1" s="1"/>
  <c r="U357" i="1"/>
  <c r="W357" i="1" s="1"/>
  <c r="CC353" i="1"/>
  <c r="CE353" i="1" s="1"/>
  <c r="CB353" i="1"/>
  <c r="CD353" i="1" s="1"/>
  <c r="CF353" i="1" s="1"/>
  <c r="AO356" i="1" l="1"/>
  <c r="AQ356" i="1" s="1"/>
  <c r="AN356" i="1"/>
  <c r="AP356" i="1" s="1"/>
  <c r="AR356" i="1" s="1"/>
  <c r="O357" i="1"/>
  <c r="P357" i="1"/>
  <c r="R357" i="1" s="1"/>
  <c r="CG353" i="1"/>
  <c r="CI353" i="1" s="1"/>
  <c r="CK353" i="1" s="1"/>
  <c r="CH353" i="1"/>
  <c r="CJ353" i="1" s="1"/>
  <c r="Y357" i="1"/>
  <c r="AA357" i="1" s="1"/>
  <c r="AC357" i="1" s="1"/>
  <c r="Z357" i="1"/>
  <c r="AB357" i="1" s="1"/>
  <c r="E358" i="1"/>
  <c r="F358" i="1"/>
  <c r="H358" i="1" s="1"/>
  <c r="CW352" i="1"/>
  <c r="CY352" i="1" s="1"/>
  <c r="CV352" i="1"/>
  <c r="CX352" i="1" s="1"/>
  <c r="BS354" i="1"/>
  <c r="BU354" i="1" s="1"/>
  <c r="BR354" i="1"/>
  <c r="BT354" i="1" s="1"/>
  <c r="BV354" i="1" s="1"/>
  <c r="BC355" i="1"/>
  <c r="BE355" i="1" s="1"/>
  <c r="BG355" i="1" s="1"/>
  <c r="BD355" i="1"/>
  <c r="BF355" i="1" s="1"/>
  <c r="Q358" i="1" l="1"/>
  <c r="S358" i="1" s="1"/>
  <c r="G358" i="1"/>
  <c r="I358" i="1" s="1"/>
  <c r="AE357" i="1"/>
  <c r="AG357" i="1" s="1"/>
  <c r="AD357" i="1"/>
  <c r="AF357" i="1" s="1"/>
  <c r="AH357" i="1" s="1"/>
  <c r="BH355" i="1"/>
  <c r="BJ355" i="1" s="1"/>
  <c r="BL355" i="1" s="1"/>
  <c r="BI355" i="1"/>
  <c r="BK355" i="1" s="1"/>
  <c r="BW354" i="1"/>
  <c r="BY354" i="1" s="1"/>
  <c r="CA354" i="1" s="1"/>
  <c r="BX354" i="1"/>
  <c r="BZ354" i="1" s="1"/>
  <c r="AS356" i="1"/>
  <c r="AU356" i="1" s="1"/>
  <c r="AW356" i="1" s="1"/>
  <c r="AT356" i="1"/>
  <c r="AV356" i="1" s="1"/>
  <c r="CM353" i="1"/>
  <c r="CO353" i="1" s="1"/>
  <c r="CL353" i="1"/>
  <c r="CN353" i="1" s="1"/>
  <c r="CP353" i="1" s="1"/>
  <c r="CZ352" i="1"/>
  <c r="BN355" i="1" l="1"/>
  <c r="BP355" i="1" s="1"/>
  <c r="BM355" i="1"/>
  <c r="BO355" i="1" s="1"/>
  <c r="BQ355" i="1" s="1"/>
  <c r="CR353" i="1"/>
  <c r="CT353" i="1" s="1"/>
  <c r="CQ353" i="1"/>
  <c r="CS353" i="1" s="1"/>
  <c r="CU353" i="1" s="1"/>
  <c r="CC354" i="1"/>
  <c r="CE354" i="1" s="1"/>
  <c r="CB354" i="1"/>
  <c r="CD354" i="1" s="1"/>
  <c r="CF354" i="1" s="1"/>
  <c r="AI357" i="1"/>
  <c r="AK357" i="1" s="1"/>
  <c r="AM357" i="1" s="1"/>
  <c r="AJ357" i="1"/>
  <c r="AL357" i="1" s="1"/>
  <c r="K358" i="1"/>
  <c r="M358" i="1" s="1"/>
  <c r="J358" i="1"/>
  <c r="L358" i="1" s="1"/>
  <c r="N358" i="1" s="1"/>
  <c r="D359" i="1"/>
  <c r="AY356" i="1"/>
  <c r="BA356" i="1" s="1"/>
  <c r="AX356" i="1"/>
  <c r="AZ356" i="1" s="1"/>
  <c r="BB356" i="1" s="1"/>
  <c r="DA352" i="1"/>
  <c r="DC352" i="1" s="1"/>
  <c r="DB352" i="1"/>
  <c r="DD352" i="1" s="1"/>
  <c r="T358" i="1"/>
  <c r="V358" i="1" s="1"/>
  <c r="X358" i="1" s="1"/>
  <c r="U358" i="1"/>
  <c r="W358" i="1" s="1"/>
  <c r="O358" i="1" l="1"/>
  <c r="P358" i="1"/>
  <c r="R358" i="1" s="1"/>
  <c r="AN357" i="1"/>
  <c r="AP357" i="1" s="1"/>
  <c r="AR357" i="1" s="1"/>
  <c r="AO357" i="1"/>
  <c r="AQ357" i="1" s="1"/>
  <c r="Z358" i="1"/>
  <c r="AB358" i="1" s="1"/>
  <c r="Y358" i="1"/>
  <c r="AA358" i="1" s="1"/>
  <c r="AC358" i="1" s="1"/>
  <c r="E359" i="1"/>
  <c r="F359" i="1"/>
  <c r="H359" i="1" s="1"/>
  <c r="BR355" i="1"/>
  <c r="BT355" i="1" s="1"/>
  <c r="BV355" i="1" s="1"/>
  <c r="BS355" i="1"/>
  <c r="BU355" i="1" s="1"/>
  <c r="CH354" i="1"/>
  <c r="CJ354" i="1" s="1"/>
  <c r="CG354" i="1"/>
  <c r="CI354" i="1" s="1"/>
  <c r="CK354" i="1" s="1"/>
  <c r="CW353" i="1"/>
  <c r="CY353" i="1" s="1"/>
  <c r="CV353" i="1"/>
  <c r="CX353" i="1" s="1"/>
  <c r="CZ353" i="1" s="1"/>
  <c r="BC356" i="1"/>
  <c r="BE356" i="1" s="1"/>
  <c r="BG356" i="1" s="1"/>
  <c r="BD356" i="1"/>
  <c r="BF356" i="1" s="1"/>
  <c r="Q359" i="1" l="1"/>
  <c r="S359" i="1" s="1"/>
  <c r="G359" i="1"/>
  <c r="I359" i="1" s="1"/>
  <c r="BW355" i="1"/>
  <c r="BY355" i="1" s="1"/>
  <c r="CA355" i="1" s="1"/>
  <c r="BX355" i="1"/>
  <c r="BZ355" i="1" s="1"/>
  <c r="DA353" i="1"/>
  <c r="DC353" i="1" s="1"/>
  <c r="DB353" i="1"/>
  <c r="DD353" i="1" s="1"/>
  <c r="AE358" i="1"/>
  <c r="AG358" i="1" s="1"/>
  <c r="AD358" i="1"/>
  <c r="AF358" i="1" s="1"/>
  <c r="AH358" i="1" s="1"/>
  <c r="BH356" i="1"/>
  <c r="BJ356" i="1" s="1"/>
  <c r="BL356" i="1" s="1"/>
  <c r="BI356" i="1"/>
  <c r="BK356" i="1" s="1"/>
  <c r="AS357" i="1"/>
  <c r="AU357" i="1" s="1"/>
  <c r="AW357" i="1" s="1"/>
  <c r="AT357" i="1"/>
  <c r="AV357" i="1" s="1"/>
  <c r="CM354" i="1"/>
  <c r="CO354" i="1" s="1"/>
  <c r="CL354" i="1"/>
  <c r="CN354" i="1" s="1"/>
  <c r="CP354" i="1" s="1"/>
  <c r="AI358" i="1" l="1"/>
  <c r="AK358" i="1" s="1"/>
  <c r="AM358" i="1" s="1"/>
  <c r="AJ358" i="1"/>
  <c r="AL358" i="1" s="1"/>
  <c r="CQ354" i="1"/>
  <c r="CS354" i="1" s="1"/>
  <c r="CU354" i="1" s="1"/>
  <c r="CR354" i="1"/>
  <c r="CT354" i="1" s="1"/>
  <c r="BM356" i="1"/>
  <c r="BO356" i="1" s="1"/>
  <c r="BQ356" i="1" s="1"/>
  <c r="BN356" i="1"/>
  <c r="BP356" i="1" s="1"/>
  <c r="K359" i="1"/>
  <c r="M359" i="1" s="1"/>
  <c r="J359" i="1"/>
  <c r="L359" i="1" s="1"/>
  <c r="N359" i="1" s="1"/>
  <c r="D360" i="1"/>
  <c r="AY357" i="1"/>
  <c r="BA357" i="1" s="1"/>
  <c r="AX357" i="1"/>
  <c r="AZ357" i="1" s="1"/>
  <c r="BB357" i="1" s="1"/>
  <c r="CC355" i="1"/>
  <c r="CE355" i="1" s="1"/>
  <c r="CB355" i="1"/>
  <c r="CD355" i="1" s="1"/>
  <c r="CF355" i="1" s="1"/>
  <c r="U359" i="1"/>
  <c r="W359" i="1" s="1"/>
  <c r="T359" i="1"/>
  <c r="V359" i="1" s="1"/>
  <c r="X359" i="1" s="1"/>
  <c r="E360" i="1" l="1"/>
  <c r="F360" i="1"/>
  <c r="H360" i="1" s="1"/>
  <c r="CV354" i="1"/>
  <c r="CX354" i="1" s="1"/>
  <c r="CW354" i="1"/>
  <c r="CY354" i="1" s="1"/>
  <c r="P359" i="1"/>
  <c r="R359" i="1" s="1"/>
  <c r="O359" i="1"/>
  <c r="Y359" i="1"/>
  <c r="AA359" i="1" s="1"/>
  <c r="AC359" i="1" s="1"/>
  <c r="Z359" i="1"/>
  <c r="AB359" i="1" s="1"/>
  <c r="BC357" i="1"/>
  <c r="BE357" i="1" s="1"/>
  <c r="BG357" i="1" s="1"/>
  <c r="BD357" i="1"/>
  <c r="BF357" i="1" s="1"/>
  <c r="BS356" i="1"/>
  <c r="BU356" i="1" s="1"/>
  <c r="BR356" i="1"/>
  <c r="BT356" i="1" s="1"/>
  <c r="BV356" i="1" s="1"/>
  <c r="CG355" i="1"/>
  <c r="CI355" i="1" s="1"/>
  <c r="CK355" i="1" s="1"/>
  <c r="CH355" i="1"/>
  <c r="CJ355" i="1" s="1"/>
  <c r="AO358" i="1"/>
  <c r="AQ358" i="1" s="1"/>
  <c r="AN358" i="1"/>
  <c r="AP358" i="1" s="1"/>
  <c r="AR358" i="1" s="1"/>
  <c r="BI357" i="1" l="1"/>
  <c r="BK357" i="1" s="1"/>
  <c r="BH357" i="1"/>
  <c r="BJ357" i="1" s="1"/>
  <c r="BL357" i="1" s="1"/>
  <c r="AS358" i="1"/>
  <c r="AU358" i="1" s="1"/>
  <c r="AW358" i="1" s="1"/>
  <c r="AT358" i="1"/>
  <c r="AV358" i="1" s="1"/>
  <c r="CZ354" i="1"/>
  <c r="AE359" i="1"/>
  <c r="AG359" i="1" s="1"/>
  <c r="AD359" i="1"/>
  <c r="AF359" i="1" s="1"/>
  <c r="AH359" i="1" s="1"/>
  <c r="CM355" i="1"/>
  <c r="CO355" i="1" s="1"/>
  <c r="CL355" i="1"/>
  <c r="CN355" i="1" s="1"/>
  <c r="CP355" i="1" s="1"/>
  <c r="BW356" i="1"/>
  <c r="BY356" i="1" s="1"/>
  <c r="CA356" i="1" s="1"/>
  <c r="BX356" i="1"/>
  <c r="BZ356" i="1" s="1"/>
  <c r="G360" i="1"/>
  <c r="I360" i="1" s="1"/>
  <c r="Q360" i="1"/>
  <c r="S360" i="1" s="1"/>
  <c r="CQ355" i="1" l="1"/>
  <c r="CS355" i="1" s="1"/>
  <c r="CU355" i="1" s="1"/>
  <c r="CR355" i="1"/>
  <c r="CT355" i="1" s="1"/>
  <c r="K360" i="1"/>
  <c r="M360" i="1" s="1"/>
  <c r="J360" i="1"/>
  <c r="L360" i="1" s="1"/>
  <c r="N360" i="1" s="1"/>
  <c r="D361" i="1"/>
  <c r="CB356" i="1"/>
  <c r="CD356" i="1" s="1"/>
  <c r="CF356" i="1" s="1"/>
  <c r="CC356" i="1"/>
  <c r="CE356" i="1" s="1"/>
  <c r="AJ359" i="1"/>
  <c r="AL359" i="1" s="1"/>
  <c r="AI359" i="1"/>
  <c r="AK359" i="1" s="1"/>
  <c r="AM359" i="1" s="1"/>
  <c r="BN357" i="1"/>
  <c r="BP357" i="1" s="1"/>
  <c r="BM357" i="1"/>
  <c r="BO357" i="1" s="1"/>
  <c r="BQ357" i="1" s="1"/>
  <c r="DA354" i="1"/>
  <c r="DC354" i="1" s="1"/>
  <c r="DB354" i="1"/>
  <c r="DD354" i="1" s="1"/>
  <c r="AY358" i="1"/>
  <c r="BA358" i="1" s="1"/>
  <c r="AX358" i="1"/>
  <c r="AZ358" i="1" s="1"/>
  <c r="BB358" i="1" s="1"/>
  <c r="U360" i="1"/>
  <c r="W360" i="1" s="1"/>
  <c r="T360" i="1"/>
  <c r="V360" i="1" s="1"/>
  <c r="X360" i="1" s="1"/>
  <c r="BR357" i="1" l="1"/>
  <c r="BT357" i="1" s="1"/>
  <c r="BV357" i="1" s="1"/>
  <c r="BS357" i="1"/>
  <c r="BU357" i="1" s="1"/>
  <c r="CG356" i="1"/>
  <c r="CI356" i="1" s="1"/>
  <c r="CK356" i="1" s="1"/>
  <c r="CH356" i="1"/>
  <c r="CJ356" i="1" s="1"/>
  <c r="AN359" i="1"/>
  <c r="AP359" i="1" s="1"/>
  <c r="AR359" i="1" s="1"/>
  <c r="AO359" i="1"/>
  <c r="AQ359" i="1" s="1"/>
  <c r="Z360" i="1"/>
  <c r="AB360" i="1" s="1"/>
  <c r="Y360" i="1"/>
  <c r="AA360" i="1" s="1"/>
  <c r="AC360" i="1" s="1"/>
  <c r="O360" i="1"/>
  <c r="P360" i="1"/>
  <c r="R360" i="1" s="1"/>
  <c r="F361" i="1"/>
  <c r="H361" i="1" s="1"/>
  <c r="E361" i="1"/>
  <c r="BD358" i="1"/>
  <c r="BF358" i="1" s="1"/>
  <c r="BC358" i="1"/>
  <c r="BE358" i="1" s="1"/>
  <c r="BG358" i="1" s="1"/>
  <c r="CV355" i="1"/>
  <c r="CX355" i="1" s="1"/>
  <c r="CW355" i="1"/>
  <c r="CY355" i="1" s="1"/>
  <c r="Q361" i="1" l="1"/>
  <c r="S361" i="1" s="1"/>
  <c r="G361" i="1"/>
  <c r="I361" i="1" s="1"/>
  <c r="CZ355" i="1"/>
  <c r="BI358" i="1"/>
  <c r="BK358" i="1" s="1"/>
  <c r="BH358" i="1"/>
  <c r="BJ358" i="1" s="1"/>
  <c r="BL358" i="1" s="1"/>
  <c r="AE360" i="1"/>
  <c r="AG360" i="1" s="1"/>
  <c r="AD360" i="1"/>
  <c r="AF360" i="1" s="1"/>
  <c r="AH360" i="1" s="1"/>
  <c r="AS359" i="1"/>
  <c r="AU359" i="1" s="1"/>
  <c r="AW359" i="1" s="1"/>
  <c r="AT359" i="1"/>
  <c r="AV359" i="1" s="1"/>
  <c r="CM356" i="1"/>
  <c r="CO356" i="1" s="1"/>
  <c r="CL356" i="1"/>
  <c r="CN356" i="1" s="1"/>
  <c r="CP356" i="1" s="1"/>
  <c r="BX357" i="1"/>
  <c r="BZ357" i="1" s="1"/>
  <c r="BW357" i="1"/>
  <c r="BY357" i="1" s="1"/>
  <c r="CA357" i="1" s="1"/>
  <c r="BN358" i="1" l="1"/>
  <c r="BP358" i="1" s="1"/>
  <c r="BM358" i="1"/>
  <c r="BO358" i="1" s="1"/>
  <c r="BQ358" i="1" s="1"/>
  <c r="AX359" i="1"/>
  <c r="AZ359" i="1" s="1"/>
  <c r="BB359" i="1" s="1"/>
  <c r="AY359" i="1"/>
  <c r="BA359" i="1" s="1"/>
  <c r="DA355" i="1"/>
  <c r="DC355" i="1" s="1"/>
  <c r="DB355" i="1"/>
  <c r="DD355" i="1" s="1"/>
  <c r="J361" i="1"/>
  <c r="L361" i="1" s="1"/>
  <c r="N361" i="1" s="1"/>
  <c r="K361" i="1"/>
  <c r="M361" i="1" s="1"/>
  <c r="D362" i="1"/>
  <c r="CQ356" i="1"/>
  <c r="CS356" i="1" s="1"/>
  <c r="CU356" i="1" s="1"/>
  <c r="CR356" i="1"/>
  <c r="CT356" i="1" s="1"/>
  <c r="AJ360" i="1"/>
  <c r="AL360" i="1" s="1"/>
  <c r="AI360" i="1"/>
  <c r="AK360" i="1" s="1"/>
  <c r="AM360" i="1" s="1"/>
  <c r="CB357" i="1"/>
  <c r="CD357" i="1" s="1"/>
  <c r="CF357" i="1" s="1"/>
  <c r="CC357" i="1"/>
  <c r="CE357" i="1" s="1"/>
  <c r="T361" i="1"/>
  <c r="V361" i="1" s="1"/>
  <c r="X361" i="1" s="1"/>
  <c r="U361" i="1"/>
  <c r="W361" i="1" s="1"/>
  <c r="F362" i="1" l="1"/>
  <c r="H362" i="1" s="1"/>
  <c r="E362" i="1"/>
  <c r="CV356" i="1"/>
  <c r="CX356" i="1" s="1"/>
  <c r="CW356" i="1"/>
  <c r="CY356" i="1" s="1"/>
  <c r="Y361" i="1"/>
  <c r="AA361" i="1" s="1"/>
  <c r="AC361" i="1" s="1"/>
  <c r="Z361" i="1"/>
  <c r="AB361" i="1" s="1"/>
  <c r="BD359" i="1"/>
  <c r="BF359" i="1" s="1"/>
  <c r="BC359" i="1"/>
  <c r="BE359" i="1" s="1"/>
  <c r="BG359" i="1" s="1"/>
  <c r="BR358" i="1"/>
  <c r="BT358" i="1" s="1"/>
  <c r="BV358" i="1" s="1"/>
  <c r="BS358" i="1"/>
  <c r="BU358" i="1" s="1"/>
  <c r="P361" i="1"/>
  <c r="R361" i="1" s="1"/>
  <c r="O361" i="1"/>
  <c r="CG357" i="1"/>
  <c r="CI357" i="1" s="1"/>
  <c r="CK357" i="1" s="1"/>
  <c r="CH357" i="1"/>
  <c r="CJ357" i="1" s="1"/>
  <c r="AN360" i="1"/>
  <c r="AP360" i="1" s="1"/>
  <c r="AR360" i="1" s="1"/>
  <c r="AO360" i="1"/>
  <c r="AQ360" i="1" s="1"/>
  <c r="BI359" i="1" l="1"/>
  <c r="BK359" i="1" s="1"/>
  <c r="BH359" i="1"/>
  <c r="BJ359" i="1" s="1"/>
  <c r="BL359" i="1" s="1"/>
  <c r="AS360" i="1"/>
  <c r="AU360" i="1" s="1"/>
  <c r="AW360" i="1" s="1"/>
  <c r="AT360" i="1"/>
  <c r="AV360" i="1" s="1"/>
  <c r="AE361" i="1"/>
  <c r="AG361" i="1" s="1"/>
  <c r="AD361" i="1"/>
  <c r="AF361" i="1" s="1"/>
  <c r="AH361" i="1" s="1"/>
  <c r="CM357" i="1"/>
  <c r="CO357" i="1" s="1"/>
  <c r="CL357" i="1"/>
  <c r="CN357" i="1" s="1"/>
  <c r="CP357" i="1" s="1"/>
  <c r="Q362" i="1"/>
  <c r="S362" i="1" s="1"/>
  <c r="G362" i="1"/>
  <c r="I362" i="1" s="1"/>
  <c r="BW358" i="1"/>
  <c r="BY358" i="1" s="1"/>
  <c r="CA358" i="1" s="1"/>
  <c r="BX358" i="1"/>
  <c r="BZ358" i="1" s="1"/>
  <c r="CZ356" i="1"/>
  <c r="T362" i="1" l="1"/>
  <c r="V362" i="1" s="1"/>
  <c r="X362" i="1" s="1"/>
  <c r="U362" i="1"/>
  <c r="W362" i="1" s="1"/>
  <c r="J362" i="1"/>
  <c r="L362" i="1" s="1"/>
  <c r="N362" i="1" s="1"/>
  <c r="K362" i="1"/>
  <c r="M362" i="1" s="1"/>
  <c r="D363" i="1"/>
  <c r="CQ357" i="1"/>
  <c r="CS357" i="1" s="1"/>
  <c r="CU357" i="1" s="1"/>
  <c r="CR357" i="1"/>
  <c r="CT357" i="1" s="1"/>
  <c r="BM359" i="1"/>
  <c r="BO359" i="1" s="1"/>
  <c r="BQ359" i="1" s="1"/>
  <c r="BN359" i="1"/>
  <c r="BP359" i="1" s="1"/>
  <c r="CB358" i="1"/>
  <c r="CD358" i="1" s="1"/>
  <c r="CF358" i="1" s="1"/>
  <c r="CC358" i="1"/>
  <c r="CE358" i="1" s="1"/>
  <c r="AI361" i="1"/>
  <c r="AK361" i="1" s="1"/>
  <c r="AM361" i="1" s="1"/>
  <c r="AJ361" i="1"/>
  <c r="AL361" i="1" s="1"/>
  <c r="AX360" i="1"/>
  <c r="AZ360" i="1" s="1"/>
  <c r="BB360" i="1" s="1"/>
  <c r="AY360" i="1"/>
  <c r="BA360" i="1" s="1"/>
  <c r="DA356" i="1"/>
  <c r="DC356" i="1" s="1"/>
  <c r="DB356" i="1"/>
  <c r="DD356" i="1" s="1"/>
  <c r="AO361" i="1" l="1"/>
  <c r="AQ361" i="1" s="1"/>
  <c r="AN361" i="1"/>
  <c r="AP361" i="1" s="1"/>
  <c r="AR361" i="1" s="1"/>
  <c r="BS359" i="1"/>
  <c r="BU359" i="1" s="1"/>
  <c r="BR359" i="1"/>
  <c r="BT359" i="1" s="1"/>
  <c r="BV359" i="1" s="1"/>
  <c r="O362" i="1"/>
  <c r="P362" i="1"/>
  <c r="R362" i="1" s="1"/>
  <c r="CG358" i="1"/>
  <c r="CI358" i="1" s="1"/>
  <c r="CK358" i="1" s="1"/>
  <c r="CH358" i="1"/>
  <c r="CJ358" i="1" s="1"/>
  <c r="CV357" i="1"/>
  <c r="CX357" i="1" s="1"/>
  <c r="CW357" i="1"/>
  <c r="CY357" i="1" s="1"/>
  <c r="F363" i="1"/>
  <c r="H363" i="1" s="1"/>
  <c r="E363" i="1"/>
  <c r="BC360" i="1"/>
  <c r="BE360" i="1" s="1"/>
  <c r="BG360" i="1" s="1"/>
  <c r="BD360" i="1"/>
  <c r="BF360" i="1" s="1"/>
  <c r="Z362" i="1"/>
  <c r="AB362" i="1" s="1"/>
  <c r="Y362" i="1"/>
  <c r="AA362" i="1" s="1"/>
  <c r="AC362" i="1" s="1"/>
  <c r="Q363" i="1" l="1"/>
  <c r="S363" i="1" s="1"/>
  <c r="G363" i="1"/>
  <c r="I363" i="1" s="1"/>
  <c r="CZ357" i="1"/>
  <c r="AD362" i="1"/>
  <c r="AF362" i="1" s="1"/>
  <c r="AH362" i="1" s="1"/>
  <c r="AE362" i="1"/>
  <c r="AG362" i="1" s="1"/>
  <c r="AT361" i="1"/>
  <c r="AV361" i="1" s="1"/>
  <c r="AS361" i="1"/>
  <c r="AU361" i="1" s="1"/>
  <c r="AW361" i="1" s="1"/>
  <c r="CL358" i="1"/>
  <c r="CN358" i="1" s="1"/>
  <c r="CP358" i="1" s="1"/>
  <c r="CM358" i="1"/>
  <c r="CO358" i="1" s="1"/>
  <c r="BW359" i="1"/>
  <c r="BY359" i="1" s="1"/>
  <c r="CA359" i="1" s="1"/>
  <c r="BX359" i="1"/>
  <c r="BZ359" i="1" s="1"/>
  <c r="BI360" i="1"/>
  <c r="BK360" i="1" s="1"/>
  <c r="BH360" i="1"/>
  <c r="BJ360" i="1" s="1"/>
  <c r="BL360" i="1" s="1"/>
  <c r="CR358" i="1" l="1"/>
  <c r="CT358" i="1" s="1"/>
  <c r="CQ358" i="1"/>
  <c r="CS358" i="1" s="1"/>
  <c r="CU358" i="1" s="1"/>
  <c r="AJ362" i="1"/>
  <c r="AL362" i="1" s="1"/>
  <c r="AI362" i="1"/>
  <c r="AK362" i="1" s="1"/>
  <c r="AM362" i="1" s="1"/>
  <c r="CB359" i="1"/>
  <c r="CD359" i="1" s="1"/>
  <c r="CF359" i="1" s="1"/>
  <c r="CC359" i="1"/>
  <c r="CE359" i="1" s="1"/>
  <c r="DA357" i="1"/>
  <c r="DC357" i="1" s="1"/>
  <c r="DB357" i="1"/>
  <c r="DD357" i="1" s="1"/>
  <c r="K363" i="1"/>
  <c r="M363" i="1" s="1"/>
  <c r="J363" i="1"/>
  <c r="L363" i="1" s="1"/>
  <c r="N363" i="1" s="1"/>
  <c r="D364" i="1"/>
  <c r="AY361" i="1"/>
  <c r="BA361" i="1" s="1"/>
  <c r="AX361" i="1"/>
  <c r="AZ361" i="1" s="1"/>
  <c r="BB361" i="1" s="1"/>
  <c r="BN360" i="1"/>
  <c r="BP360" i="1" s="1"/>
  <c r="BM360" i="1"/>
  <c r="BO360" i="1" s="1"/>
  <c r="BQ360" i="1" s="1"/>
  <c r="U363" i="1"/>
  <c r="W363" i="1" s="1"/>
  <c r="T363" i="1"/>
  <c r="V363" i="1" s="1"/>
  <c r="X363" i="1" s="1"/>
  <c r="Z363" i="1" l="1"/>
  <c r="AB363" i="1" s="1"/>
  <c r="Y363" i="1"/>
  <c r="AA363" i="1" s="1"/>
  <c r="AC363" i="1" s="1"/>
  <c r="E364" i="1"/>
  <c r="F364" i="1"/>
  <c r="H364" i="1" s="1"/>
  <c r="CG359" i="1"/>
  <c r="CI359" i="1" s="1"/>
  <c r="CK359" i="1" s="1"/>
  <c r="CH359" i="1"/>
  <c r="CJ359" i="1" s="1"/>
  <c r="O363" i="1"/>
  <c r="P363" i="1"/>
  <c r="R363" i="1" s="1"/>
  <c r="BS360" i="1"/>
  <c r="BU360" i="1" s="1"/>
  <c r="BR360" i="1"/>
  <c r="BT360" i="1" s="1"/>
  <c r="BV360" i="1" s="1"/>
  <c r="BC361" i="1"/>
  <c r="BE361" i="1" s="1"/>
  <c r="BG361" i="1" s="1"/>
  <c r="BD361" i="1"/>
  <c r="BF361" i="1" s="1"/>
  <c r="CW358" i="1"/>
  <c r="CY358" i="1" s="1"/>
  <c r="CV358" i="1"/>
  <c r="CX358" i="1" s="1"/>
  <c r="CZ358" i="1" s="1"/>
  <c r="AO362" i="1"/>
  <c r="AQ362" i="1" s="1"/>
  <c r="AN362" i="1"/>
  <c r="AP362" i="1" s="1"/>
  <c r="AR362" i="1" s="1"/>
  <c r="CM359" i="1" l="1"/>
  <c r="CO359" i="1" s="1"/>
  <c r="CL359" i="1"/>
  <c r="CN359" i="1" s="1"/>
  <c r="CP359" i="1" s="1"/>
  <c r="Q364" i="1"/>
  <c r="S364" i="1" s="1"/>
  <c r="G364" i="1"/>
  <c r="I364" i="1" s="1"/>
  <c r="BX360" i="1"/>
  <c r="BZ360" i="1" s="1"/>
  <c r="BW360" i="1"/>
  <c r="BY360" i="1" s="1"/>
  <c r="CA360" i="1" s="1"/>
  <c r="AS362" i="1"/>
  <c r="AU362" i="1" s="1"/>
  <c r="AW362" i="1" s="1"/>
  <c r="AT362" i="1"/>
  <c r="AV362" i="1" s="1"/>
  <c r="AD363" i="1"/>
  <c r="AF363" i="1" s="1"/>
  <c r="AH363" i="1" s="1"/>
  <c r="AE363" i="1"/>
  <c r="AG363" i="1" s="1"/>
  <c r="BI361" i="1"/>
  <c r="BK361" i="1" s="1"/>
  <c r="BH361" i="1"/>
  <c r="BJ361" i="1" s="1"/>
  <c r="BL361" i="1" s="1"/>
  <c r="DA358" i="1"/>
  <c r="DC358" i="1" s="1"/>
  <c r="DB358" i="1"/>
  <c r="DD358" i="1" s="1"/>
  <c r="CB360" i="1" l="1"/>
  <c r="CD360" i="1" s="1"/>
  <c r="CF360" i="1" s="1"/>
  <c r="CC360" i="1"/>
  <c r="CE360" i="1" s="1"/>
  <c r="AX362" i="1"/>
  <c r="AZ362" i="1" s="1"/>
  <c r="BB362" i="1" s="1"/>
  <c r="AY362" i="1"/>
  <c r="BA362" i="1" s="1"/>
  <c r="J364" i="1"/>
  <c r="L364" i="1" s="1"/>
  <c r="N364" i="1" s="1"/>
  <c r="K364" i="1"/>
  <c r="M364" i="1" s="1"/>
  <c r="D365" i="1"/>
  <c r="CQ359" i="1"/>
  <c r="CS359" i="1" s="1"/>
  <c r="CU359" i="1" s="1"/>
  <c r="CR359" i="1"/>
  <c r="CT359" i="1" s="1"/>
  <c r="BM361" i="1"/>
  <c r="BO361" i="1" s="1"/>
  <c r="BQ361" i="1" s="1"/>
  <c r="BN361" i="1"/>
  <c r="BP361" i="1" s="1"/>
  <c r="AI363" i="1"/>
  <c r="AK363" i="1" s="1"/>
  <c r="AM363" i="1" s="1"/>
  <c r="AJ363" i="1"/>
  <c r="AL363" i="1" s="1"/>
  <c r="U364" i="1"/>
  <c r="W364" i="1" s="1"/>
  <c r="T364" i="1"/>
  <c r="V364" i="1" s="1"/>
  <c r="X364" i="1" s="1"/>
  <c r="AN363" i="1" l="1"/>
  <c r="AP363" i="1" s="1"/>
  <c r="AR363" i="1" s="1"/>
  <c r="AO363" i="1"/>
  <c r="AQ363" i="1" s="1"/>
  <c r="E365" i="1"/>
  <c r="F365" i="1"/>
  <c r="H365" i="1" s="1"/>
  <c r="BR361" i="1"/>
  <c r="BT361" i="1" s="1"/>
  <c r="BV361" i="1" s="1"/>
  <c r="BS361" i="1"/>
  <c r="BU361" i="1" s="1"/>
  <c r="Y364" i="1"/>
  <c r="AA364" i="1" s="1"/>
  <c r="AC364" i="1" s="1"/>
  <c r="Z364" i="1"/>
  <c r="AB364" i="1" s="1"/>
  <c r="CW359" i="1"/>
  <c r="CY359" i="1" s="1"/>
  <c r="CV359" i="1"/>
  <c r="CX359" i="1" s="1"/>
  <c r="CZ359" i="1" s="1"/>
  <c r="O364" i="1"/>
  <c r="P364" i="1"/>
  <c r="R364" i="1" s="1"/>
  <c r="BC362" i="1"/>
  <c r="BE362" i="1" s="1"/>
  <c r="BG362" i="1" s="1"/>
  <c r="BD362" i="1"/>
  <c r="BF362" i="1" s="1"/>
  <c r="CG360" i="1"/>
  <c r="CI360" i="1" s="1"/>
  <c r="CK360" i="1" s="1"/>
  <c r="CH360" i="1"/>
  <c r="CJ360" i="1" s="1"/>
  <c r="AD364" i="1" l="1"/>
  <c r="AF364" i="1" s="1"/>
  <c r="AH364" i="1" s="1"/>
  <c r="AE364" i="1"/>
  <c r="AG364" i="1" s="1"/>
  <c r="BX361" i="1"/>
  <c r="BZ361" i="1" s="1"/>
  <c r="BW361" i="1"/>
  <c r="BY361" i="1" s="1"/>
  <c r="CA361" i="1" s="1"/>
  <c r="G365" i="1"/>
  <c r="I365" i="1" s="1"/>
  <c r="Q365" i="1"/>
  <c r="S365" i="1" s="1"/>
  <c r="DA359" i="1"/>
  <c r="DC359" i="1" s="1"/>
  <c r="DB359" i="1"/>
  <c r="DD359" i="1" s="1"/>
  <c r="CM360" i="1"/>
  <c r="CO360" i="1" s="1"/>
  <c r="CL360" i="1"/>
  <c r="CN360" i="1" s="1"/>
  <c r="CP360" i="1" s="1"/>
  <c r="BI362" i="1"/>
  <c r="BK362" i="1" s="1"/>
  <c r="BH362" i="1"/>
  <c r="BJ362" i="1" s="1"/>
  <c r="BL362" i="1" s="1"/>
  <c r="AS363" i="1"/>
  <c r="AU363" i="1" s="1"/>
  <c r="AW363" i="1" s="1"/>
  <c r="AT363" i="1"/>
  <c r="AV363" i="1" s="1"/>
  <c r="U365" i="1" l="1"/>
  <c r="W365" i="1" s="1"/>
  <c r="T365" i="1"/>
  <c r="V365" i="1" s="1"/>
  <c r="X365" i="1" s="1"/>
  <c r="CQ360" i="1"/>
  <c r="CS360" i="1" s="1"/>
  <c r="CU360" i="1" s="1"/>
  <c r="CR360" i="1"/>
  <c r="CT360" i="1" s="1"/>
  <c r="CB361" i="1"/>
  <c r="CD361" i="1" s="1"/>
  <c r="CF361" i="1" s="1"/>
  <c r="CC361" i="1"/>
  <c r="CE361" i="1" s="1"/>
  <c r="AX363" i="1"/>
  <c r="AZ363" i="1" s="1"/>
  <c r="BB363" i="1" s="1"/>
  <c r="AY363" i="1"/>
  <c r="BA363" i="1" s="1"/>
  <c r="K365" i="1"/>
  <c r="M365" i="1" s="1"/>
  <c r="J365" i="1"/>
  <c r="L365" i="1" s="1"/>
  <c r="N365" i="1" s="1"/>
  <c r="D366" i="1"/>
  <c r="BN362" i="1"/>
  <c r="BP362" i="1" s="1"/>
  <c r="BM362" i="1"/>
  <c r="BO362" i="1" s="1"/>
  <c r="BQ362" i="1" s="1"/>
  <c r="AJ364" i="1"/>
  <c r="AL364" i="1" s="1"/>
  <c r="AI364" i="1"/>
  <c r="AK364" i="1" s="1"/>
  <c r="AM364" i="1" s="1"/>
  <c r="E366" i="1" l="1"/>
  <c r="F366" i="1"/>
  <c r="H366" i="1" s="1"/>
  <c r="CW360" i="1"/>
  <c r="CY360" i="1" s="1"/>
  <c r="CV360" i="1"/>
  <c r="CX360" i="1" s="1"/>
  <c r="CZ360" i="1" s="1"/>
  <c r="BC363" i="1"/>
  <c r="BE363" i="1" s="1"/>
  <c r="BG363" i="1" s="1"/>
  <c r="BD363" i="1"/>
  <c r="BF363" i="1" s="1"/>
  <c r="Y365" i="1"/>
  <c r="AA365" i="1" s="1"/>
  <c r="AC365" i="1" s="1"/>
  <c r="Z365" i="1"/>
  <c r="AB365" i="1" s="1"/>
  <c r="P365" i="1"/>
  <c r="R365" i="1" s="1"/>
  <c r="O365" i="1"/>
  <c r="CG361" i="1"/>
  <c r="CI361" i="1" s="1"/>
  <c r="CK361" i="1" s="1"/>
  <c r="CH361" i="1"/>
  <c r="CJ361" i="1" s="1"/>
  <c r="AO364" i="1"/>
  <c r="AQ364" i="1" s="1"/>
  <c r="AN364" i="1"/>
  <c r="AP364" i="1" s="1"/>
  <c r="AR364" i="1" s="1"/>
  <c r="BS362" i="1"/>
  <c r="BU362" i="1" s="1"/>
  <c r="BR362" i="1"/>
  <c r="BT362" i="1" s="1"/>
  <c r="BV362" i="1" s="1"/>
  <c r="AE365" i="1" l="1"/>
  <c r="AG365" i="1" s="1"/>
  <c r="AD365" i="1"/>
  <c r="AF365" i="1" s="1"/>
  <c r="AH365" i="1" s="1"/>
  <c r="CM361" i="1"/>
  <c r="CO361" i="1" s="1"/>
  <c r="CL361" i="1"/>
  <c r="CN361" i="1" s="1"/>
  <c r="CP361" i="1" s="1"/>
  <c r="DA360" i="1"/>
  <c r="DC360" i="1" s="1"/>
  <c r="DB360" i="1"/>
  <c r="DD360" i="1" s="1"/>
  <c r="BI363" i="1"/>
  <c r="BK363" i="1" s="1"/>
  <c r="BH363" i="1"/>
  <c r="BJ363" i="1" s="1"/>
  <c r="BL363" i="1" s="1"/>
  <c r="BW362" i="1"/>
  <c r="BY362" i="1" s="1"/>
  <c r="CA362" i="1" s="1"/>
  <c r="BX362" i="1"/>
  <c r="BZ362" i="1" s="1"/>
  <c r="AT364" i="1"/>
  <c r="AV364" i="1" s="1"/>
  <c r="AS364" i="1"/>
  <c r="AU364" i="1" s="1"/>
  <c r="AW364" i="1" s="1"/>
  <c r="Q366" i="1"/>
  <c r="S366" i="1" s="1"/>
  <c r="G366" i="1"/>
  <c r="I366" i="1" s="1"/>
  <c r="BM363" i="1" l="1"/>
  <c r="BO363" i="1" s="1"/>
  <c r="BQ363" i="1" s="1"/>
  <c r="BN363" i="1"/>
  <c r="BP363" i="1" s="1"/>
  <c r="J366" i="1"/>
  <c r="L366" i="1" s="1"/>
  <c r="N366" i="1" s="1"/>
  <c r="K366" i="1"/>
  <c r="M366" i="1" s="1"/>
  <c r="D367" i="1"/>
  <c r="CB362" i="1"/>
  <c r="CD362" i="1" s="1"/>
  <c r="CF362" i="1" s="1"/>
  <c r="CC362" i="1"/>
  <c r="CE362" i="1" s="1"/>
  <c r="CQ361" i="1"/>
  <c r="CS361" i="1" s="1"/>
  <c r="CU361" i="1" s="1"/>
  <c r="CR361" i="1"/>
  <c r="CT361" i="1" s="1"/>
  <c r="AJ365" i="1"/>
  <c r="AL365" i="1" s="1"/>
  <c r="AI365" i="1"/>
  <c r="AK365" i="1" s="1"/>
  <c r="AM365" i="1" s="1"/>
  <c r="U366" i="1"/>
  <c r="W366" i="1" s="1"/>
  <c r="T366" i="1"/>
  <c r="V366" i="1" s="1"/>
  <c r="X366" i="1" s="1"/>
  <c r="AX364" i="1"/>
  <c r="AZ364" i="1" s="1"/>
  <c r="BB364" i="1" s="1"/>
  <c r="AY364" i="1"/>
  <c r="BA364" i="1" s="1"/>
  <c r="AN365" i="1" l="1"/>
  <c r="AP365" i="1" s="1"/>
  <c r="AR365" i="1" s="1"/>
  <c r="AO365" i="1"/>
  <c r="AQ365" i="1" s="1"/>
  <c r="E367" i="1"/>
  <c r="F367" i="1"/>
  <c r="H367" i="1" s="1"/>
  <c r="CH362" i="1"/>
  <c r="CJ362" i="1" s="1"/>
  <c r="CG362" i="1"/>
  <c r="CI362" i="1" s="1"/>
  <c r="CK362" i="1" s="1"/>
  <c r="BD364" i="1"/>
  <c r="BF364" i="1" s="1"/>
  <c r="BC364" i="1"/>
  <c r="BE364" i="1" s="1"/>
  <c r="BG364" i="1" s="1"/>
  <c r="CW361" i="1"/>
  <c r="CY361" i="1" s="1"/>
  <c r="CV361" i="1"/>
  <c r="CX361" i="1" s="1"/>
  <c r="CZ361" i="1" s="1"/>
  <c r="O366" i="1"/>
  <c r="P366" i="1"/>
  <c r="R366" i="1" s="1"/>
  <c r="Y366" i="1"/>
  <c r="AA366" i="1" s="1"/>
  <c r="AC366" i="1" s="1"/>
  <c r="Z366" i="1"/>
  <c r="AB366" i="1" s="1"/>
  <c r="BR363" i="1"/>
  <c r="BT363" i="1" s="1"/>
  <c r="BV363" i="1" s="1"/>
  <c r="BS363" i="1"/>
  <c r="BU363" i="1" s="1"/>
  <c r="DA361" i="1" l="1"/>
  <c r="DC361" i="1" s="1"/>
  <c r="DB361" i="1"/>
  <c r="DD361" i="1" s="1"/>
  <c r="BX363" i="1"/>
  <c r="BZ363" i="1" s="1"/>
  <c r="BW363" i="1"/>
  <c r="BY363" i="1" s="1"/>
  <c r="CA363" i="1" s="1"/>
  <c r="BI364" i="1"/>
  <c r="BK364" i="1" s="1"/>
  <c r="BH364" i="1"/>
  <c r="BJ364" i="1" s="1"/>
  <c r="BL364" i="1" s="1"/>
  <c r="CM362" i="1"/>
  <c r="CO362" i="1" s="1"/>
  <c r="CL362" i="1"/>
  <c r="CN362" i="1" s="1"/>
  <c r="CP362" i="1" s="1"/>
  <c r="G367" i="1"/>
  <c r="I367" i="1" s="1"/>
  <c r="Q367" i="1"/>
  <c r="S367" i="1" s="1"/>
  <c r="AD366" i="1"/>
  <c r="AF366" i="1" s="1"/>
  <c r="AH366" i="1" s="1"/>
  <c r="AE366" i="1"/>
  <c r="AG366" i="1" s="1"/>
  <c r="AS365" i="1"/>
  <c r="AU365" i="1" s="1"/>
  <c r="AW365" i="1" s="1"/>
  <c r="AT365" i="1"/>
  <c r="AV365" i="1" s="1"/>
  <c r="AJ366" i="1" l="1"/>
  <c r="AL366" i="1" s="1"/>
  <c r="AI366" i="1"/>
  <c r="AK366" i="1" s="1"/>
  <c r="AM366" i="1" s="1"/>
  <c r="CQ362" i="1"/>
  <c r="CS362" i="1" s="1"/>
  <c r="CU362" i="1" s="1"/>
  <c r="CR362" i="1"/>
  <c r="CT362" i="1" s="1"/>
  <c r="T367" i="1"/>
  <c r="V367" i="1" s="1"/>
  <c r="X367" i="1" s="1"/>
  <c r="U367" i="1"/>
  <c r="W367" i="1" s="1"/>
  <c r="BM364" i="1"/>
  <c r="BO364" i="1" s="1"/>
  <c r="BQ364" i="1" s="1"/>
  <c r="BN364" i="1"/>
  <c r="BP364" i="1" s="1"/>
  <c r="AX365" i="1"/>
  <c r="AZ365" i="1" s="1"/>
  <c r="BB365" i="1" s="1"/>
  <c r="AY365" i="1"/>
  <c r="BA365" i="1" s="1"/>
  <c r="J367" i="1"/>
  <c r="L367" i="1" s="1"/>
  <c r="N367" i="1" s="1"/>
  <c r="K367" i="1"/>
  <c r="M367" i="1" s="1"/>
  <c r="D368" i="1"/>
  <c r="CC363" i="1"/>
  <c r="CE363" i="1" s="1"/>
  <c r="CB363" i="1"/>
  <c r="CD363" i="1" s="1"/>
  <c r="CF363" i="1" s="1"/>
  <c r="O367" i="1" l="1"/>
  <c r="P367" i="1"/>
  <c r="R367" i="1" s="1"/>
  <c r="BC365" i="1"/>
  <c r="BE365" i="1" s="1"/>
  <c r="BG365" i="1" s="1"/>
  <c r="BD365" i="1"/>
  <c r="BF365" i="1" s="1"/>
  <c r="CG363" i="1"/>
  <c r="CI363" i="1" s="1"/>
  <c r="CK363" i="1" s="1"/>
  <c r="CH363" i="1"/>
  <c r="CJ363" i="1" s="1"/>
  <c r="AN366" i="1"/>
  <c r="AP366" i="1" s="1"/>
  <c r="AR366" i="1" s="1"/>
  <c r="AO366" i="1"/>
  <c r="AQ366" i="1" s="1"/>
  <c r="BS364" i="1"/>
  <c r="BU364" i="1" s="1"/>
  <c r="BR364" i="1"/>
  <c r="BT364" i="1" s="1"/>
  <c r="BV364" i="1" s="1"/>
  <c r="Z367" i="1"/>
  <c r="AB367" i="1" s="1"/>
  <c r="Y367" i="1"/>
  <c r="AA367" i="1" s="1"/>
  <c r="AC367" i="1" s="1"/>
  <c r="CW362" i="1"/>
  <c r="CY362" i="1" s="1"/>
  <c r="CV362" i="1"/>
  <c r="CX362" i="1" s="1"/>
  <c r="CZ362" i="1" s="1"/>
  <c r="F368" i="1"/>
  <c r="H368" i="1" s="1"/>
  <c r="E368" i="1"/>
  <c r="AT366" i="1" l="1"/>
  <c r="AV366" i="1" s="1"/>
  <c r="AS366" i="1"/>
  <c r="AU366" i="1" s="1"/>
  <c r="AW366" i="1" s="1"/>
  <c r="BX364" i="1"/>
  <c r="BZ364" i="1" s="1"/>
  <c r="BW364" i="1"/>
  <c r="BY364" i="1" s="1"/>
  <c r="CA364" i="1" s="1"/>
  <c r="AD367" i="1"/>
  <c r="AF367" i="1" s="1"/>
  <c r="AH367" i="1" s="1"/>
  <c r="AE367" i="1"/>
  <c r="AG367" i="1" s="1"/>
  <c r="G368" i="1"/>
  <c r="I368" i="1" s="1"/>
  <c r="Q368" i="1"/>
  <c r="S368" i="1" s="1"/>
  <c r="BI365" i="1"/>
  <c r="BK365" i="1" s="1"/>
  <c r="BH365" i="1"/>
  <c r="BJ365" i="1" s="1"/>
  <c r="BL365" i="1" s="1"/>
  <c r="CM363" i="1"/>
  <c r="CO363" i="1" s="1"/>
  <c r="CL363" i="1"/>
  <c r="CN363" i="1" s="1"/>
  <c r="CP363" i="1" s="1"/>
  <c r="DA362" i="1"/>
  <c r="DC362" i="1" s="1"/>
  <c r="DB362" i="1"/>
  <c r="DD362" i="1" s="1"/>
  <c r="BM365" i="1" l="1"/>
  <c r="BO365" i="1" s="1"/>
  <c r="BQ365" i="1" s="1"/>
  <c r="BN365" i="1"/>
  <c r="BP365" i="1" s="1"/>
  <c r="J368" i="1"/>
  <c r="L368" i="1" s="1"/>
  <c r="N368" i="1" s="1"/>
  <c r="K368" i="1"/>
  <c r="M368" i="1" s="1"/>
  <c r="D369" i="1"/>
  <c r="U368" i="1"/>
  <c r="W368" i="1" s="1"/>
  <c r="T368" i="1"/>
  <c r="V368" i="1" s="1"/>
  <c r="X368" i="1" s="1"/>
  <c r="CB364" i="1"/>
  <c r="CD364" i="1" s="1"/>
  <c r="CF364" i="1" s="1"/>
  <c r="CC364" i="1"/>
  <c r="CE364" i="1" s="1"/>
  <c r="AX366" i="1"/>
  <c r="AZ366" i="1" s="1"/>
  <c r="BB366" i="1" s="1"/>
  <c r="AY366" i="1"/>
  <c r="BA366" i="1" s="1"/>
  <c r="CQ363" i="1"/>
  <c r="CS363" i="1" s="1"/>
  <c r="CU363" i="1" s="1"/>
  <c r="CR363" i="1"/>
  <c r="CT363" i="1" s="1"/>
  <c r="AI367" i="1"/>
  <c r="AK367" i="1" s="1"/>
  <c r="AM367" i="1" s="1"/>
  <c r="AJ367" i="1"/>
  <c r="AL367" i="1" s="1"/>
  <c r="BC366" i="1" l="1"/>
  <c r="BE366" i="1" s="1"/>
  <c r="BG366" i="1" s="1"/>
  <c r="BD366" i="1"/>
  <c r="BF366" i="1" s="1"/>
  <c r="CV363" i="1"/>
  <c r="CX363" i="1" s="1"/>
  <c r="CW363" i="1"/>
  <c r="CY363" i="1" s="1"/>
  <c r="CG364" i="1"/>
  <c r="CI364" i="1" s="1"/>
  <c r="CK364" i="1" s="1"/>
  <c r="CH364" i="1"/>
  <c r="CJ364" i="1" s="1"/>
  <c r="O368" i="1"/>
  <c r="P368" i="1"/>
  <c r="R368" i="1" s="1"/>
  <c r="AO367" i="1"/>
  <c r="AQ367" i="1" s="1"/>
  <c r="AN367" i="1"/>
  <c r="AP367" i="1" s="1"/>
  <c r="AR367" i="1" s="1"/>
  <c r="Y368" i="1"/>
  <c r="AA368" i="1" s="1"/>
  <c r="AC368" i="1" s="1"/>
  <c r="Z368" i="1"/>
  <c r="AB368" i="1" s="1"/>
  <c r="E369" i="1"/>
  <c r="F369" i="1"/>
  <c r="H369" i="1" s="1"/>
  <c r="BR365" i="1"/>
  <c r="BT365" i="1" s="1"/>
  <c r="BV365" i="1" s="1"/>
  <c r="BS365" i="1"/>
  <c r="BU365" i="1" s="1"/>
  <c r="BW365" i="1" l="1"/>
  <c r="BY365" i="1" s="1"/>
  <c r="CA365" i="1" s="1"/>
  <c r="BX365" i="1"/>
  <c r="BZ365" i="1" s="1"/>
  <c r="AT367" i="1"/>
  <c r="AV367" i="1" s="1"/>
  <c r="AS367" i="1"/>
  <c r="AU367" i="1" s="1"/>
  <c r="AW367" i="1" s="1"/>
  <c r="AE368" i="1"/>
  <c r="AG368" i="1" s="1"/>
  <c r="AD368" i="1"/>
  <c r="AF368" i="1" s="1"/>
  <c r="AH368" i="1" s="1"/>
  <c r="CM364" i="1"/>
  <c r="CO364" i="1" s="1"/>
  <c r="CL364" i="1"/>
  <c r="CN364" i="1" s="1"/>
  <c r="CP364" i="1" s="1"/>
  <c r="CZ363" i="1"/>
  <c r="G369" i="1"/>
  <c r="I369" i="1" s="1"/>
  <c r="Q369" i="1"/>
  <c r="S369" i="1" s="1"/>
  <c r="BH366" i="1"/>
  <c r="BJ366" i="1" s="1"/>
  <c r="BL366" i="1" s="1"/>
  <c r="BI366" i="1"/>
  <c r="BK366" i="1" s="1"/>
  <c r="CR364" i="1" l="1"/>
  <c r="CT364" i="1" s="1"/>
  <c r="CQ364" i="1"/>
  <c r="CS364" i="1" s="1"/>
  <c r="CU364" i="1" s="1"/>
  <c r="BN366" i="1"/>
  <c r="BP366" i="1" s="1"/>
  <c r="BM366" i="1"/>
  <c r="BO366" i="1" s="1"/>
  <c r="BQ366" i="1" s="1"/>
  <c r="U369" i="1"/>
  <c r="W369" i="1" s="1"/>
  <c r="T369" i="1"/>
  <c r="V369" i="1" s="1"/>
  <c r="X369" i="1" s="1"/>
  <c r="J369" i="1"/>
  <c r="L369" i="1" s="1"/>
  <c r="N369" i="1" s="1"/>
  <c r="K369" i="1"/>
  <c r="M369" i="1" s="1"/>
  <c r="D370" i="1"/>
  <c r="AI368" i="1"/>
  <c r="AK368" i="1" s="1"/>
  <c r="AM368" i="1" s="1"/>
  <c r="AJ368" i="1"/>
  <c r="AL368" i="1" s="1"/>
  <c r="AY367" i="1"/>
  <c r="BA367" i="1" s="1"/>
  <c r="AX367" i="1"/>
  <c r="AZ367" i="1" s="1"/>
  <c r="BB367" i="1" s="1"/>
  <c r="DA363" i="1"/>
  <c r="DC363" i="1" s="1"/>
  <c r="DB363" i="1"/>
  <c r="DD363" i="1" s="1"/>
  <c r="CB365" i="1"/>
  <c r="CD365" i="1" s="1"/>
  <c r="CF365" i="1" s="1"/>
  <c r="CC365" i="1"/>
  <c r="CE365" i="1" s="1"/>
  <c r="AN368" i="1" l="1"/>
  <c r="AP368" i="1" s="1"/>
  <c r="AR368" i="1" s="1"/>
  <c r="AO368" i="1"/>
  <c r="AQ368" i="1" s="1"/>
  <c r="CH365" i="1"/>
  <c r="CJ365" i="1" s="1"/>
  <c r="CG365" i="1"/>
  <c r="CI365" i="1" s="1"/>
  <c r="CK365" i="1" s="1"/>
  <c r="F370" i="1"/>
  <c r="H370" i="1" s="1"/>
  <c r="E370" i="1"/>
  <c r="Z369" i="1"/>
  <c r="AB369" i="1" s="1"/>
  <c r="Y369" i="1"/>
  <c r="AA369" i="1" s="1"/>
  <c r="AC369" i="1" s="1"/>
  <c r="O369" i="1"/>
  <c r="P369" i="1"/>
  <c r="R369" i="1" s="1"/>
  <c r="BR366" i="1"/>
  <c r="BT366" i="1" s="1"/>
  <c r="BV366" i="1" s="1"/>
  <c r="BS366" i="1"/>
  <c r="BU366" i="1" s="1"/>
  <c r="CW364" i="1"/>
  <c r="CY364" i="1" s="1"/>
  <c r="CV364" i="1"/>
  <c r="CX364" i="1" s="1"/>
  <c r="CZ364" i="1" s="1"/>
  <c r="BD367" i="1"/>
  <c r="BF367" i="1" s="1"/>
  <c r="BC367" i="1"/>
  <c r="BE367" i="1" s="1"/>
  <c r="BG367" i="1" s="1"/>
  <c r="AD369" i="1" l="1"/>
  <c r="AF369" i="1" s="1"/>
  <c r="AH369" i="1" s="1"/>
  <c r="AE369" i="1"/>
  <c r="AG369" i="1" s="1"/>
  <c r="BX366" i="1"/>
  <c r="BZ366" i="1" s="1"/>
  <c r="BW366" i="1"/>
  <c r="BY366" i="1" s="1"/>
  <c r="CA366" i="1" s="1"/>
  <c r="G370" i="1"/>
  <c r="I370" i="1" s="1"/>
  <c r="Q370" i="1"/>
  <c r="S370" i="1" s="1"/>
  <c r="DA364" i="1"/>
  <c r="DC364" i="1" s="1"/>
  <c r="DB364" i="1"/>
  <c r="DD364" i="1" s="1"/>
  <c r="BH367" i="1"/>
  <c r="BJ367" i="1" s="1"/>
  <c r="BL367" i="1" s="1"/>
  <c r="BI367" i="1"/>
  <c r="BK367" i="1" s="1"/>
  <c r="CL365" i="1"/>
  <c r="CN365" i="1" s="1"/>
  <c r="CP365" i="1" s="1"/>
  <c r="CM365" i="1"/>
  <c r="CO365" i="1" s="1"/>
  <c r="AS368" i="1"/>
  <c r="AU368" i="1" s="1"/>
  <c r="AW368" i="1" s="1"/>
  <c r="AT368" i="1"/>
  <c r="AV368" i="1" s="1"/>
  <c r="CR365" i="1" l="1"/>
  <c r="CT365" i="1" s="1"/>
  <c r="CQ365" i="1"/>
  <c r="CS365" i="1" s="1"/>
  <c r="CU365" i="1" s="1"/>
  <c r="BN367" i="1"/>
  <c r="BP367" i="1" s="1"/>
  <c r="BM367" i="1"/>
  <c r="BO367" i="1" s="1"/>
  <c r="BQ367" i="1" s="1"/>
  <c r="CB366" i="1"/>
  <c r="CD366" i="1" s="1"/>
  <c r="CF366" i="1" s="1"/>
  <c r="CC366" i="1"/>
  <c r="CE366" i="1" s="1"/>
  <c r="U370" i="1"/>
  <c r="W370" i="1" s="1"/>
  <c r="T370" i="1"/>
  <c r="V370" i="1" s="1"/>
  <c r="X370" i="1" s="1"/>
  <c r="J370" i="1"/>
  <c r="L370" i="1" s="1"/>
  <c r="N370" i="1" s="1"/>
  <c r="K370" i="1"/>
  <c r="M370" i="1" s="1"/>
  <c r="D371" i="1"/>
  <c r="AY368" i="1"/>
  <c r="BA368" i="1" s="1"/>
  <c r="AX368" i="1"/>
  <c r="AZ368" i="1" s="1"/>
  <c r="BB368" i="1" s="1"/>
  <c r="AJ369" i="1"/>
  <c r="AL369" i="1" s="1"/>
  <c r="AI369" i="1"/>
  <c r="AK369" i="1" s="1"/>
  <c r="AM369" i="1" s="1"/>
  <c r="Z370" i="1" l="1"/>
  <c r="AB370" i="1" s="1"/>
  <c r="Y370" i="1"/>
  <c r="AA370" i="1" s="1"/>
  <c r="AC370" i="1" s="1"/>
  <c r="CH366" i="1"/>
  <c r="CJ366" i="1" s="1"/>
  <c r="CG366" i="1"/>
  <c r="CI366" i="1" s="1"/>
  <c r="CK366" i="1" s="1"/>
  <c r="F371" i="1"/>
  <c r="H371" i="1" s="1"/>
  <c r="E371" i="1"/>
  <c r="BR367" i="1"/>
  <c r="BT367" i="1" s="1"/>
  <c r="BV367" i="1" s="1"/>
  <c r="BS367" i="1"/>
  <c r="BU367" i="1" s="1"/>
  <c r="CV365" i="1"/>
  <c r="CX365" i="1" s="1"/>
  <c r="CZ365" i="1" s="1"/>
  <c r="CW365" i="1"/>
  <c r="CY365" i="1" s="1"/>
  <c r="P370" i="1"/>
  <c r="R370" i="1" s="1"/>
  <c r="O370" i="1"/>
  <c r="AO369" i="1"/>
  <c r="AQ369" i="1" s="1"/>
  <c r="AN369" i="1"/>
  <c r="AP369" i="1" s="1"/>
  <c r="AR369" i="1" s="1"/>
  <c r="BD368" i="1"/>
  <c r="BF368" i="1" s="1"/>
  <c r="BC368" i="1"/>
  <c r="BE368" i="1" s="1"/>
  <c r="BG368" i="1" s="1"/>
  <c r="DB365" i="1" l="1"/>
  <c r="DD365" i="1" s="1"/>
  <c r="DA365" i="1"/>
  <c r="DC365" i="1" s="1"/>
  <c r="G371" i="1"/>
  <c r="I371" i="1" s="1"/>
  <c r="Q371" i="1"/>
  <c r="S371" i="1" s="1"/>
  <c r="BX367" i="1"/>
  <c r="BZ367" i="1" s="1"/>
  <c r="BW367" i="1"/>
  <c r="BY367" i="1" s="1"/>
  <c r="CA367" i="1" s="1"/>
  <c r="CL366" i="1"/>
  <c r="CN366" i="1" s="1"/>
  <c r="CP366" i="1" s="1"/>
  <c r="CM366" i="1"/>
  <c r="CO366" i="1" s="1"/>
  <c r="AT369" i="1"/>
  <c r="AV369" i="1" s="1"/>
  <c r="AS369" i="1"/>
  <c r="AU369" i="1" s="1"/>
  <c r="AW369" i="1" s="1"/>
  <c r="BH368" i="1"/>
  <c r="BJ368" i="1" s="1"/>
  <c r="BL368" i="1" s="1"/>
  <c r="BI368" i="1"/>
  <c r="BK368" i="1" s="1"/>
  <c r="AD370" i="1"/>
  <c r="AF370" i="1" s="1"/>
  <c r="AH370" i="1" s="1"/>
  <c r="AE370" i="1"/>
  <c r="AG370" i="1" s="1"/>
  <c r="AY369" i="1" l="1"/>
  <c r="BA369" i="1" s="1"/>
  <c r="AX369" i="1"/>
  <c r="AZ369" i="1" s="1"/>
  <c r="BB369" i="1" s="1"/>
  <c r="CB367" i="1"/>
  <c r="CD367" i="1" s="1"/>
  <c r="CF367" i="1" s="1"/>
  <c r="CC367" i="1"/>
  <c r="CE367" i="1" s="1"/>
  <c r="BN368" i="1"/>
  <c r="BP368" i="1" s="1"/>
  <c r="BM368" i="1"/>
  <c r="BO368" i="1" s="1"/>
  <c r="BQ368" i="1" s="1"/>
  <c r="J371" i="1"/>
  <c r="L371" i="1" s="1"/>
  <c r="N371" i="1" s="1"/>
  <c r="K371" i="1"/>
  <c r="M371" i="1" s="1"/>
  <c r="D372" i="1"/>
  <c r="CQ366" i="1"/>
  <c r="CS366" i="1" s="1"/>
  <c r="CU366" i="1" s="1"/>
  <c r="CR366" i="1"/>
  <c r="CT366" i="1" s="1"/>
  <c r="T371" i="1"/>
  <c r="V371" i="1" s="1"/>
  <c r="X371" i="1" s="1"/>
  <c r="U371" i="1"/>
  <c r="W371" i="1" s="1"/>
  <c r="AJ370" i="1"/>
  <c r="AL370" i="1" s="1"/>
  <c r="AI370" i="1"/>
  <c r="AK370" i="1" s="1"/>
  <c r="AM370" i="1" s="1"/>
  <c r="Z371" i="1" l="1"/>
  <c r="AB371" i="1" s="1"/>
  <c r="Y371" i="1"/>
  <c r="AA371" i="1" s="1"/>
  <c r="AC371" i="1" s="1"/>
  <c r="BS368" i="1"/>
  <c r="BU368" i="1" s="1"/>
  <c r="BR368" i="1"/>
  <c r="BT368" i="1" s="1"/>
  <c r="BV368" i="1" s="1"/>
  <c r="P371" i="1"/>
  <c r="R371" i="1" s="1"/>
  <c r="O371" i="1"/>
  <c r="AO370" i="1"/>
  <c r="AQ370" i="1" s="1"/>
  <c r="AN370" i="1"/>
  <c r="AP370" i="1" s="1"/>
  <c r="AR370" i="1" s="1"/>
  <c r="BC369" i="1"/>
  <c r="BE369" i="1" s="1"/>
  <c r="BG369" i="1" s="1"/>
  <c r="BD369" i="1"/>
  <c r="BF369" i="1" s="1"/>
  <c r="CW366" i="1"/>
  <c r="CY366" i="1" s="1"/>
  <c r="CV366" i="1"/>
  <c r="CX366" i="1" s="1"/>
  <c r="CZ366" i="1" s="1"/>
  <c r="E372" i="1"/>
  <c r="F372" i="1"/>
  <c r="H372" i="1" s="1"/>
  <c r="CG367" i="1"/>
  <c r="CI367" i="1" s="1"/>
  <c r="CK367" i="1" s="1"/>
  <c r="CH367" i="1"/>
  <c r="CJ367" i="1" s="1"/>
  <c r="BH369" i="1" l="1"/>
  <c r="BJ369" i="1" s="1"/>
  <c r="BL369" i="1" s="1"/>
  <c r="BI369" i="1"/>
  <c r="BK369" i="1" s="1"/>
  <c r="DB366" i="1"/>
  <c r="DD366" i="1" s="1"/>
  <c r="DA366" i="1"/>
  <c r="DC366" i="1" s="1"/>
  <c r="BW368" i="1"/>
  <c r="BY368" i="1" s="1"/>
  <c r="CA368" i="1" s="1"/>
  <c r="BX368" i="1"/>
  <c r="BZ368" i="1" s="1"/>
  <c r="AS370" i="1"/>
  <c r="AU370" i="1" s="1"/>
  <c r="AW370" i="1" s="1"/>
  <c r="AT370" i="1"/>
  <c r="AV370" i="1" s="1"/>
  <c r="CM367" i="1"/>
  <c r="CO367" i="1" s="1"/>
  <c r="CL367" i="1"/>
  <c r="CN367" i="1" s="1"/>
  <c r="CP367" i="1" s="1"/>
  <c r="AD371" i="1"/>
  <c r="AF371" i="1" s="1"/>
  <c r="AH371" i="1" s="1"/>
  <c r="AE371" i="1"/>
  <c r="AG371" i="1" s="1"/>
  <c r="G372" i="1"/>
  <c r="I372" i="1" s="1"/>
  <c r="Q372" i="1"/>
  <c r="S372" i="1" s="1"/>
  <c r="CC368" i="1" l="1"/>
  <c r="CE368" i="1" s="1"/>
  <c r="CB368" i="1"/>
  <c r="CD368" i="1" s="1"/>
  <c r="CF368" i="1" s="1"/>
  <c r="AJ371" i="1"/>
  <c r="AL371" i="1" s="1"/>
  <c r="AI371" i="1"/>
  <c r="AK371" i="1" s="1"/>
  <c r="AM371" i="1" s="1"/>
  <c r="T372" i="1"/>
  <c r="V372" i="1" s="1"/>
  <c r="X372" i="1" s="1"/>
  <c r="U372" i="1"/>
  <c r="W372" i="1" s="1"/>
  <c r="AY370" i="1"/>
  <c r="BA370" i="1" s="1"/>
  <c r="AX370" i="1"/>
  <c r="AZ370" i="1" s="1"/>
  <c r="BB370" i="1" s="1"/>
  <c r="K372" i="1"/>
  <c r="M372" i="1" s="1"/>
  <c r="J372" i="1"/>
  <c r="L372" i="1" s="1"/>
  <c r="N372" i="1" s="1"/>
  <c r="D373" i="1"/>
  <c r="CQ367" i="1"/>
  <c r="CS367" i="1" s="1"/>
  <c r="CU367" i="1" s="1"/>
  <c r="CR367" i="1"/>
  <c r="CT367" i="1" s="1"/>
  <c r="BM369" i="1"/>
  <c r="BO369" i="1" s="1"/>
  <c r="BQ369" i="1" s="1"/>
  <c r="BN369" i="1"/>
  <c r="BP369" i="1" s="1"/>
  <c r="CV367" i="1" l="1"/>
  <c r="CX367" i="1" s="1"/>
  <c r="CW367" i="1"/>
  <c r="CY367" i="1" s="1"/>
  <c r="F373" i="1"/>
  <c r="H373" i="1" s="1"/>
  <c r="E373" i="1"/>
  <c r="BD370" i="1"/>
  <c r="BF370" i="1" s="1"/>
  <c r="BC370" i="1"/>
  <c r="BE370" i="1" s="1"/>
  <c r="BG370" i="1" s="1"/>
  <c r="Z372" i="1"/>
  <c r="AB372" i="1" s="1"/>
  <c r="Y372" i="1"/>
  <c r="AA372" i="1" s="1"/>
  <c r="AC372" i="1" s="1"/>
  <c r="CG368" i="1"/>
  <c r="CI368" i="1" s="1"/>
  <c r="CK368" i="1" s="1"/>
  <c r="CH368" i="1"/>
  <c r="CJ368" i="1" s="1"/>
  <c r="P372" i="1"/>
  <c r="R372" i="1" s="1"/>
  <c r="O372" i="1"/>
  <c r="AN371" i="1"/>
  <c r="AP371" i="1" s="1"/>
  <c r="AR371" i="1" s="1"/>
  <c r="AO371" i="1"/>
  <c r="AQ371" i="1" s="1"/>
  <c r="BR369" i="1"/>
  <c r="BT369" i="1" s="1"/>
  <c r="BV369" i="1" s="1"/>
  <c r="BS369" i="1"/>
  <c r="BU369" i="1" s="1"/>
  <c r="AD372" i="1" l="1"/>
  <c r="AF372" i="1" s="1"/>
  <c r="AH372" i="1" s="1"/>
  <c r="AE372" i="1"/>
  <c r="AG372" i="1" s="1"/>
  <c r="CM368" i="1"/>
  <c r="CO368" i="1" s="1"/>
  <c r="CL368" i="1"/>
  <c r="CN368" i="1" s="1"/>
  <c r="CP368" i="1" s="1"/>
  <c r="G373" i="1"/>
  <c r="I373" i="1" s="1"/>
  <c r="Q373" i="1"/>
  <c r="S373" i="1" s="1"/>
  <c r="AT371" i="1"/>
  <c r="AV371" i="1" s="1"/>
  <c r="AS371" i="1"/>
  <c r="AU371" i="1" s="1"/>
  <c r="AW371" i="1" s="1"/>
  <c r="BH370" i="1"/>
  <c r="BJ370" i="1" s="1"/>
  <c r="BL370" i="1" s="1"/>
  <c r="BI370" i="1"/>
  <c r="BK370" i="1" s="1"/>
  <c r="BX369" i="1"/>
  <c r="BZ369" i="1" s="1"/>
  <c r="BW369" i="1"/>
  <c r="BY369" i="1" s="1"/>
  <c r="CA369" i="1" s="1"/>
  <c r="CZ367" i="1"/>
  <c r="BM370" i="1" l="1"/>
  <c r="BO370" i="1" s="1"/>
  <c r="BQ370" i="1" s="1"/>
  <c r="BN370" i="1"/>
  <c r="BP370" i="1" s="1"/>
  <c r="AX371" i="1"/>
  <c r="AZ371" i="1" s="1"/>
  <c r="BB371" i="1" s="1"/>
  <c r="AY371" i="1"/>
  <c r="BA371" i="1" s="1"/>
  <c r="J373" i="1"/>
  <c r="L373" i="1" s="1"/>
  <c r="N373" i="1" s="1"/>
  <c r="K373" i="1"/>
  <c r="M373" i="1" s="1"/>
  <c r="D374" i="1"/>
  <c r="T373" i="1"/>
  <c r="V373" i="1" s="1"/>
  <c r="X373" i="1" s="1"/>
  <c r="U373" i="1"/>
  <c r="W373" i="1" s="1"/>
  <c r="CB369" i="1"/>
  <c r="CD369" i="1" s="1"/>
  <c r="CF369" i="1" s="1"/>
  <c r="CC369" i="1"/>
  <c r="CE369" i="1" s="1"/>
  <c r="CQ368" i="1"/>
  <c r="CS368" i="1" s="1"/>
  <c r="CU368" i="1" s="1"/>
  <c r="CR368" i="1"/>
  <c r="CT368" i="1" s="1"/>
  <c r="DB367" i="1"/>
  <c r="DD367" i="1" s="1"/>
  <c r="DA367" i="1"/>
  <c r="DC367" i="1" s="1"/>
  <c r="AJ372" i="1"/>
  <c r="AL372" i="1" s="1"/>
  <c r="AI372" i="1"/>
  <c r="AK372" i="1" s="1"/>
  <c r="AM372" i="1" s="1"/>
  <c r="E374" i="1" l="1"/>
  <c r="F374" i="1"/>
  <c r="H374" i="1" s="1"/>
  <c r="Y373" i="1"/>
  <c r="AA373" i="1" s="1"/>
  <c r="AC373" i="1" s="1"/>
  <c r="Z373" i="1"/>
  <c r="AB373" i="1" s="1"/>
  <c r="CG369" i="1"/>
  <c r="CI369" i="1" s="1"/>
  <c r="CK369" i="1" s="1"/>
  <c r="CH369" i="1"/>
  <c r="CJ369" i="1" s="1"/>
  <c r="AO372" i="1"/>
  <c r="AQ372" i="1" s="1"/>
  <c r="AN372" i="1"/>
  <c r="AP372" i="1" s="1"/>
  <c r="AR372" i="1" s="1"/>
  <c r="CW368" i="1"/>
  <c r="CY368" i="1" s="1"/>
  <c r="CV368" i="1"/>
  <c r="CX368" i="1" s="1"/>
  <c r="CZ368" i="1" s="1"/>
  <c r="P373" i="1"/>
  <c r="R373" i="1" s="1"/>
  <c r="O373" i="1"/>
  <c r="BC371" i="1"/>
  <c r="BE371" i="1" s="1"/>
  <c r="BG371" i="1" s="1"/>
  <c r="BD371" i="1"/>
  <c r="BF371" i="1" s="1"/>
  <c r="BS370" i="1"/>
  <c r="BU370" i="1" s="1"/>
  <c r="BR370" i="1"/>
  <c r="BT370" i="1" s="1"/>
  <c r="BV370" i="1" s="1"/>
  <c r="DB368" i="1" l="1"/>
  <c r="DD368" i="1" s="1"/>
  <c r="DA368" i="1"/>
  <c r="DC368" i="1" s="1"/>
  <c r="BX370" i="1"/>
  <c r="BZ370" i="1" s="1"/>
  <c r="BW370" i="1"/>
  <c r="BY370" i="1" s="1"/>
  <c r="CA370" i="1" s="1"/>
  <c r="AT372" i="1"/>
  <c r="AV372" i="1" s="1"/>
  <c r="AS372" i="1"/>
  <c r="AU372" i="1" s="1"/>
  <c r="AW372" i="1" s="1"/>
  <c r="CL369" i="1"/>
  <c r="CN369" i="1" s="1"/>
  <c r="CP369" i="1" s="1"/>
  <c r="CM369" i="1"/>
  <c r="CO369" i="1" s="1"/>
  <c r="BH371" i="1"/>
  <c r="BJ371" i="1" s="1"/>
  <c r="BL371" i="1" s="1"/>
  <c r="BI371" i="1"/>
  <c r="BK371" i="1" s="1"/>
  <c r="AD373" i="1"/>
  <c r="AF373" i="1" s="1"/>
  <c r="AH373" i="1" s="1"/>
  <c r="AE373" i="1"/>
  <c r="AG373" i="1" s="1"/>
  <c r="Q374" i="1"/>
  <c r="S374" i="1" s="1"/>
  <c r="G374" i="1"/>
  <c r="I374" i="1" s="1"/>
  <c r="AJ373" i="1" l="1"/>
  <c r="AL373" i="1" s="1"/>
  <c r="AI373" i="1"/>
  <c r="AK373" i="1" s="1"/>
  <c r="AM373" i="1" s="1"/>
  <c r="CR369" i="1"/>
  <c r="CT369" i="1" s="1"/>
  <c r="CQ369" i="1"/>
  <c r="CS369" i="1" s="1"/>
  <c r="CU369" i="1" s="1"/>
  <c r="J374" i="1"/>
  <c r="L374" i="1" s="1"/>
  <c r="N374" i="1" s="1"/>
  <c r="K374" i="1"/>
  <c r="M374" i="1" s="1"/>
  <c r="D375" i="1"/>
  <c r="AX372" i="1"/>
  <c r="AZ372" i="1" s="1"/>
  <c r="BB372" i="1" s="1"/>
  <c r="AY372" i="1"/>
  <c r="BA372" i="1" s="1"/>
  <c r="CC370" i="1"/>
  <c r="CE370" i="1" s="1"/>
  <c r="CB370" i="1"/>
  <c r="CD370" i="1" s="1"/>
  <c r="CF370" i="1" s="1"/>
  <c r="BN371" i="1"/>
  <c r="BP371" i="1" s="1"/>
  <c r="BM371" i="1"/>
  <c r="BO371" i="1" s="1"/>
  <c r="BQ371" i="1" s="1"/>
  <c r="T374" i="1"/>
  <c r="V374" i="1" s="1"/>
  <c r="X374" i="1" s="1"/>
  <c r="U374" i="1"/>
  <c r="W374" i="1" s="1"/>
  <c r="F375" i="1" l="1"/>
  <c r="H375" i="1" s="1"/>
  <c r="E375" i="1"/>
  <c r="CG370" i="1"/>
  <c r="CI370" i="1" s="1"/>
  <c r="CK370" i="1" s="1"/>
  <c r="CH370" i="1"/>
  <c r="CJ370" i="1" s="1"/>
  <c r="O374" i="1"/>
  <c r="P374" i="1"/>
  <c r="R374" i="1" s="1"/>
  <c r="BD372" i="1"/>
  <c r="BF372" i="1" s="1"/>
  <c r="BC372" i="1"/>
  <c r="BE372" i="1" s="1"/>
  <c r="BG372" i="1" s="1"/>
  <c r="AN373" i="1"/>
  <c r="AP373" i="1" s="1"/>
  <c r="AR373" i="1" s="1"/>
  <c r="AO373" i="1"/>
  <c r="AQ373" i="1" s="1"/>
  <c r="CV369" i="1"/>
  <c r="CX369" i="1" s="1"/>
  <c r="CZ369" i="1" s="1"/>
  <c r="CW369" i="1"/>
  <c r="CY369" i="1" s="1"/>
  <c r="Y374" i="1"/>
  <c r="AA374" i="1" s="1"/>
  <c r="AC374" i="1" s="1"/>
  <c r="Z374" i="1"/>
  <c r="AB374" i="1" s="1"/>
  <c r="BR371" i="1"/>
  <c r="BT371" i="1" s="1"/>
  <c r="BV371" i="1" s="1"/>
  <c r="BS371" i="1"/>
  <c r="BU371" i="1" s="1"/>
  <c r="DB369" i="1" l="1"/>
  <c r="DD369" i="1" s="1"/>
  <c r="DA369" i="1"/>
  <c r="DC369" i="1" s="1"/>
  <c r="BH372" i="1"/>
  <c r="BJ372" i="1" s="1"/>
  <c r="BL372" i="1" s="1"/>
  <c r="BI372" i="1"/>
  <c r="BK372" i="1" s="1"/>
  <c r="BX371" i="1"/>
  <c r="BZ371" i="1" s="1"/>
  <c r="BW371" i="1"/>
  <c r="BY371" i="1" s="1"/>
  <c r="CA371" i="1" s="1"/>
  <c r="CL370" i="1"/>
  <c r="CN370" i="1" s="1"/>
  <c r="CP370" i="1" s="1"/>
  <c r="CM370" i="1"/>
  <c r="CO370" i="1" s="1"/>
  <c r="Q375" i="1"/>
  <c r="S375" i="1" s="1"/>
  <c r="G375" i="1"/>
  <c r="I375" i="1" s="1"/>
  <c r="AT373" i="1"/>
  <c r="AV373" i="1" s="1"/>
  <c r="AS373" i="1"/>
  <c r="AU373" i="1" s="1"/>
  <c r="AW373" i="1" s="1"/>
  <c r="AE374" i="1"/>
  <c r="AG374" i="1" s="1"/>
  <c r="AD374" i="1"/>
  <c r="AF374" i="1" s="1"/>
  <c r="AH374" i="1" s="1"/>
  <c r="CR370" i="1" l="1"/>
  <c r="CT370" i="1" s="1"/>
  <c r="CQ370" i="1"/>
  <c r="CS370" i="1" s="1"/>
  <c r="CU370" i="1" s="1"/>
  <c r="T375" i="1"/>
  <c r="V375" i="1" s="1"/>
  <c r="X375" i="1" s="1"/>
  <c r="U375" i="1"/>
  <c r="W375" i="1" s="1"/>
  <c r="J375" i="1"/>
  <c r="L375" i="1" s="1"/>
  <c r="N375" i="1" s="1"/>
  <c r="K375" i="1"/>
  <c r="M375" i="1" s="1"/>
  <c r="D376" i="1"/>
  <c r="CB371" i="1"/>
  <c r="CD371" i="1" s="1"/>
  <c r="CF371" i="1" s="1"/>
  <c r="CC371" i="1"/>
  <c r="CE371" i="1" s="1"/>
  <c r="BM372" i="1"/>
  <c r="BO372" i="1" s="1"/>
  <c r="BQ372" i="1" s="1"/>
  <c r="BN372" i="1"/>
  <c r="BP372" i="1" s="1"/>
  <c r="AJ374" i="1"/>
  <c r="AL374" i="1" s="1"/>
  <c r="AI374" i="1"/>
  <c r="AK374" i="1" s="1"/>
  <c r="AM374" i="1" s="1"/>
  <c r="AY373" i="1"/>
  <c r="BA373" i="1" s="1"/>
  <c r="AX373" i="1"/>
  <c r="AZ373" i="1" s="1"/>
  <c r="BB373" i="1" s="1"/>
  <c r="BR372" i="1" l="1"/>
  <c r="BT372" i="1" s="1"/>
  <c r="BV372" i="1" s="1"/>
  <c r="BS372" i="1"/>
  <c r="BU372" i="1" s="1"/>
  <c r="F376" i="1"/>
  <c r="H376" i="1" s="1"/>
  <c r="E376" i="1"/>
  <c r="CG371" i="1"/>
  <c r="CI371" i="1" s="1"/>
  <c r="CK371" i="1" s="1"/>
  <c r="CH371" i="1"/>
  <c r="CJ371" i="1" s="1"/>
  <c r="Y375" i="1"/>
  <c r="AA375" i="1" s="1"/>
  <c r="AC375" i="1" s="1"/>
  <c r="Z375" i="1"/>
  <c r="AB375" i="1" s="1"/>
  <c r="BD373" i="1"/>
  <c r="BF373" i="1" s="1"/>
  <c r="BC373" i="1"/>
  <c r="BE373" i="1" s="1"/>
  <c r="BG373" i="1" s="1"/>
  <c r="CV370" i="1"/>
  <c r="CX370" i="1" s="1"/>
  <c r="CZ370" i="1" s="1"/>
  <c r="CW370" i="1"/>
  <c r="CY370" i="1" s="1"/>
  <c r="P375" i="1"/>
  <c r="R375" i="1" s="1"/>
  <c r="O375" i="1"/>
  <c r="AN374" i="1"/>
  <c r="AP374" i="1" s="1"/>
  <c r="AR374" i="1" s="1"/>
  <c r="AO374" i="1"/>
  <c r="AQ374" i="1" s="1"/>
  <c r="AE375" i="1" l="1"/>
  <c r="AG375" i="1" s="1"/>
  <c r="AD375" i="1"/>
  <c r="AF375" i="1" s="1"/>
  <c r="AH375" i="1" s="1"/>
  <c r="DB370" i="1"/>
  <c r="DD370" i="1" s="1"/>
  <c r="DA370" i="1"/>
  <c r="DC370" i="1" s="1"/>
  <c r="AS374" i="1"/>
  <c r="AU374" i="1" s="1"/>
  <c r="AW374" i="1" s="1"/>
  <c r="AT374" i="1"/>
  <c r="AV374" i="1" s="1"/>
  <c r="G376" i="1"/>
  <c r="I376" i="1" s="1"/>
  <c r="Q376" i="1"/>
  <c r="S376" i="1" s="1"/>
  <c r="BI373" i="1"/>
  <c r="BK373" i="1" s="1"/>
  <c r="BH373" i="1"/>
  <c r="BJ373" i="1" s="1"/>
  <c r="BL373" i="1" s="1"/>
  <c r="CL371" i="1"/>
  <c r="CN371" i="1" s="1"/>
  <c r="CP371" i="1" s="1"/>
  <c r="CM371" i="1"/>
  <c r="CO371" i="1" s="1"/>
  <c r="BX372" i="1"/>
  <c r="BZ372" i="1" s="1"/>
  <c r="BW372" i="1"/>
  <c r="BY372" i="1" s="1"/>
  <c r="CA372" i="1" s="1"/>
  <c r="BM373" i="1" l="1"/>
  <c r="BO373" i="1" s="1"/>
  <c r="BQ373" i="1" s="1"/>
  <c r="BN373" i="1"/>
  <c r="BP373" i="1" s="1"/>
  <c r="AX374" i="1"/>
  <c r="AZ374" i="1" s="1"/>
  <c r="BB374" i="1" s="1"/>
  <c r="AY374" i="1"/>
  <c r="BA374" i="1" s="1"/>
  <c r="CR371" i="1"/>
  <c r="CT371" i="1" s="1"/>
  <c r="CQ371" i="1"/>
  <c r="CS371" i="1" s="1"/>
  <c r="CU371" i="1" s="1"/>
  <c r="U376" i="1"/>
  <c r="W376" i="1" s="1"/>
  <c r="T376" i="1"/>
  <c r="V376" i="1" s="1"/>
  <c r="X376" i="1" s="1"/>
  <c r="AI375" i="1"/>
  <c r="AK375" i="1" s="1"/>
  <c r="AM375" i="1" s="1"/>
  <c r="AJ375" i="1"/>
  <c r="AL375" i="1" s="1"/>
  <c r="J376" i="1"/>
  <c r="L376" i="1" s="1"/>
  <c r="N376" i="1" s="1"/>
  <c r="K376" i="1"/>
  <c r="M376" i="1" s="1"/>
  <c r="D377" i="1"/>
  <c r="CB372" i="1"/>
  <c r="CD372" i="1" s="1"/>
  <c r="CF372" i="1" s="1"/>
  <c r="CC372" i="1"/>
  <c r="CE372" i="1" s="1"/>
  <c r="CV371" i="1" l="1"/>
  <c r="CX371" i="1" s="1"/>
  <c r="CW371" i="1"/>
  <c r="CY371" i="1" s="1"/>
  <c r="O376" i="1"/>
  <c r="P376" i="1"/>
  <c r="R376" i="1" s="1"/>
  <c r="Z376" i="1"/>
  <c r="AB376" i="1" s="1"/>
  <c r="Y376" i="1"/>
  <c r="AA376" i="1" s="1"/>
  <c r="AC376" i="1" s="1"/>
  <c r="CH372" i="1"/>
  <c r="CJ372" i="1" s="1"/>
  <c r="CG372" i="1"/>
  <c r="CI372" i="1" s="1"/>
  <c r="CK372" i="1" s="1"/>
  <c r="AN375" i="1"/>
  <c r="AP375" i="1" s="1"/>
  <c r="AR375" i="1" s="1"/>
  <c r="AO375" i="1"/>
  <c r="AQ375" i="1" s="1"/>
  <c r="BD374" i="1"/>
  <c r="BF374" i="1" s="1"/>
  <c r="BC374" i="1"/>
  <c r="BE374" i="1" s="1"/>
  <c r="BG374" i="1" s="1"/>
  <c r="F377" i="1"/>
  <c r="H377" i="1" s="1"/>
  <c r="E377" i="1"/>
  <c r="BR373" i="1"/>
  <c r="BT373" i="1" s="1"/>
  <c r="BV373" i="1" s="1"/>
  <c r="BS373" i="1"/>
  <c r="BU373" i="1" s="1"/>
  <c r="AD376" i="1" l="1"/>
  <c r="AF376" i="1" s="1"/>
  <c r="AH376" i="1" s="1"/>
  <c r="AE376" i="1"/>
  <c r="AG376" i="1" s="1"/>
  <c r="BI374" i="1"/>
  <c r="BK374" i="1" s="1"/>
  <c r="BH374" i="1"/>
  <c r="BJ374" i="1" s="1"/>
  <c r="BL374" i="1" s="1"/>
  <c r="AT375" i="1"/>
  <c r="AV375" i="1" s="1"/>
  <c r="AS375" i="1"/>
  <c r="AU375" i="1" s="1"/>
  <c r="AW375" i="1" s="1"/>
  <c r="CL372" i="1"/>
  <c r="CN372" i="1" s="1"/>
  <c r="CP372" i="1" s="1"/>
  <c r="CM372" i="1"/>
  <c r="CO372" i="1" s="1"/>
  <c r="BX373" i="1"/>
  <c r="BZ373" i="1" s="1"/>
  <c r="BW373" i="1"/>
  <c r="BY373" i="1" s="1"/>
  <c r="CA373" i="1" s="1"/>
  <c r="Q377" i="1"/>
  <c r="S377" i="1" s="1"/>
  <c r="G377" i="1"/>
  <c r="I377" i="1" s="1"/>
  <c r="CZ371" i="1"/>
  <c r="CB373" i="1" l="1"/>
  <c r="CD373" i="1" s="1"/>
  <c r="CF373" i="1" s="1"/>
  <c r="CC373" i="1"/>
  <c r="CE373" i="1" s="1"/>
  <c r="K377" i="1"/>
  <c r="M377" i="1" s="1"/>
  <c r="J377" i="1"/>
  <c r="L377" i="1" s="1"/>
  <c r="N377" i="1" s="1"/>
  <c r="D378" i="1"/>
  <c r="CR372" i="1"/>
  <c r="CT372" i="1" s="1"/>
  <c r="CQ372" i="1"/>
  <c r="CS372" i="1" s="1"/>
  <c r="CU372" i="1" s="1"/>
  <c r="AY375" i="1"/>
  <c r="BA375" i="1" s="1"/>
  <c r="AX375" i="1"/>
  <c r="AZ375" i="1" s="1"/>
  <c r="BB375" i="1" s="1"/>
  <c r="T377" i="1"/>
  <c r="V377" i="1" s="1"/>
  <c r="X377" i="1" s="1"/>
  <c r="U377" i="1"/>
  <c r="W377" i="1" s="1"/>
  <c r="BM374" i="1"/>
  <c r="BO374" i="1" s="1"/>
  <c r="BQ374" i="1" s="1"/>
  <c r="BN374" i="1"/>
  <c r="BP374" i="1" s="1"/>
  <c r="DB371" i="1"/>
  <c r="DD371" i="1" s="1"/>
  <c r="DA371" i="1"/>
  <c r="DC371" i="1" s="1"/>
  <c r="AJ376" i="1"/>
  <c r="AL376" i="1" s="1"/>
  <c r="AI376" i="1"/>
  <c r="AK376" i="1" s="1"/>
  <c r="AM376" i="1" s="1"/>
  <c r="BC375" i="1" l="1"/>
  <c r="BE375" i="1" s="1"/>
  <c r="BG375" i="1" s="1"/>
  <c r="BD375" i="1"/>
  <c r="BF375" i="1" s="1"/>
  <c r="E378" i="1"/>
  <c r="F378" i="1"/>
  <c r="H378" i="1" s="1"/>
  <c r="Y377" i="1"/>
  <c r="AA377" i="1" s="1"/>
  <c r="AC377" i="1" s="1"/>
  <c r="Z377" i="1"/>
  <c r="AB377" i="1" s="1"/>
  <c r="AO376" i="1"/>
  <c r="AQ376" i="1" s="1"/>
  <c r="AN376" i="1"/>
  <c r="AP376" i="1" s="1"/>
  <c r="AR376" i="1" s="1"/>
  <c r="O377" i="1"/>
  <c r="P377" i="1"/>
  <c r="R377" i="1" s="1"/>
  <c r="BS374" i="1"/>
  <c r="BU374" i="1" s="1"/>
  <c r="BR374" i="1"/>
  <c r="BT374" i="1" s="1"/>
  <c r="BV374" i="1" s="1"/>
  <c r="CW372" i="1"/>
  <c r="CY372" i="1" s="1"/>
  <c r="CV372" i="1"/>
  <c r="CX372" i="1" s="1"/>
  <c r="CZ372" i="1" s="1"/>
  <c r="CG373" i="1"/>
  <c r="CI373" i="1" s="1"/>
  <c r="CK373" i="1" s="1"/>
  <c r="CH373" i="1"/>
  <c r="CJ373" i="1" s="1"/>
  <c r="DB372" i="1" l="1"/>
  <c r="DD372" i="1" s="1"/>
  <c r="DA372" i="1"/>
  <c r="DC372" i="1" s="1"/>
  <c r="AS376" i="1"/>
  <c r="AU376" i="1" s="1"/>
  <c r="AW376" i="1" s="1"/>
  <c r="AT376" i="1"/>
  <c r="AV376" i="1" s="1"/>
  <c r="AD377" i="1"/>
  <c r="AF377" i="1" s="1"/>
  <c r="AH377" i="1" s="1"/>
  <c r="AE377" i="1"/>
  <c r="AG377" i="1" s="1"/>
  <c r="CM373" i="1"/>
  <c r="CO373" i="1" s="1"/>
  <c r="CL373" i="1"/>
  <c r="CN373" i="1" s="1"/>
  <c r="CP373" i="1" s="1"/>
  <c r="G378" i="1"/>
  <c r="I378" i="1" s="1"/>
  <c r="Q378" i="1"/>
  <c r="S378" i="1" s="1"/>
  <c r="BW374" i="1"/>
  <c r="BY374" i="1" s="1"/>
  <c r="CA374" i="1" s="1"/>
  <c r="BX374" i="1"/>
  <c r="BZ374" i="1" s="1"/>
  <c r="BI375" i="1"/>
  <c r="BK375" i="1" s="1"/>
  <c r="BH375" i="1"/>
  <c r="BJ375" i="1" s="1"/>
  <c r="BL375" i="1" s="1"/>
  <c r="K378" i="1" l="1"/>
  <c r="M378" i="1" s="1"/>
  <c r="J378" i="1"/>
  <c r="L378" i="1" s="1"/>
  <c r="N378" i="1" s="1"/>
  <c r="D379" i="1"/>
  <c r="CQ373" i="1"/>
  <c r="CS373" i="1" s="1"/>
  <c r="CU373" i="1" s="1"/>
  <c r="CR373" i="1"/>
  <c r="CT373" i="1" s="1"/>
  <c r="T378" i="1"/>
  <c r="V378" i="1" s="1"/>
  <c r="X378" i="1" s="1"/>
  <c r="U378" i="1"/>
  <c r="W378" i="1" s="1"/>
  <c r="CC374" i="1"/>
  <c r="CE374" i="1" s="1"/>
  <c r="CB374" i="1"/>
  <c r="CD374" i="1" s="1"/>
  <c r="CF374" i="1" s="1"/>
  <c r="AJ377" i="1"/>
  <c r="AL377" i="1" s="1"/>
  <c r="AI377" i="1"/>
  <c r="AK377" i="1" s="1"/>
  <c r="AM377" i="1" s="1"/>
  <c r="AX376" i="1"/>
  <c r="AZ376" i="1" s="1"/>
  <c r="BB376" i="1" s="1"/>
  <c r="AY376" i="1"/>
  <c r="BA376" i="1" s="1"/>
  <c r="BM375" i="1"/>
  <c r="BO375" i="1" s="1"/>
  <c r="BQ375" i="1" s="1"/>
  <c r="BN375" i="1"/>
  <c r="BP375" i="1" s="1"/>
  <c r="AO377" i="1" l="1"/>
  <c r="AQ377" i="1" s="1"/>
  <c r="AN377" i="1"/>
  <c r="AP377" i="1" s="1"/>
  <c r="AR377" i="1" s="1"/>
  <c r="Y378" i="1"/>
  <c r="AA378" i="1" s="1"/>
  <c r="AC378" i="1" s="1"/>
  <c r="Z378" i="1"/>
  <c r="AB378" i="1" s="1"/>
  <c r="BC376" i="1"/>
  <c r="BE376" i="1" s="1"/>
  <c r="BG376" i="1" s="1"/>
  <c r="BD376" i="1"/>
  <c r="BF376" i="1" s="1"/>
  <c r="BS375" i="1"/>
  <c r="BU375" i="1" s="1"/>
  <c r="BR375" i="1"/>
  <c r="BT375" i="1" s="1"/>
  <c r="BV375" i="1" s="1"/>
  <c r="CH374" i="1"/>
  <c r="CJ374" i="1" s="1"/>
  <c r="CG374" i="1"/>
  <c r="CI374" i="1" s="1"/>
  <c r="CK374" i="1" s="1"/>
  <c r="CW373" i="1"/>
  <c r="CY373" i="1" s="1"/>
  <c r="CV373" i="1"/>
  <c r="CX373" i="1" s="1"/>
  <c r="CZ373" i="1" s="1"/>
  <c r="E379" i="1"/>
  <c r="F379" i="1"/>
  <c r="H379" i="1" s="1"/>
  <c r="P378" i="1"/>
  <c r="R378" i="1" s="1"/>
  <c r="O378" i="1"/>
  <c r="BX375" i="1" l="1"/>
  <c r="BZ375" i="1" s="1"/>
  <c r="BW375" i="1"/>
  <c r="BY375" i="1" s="1"/>
  <c r="CA375" i="1" s="1"/>
  <c r="CL374" i="1"/>
  <c r="CN374" i="1" s="1"/>
  <c r="CP374" i="1" s="1"/>
  <c r="CM374" i="1"/>
  <c r="CO374" i="1" s="1"/>
  <c r="BH376" i="1"/>
  <c r="BJ376" i="1" s="1"/>
  <c r="BL376" i="1" s="1"/>
  <c r="BI376" i="1"/>
  <c r="BK376" i="1" s="1"/>
  <c r="DB373" i="1"/>
  <c r="DD373" i="1" s="1"/>
  <c r="DA373" i="1"/>
  <c r="DC373" i="1" s="1"/>
  <c r="AE378" i="1"/>
  <c r="AG378" i="1" s="1"/>
  <c r="AD378" i="1"/>
  <c r="AF378" i="1" s="1"/>
  <c r="AH378" i="1" s="1"/>
  <c r="AT377" i="1"/>
  <c r="AV377" i="1" s="1"/>
  <c r="AS377" i="1"/>
  <c r="AU377" i="1" s="1"/>
  <c r="AW377" i="1" s="1"/>
  <c r="Q379" i="1"/>
  <c r="S379" i="1" s="1"/>
  <c r="G379" i="1"/>
  <c r="I379" i="1" s="1"/>
  <c r="BM376" i="1" l="1"/>
  <c r="BO376" i="1" s="1"/>
  <c r="BQ376" i="1" s="1"/>
  <c r="BN376" i="1"/>
  <c r="BP376" i="1" s="1"/>
  <c r="AI378" i="1"/>
  <c r="AK378" i="1" s="1"/>
  <c r="AM378" i="1" s="1"/>
  <c r="AJ378" i="1"/>
  <c r="AL378" i="1" s="1"/>
  <c r="K379" i="1"/>
  <c r="M379" i="1" s="1"/>
  <c r="J379" i="1"/>
  <c r="L379" i="1" s="1"/>
  <c r="N379" i="1" s="1"/>
  <c r="D380" i="1"/>
  <c r="T379" i="1"/>
  <c r="V379" i="1" s="1"/>
  <c r="X379" i="1" s="1"/>
  <c r="U379" i="1"/>
  <c r="W379" i="1" s="1"/>
  <c r="CQ374" i="1"/>
  <c r="CS374" i="1" s="1"/>
  <c r="CU374" i="1" s="1"/>
  <c r="CR374" i="1"/>
  <c r="CT374" i="1" s="1"/>
  <c r="CB375" i="1"/>
  <c r="CD375" i="1" s="1"/>
  <c r="CF375" i="1" s="1"/>
  <c r="CC375" i="1"/>
  <c r="CE375" i="1" s="1"/>
  <c r="AY377" i="1"/>
  <c r="BA377" i="1" s="1"/>
  <c r="AX377" i="1"/>
  <c r="AZ377" i="1" s="1"/>
  <c r="BB377" i="1" s="1"/>
  <c r="CH375" i="1" l="1"/>
  <c r="CJ375" i="1" s="1"/>
  <c r="CG375" i="1"/>
  <c r="CI375" i="1" s="1"/>
  <c r="CK375" i="1" s="1"/>
  <c r="Z379" i="1"/>
  <c r="AB379" i="1" s="1"/>
  <c r="Y379" i="1"/>
  <c r="AA379" i="1" s="1"/>
  <c r="AC379" i="1" s="1"/>
  <c r="E380" i="1"/>
  <c r="F380" i="1"/>
  <c r="H380" i="1" s="1"/>
  <c r="BD377" i="1"/>
  <c r="BF377" i="1" s="1"/>
  <c r="BC377" i="1"/>
  <c r="BE377" i="1" s="1"/>
  <c r="BG377" i="1" s="1"/>
  <c r="CV374" i="1"/>
  <c r="CX374" i="1" s="1"/>
  <c r="CZ374" i="1" s="1"/>
  <c r="CW374" i="1"/>
  <c r="CY374" i="1" s="1"/>
  <c r="P379" i="1"/>
  <c r="R379" i="1" s="1"/>
  <c r="O379" i="1"/>
  <c r="AN378" i="1"/>
  <c r="AP378" i="1" s="1"/>
  <c r="AR378" i="1" s="1"/>
  <c r="AO378" i="1"/>
  <c r="AQ378" i="1" s="1"/>
  <c r="BR376" i="1"/>
  <c r="BT376" i="1" s="1"/>
  <c r="BV376" i="1" s="1"/>
  <c r="BS376" i="1"/>
  <c r="BU376" i="1" s="1"/>
  <c r="DB374" i="1" l="1"/>
  <c r="DD374" i="1" s="1"/>
  <c r="DA374" i="1"/>
  <c r="DC374" i="1" s="1"/>
  <c r="BH377" i="1"/>
  <c r="BJ377" i="1" s="1"/>
  <c r="BL377" i="1" s="1"/>
  <c r="BI377" i="1"/>
  <c r="BK377" i="1" s="1"/>
  <c r="BX376" i="1"/>
  <c r="BZ376" i="1" s="1"/>
  <c r="BW376" i="1"/>
  <c r="BY376" i="1" s="1"/>
  <c r="CA376" i="1" s="1"/>
  <c r="Q380" i="1"/>
  <c r="S380" i="1" s="1"/>
  <c r="G380" i="1"/>
  <c r="I380" i="1" s="1"/>
  <c r="AD379" i="1"/>
  <c r="AF379" i="1" s="1"/>
  <c r="AH379" i="1" s="1"/>
  <c r="AE379" i="1"/>
  <c r="AG379" i="1" s="1"/>
  <c r="AT378" i="1"/>
  <c r="AV378" i="1" s="1"/>
  <c r="AS378" i="1"/>
  <c r="AU378" i="1" s="1"/>
  <c r="AW378" i="1" s="1"/>
  <c r="CL375" i="1"/>
  <c r="CN375" i="1" s="1"/>
  <c r="CP375" i="1" s="1"/>
  <c r="CM375" i="1"/>
  <c r="CO375" i="1" s="1"/>
  <c r="J380" i="1" l="1"/>
  <c r="L380" i="1" s="1"/>
  <c r="N380" i="1" s="1"/>
  <c r="K380" i="1"/>
  <c r="M380" i="1" s="1"/>
  <c r="D381" i="1"/>
  <c r="AJ379" i="1"/>
  <c r="AL379" i="1" s="1"/>
  <c r="AI379" i="1"/>
  <c r="AK379" i="1" s="1"/>
  <c r="AM379" i="1" s="1"/>
  <c r="U380" i="1"/>
  <c r="W380" i="1" s="1"/>
  <c r="T380" i="1"/>
  <c r="V380" i="1" s="1"/>
  <c r="X380" i="1" s="1"/>
  <c r="BN377" i="1"/>
  <c r="BP377" i="1" s="1"/>
  <c r="BM377" i="1"/>
  <c r="BO377" i="1" s="1"/>
  <c r="BQ377" i="1" s="1"/>
  <c r="CC376" i="1"/>
  <c r="CE376" i="1" s="1"/>
  <c r="CB376" i="1"/>
  <c r="CD376" i="1" s="1"/>
  <c r="CF376" i="1" s="1"/>
  <c r="CQ375" i="1"/>
  <c r="CS375" i="1" s="1"/>
  <c r="CU375" i="1" s="1"/>
  <c r="CR375" i="1"/>
  <c r="CT375" i="1" s="1"/>
  <c r="AY378" i="1"/>
  <c r="BA378" i="1" s="1"/>
  <c r="AX378" i="1"/>
  <c r="AZ378" i="1" s="1"/>
  <c r="BB378" i="1" s="1"/>
  <c r="CV375" i="1" l="1"/>
  <c r="CX375" i="1" s="1"/>
  <c r="CW375" i="1"/>
  <c r="CY375" i="1" s="1"/>
  <c r="CH376" i="1"/>
  <c r="CJ376" i="1" s="1"/>
  <c r="CG376" i="1"/>
  <c r="CI376" i="1" s="1"/>
  <c r="CK376" i="1" s="1"/>
  <c r="BD378" i="1"/>
  <c r="BF378" i="1" s="1"/>
  <c r="BC378" i="1"/>
  <c r="BE378" i="1" s="1"/>
  <c r="BG378" i="1" s="1"/>
  <c r="F381" i="1"/>
  <c r="H381" i="1" s="1"/>
  <c r="E381" i="1"/>
  <c r="BS377" i="1"/>
  <c r="BU377" i="1" s="1"/>
  <c r="BR377" i="1"/>
  <c r="BT377" i="1" s="1"/>
  <c r="BV377" i="1" s="1"/>
  <c r="AN379" i="1"/>
  <c r="AP379" i="1" s="1"/>
  <c r="AR379" i="1" s="1"/>
  <c r="AO379" i="1"/>
  <c r="AQ379" i="1" s="1"/>
  <c r="Y380" i="1"/>
  <c r="AA380" i="1" s="1"/>
  <c r="AC380" i="1" s="1"/>
  <c r="Z380" i="1"/>
  <c r="AB380" i="1" s="1"/>
  <c r="P380" i="1"/>
  <c r="R380" i="1" s="1"/>
  <c r="O380" i="1"/>
  <c r="BX377" i="1" l="1"/>
  <c r="BZ377" i="1" s="1"/>
  <c r="BW377" i="1"/>
  <c r="BY377" i="1" s="1"/>
  <c r="CA377" i="1" s="1"/>
  <c r="G381" i="1"/>
  <c r="I381" i="1" s="1"/>
  <c r="Q381" i="1"/>
  <c r="S381" i="1" s="1"/>
  <c r="AT379" i="1"/>
  <c r="AV379" i="1" s="1"/>
  <c r="AS379" i="1"/>
  <c r="AU379" i="1" s="1"/>
  <c r="AW379" i="1" s="1"/>
  <c r="BH378" i="1"/>
  <c r="BJ378" i="1" s="1"/>
  <c r="BL378" i="1" s="1"/>
  <c r="BI378" i="1"/>
  <c r="BK378" i="1" s="1"/>
  <c r="CM376" i="1"/>
  <c r="CO376" i="1" s="1"/>
  <c r="CL376" i="1"/>
  <c r="CN376" i="1" s="1"/>
  <c r="CP376" i="1" s="1"/>
  <c r="AD380" i="1"/>
  <c r="AF380" i="1" s="1"/>
  <c r="AH380" i="1" s="1"/>
  <c r="AE380" i="1"/>
  <c r="AG380" i="1" s="1"/>
  <c r="CZ375" i="1"/>
  <c r="AI380" i="1" l="1"/>
  <c r="AK380" i="1" s="1"/>
  <c r="AM380" i="1" s="1"/>
  <c r="AJ380" i="1"/>
  <c r="AL380" i="1" s="1"/>
  <c r="BN378" i="1"/>
  <c r="BP378" i="1" s="1"/>
  <c r="BM378" i="1"/>
  <c r="BO378" i="1" s="1"/>
  <c r="BQ378" i="1" s="1"/>
  <c r="K381" i="1"/>
  <c r="M381" i="1" s="1"/>
  <c r="J381" i="1"/>
  <c r="L381" i="1" s="1"/>
  <c r="N381" i="1" s="1"/>
  <c r="D382" i="1"/>
  <c r="CC377" i="1"/>
  <c r="CE377" i="1" s="1"/>
  <c r="CB377" i="1"/>
  <c r="CD377" i="1" s="1"/>
  <c r="CF377" i="1" s="1"/>
  <c r="CR376" i="1"/>
  <c r="CT376" i="1" s="1"/>
  <c r="CQ376" i="1"/>
  <c r="CS376" i="1" s="1"/>
  <c r="CU376" i="1" s="1"/>
  <c r="AX379" i="1"/>
  <c r="AZ379" i="1" s="1"/>
  <c r="BB379" i="1" s="1"/>
  <c r="AY379" i="1"/>
  <c r="BA379" i="1" s="1"/>
  <c r="U381" i="1"/>
  <c r="W381" i="1" s="1"/>
  <c r="T381" i="1"/>
  <c r="V381" i="1" s="1"/>
  <c r="X381" i="1" s="1"/>
  <c r="DB375" i="1"/>
  <c r="DD375" i="1" s="1"/>
  <c r="DA375" i="1"/>
  <c r="DC375" i="1" s="1"/>
  <c r="CV376" i="1" l="1"/>
  <c r="CX376" i="1" s="1"/>
  <c r="CW376" i="1"/>
  <c r="CY376" i="1" s="1"/>
  <c r="CH377" i="1"/>
  <c r="CJ377" i="1" s="1"/>
  <c r="CG377" i="1"/>
  <c r="CI377" i="1" s="1"/>
  <c r="CK377" i="1" s="1"/>
  <c r="P381" i="1"/>
  <c r="R381" i="1" s="1"/>
  <c r="O381" i="1"/>
  <c r="E382" i="1"/>
  <c r="F382" i="1"/>
  <c r="H382" i="1" s="1"/>
  <c r="Z381" i="1"/>
  <c r="AB381" i="1" s="1"/>
  <c r="Y381" i="1"/>
  <c r="AA381" i="1" s="1"/>
  <c r="AC381" i="1" s="1"/>
  <c r="BD379" i="1"/>
  <c r="BF379" i="1" s="1"/>
  <c r="BC379" i="1"/>
  <c r="BE379" i="1" s="1"/>
  <c r="BG379" i="1" s="1"/>
  <c r="BR378" i="1"/>
  <c r="BT378" i="1" s="1"/>
  <c r="BV378" i="1" s="1"/>
  <c r="BS378" i="1"/>
  <c r="BU378" i="1" s="1"/>
  <c r="AO380" i="1"/>
  <c r="AQ380" i="1" s="1"/>
  <c r="AN380" i="1"/>
  <c r="AP380" i="1" s="1"/>
  <c r="AR380" i="1" s="1"/>
  <c r="Q382" i="1" l="1"/>
  <c r="S382" i="1" s="1"/>
  <c r="G382" i="1"/>
  <c r="I382" i="1" s="1"/>
  <c r="AD381" i="1"/>
  <c r="AF381" i="1" s="1"/>
  <c r="AH381" i="1" s="1"/>
  <c r="AE381" i="1"/>
  <c r="AG381" i="1" s="1"/>
  <c r="AS380" i="1"/>
  <c r="AU380" i="1" s="1"/>
  <c r="AW380" i="1" s="1"/>
  <c r="AT380" i="1"/>
  <c r="AV380" i="1" s="1"/>
  <c r="CM377" i="1"/>
  <c r="CO377" i="1" s="1"/>
  <c r="CL377" i="1"/>
  <c r="CN377" i="1" s="1"/>
  <c r="CP377" i="1" s="1"/>
  <c r="BX378" i="1"/>
  <c r="BZ378" i="1" s="1"/>
  <c r="BW378" i="1"/>
  <c r="BY378" i="1" s="1"/>
  <c r="CA378" i="1" s="1"/>
  <c r="BH379" i="1"/>
  <c r="BJ379" i="1" s="1"/>
  <c r="BL379" i="1" s="1"/>
  <c r="BI379" i="1"/>
  <c r="BK379" i="1" s="1"/>
  <c r="CZ376" i="1"/>
  <c r="BM379" i="1" l="1"/>
  <c r="BO379" i="1" s="1"/>
  <c r="BQ379" i="1" s="1"/>
  <c r="BN379" i="1"/>
  <c r="BP379" i="1" s="1"/>
  <c r="AJ381" i="1"/>
  <c r="AL381" i="1" s="1"/>
  <c r="AI381" i="1"/>
  <c r="AK381" i="1" s="1"/>
  <c r="AM381" i="1" s="1"/>
  <c r="CQ377" i="1"/>
  <c r="CS377" i="1" s="1"/>
  <c r="CU377" i="1" s="1"/>
  <c r="CR377" i="1"/>
  <c r="CT377" i="1" s="1"/>
  <c r="J382" i="1"/>
  <c r="L382" i="1" s="1"/>
  <c r="N382" i="1" s="1"/>
  <c r="K382" i="1"/>
  <c r="M382" i="1" s="1"/>
  <c r="D383" i="1"/>
  <c r="CB378" i="1"/>
  <c r="CD378" i="1" s="1"/>
  <c r="CF378" i="1" s="1"/>
  <c r="CC378" i="1"/>
  <c r="CE378" i="1" s="1"/>
  <c r="AX380" i="1"/>
  <c r="AZ380" i="1" s="1"/>
  <c r="BB380" i="1" s="1"/>
  <c r="AY380" i="1"/>
  <c r="BA380" i="1" s="1"/>
  <c r="DB376" i="1"/>
  <c r="DD376" i="1" s="1"/>
  <c r="DA376" i="1"/>
  <c r="DC376" i="1" s="1"/>
  <c r="U382" i="1"/>
  <c r="W382" i="1" s="1"/>
  <c r="T382" i="1"/>
  <c r="V382" i="1" s="1"/>
  <c r="X382" i="1" s="1"/>
  <c r="CH378" i="1" l="1"/>
  <c r="CJ378" i="1" s="1"/>
  <c r="CG378" i="1"/>
  <c r="CI378" i="1" s="1"/>
  <c r="CK378" i="1" s="1"/>
  <c r="F383" i="1"/>
  <c r="H383" i="1" s="1"/>
  <c r="E383" i="1"/>
  <c r="Y382" i="1"/>
  <c r="AA382" i="1" s="1"/>
  <c r="AC382" i="1" s="1"/>
  <c r="Z382" i="1"/>
  <c r="AB382" i="1" s="1"/>
  <c r="BD380" i="1"/>
  <c r="BF380" i="1" s="1"/>
  <c r="BC380" i="1"/>
  <c r="BE380" i="1" s="1"/>
  <c r="BG380" i="1" s="1"/>
  <c r="P382" i="1"/>
  <c r="R382" i="1" s="1"/>
  <c r="O382" i="1"/>
  <c r="CV377" i="1"/>
  <c r="CX377" i="1" s="1"/>
  <c r="CZ377" i="1" s="1"/>
  <c r="CW377" i="1"/>
  <c r="CY377" i="1" s="1"/>
  <c r="AN381" i="1"/>
  <c r="AP381" i="1" s="1"/>
  <c r="AR381" i="1" s="1"/>
  <c r="AO381" i="1"/>
  <c r="AQ381" i="1" s="1"/>
  <c r="BS379" i="1"/>
  <c r="BU379" i="1" s="1"/>
  <c r="BR379" i="1"/>
  <c r="BT379" i="1" s="1"/>
  <c r="BV379" i="1" s="1"/>
  <c r="DB377" i="1" l="1"/>
  <c r="DD377" i="1" s="1"/>
  <c r="DA377" i="1"/>
  <c r="DC377" i="1" s="1"/>
  <c r="AD382" i="1"/>
  <c r="AF382" i="1" s="1"/>
  <c r="AH382" i="1" s="1"/>
  <c r="AE382" i="1"/>
  <c r="AG382" i="1" s="1"/>
  <c r="G383" i="1"/>
  <c r="I383" i="1" s="1"/>
  <c r="Q383" i="1"/>
  <c r="S383" i="1" s="1"/>
  <c r="CL378" i="1"/>
  <c r="CN378" i="1" s="1"/>
  <c r="CP378" i="1" s="1"/>
  <c r="CM378" i="1"/>
  <c r="CO378" i="1" s="1"/>
  <c r="BH380" i="1"/>
  <c r="BJ380" i="1" s="1"/>
  <c r="BL380" i="1" s="1"/>
  <c r="BI380" i="1"/>
  <c r="BK380" i="1" s="1"/>
  <c r="BX379" i="1"/>
  <c r="BZ379" i="1" s="1"/>
  <c r="BW379" i="1"/>
  <c r="BY379" i="1" s="1"/>
  <c r="CA379" i="1" s="1"/>
  <c r="AT381" i="1"/>
  <c r="AV381" i="1" s="1"/>
  <c r="AS381" i="1"/>
  <c r="AU381" i="1" s="1"/>
  <c r="AW381" i="1" s="1"/>
  <c r="CC379" i="1" l="1"/>
  <c r="CE379" i="1" s="1"/>
  <c r="CB379" i="1"/>
  <c r="CD379" i="1" s="1"/>
  <c r="CF379" i="1" s="1"/>
  <c r="CQ378" i="1"/>
  <c r="CS378" i="1" s="1"/>
  <c r="CU378" i="1" s="1"/>
  <c r="CR378" i="1"/>
  <c r="CT378" i="1" s="1"/>
  <c r="AJ382" i="1"/>
  <c r="AL382" i="1" s="1"/>
  <c r="AI382" i="1"/>
  <c r="AK382" i="1" s="1"/>
  <c r="AM382" i="1" s="1"/>
  <c r="T383" i="1"/>
  <c r="V383" i="1" s="1"/>
  <c r="X383" i="1" s="1"/>
  <c r="U383" i="1"/>
  <c r="W383" i="1" s="1"/>
  <c r="AY381" i="1"/>
  <c r="BA381" i="1" s="1"/>
  <c r="AX381" i="1"/>
  <c r="AZ381" i="1" s="1"/>
  <c r="BB381" i="1" s="1"/>
  <c r="BM380" i="1"/>
  <c r="BO380" i="1" s="1"/>
  <c r="BQ380" i="1" s="1"/>
  <c r="BN380" i="1"/>
  <c r="BP380" i="1" s="1"/>
  <c r="J383" i="1"/>
  <c r="L383" i="1" s="1"/>
  <c r="N383" i="1" s="1"/>
  <c r="K383" i="1"/>
  <c r="M383" i="1" s="1"/>
  <c r="D384" i="1"/>
  <c r="BD381" i="1" l="1"/>
  <c r="BF381" i="1" s="1"/>
  <c r="BC381" i="1"/>
  <c r="BE381" i="1" s="1"/>
  <c r="BG381" i="1" s="1"/>
  <c r="F384" i="1"/>
  <c r="H384" i="1" s="1"/>
  <c r="E384" i="1"/>
  <c r="BS380" i="1"/>
  <c r="BU380" i="1" s="1"/>
  <c r="BR380" i="1"/>
  <c r="BT380" i="1" s="1"/>
  <c r="BV380" i="1" s="1"/>
  <c r="AN382" i="1"/>
  <c r="AP382" i="1" s="1"/>
  <c r="AR382" i="1" s="1"/>
  <c r="AO382" i="1"/>
  <c r="AQ382" i="1" s="1"/>
  <c r="CH379" i="1"/>
  <c r="CJ379" i="1" s="1"/>
  <c r="CG379" i="1"/>
  <c r="CI379" i="1" s="1"/>
  <c r="CK379" i="1" s="1"/>
  <c r="Z383" i="1"/>
  <c r="AB383" i="1" s="1"/>
  <c r="Y383" i="1"/>
  <c r="AA383" i="1" s="1"/>
  <c r="AC383" i="1" s="1"/>
  <c r="CW378" i="1"/>
  <c r="CY378" i="1" s="1"/>
  <c r="CV378" i="1"/>
  <c r="CX378" i="1" s="1"/>
  <c r="P383" i="1"/>
  <c r="R383" i="1" s="1"/>
  <c r="O383" i="1"/>
  <c r="CL379" i="1" l="1"/>
  <c r="CN379" i="1" s="1"/>
  <c r="CP379" i="1" s="1"/>
  <c r="CM379" i="1"/>
  <c r="CO379" i="1" s="1"/>
  <c r="BX380" i="1"/>
  <c r="BZ380" i="1" s="1"/>
  <c r="BW380" i="1"/>
  <c r="BY380" i="1" s="1"/>
  <c r="CA380" i="1" s="1"/>
  <c r="G384" i="1"/>
  <c r="I384" i="1" s="1"/>
  <c r="Q384" i="1"/>
  <c r="S384" i="1" s="1"/>
  <c r="AT382" i="1"/>
  <c r="AV382" i="1" s="1"/>
  <c r="AS382" i="1"/>
  <c r="AU382" i="1" s="1"/>
  <c r="AW382" i="1" s="1"/>
  <c r="BH381" i="1"/>
  <c r="BJ381" i="1" s="1"/>
  <c r="BL381" i="1" s="1"/>
  <c r="BI381" i="1"/>
  <c r="BK381" i="1" s="1"/>
  <c r="CZ378" i="1"/>
  <c r="AD383" i="1"/>
  <c r="AF383" i="1" s="1"/>
  <c r="AH383" i="1" s="1"/>
  <c r="AE383" i="1"/>
  <c r="AG383" i="1" s="1"/>
  <c r="BM381" i="1" l="1"/>
  <c r="BO381" i="1" s="1"/>
  <c r="BQ381" i="1" s="1"/>
  <c r="BN381" i="1"/>
  <c r="BP381" i="1" s="1"/>
  <c r="AX382" i="1"/>
  <c r="AZ382" i="1" s="1"/>
  <c r="BB382" i="1" s="1"/>
  <c r="AY382" i="1"/>
  <c r="BA382" i="1" s="1"/>
  <c r="DA378" i="1"/>
  <c r="DC378" i="1" s="1"/>
  <c r="DB378" i="1"/>
  <c r="DD378" i="1" s="1"/>
  <c r="K384" i="1"/>
  <c r="M384" i="1" s="1"/>
  <c r="J384" i="1"/>
  <c r="L384" i="1" s="1"/>
  <c r="N384" i="1" s="1"/>
  <c r="D385" i="1"/>
  <c r="AJ383" i="1"/>
  <c r="AL383" i="1" s="1"/>
  <c r="AI383" i="1"/>
  <c r="AK383" i="1" s="1"/>
  <c r="AM383" i="1" s="1"/>
  <c r="T384" i="1"/>
  <c r="V384" i="1" s="1"/>
  <c r="X384" i="1" s="1"/>
  <c r="U384" i="1"/>
  <c r="W384" i="1" s="1"/>
  <c r="CC380" i="1"/>
  <c r="CE380" i="1" s="1"/>
  <c r="CB380" i="1"/>
  <c r="CD380" i="1" s="1"/>
  <c r="CF380" i="1" s="1"/>
  <c r="CQ379" i="1"/>
  <c r="CS379" i="1" s="1"/>
  <c r="CU379" i="1" s="1"/>
  <c r="CR379" i="1"/>
  <c r="CT379" i="1" s="1"/>
  <c r="F385" i="1" l="1"/>
  <c r="H385" i="1" s="1"/>
  <c r="E385" i="1"/>
  <c r="AN383" i="1"/>
  <c r="AP383" i="1" s="1"/>
  <c r="AR383" i="1" s="1"/>
  <c r="AO383" i="1"/>
  <c r="AQ383" i="1" s="1"/>
  <c r="CV379" i="1"/>
  <c r="CX379" i="1" s="1"/>
  <c r="CW379" i="1"/>
  <c r="CY379" i="1" s="1"/>
  <c r="BD382" i="1"/>
  <c r="BF382" i="1" s="1"/>
  <c r="BC382" i="1"/>
  <c r="BE382" i="1" s="1"/>
  <c r="BG382" i="1" s="1"/>
  <c r="P384" i="1"/>
  <c r="R384" i="1" s="1"/>
  <c r="O384" i="1"/>
  <c r="CH380" i="1"/>
  <c r="CJ380" i="1" s="1"/>
  <c r="CG380" i="1"/>
  <c r="CI380" i="1" s="1"/>
  <c r="CK380" i="1" s="1"/>
  <c r="Z384" i="1"/>
  <c r="AB384" i="1" s="1"/>
  <c r="Y384" i="1"/>
  <c r="AA384" i="1" s="1"/>
  <c r="AC384" i="1" s="1"/>
  <c r="BR381" i="1"/>
  <c r="BT381" i="1" s="1"/>
  <c r="BV381" i="1" s="1"/>
  <c r="BS381" i="1"/>
  <c r="BU381" i="1" s="1"/>
  <c r="CZ379" i="1" l="1"/>
  <c r="BH382" i="1"/>
  <c r="BJ382" i="1" s="1"/>
  <c r="BL382" i="1" s="1"/>
  <c r="BI382" i="1"/>
  <c r="BK382" i="1" s="1"/>
  <c r="AT383" i="1"/>
  <c r="AV383" i="1" s="1"/>
  <c r="AS383" i="1"/>
  <c r="AU383" i="1" s="1"/>
  <c r="AW383" i="1" s="1"/>
  <c r="Q385" i="1"/>
  <c r="S385" i="1" s="1"/>
  <c r="G385" i="1"/>
  <c r="I385" i="1" s="1"/>
  <c r="BX381" i="1"/>
  <c r="BZ381" i="1" s="1"/>
  <c r="BW381" i="1"/>
  <c r="BY381" i="1" s="1"/>
  <c r="CA381" i="1" s="1"/>
  <c r="AD384" i="1"/>
  <c r="AF384" i="1" s="1"/>
  <c r="AH384" i="1" s="1"/>
  <c r="AE384" i="1"/>
  <c r="AG384" i="1" s="1"/>
  <c r="CM380" i="1"/>
  <c r="CO380" i="1" s="1"/>
  <c r="CL380" i="1"/>
  <c r="CN380" i="1" s="1"/>
  <c r="CP380" i="1" s="1"/>
  <c r="AX383" i="1" l="1"/>
  <c r="AZ383" i="1" s="1"/>
  <c r="BB383" i="1" s="1"/>
  <c r="AY383" i="1"/>
  <c r="BA383" i="1" s="1"/>
  <c r="CC381" i="1"/>
  <c r="CE381" i="1" s="1"/>
  <c r="CB381" i="1"/>
  <c r="CD381" i="1" s="1"/>
  <c r="CF381" i="1" s="1"/>
  <c r="K385" i="1"/>
  <c r="M385" i="1" s="1"/>
  <c r="J385" i="1"/>
  <c r="L385" i="1" s="1"/>
  <c r="N385" i="1" s="1"/>
  <c r="D386" i="1"/>
  <c r="BM382" i="1"/>
  <c r="BO382" i="1" s="1"/>
  <c r="BQ382" i="1" s="1"/>
  <c r="BN382" i="1"/>
  <c r="BP382" i="1" s="1"/>
  <c r="AJ384" i="1"/>
  <c r="AL384" i="1" s="1"/>
  <c r="AI384" i="1"/>
  <c r="AK384" i="1" s="1"/>
  <c r="AM384" i="1" s="1"/>
  <c r="T385" i="1"/>
  <c r="V385" i="1" s="1"/>
  <c r="X385" i="1" s="1"/>
  <c r="U385" i="1"/>
  <c r="W385" i="1" s="1"/>
  <c r="CR380" i="1"/>
  <c r="CT380" i="1" s="1"/>
  <c r="CQ380" i="1"/>
  <c r="CS380" i="1" s="1"/>
  <c r="CU380" i="1" s="1"/>
  <c r="DB379" i="1"/>
  <c r="DD379" i="1" s="1"/>
  <c r="DA379" i="1"/>
  <c r="DC379" i="1" s="1"/>
  <c r="F386" i="1" l="1"/>
  <c r="H386" i="1" s="1"/>
  <c r="E386" i="1"/>
  <c r="Z385" i="1"/>
  <c r="AB385" i="1" s="1"/>
  <c r="Y385" i="1"/>
  <c r="AA385" i="1" s="1"/>
  <c r="AC385" i="1" s="1"/>
  <c r="BS382" i="1"/>
  <c r="BU382" i="1" s="1"/>
  <c r="BR382" i="1"/>
  <c r="BT382" i="1" s="1"/>
  <c r="BV382" i="1" s="1"/>
  <c r="CV380" i="1"/>
  <c r="CX380" i="1" s="1"/>
  <c r="CZ380" i="1" s="1"/>
  <c r="CW380" i="1"/>
  <c r="CY380" i="1" s="1"/>
  <c r="AN384" i="1"/>
  <c r="AP384" i="1" s="1"/>
  <c r="AR384" i="1" s="1"/>
  <c r="AO384" i="1"/>
  <c r="AQ384" i="1" s="1"/>
  <c r="P385" i="1"/>
  <c r="R385" i="1" s="1"/>
  <c r="O385" i="1"/>
  <c r="CH381" i="1"/>
  <c r="CJ381" i="1" s="1"/>
  <c r="CG381" i="1"/>
  <c r="CI381" i="1" s="1"/>
  <c r="CK381" i="1" s="1"/>
  <c r="BD383" i="1"/>
  <c r="BF383" i="1" s="1"/>
  <c r="BC383" i="1"/>
  <c r="BE383" i="1" s="1"/>
  <c r="BG383" i="1" s="1"/>
  <c r="DB380" i="1" l="1"/>
  <c r="DD380" i="1" s="1"/>
  <c r="DA380" i="1"/>
  <c r="DC380" i="1" s="1"/>
  <c r="BI383" i="1"/>
  <c r="BK383" i="1" s="1"/>
  <c r="BH383" i="1"/>
  <c r="BJ383" i="1" s="1"/>
  <c r="BL383" i="1" s="1"/>
  <c r="AT384" i="1"/>
  <c r="AV384" i="1" s="1"/>
  <c r="AS384" i="1"/>
  <c r="AU384" i="1" s="1"/>
  <c r="AW384" i="1" s="1"/>
  <c r="BX382" i="1"/>
  <c r="BZ382" i="1" s="1"/>
  <c r="BW382" i="1"/>
  <c r="BY382" i="1" s="1"/>
  <c r="CA382" i="1" s="1"/>
  <c r="AD385" i="1"/>
  <c r="AF385" i="1" s="1"/>
  <c r="AH385" i="1" s="1"/>
  <c r="AE385" i="1"/>
  <c r="AG385" i="1" s="1"/>
  <c r="CL381" i="1"/>
  <c r="CN381" i="1" s="1"/>
  <c r="CP381" i="1" s="1"/>
  <c r="CM381" i="1"/>
  <c r="CO381" i="1" s="1"/>
  <c r="Q386" i="1"/>
  <c r="S386" i="1" s="1"/>
  <c r="G386" i="1"/>
  <c r="I386" i="1" s="1"/>
  <c r="CR381" i="1" l="1"/>
  <c r="CT381" i="1" s="1"/>
  <c r="CQ381" i="1"/>
  <c r="CS381" i="1" s="1"/>
  <c r="CU381" i="1" s="1"/>
  <c r="AJ385" i="1"/>
  <c r="AL385" i="1" s="1"/>
  <c r="AI385" i="1"/>
  <c r="AK385" i="1" s="1"/>
  <c r="AM385" i="1" s="1"/>
  <c r="AX384" i="1"/>
  <c r="AZ384" i="1" s="1"/>
  <c r="BB384" i="1" s="1"/>
  <c r="AY384" i="1"/>
  <c r="BA384" i="1" s="1"/>
  <c r="J386" i="1"/>
  <c r="L386" i="1" s="1"/>
  <c r="N386" i="1" s="1"/>
  <c r="K386" i="1"/>
  <c r="M386" i="1" s="1"/>
  <c r="D387" i="1"/>
  <c r="CC382" i="1"/>
  <c r="CE382" i="1" s="1"/>
  <c r="CB382" i="1"/>
  <c r="CD382" i="1" s="1"/>
  <c r="CF382" i="1" s="1"/>
  <c r="BN383" i="1"/>
  <c r="BP383" i="1" s="1"/>
  <c r="BM383" i="1"/>
  <c r="BO383" i="1" s="1"/>
  <c r="BQ383" i="1" s="1"/>
  <c r="U386" i="1"/>
  <c r="W386" i="1" s="1"/>
  <c r="T386" i="1"/>
  <c r="V386" i="1" s="1"/>
  <c r="X386" i="1" s="1"/>
  <c r="O386" i="1" l="1"/>
  <c r="P386" i="1"/>
  <c r="R386" i="1" s="1"/>
  <c r="Y386" i="1"/>
  <c r="AA386" i="1" s="1"/>
  <c r="AC386" i="1" s="1"/>
  <c r="Z386" i="1"/>
  <c r="AB386" i="1" s="1"/>
  <c r="CG382" i="1"/>
  <c r="CI382" i="1" s="1"/>
  <c r="CK382" i="1" s="1"/>
  <c r="CH382" i="1"/>
  <c r="CJ382" i="1" s="1"/>
  <c r="F387" i="1"/>
  <c r="H387" i="1" s="1"/>
  <c r="E387" i="1"/>
  <c r="BD384" i="1"/>
  <c r="BF384" i="1" s="1"/>
  <c r="BC384" i="1"/>
  <c r="BE384" i="1" s="1"/>
  <c r="BG384" i="1" s="1"/>
  <c r="AN385" i="1"/>
  <c r="AP385" i="1" s="1"/>
  <c r="AR385" i="1" s="1"/>
  <c r="AO385" i="1"/>
  <c r="AQ385" i="1" s="1"/>
  <c r="CV381" i="1"/>
  <c r="CX381" i="1" s="1"/>
  <c r="CW381" i="1"/>
  <c r="CY381" i="1" s="1"/>
  <c r="BS383" i="1"/>
  <c r="BU383" i="1" s="1"/>
  <c r="BR383" i="1"/>
  <c r="BT383" i="1" s="1"/>
  <c r="BV383" i="1" s="1"/>
  <c r="AT385" i="1" l="1"/>
  <c r="AV385" i="1" s="1"/>
  <c r="AS385" i="1"/>
  <c r="AU385" i="1" s="1"/>
  <c r="AW385" i="1" s="1"/>
  <c r="BH384" i="1"/>
  <c r="BJ384" i="1" s="1"/>
  <c r="BL384" i="1" s="1"/>
  <c r="BI384" i="1"/>
  <c r="BK384" i="1" s="1"/>
  <c r="BX383" i="1"/>
  <c r="BZ383" i="1" s="1"/>
  <c r="BW383" i="1"/>
  <c r="BY383" i="1" s="1"/>
  <c r="CA383" i="1" s="1"/>
  <c r="Q387" i="1"/>
  <c r="S387" i="1" s="1"/>
  <c r="G387" i="1"/>
  <c r="I387" i="1" s="1"/>
  <c r="CL382" i="1"/>
  <c r="CN382" i="1" s="1"/>
  <c r="CP382" i="1" s="1"/>
  <c r="CM382" i="1"/>
  <c r="CO382" i="1" s="1"/>
  <c r="AD386" i="1"/>
  <c r="AF386" i="1" s="1"/>
  <c r="AH386" i="1" s="1"/>
  <c r="AE386" i="1"/>
  <c r="AG386" i="1" s="1"/>
  <c r="CZ381" i="1"/>
  <c r="J387" i="1" l="1"/>
  <c r="L387" i="1" s="1"/>
  <c r="N387" i="1" s="1"/>
  <c r="K387" i="1"/>
  <c r="M387" i="1" s="1"/>
  <c r="D388" i="1"/>
  <c r="CQ382" i="1"/>
  <c r="CS382" i="1" s="1"/>
  <c r="CU382" i="1" s="1"/>
  <c r="CR382" i="1"/>
  <c r="CT382" i="1" s="1"/>
  <c r="BM384" i="1"/>
  <c r="BO384" i="1" s="1"/>
  <c r="BQ384" i="1" s="1"/>
  <c r="BN384" i="1"/>
  <c r="BP384" i="1" s="1"/>
  <c r="AI386" i="1"/>
  <c r="AK386" i="1" s="1"/>
  <c r="AM386" i="1" s="1"/>
  <c r="AJ386" i="1"/>
  <c r="AL386" i="1" s="1"/>
  <c r="U387" i="1"/>
  <c r="W387" i="1" s="1"/>
  <c r="T387" i="1"/>
  <c r="V387" i="1" s="1"/>
  <c r="X387" i="1" s="1"/>
  <c r="AX385" i="1"/>
  <c r="AZ385" i="1" s="1"/>
  <c r="BB385" i="1" s="1"/>
  <c r="AY385" i="1"/>
  <c r="BA385" i="1" s="1"/>
  <c r="CB383" i="1"/>
  <c r="CD383" i="1" s="1"/>
  <c r="CF383" i="1" s="1"/>
  <c r="CC383" i="1"/>
  <c r="CE383" i="1" s="1"/>
  <c r="DB381" i="1"/>
  <c r="DD381" i="1" s="1"/>
  <c r="DA381" i="1"/>
  <c r="DC381" i="1" s="1"/>
  <c r="BC385" i="1" l="1"/>
  <c r="BE385" i="1" s="1"/>
  <c r="BG385" i="1" s="1"/>
  <c r="BD385" i="1"/>
  <c r="BF385" i="1" s="1"/>
  <c r="BR384" i="1"/>
  <c r="BT384" i="1" s="1"/>
  <c r="BV384" i="1" s="1"/>
  <c r="BS384" i="1"/>
  <c r="BU384" i="1" s="1"/>
  <c r="CV382" i="1"/>
  <c r="CX382" i="1" s="1"/>
  <c r="CW382" i="1"/>
  <c r="CY382" i="1" s="1"/>
  <c r="F388" i="1"/>
  <c r="H388" i="1" s="1"/>
  <c r="E388" i="1"/>
  <c r="Y387" i="1"/>
  <c r="AA387" i="1" s="1"/>
  <c r="AC387" i="1" s="1"/>
  <c r="Z387" i="1"/>
  <c r="AB387" i="1" s="1"/>
  <c r="CG383" i="1"/>
  <c r="CI383" i="1" s="1"/>
  <c r="CK383" i="1" s="1"/>
  <c r="CH383" i="1"/>
  <c r="CJ383" i="1" s="1"/>
  <c r="AO386" i="1"/>
  <c r="AQ386" i="1" s="1"/>
  <c r="AN386" i="1"/>
  <c r="AP386" i="1" s="1"/>
  <c r="AR386" i="1" s="1"/>
  <c r="O387" i="1"/>
  <c r="P387" i="1"/>
  <c r="R387" i="1" s="1"/>
  <c r="CL383" i="1" l="1"/>
  <c r="CN383" i="1" s="1"/>
  <c r="CP383" i="1" s="1"/>
  <c r="CM383" i="1"/>
  <c r="CO383" i="1" s="1"/>
  <c r="BX384" i="1"/>
  <c r="BZ384" i="1" s="1"/>
  <c r="BW384" i="1"/>
  <c r="BY384" i="1" s="1"/>
  <c r="CA384" i="1" s="1"/>
  <c r="AE387" i="1"/>
  <c r="AG387" i="1" s="1"/>
  <c r="AD387" i="1"/>
  <c r="AF387" i="1" s="1"/>
  <c r="AH387" i="1" s="1"/>
  <c r="AT386" i="1"/>
  <c r="AV386" i="1" s="1"/>
  <c r="AS386" i="1"/>
  <c r="AU386" i="1" s="1"/>
  <c r="AW386" i="1" s="1"/>
  <c r="G388" i="1"/>
  <c r="I388" i="1" s="1"/>
  <c r="Q388" i="1"/>
  <c r="S388" i="1" s="1"/>
  <c r="CZ382" i="1"/>
  <c r="BI385" i="1"/>
  <c r="BK385" i="1" s="1"/>
  <c r="BH385" i="1"/>
  <c r="BJ385" i="1" s="1"/>
  <c r="BL385" i="1" s="1"/>
  <c r="J388" i="1" l="1"/>
  <c r="L388" i="1" s="1"/>
  <c r="N388" i="1" s="1"/>
  <c r="K388" i="1"/>
  <c r="M388" i="1" s="1"/>
  <c r="D389" i="1"/>
  <c r="DB382" i="1"/>
  <c r="DD382" i="1" s="1"/>
  <c r="DA382" i="1"/>
  <c r="DC382" i="1" s="1"/>
  <c r="CB384" i="1"/>
  <c r="CD384" i="1" s="1"/>
  <c r="CF384" i="1" s="1"/>
  <c r="CC384" i="1"/>
  <c r="CE384" i="1" s="1"/>
  <c r="AX386" i="1"/>
  <c r="AZ386" i="1" s="1"/>
  <c r="BB386" i="1" s="1"/>
  <c r="AY386" i="1"/>
  <c r="BA386" i="1" s="1"/>
  <c r="T388" i="1"/>
  <c r="V388" i="1" s="1"/>
  <c r="X388" i="1" s="1"/>
  <c r="U388" i="1"/>
  <c r="W388" i="1" s="1"/>
  <c r="AJ387" i="1"/>
  <c r="AL387" i="1" s="1"/>
  <c r="AI387" i="1"/>
  <c r="AK387" i="1" s="1"/>
  <c r="AM387" i="1" s="1"/>
  <c r="BN385" i="1"/>
  <c r="BP385" i="1" s="1"/>
  <c r="BM385" i="1"/>
  <c r="BO385" i="1" s="1"/>
  <c r="BQ385" i="1" s="1"/>
  <c r="CQ383" i="1"/>
  <c r="CS383" i="1" s="1"/>
  <c r="CU383" i="1" s="1"/>
  <c r="CR383" i="1"/>
  <c r="CT383" i="1" s="1"/>
  <c r="CH384" i="1" l="1"/>
  <c r="CJ384" i="1" s="1"/>
  <c r="CG384" i="1"/>
  <c r="CI384" i="1" s="1"/>
  <c r="CK384" i="1" s="1"/>
  <c r="BR385" i="1"/>
  <c r="BT385" i="1" s="1"/>
  <c r="BV385" i="1" s="1"/>
  <c r="BS385" i="1"/>
  <c r="BU385" i="1" s="1"/>
  <c r="Z388" i="1"/>
  <c r="AB388" i="1" s="1"/>
  <c r="Y388" i="1"/>
  <c r="AA388" i="1" s="1"/>
  <c r="AC388" i="1" s="1"/>
  <c r="F389" i="1"/>
  <c r="H389" i="1" s="1"/>
  <c r="E389" i="1"/>
  <c r="BD386" i="1"/>
  <c r="BF386" i="1" s="1"/>
  <c r="BC386" i="1"/>
  <c r="BE386" i="1" s="1"/>
  <c r="BG386" i="1" s="1"/>
  <c r="CV383" i="1"/>
  <c r="CX383" i="1" s="1"/>
  <c r="CZ383" i="1" s="1"/>
  <c r="CW383" i="1"/>
  <c r="CY383" i="1" s="1"/>
  <c r="AN387" i="1"/>
  <c r="AP387" i="1" s="1"/>
  <c r="AR387" i="1" s="1"/>
  <c r="AO387" i="1"/>
  <c r="AQ387" i="1" s="1"/>
  <c r="P388" i="1"/>
  <c r="R388" i="1" s="1"/>
  <c r="O388" i="1"/>
  <c r="BH386" i="1" l="1"/>
  <c r="BJ386" i="1" s="1"/>
  <c r="BL386" i="1" s="1"/>
  <c r="BI386" i="1"/>
  <c r="BK386" i="1" s="1"/>
  <c r="DB383" i="1"/>
  <c r="DD383" i="1" s="1"/>
  <c r="DA383" i="1"/>
  <c r="DC383" i="1" s="1"/>
  <c r="AD388" i="1"/>
  <c r="AF388" i="1" s="1"/>
  <c r="AH388" i="1" s="1"/>
  <c r="AE388" i="1"/>
  <c r="AG388" i="1" s="1"/>
  <c r="AT387" i="1"/>
  <c r="AV387" i="1" s="1"/>
  <c r="AS387" i="1"/>
  <c r="AU387" i="1" s="1"/>
  <c r="AW387" i="1" s="1"/>
  <c r="Q389" i="1"/>
  <c r="S389" i="1" s="1"/>
  <c r="G389" i="1"/>
  <c r="I389" i="1" s="1"/>
  <c r="BW385" i="1"/>
  <c r="BY385" i="1" s="1"/>
  <c r="CA385" i="1" s="1"/>
  <c r="BX385" i="1"/>
  <c r="BZ385" i="1" s="1"/>
  <c r="CL384" i="1"/>
  <c r="CN384" i="1" s="1"/>
  <c r="CP384" i="1" s="1"/>
  <c r="CM384" i="1"/>
  <c r="CO384" i="1" s="1"/>
  <c r="U389" i="1" l="1"/>
  <c r="W389" i="1" s="1"/>
  <c r="T389" i="1"/>
  <c r="V389" i="1" s="1"/>
  <c r="X389" i="1" s="1"/>
  <c r="CB385" i="1"/>
  <c r="CD385" i="1" s="1"/>
  <c r="CF385" i="1" s="1"/>
  <c r="CC385" i="1"/>
  <c r="CE385" i="1" s="1"/>
  <c r="AY387" i="1"/>
  <c r="BA387" i="1" s="1"/>
  <c r="AX387" i="1"/>
  <c r="AZ387" i="1" s="1"/>
  <c r="BB387" i="1" s="1"/>
  <c r="J389" i="1"/>
  <c r="L389" i="1" s="1"/>
  <c r="N389" i="1" s="1"/>
  <c r="K389" i="1"/>
  <c r="M389" i="1" s="1"/>
  <c r="D390" i="1"/>
  <c r="AI388" i="1"/>
  <c r="AK388" i="1" s="1"/>
  <c r="AM388" i="1" s="1"/>
  <c r="AJ388" i="1"/>
  <c r="AL388" i="1" s="1"/>
  <c r="CQ384" i="1"/>
  <c r="CS384" i="1" s="1"/>
  <c r="CU384" i="1" s="1"/>
  <c r="CR384" i="1"/>
  <c r="CT384" i="1" s="1"/>
  <c r="BN386" i="1"/>
  <c r="BP386" i="1" s="1"/>
  <c r="BM386" i="1"/>
  <c r="BO386" i="1" s="1"/>
  <c r="BQ386" i="1" s="1"/>
  <c r="F390" i="1" l="1"/>
  <c r="H390" i="1" s="1"/>
  <c r="E390" i="1"/>
  <c r="BR386" i="1"/>
  <c r="BT386" i="1" s="1"/>
  <c r="BV386" i="1" s="1"/>
  <c r="BS386" i="1"/>
  <c r="BU386" i="1" s="1"/>
  <c r="CW384" i="1"/>
  <c r="CY384" i="1" s="1"/>
  <c r="CV384" i="1"/>
  <c r="CX384" i="1" s="1"/>
  <c r="CZ384" i="1" s="1"/>
  <c r="O389" i="1"/>
  <c r="P389" i="1"/>
  <c r="R389" i="1" s="1"/>
  <c r="Y389" i="1"/>
  <c r="AA389" i="1" s="1"/>
  <c r="AC389" i="1" s="1"/>
  <c r="Z389" i="1"/>
  <c r="AB389" i="1" s="1"/>
  <c r="AO388" i="1"/>
  <c r="AQ388" i="1" s="1"/>
  <c r="AN388" i="1"/>
  <c r="AP388" i="1" s="1"/>
  <c r="AR388" i="1" s="1"/>
  <c r="BC387" i="1"/>
  <c r="BE387" i="1" s="1"/>
  <c r="BG387" i="1" s="1"/>
  <c r="BD387" i="1"/>
  <c r="BF387" i="1" s="1"/>
  <c r="CG385" i="1"/>
  <c r="CI385" i="1" s="1"/>
  <c r="CK385" i="1" s="1"/>
  <c r="CH385" i="1"/>
  <c r="CJ385" i="1" s="1"/>
  <c r="CL385" i="1" l="1"/>
  <c r="CN385" i="1" s="1"/>
  <c r="CP385" i="1" s="1"/>
  <c r="CM385" i="1"/>
  <c r="CO385" i="1" s="1"/>
  <c r="AD389" i="1"/>
  <c r="AF389" i="1" s="1"/>
  <c r="AH389" i="1" s="1"/>
  <c r="AE389" i="1"/>
  <c r="AG389" i="1" s="1"/>
  <c r="BX386" i="1"/>
  <c r="BZ386" i="1" s="1"/>
  <c r="BW386" i="1"/>
  <c r="BY386" i="1" s="1"/>
  <c r="CA386" i="1" s="1"/>
  <c r="BH387" i="1"/>
  <c r="BJ387" i="1" s="1"/>
  <c r="BL387" i="1" s="1"/>
  <c r="BI387" i="1"/>
  <c r="BK387" i="1" s="1"/>
  <c r="Q390" i="1"/>
  <c r="S390" i="1" s="1"/>
  <c r="G390" i="1"/>
  <c r="I390" i="1" s="1"/>
  <c r="DB384" i="1"/>
  <c r="DD384" i="1" s="1"/>
  <c r="DA384" i="1"/>
  <c r="DC384" i="1" s="1"/>
  <c r="AT388" i="1"/>
  <c r="AV388" i="1" s="1"/>
  <c r="AS388" i="1"/>
  <c r="AU388" i="1" s="1"/>
  <c r="AW388" i="1" s="1"/>
  <c r="T390" i="1" l="1"/>
  <c r="V390" i="1" s="1"/>
  <c r="X390" i="1" s="1"/>
  <c r="U390" i="1"/>
  <c r="W390" i="1" s="1"/>
  <c r="AY388" i="1"/>
  <c r="BA388" i="1" s="1"/>
  <c r="AX388" i="1"/>
  <c r="AZ388" i="1" s="1"/>
  <c r="BB388" i="1" s="1"/>
  <c r="J390" i="1"/>
  <c r="L390" i="1" s="1"/>
  <c r="N390" i="1" s="1"/>
  <c r="K390" i="1"/>
  <c r="M390" i="1" s="1"/>
  <c r="D391" i="1"/>
  <c r="CC386" i="1"/>
  <c r="CE386" i="1" s="1"/>
  <c r="CB386" i="1"/>
  <c r="CD386" i="1" s="1"/>
  <c r="CF386" i="1" s="1"/>
  <c r="BN387" i="1"/>
  <c r="BP387" i="1" s="1"/>
  <c r="BM387" i="1"/>
  <c r="BO387" i="1" s="1"/>
  <c r="BQ387" i="1" s="1"/>
  <c r="AI389" i="1"/>
  <c r="AK389" i="1" s="1"/>
  <c r="AM389" i="1" s="1"/>
  <c r="AJ389" i="1"/>
  <c r="AL389" i="1" s="1"/>
  <c r="CR385" i="1"/>
  <c r="CT385" i="1" s="1"/>
  <c r="CQ385" i="1"/>
  <c r="CS385" i="1" s="1"/>
  <c r="CU385" i="1" s="1"/>
  <c r="AO389" i="1" l="1"/>
  <c r="AQ389" i="1" s="1"/>
  <c r="AN389" i="1"/>
  <c r="AP389" i="1" s="1"/>
  <c r="AR389" i="1" s="1"/>
  <c r="BD388" i="1"/>
  <c r="BF388" i="1" s="1"/>
  <c r="BC388" i="1"/>
  <c r="BE388" i="1" s="1"/>
  <c r="BG388" i="1" s="1"/>
  <c r="BS387" i="1"/>
  <c r="BU387" i="1" s="1"/>
  <c r="BR387" i="1"/>
  <c r="BT387" i="1" s="1"/>
  <c r="BV387" i="1" s="1"/>
  <c r="O390" i="1"/>
  <c r="P390" i="1"/>
  <c r="R390" i="1" s="1"/>
  <c r="CG386" i="1"/>
  <c r="CI386" i="1" s="1"/>
  <c r="CK386" i="1" s="1"/>
  <c r="CH386" i="1"/>
  <c r="CJ386" i="1" s="1"/>
  <c r="E391" i="1"/>
  <c r="F391" i="1"/>
  <c r="H391" i="1" s="1"/>
  <c r="CW385" i="1"/>
  <c r="CY385" i="1" s="1"/>
  <c r="CV385" i="1"/>
  <c r="CX385" i="1" s="1"/>
  <c r="CZ385" i="1" s="1"/>
  <c r="Y390" i="1"/>
  <c r="AA390" i="1" s="1"/>
  <c r="AC390" i="1" s="1"/>
  <c r="Z390" i="1"/>
  <c r="AB390" i="1" s="1"/>
  <c r="AD390" i="1" l="1"/>
  <c r="AF390" i="1" s="1"/>
  <c r="AH390" i="1" s="1"/>
  <c r="AE390" i="1"/>
  <c r="AG390" i="1" s="1"/>
  <c r="CM386" i="1"/>
  <c r="CO386" i="1" s="1"/>
  <c r="CL386" i="1"/>
  <c r="CN386" i="1" s="1"/>
  <c r="CP386" i="1" s="1"/>
  <c r="BI388" i="1"/>
  <c r="BK388" i="1" s="1"/>
  <c r="BH388" i="1"/>
  <c r="BJ388" i="1" s="1"/>
  <c r="BL388" i="1" s="1"/>
  <c r="AS389" i="1"/>
  <c r="AU389" i="1" s="1"/>
  <c r="AW389" i="1" s="1"/>
  <c r="AT389" i="1"/>
  <c r="AV389" i="1" s="1"/>
  <c r="Q391" i="1"/>
  <c r="S391" i="1" s="1"/>
  <c r="G391" i="1"/>
  <c r="I391" i="1" s="1"/>
  <c r="BX387" i="1"/>
  <c r="BZ387" i="1" s="1"/>
  <c r="BW387" i="1"/>
  <c r="BY387" i="1" s="1"/>
  <c r="CA387" i="1" s="1"/>
  <c r="DA385" i="1"/>
  <c r="DC385" i="1" s="1"/>
  <c r="DB385" i="1"/>
  <c r="DD385" i="1" s="1"/>
  <c r="CC387" i="1" l="1"/>
  <c r="CE387" i="1" s="1"/>
  <c r="CB387" i="1"/>
  <c r="CD387" i="1" s="1"/>
  <c r="CF387" i="1" s="1"/>
  <c r="U391" i="1"/>
  <c r="W391" i="1" s="1"/>
  <c r="T391" i="1"/>
  <c r="V391" i="1" s="1"/>
  <c r="X391" i="1" s="1"/>
  <c r="J391" i="1"/>
  <c r="L391" i="1" s="1"/>
  <c r="N391" i="1" s="1"/>
  <c r="K391" i="1"/>
  <c r="M391" i="1" s="1"/>
  <c r="D392" i="1"/>
  <c r="AY389" i="1"/>
  <c r="BA389" i="1" s="1"/>
  <c r="AX389" i="1"/>
  <c r="AZ389" i="1" s="1"/>
  <c r="BB389" i="1" s="1"/>
  <c r="BN388" i="1"/>
  <c r="BP388" i="1" s="1"/>
  <c r="BM388" i="1"/>
  <c r="BO388" i="1" s="1"/>
  <c r="BQ388" i="1" s="1"/>
  <c r="CR386" i="1"/>
  <c r="CT386" i="1" s="1"/>
  <c r="CQ386" i="1"/>
  <c r="CS386" i="1" s="1"/>
  <c r="CU386" i="1" s="1"/>
  <c r="AJ390" i="1"/>
  <c r="AL390" i="1" s="1"/>
  <c r="AI390" i="1"/>
  <c r="AK390" i="1" s="1"/>
  <c r="AM390" i="1" s="1"/>
  <c r="BD389" i="1" l="1"/>
  <c r="BF389" i="1" s="1"/>
  <c r="BC389" i="1"/>
  <c r="BE389" i="1" s="1"/>
  <c r="BG389" i="1" s="1"/>
  <c r="AO390" i="1"/>
  <c r="AQ390" i="1" s="1"/>
  <c r="AN390" i="1"/>
  <c r="AP390" i="1" s="1"/>
  <c r="AR390" i="1" s="1"/>
  <c r="BR388" i="1"/>
  <c r="BT388" i="1" s="1"/>
  <c r="BV388" i="1" s="1"/>
  <c r="BS388" i="1"/>
  <c r="BU388" i="1" s="1"/>
  <c r="Z391" i="1"/>
  <c r="AB391" i="1" s="1"/>
  <c r="Y391" i="1"/>
  <c r="AA391" i="1" s="1"/>
  <c r="AC391" i="1" s="1"/>
  <c r="CH387" i="1"/>
  <c r="CJ387" i="1" s="1"/>
  <c r="CG387" i="1"/>
  <c r="CI387" i="1" s="1"/>
  <c r="CK387" i="1" s="1"/>
  <c r="E392" i="1"/>
  <c r="F392" i="1"/>
  <c r="H392" i="1" s="1"/>
  <c r="P391" i="1"/>
  <c r="R391" i="1" s="1"/>
  <c r="O391" i="1"/>
  <c r="CV386" i="1"/>
  <c r="CX386" i="1" s="1"/>
  <c r="CW386" i="1"/>
  <c r="CY386" i="1" s="1"/>
  <c r="AD391" i="1" l="1"/>
  <c r="AF391" i="1" s="1"/>
  <c r="AH391" i="1" s="1"/>
  <c r="AE391" i="1"/>
  <c r="AG391" i="1" s="1"/>
  <c r="CL387" i="1"/>
  <c r="CN387" i="1" s="1"/>
  <c r="CP387" i="1" s="1"/>
  <c r="CM387" i="1"/>
  <c r="CO387" i="1" s="1"/>
  <c r="BX388" i="1"/>
  <c r="BZ388" i="1" s="1"/>
  <c r="BW388" i="1"/>
  <c r="BY388" i="1" s="1"/>
  <c r="CA388" i="1" s="1"/>
  <c r="CZ386" i="1"/>
  <c r="G392" i="1"/>
  <c r="I392" i="1" s="1"/>
  <c r="Q392" i="1"/>
  <c r="S392" i="1" s="1"/>
  <c r="AT390" i="1"/>
  <c r="AV390" i="1" s="1"/>
  <c r="AS390" i="1"/>
  <c r="AU390" i="1" s="1"/>
  <c r="AW390" i="1" s="1"/>
  <c r="BH389" i="1"/>
  <c r="BJ389" i="1" s="1"/>
  <c r="BL389" i="1" s="1"/>
  <c r="BI389" i="1"/>
  <c r="BK389" i="1" s="1"/>
  <c r="BM389" i="1" l="1"/>
  <c r="BO389" i="1" s="1"/>
  <c r="BQ389" i="1" s="1"/>
  <c r="BN389" i="1"/>
  <c r="BP389" i="1" s="1"/>
  <c r="AY390" i="1"/>
  <c r="BA390" i="1" s="1"/>
  <c r="AX390" i="1"/>
  <c r="AZ390" i="1" s="1"/>
  <c r="BB390" i="1" s="1"/>
  <c r="J392" i="1"/>
  <c r="L392" i="1" s="1"/>
  <c r="N392" i="1" s="1"/>
  <c r="K392" i="1"/>
  <c r="M392" i="1" s="1"/>
  <c r="D393" i="1"/>
  <c r="DB386" i="1"/>
  <c r="DD386" i="1" s="1"/>
  <c r="DA386" i="1"/>
  <c r="DC386" i="1" s="1"/>
  <c r="U392" i="1"/>
  <c r="W392" i="1" s="1"/>
  <c r="T392" i="1"/>
  <c r="V392" i="1" s="1"/>
  <c r="X392" i="1" s="1"/>
  <c r="CC388" i="1"/>
  <c r="CE388" i="1" s="1"/>
  <c r="CB388" i="1"/>
  <c r="CD388" i="1" s="1"/>
  <c r="CF388" i="1" s="1"/>
  <c r="CQ387" i="1"/>
  <c r="CS387" i="1" s="1"/>
  <c r="CU387" i="1" s="1"/>
  <c r="CR387" i="1"/>
  <c r="CT387" i="1" s="1"/>
  <c r="AI391" i="1"/>
  <c r="AK391" i="1" s="1"/>
  <c r="AM391" i="1" s="1"/>
  <c r="AJ391" i="1"/>
  <c r="AL391" i="1" s="1"/>
  <c r="AO391" i="1" l="1"/>
  <c r="AQ391" i="1" s="1"/>
  <c r="AN391" i="1"/>
  <c r="AP391" i="1" s="1"/>
  <c r="AR391" i="1" s="1"/>
  <c r="Z392" i="1"/>
  <c r="AB392" i="1" s="1"/>
  <c r="Y392" i="1"/>
  <c r="AA392" i="1" s="1"/>
  <c r="AC392" i="1" s="1"/>
  <c r="BD390" i="1"/>
  <c r="BF390" i="1" s="1"/>
  <c r="BC390" i="1"/>
  <c r="BE390" i="1" s="1"/>
  <c r="BG390" i="1" s="1"/>
  <c r="F393" i="1"/>
  <c r="H393" i="1" s="1"/>
  <c r="E393" i="1"/>
  <c r="P392" i="1"/>
  <c r="R392" i="1" s="1"/>
  <c r="O392" i="1"/>
  <c r="CV387" i="1"/>
  <c r="CX387" i="1" s="1"/>
  <c r="CZ387" i="1" s="1"/>
  <c r="CW387" i="1"/>
  <c r="CY387" i="1" s="1"/>
  <c r="CH388" i="1"/>
  <c r="CJ388" i="1" s="1"/>
  <c r="CG388" i="1"/>
  <c r="CI388" i="1" s="1"/>
  <c r="CK388" i="1" s="1"/>
  <c r="BR389" i="1"/>
  <c r="BT389" i="1" s="1"/>
  <c r="BV389" i="1" s="1"/>
  <c r="BS389" i="1"/>
  <c r="BU389" i="1" s="1"/>
  <c r="G393" i="1" l="1"/>
  <c r="I393" i="1" s="1"/>
  <c r="Q393" i="1"/>
  <c r="S393" i="1" s="1"/>
  <c r="DA387" i="1"/>
  <c r="DC387" i="1" s="1"/>
  <c r="DB387" i="1"/>
  <c r="DD387" i="1" s="1"/>
  <c r="AD392" i="1"/>
  <c r="AF392" i="1" s="1"/>
  <c r="AH392" i="1" s="1"/>
  <c r="AE392" i="1"/>
  <c r="AG392" i="1" s="1"/>
  <c r="AT391" i="1"/>
  <c r="AV391" i="1" s="1"/>
  <c r="AS391" i="1"/>
  <c r="AU391" i="1" s="1"/>
  <c r="AW391" i="1" s="1"/>
  <c r="BH390" i="1"/>
  <c r="BJ390" i="1" s="1"/>
  <c r="BL390" i="1" s="1"/>
  <c r="BI390" i="1"/>
  <c r="BK390" i="1" s="1"/>
  <c r="BW389" i="1"/>
  <c r="BY389" i="1" s="1"/>
  <c r="CA389" i="1" s="1"/>
  <c r="BX389" i="1"/>
  <c r="BZ389" i="1" s="1"/>
  <c r="CL388" i="1"/>
  <c r="CN388" i="1" s="1"/>
  <c r="CP388" i="1" s="1"/>
  <c r="CM388" i="1"/>
  <c r="CO388" i="1" s="1"/>
  <c r="CB389" i="1" l="1"/>
  <c r="CD389" i="1" s="1"/>
  <c r="CF389" i="1" s="1"/>
  <c r="CC389" i="1"/>
  <c r="CE389" i="1" s="1"/>
  <c r="AX391" i="1"/>
  <c r="AZ391" i="1" s="1"/>
  <c r="BB391" i="1" s="1"/>
  <c r="AY391" i="1"/>
  <c r="BA391" i="1" s="1"/>
  <c r="AJ392" i="1"/>
  <c r="AL392" i="1" s="1"/>
  <c r="AI392" i="1"/>
  <c r="AK392" i="1" s="1"/>
  <c r="AM392" i="1" s="1"/>
  <c r="CR388" i="1"/>
  <c r="CT388" i="1" s="1"/>
  <c r="CQ388" i="1"/>
  <c r="CS388" i="1" s="1"/>
  <c r="CU388" i="1" s="1"/>
  <c r="T393" i="1"/>
  <c r="V393" i="1" s="1"/>
  <c r="X393" i="1" s="1"/>
  <c r="U393" i="1"/>
  <c r="W393" i="1" s="1"/>
  <c r="BM390" i="1"/>
  <c r="BO390" i="1" s="1"/>
  <c r="BQ390" i="1" s="1"/>
  <c r="BN390" i="1"/>
  <c r="BP390" i="1" s="1"/>
  <c r="K393" i="1"/>
  <c r="M393" i="1" s="1"/>
  <c r="J393" i="1"/>
  <c r="L393" i="1" s="1"/>
  <c r="N393" i="1" s="1"/>
  <c r="D394" i="1"/>
  <c r="Z393" i="1" l="1"/>
  <c r="AB393" i="1" s="1"/>
  <c r="Y393" i="1"/>
  <c r="AA393" i="1" s="1"/>
  <c r="AC393" i="1" s="1"/>
  <c r="BS390" i="1"/>
  <c r="BU390" i="1" s="1"/>
  <c r="BR390" i="1"/>
  <c r="BT390" i="1" s="1"/>
  <c r="BV390" i="1" s="1"/>
  <c r="F394" i="1"/>
  <c r="H394" i="1" s="1"/>
  <c r="E394" i="1"/>
  <c r="CW388" i="1"/>
  <c r="CY388" i="1" s="1"/>
  <c r="CV388" i="1"/>
  <c r="CX388" i="1" s="1"/>
  <c r="CZ388" i="1" s="1"/>
  <c r="P393" i="1"/>
  <c r="R393" i="1" s="1"/>
  <c r="O393" i="1"/>
  <c r="AO392" i="1"/>
  <c r="AQ392" i="1" s="1"/>
  <c r="AN392" i="1"/>
  <c r="AP392" i="1" s="1"/>
  <c r="AR392" i="1" s="1"/>
  <c r="BC391" i="1"/>
  <c r="BE391" i="1" s="1"/>
  <c r="BG391" i="1" s="1"/>
  <c r="BD391" i="1"/>
  <c r="BF391" i="1" s="1"/>
  <c r="CH389" i="1"/>
  <c r="CJ389" i="1" s="1"/>
  <c r="CG389" i="1"/>
  <c r="CI389" i="1" s="1"/>
  <c r="CK389" i="1" s="1"/>
  <c r="CM389" i="1" l="1"/>
  <c r="CO389" i="1" s="1"/>
  <c r="CL389" i="1"/>
  <c r="CN389" i="1" s="1"/>
  <c r="CP389" i="1" s="1"/>
  <c r="DB388" i="1"/>
  <c r="DD388" i="1" s="1"/>
  <c r="DA388" i="1"/>
  <c r="DC388" i="1" s="1"/>
  <c r="Q394" i="1"/>
  <c r="S394" i="1" s="1"/>
  <c r="G394" i="1"/>
  <c r="I394" i="1" s="1"/>
  <c r="BH391" i="1"/>
  <c r="BJ391" i="1" s="1"/>
  <c r="BL391" i="1" s="1"/>
  <c r="BI391" i="1"/>
  <c r="BK391" i="1" s="1"/>
  <c r="AD393" i="1"/>
  <c r="AF393" i="1" s="1"/>
  <c r="AH393" i="1" s="1"/>
  <c r="AE393" i="1"/>
  <c r="AG393" i="1" s="1"/>
  <c r="BX390" i="1"/>
  <c r="BZ390" i="1" s="1"/>
  <c r="BW390" i="1"/>
  <c r="BY390" i="1" s="1"/>
  <c r="CA390" i="1" s="1"/>
  <c r="AT392" i="1"/>
  <c r="AV392" i="1" s="1"/>
  <c r="AS392" i="1"/>
  <c r="AU392" i="1" s="1"/>
  <c r="AW392" i="1" s="1"/>
  <c r="AJ393" i="1" l="1"/>
  <c r="AL393" i="1" s="1"/>
  <c r="AI393" i="1"/>
  <c r="AK393" i="1" s="1"/>
  <c r="AM393" i="1" s="1"/>
  <c r="BM391" i="1"/>
  <c r="BO391" i="1" s="1"/>
  <c r="BQ391" i="1" s="1"/>
  <c r="BN391" i="1"/>
  <c r="BP391" i="1" s="1"/>
  <c r="AX392" i="1"/>
  <c r="AZ392" i="1" s="1"/>
  <c r="BB392" i="1" s="1"/>
  <c r="AY392" i="1"/>
  <c r="BA392" i="1" s="1"/>
  <c r="J394" i="1"/>
  <c r="L394" i="1" s="1"/>
  <c r="N394" i="1" s="1"/>
  <c r="K394" i="1"/>
  <c r="M394" i="1" s="1"/>
  <c r="D395" i="1"/>
  <c r="CQ389" i="1"/>
  <c r="CS389" i="1" s="1"/>
  <c r="CU389" i="1" s="1"/>
  <c r="CR389" i="1"/>
  <c r="CT389" i="1" s="1"/>
  <c r="T394" i="1"/>
  <c r="V394" i="1" s="1"/>
  <c r="X394" i="1" s="1"/>
  <c r="U394" i="1"/>
  <c r="W394" i="1" s="1"/>
  <c r="CC390" i="1"/>
  <c r="CE390" i="1" s="1"/>
  <c r="CB390" i="1"/>
  <c r="CD390" i="1" s="1"/>
  <c r="CF390" i="1" s="1"/>
  <c r="CV389" i="1" l="1"/>
  <c r="CX389" i="1" s="1"/>
  <c r="CW389" i="1"/>
  <c r="CY389" i="1" s="1"/>
  <c r="Z394" i="1"/>
  <c r="AB394" i="1" s="1"/>
  <c r="Y394" i="1"/>
  <c r="AA394" i="1" s="1"/>
  <c r="AC394" i="1" s="1"/>
  <c r="CH390" i="1"/>
  <c r="CJ390" i="1" s="1"/>
  <c r="CG390" i="1"/>
  <c r="CI390" i="1" s="1"/>
  <c r="CK390" i="1" s="1"/>
  <c r="O394" i="1"/>
  <c r="P394" i="1"/>
  <c r="R394" i="1" s="1"/>
  <c r="F395" i="1"/>
  <c r="H395" i="1" s="1"/>
  <c r="E395" i="1"/>
  <c r="BC392" i="1"/>
  <c r="BE392" i="1" s="1"/>
  <c r="BG392" i="1" s="1"/>
  <c r="BD392" i="1"/>
  <c r="BF392" i="1" s="1"/>
  <c r="BS391" i="1"/>
  <c r="BU391" i="1" s="1"/>
  <c r="BR391" i="1"/>
  <c r="BT391" i="1" s="1"/>
  <c r="BV391" i="1" s="1"/>
  <c r="AN393" i="1"/>
  <c r="AP393" i="1" s="1"/>
  <c r="AR393" i="1" s="1"/>
  <c r="AO393" i="1"/>
  <c r="AQ393" i="1" s="1"/>
  <c r="G395" i="1" l="1"/>
  <c r="I395" i="1" s="1"/>
  <c r="Q395" i="1"/>
  <c r="S395" i="1" s="1"/>
  <c r="BH392" i="1"/>
  <c r="BJ392" i="1" s="1"/>
  <c r="BL392" i="1" s="1"/>
  <c r="BI392" i="1"/>
  <c r="BK392" i="1" s="1"/>
  <c r="CL390" i="1"/>
  <c r="CN390" i="1" s="1"/>
  <c r="CP390" i="1" s="1"/>
  <c r="CM390" i="1"/>
  <c r="CO390" i="1" s="1"/>
  <c r="BW391" i="1"/>
  <c r="BY391" i="1" s="1"/>
  <c r="CA391" i="1" s="1"/>
  <c r="BX391" i="1"/>
  <c r="BZ391" i="1" s="1"/>
  <c r="AT393" i="1"/>
  <c r="AV393" i="1" s="1"/>
  <c r="AS393" i="1"/>
  <c r="AU393" i="1" s="1"/>
  <c r="AW393" i="1" s="1"/>
  <c r="AD394" i="1"/>
  <c r="AF394" i="1" s="1"/>
  <c r="AH394" i="1" s="1"/>
  <c r="AE394" i="1"/>
  <c r="AG394" i="1" s="1"/>
  <c r="CZ389" i="1"/>
  <c r="AY393" i="1" l="1"/>
  <c r="BA393" i="1" s="1"/>
  <c r="AX393" i="1"/>
  <c r="AZ393" i="1" s="1"/>
  <c r="BB393" i="1" s="1"/>
  <c r="CR390" i="1"/>
  <c r="CT390" i="1" s="1"/>
  <c r="CQ390" i="1"/>
  <c r="CS390" i="1" s="1"/>
  <c r="CU390" i="1" s="1"/>
  <c r="AI394" i="1"/>
  <c r="AK394" i="1" s="1"/>
  <c r="AM394" i="1" s="1"/>
  <c r="AJ394" i="1"/>
  <c r="AL394" i="1" s="1"/>
  <c r="CB391" i="1"/>
  <c r="CD391" i="1" s="1"/>
  <c r="CF391" i="1" s="1"/>
  <c r="CC391" i="1"/>
  <c r="CE391" i="1" s="1"/>
  <c r="BM392" i="1"/>
  <c r="BO392" i="1" s="1"/>
  <c r="BQ392" i="1" s="1"/>
  <c r="BN392" i="1"/>
  <c r="BP392" i="1" s="1"/>
  <c r="U395" i="1"/>
  <c r="W395" i="1" s="1"/>
  <c r="T395" i="1"/>
  <c r="V395" i="1" s="1"/>
  <c r="X395" i="1" s="1"/>
  <c r="DB389" i="1"/>
  <c r="DD389" i="1" s="1"/>
  <c r="DA389" i="1"/>
  <c r="DC389" i="1" s="1"/>
  <c r="J395" i="1"/>
  <c r="L395" i="1" s="1"/>
  <c r="N395" i="1" s="1"/>
  <c r="K395" i="1"/>
  <c r="M395" i="1" s="1"/>
  <c r="D396" i="1"/>
  <c r="Z395" i="1" l="1"/>
  <c r="AB395" i="1" s="1"/>
  <c r="Y395" i="1"/>
  <c r="AA395" i="1" s="1"/>
  <c r="AC395" i="1" s="1"/>
  <c r="AN394" i="1"/>
  <c r="AP394" i="1" s="1"/>
  <c r="AR394" i="1" s="1"/>
  <c r="AO394" i="1"/>
  <c r="AQ394" i="1" s="1"/>
  <c r="BR392" i="1"/>
  <c r="BT392" i="1" s="1"/>
  <c r="BV392" i="1" s="1"/>
  <c r="BS392" i="1"/>
  <c r="BU392" i="1" s="1"/>
  <c r="F396" i="1"/>
  <c r="H396" i="1" s="1"/>
  <c r="E396" i="1"/>
  <c r="CW390" i="1"/>
  <c r="CY390" i="1" s="1"/>
  <c r="CV390" i="1"/>
  <c r="CX390" i="1" s="1"/>
  <c r="BD393" i="1"/>
  <c r="BF393" i="1" s="1"/>
  <c r="BC393" i="1"/>
  <c r="BE393" i="1" s="1"/>
  <c r="BG393" i="1" s="1"/>
  <c r="CH391" i="1"/>
  <c r="CJ391" i="1" s="1"/>
  <c r="CG391" i="1"/>
  <c r="CI391" i="1" s="1"/>
  <c r="CK391" i="1" s="1"/>
  <c r="P395" i="1"/>
  <c r="R395" i="1" s="1"/>
  <c r="O395" i="1"/>
  <c r="CL391" i="1" l="1"/>
  <c r="CN391" i="1" s="1"/>
  <c r="CP391" i="1" s="1"/>
  <c r="CM391" i="1"/>
  <c r="CO391" i="1" s="1"/>
  <c r="CZ390" i="1"/>
  <c r="G396" i="1"/>
  <c r="I396" i="1" s="1"/>
  <c r="Q396" i="1"/>
  <c r="S396" i="1" s="1"/>
  <c r="AD395" i="1"/>
  <c r="AF395" i="1" s="1"/>
  <c r="AH395" i="1" s="1"/>
  <c r="AE395" i="1"/>
  <c r="AG395" i="1" s="1"/>
  <c r="BX392" i="1"/>
  <c r="BZ392" i="1" s="1"/>
  <c r="BW392" i="1"/>
  <c r="BY392" i="1" s="1"/>
  <c r="CA392" i="1" s="1"/>
  <c r="AS394" i="1"/>
  <c r="AU394" i="1" s="1"/>
  <c r="AW394" i="1" s="1"/>
  <c r="AT394" i="1"/>
  <c r="AV394" i="1" s="1"/>
  <c r="BH393" i="1"/>
  <c r="BJ393" i="1" s="1"/>
  <c r="BL393" i="1" s="1"/>
  <c r="BI393" i="1"/>
  <c r="BK393" i="1" s="1"/>
  <c r="AJ395" i="1" l="1"/>
  <c r="AL395" i="1" s="1"/>
  <c r="AI395" i="1"/>
  <c r="AK395" i="1" s="1"/>
  <c r="AM395" i="1" s="1"/>
  <c r="AX394" i="1"/>
  <c r="AZ394" i="1" s="1"/>
  <c r="BB394" i="1" s="1"/>
  <c r="AY394" i="1"/>
  <c r="BA394" i="1" s="1"/>
  <c r="DB390" i="1"/>
  <c r="DD390" i="1" s="1"/>
  <c r="DA390" i="1"/>
  <c r="DC390" i="1" s="1"/>
  <c r="BM393" i="1"/>
  <c r="BO393" i="1" s="1"/>
  <c r="BQ393" i="1" s="1"/>
  <c r="BN393" i="1"/>
  <c r="BP393" i="1" s="1"/>
  <c r="CC392" i="1"/>
  <c r="CE392" i="1" s="1"/>
  <c r="CB392" i="1"/>
  <c r="CD392" i="1" s="1"/>
  <c r="CF392" i="1" s="1"/>
  <c r="U396" i="1"/>
  <c r="W396" i="1" s="1"/>
  <c r="T396" i="1"/>
  <c r="V396" i="1" s="1"/>
  <c r="X396" i="1" s="1"/>
  <c r="J396" i="1"/>
  <c r="L396" i="1" s="1"/>
  <c r="N396" i="1" s="1"/>
  <c r="K396" i="1"/>
  <c r="M396" i="1" s="1"/>
  <c r="D397" i="1"/>
  <c r="CQ391" i="1"/>
  <c r="CS391" i="1" s="1"/>
  <c r="CU391" i="1" s="1"/>
  <c r="CR391" i="1"/>
  <c r="CT391" i="1" s="1"/>
  <c r="BD394" i="1" l="1"/>
  <c r="BF394" i="1" s="1"/>
  <c r="BC394" i="1"/>
  <c r="BE394" i="1" s="1"/>
  <c r="BG394" i="1" s="1"/>
  <c r="BR393" i="1"/>
  <c r="BT393" i="1" s="1"/>
  <c r="BV393" i="1" s="1"/>
  <c r="BS393" i="1"/>
  <c r="BU393" i="1" s="1"/>
  <c r="F397" i="1"/>
  <c r="H397" i="1" s="1"/>
  <c r="E397" i="1"/>
  <c r="P396" i="1"/>
  <c r="R396" i="1" s="1"/>
  <c r="O396" i="1"/>
  <c r="AN395" i="1"/>
  <c r="AP395" i="1" s="1"/>
  <c r="AR395" i="1" s="1"/>
  <c r="AO395" i="1"/>
  <c r="AQ395" i="1" s="1"/>
  <c r="CH392" i="1"/>
  <c r="CJ392" i="1" s="1"/>
  <c r="CG392" i="1"/>
  <c r="CI392" i="1" s="1"/>
  <c r="CK392" i="1" s="1"/>
  <c r="CV391" i="1"/>
  <c r="CX391" i="1" s="1"/>
  <c r="CW391" i="1"/>
  <c r="CY391" i="1" s="1"/>
  <c r="Z396" i="1"/>
  <c r="AB396" i="1" s="1"/>
  <c r="Y396" i="1"/>
  <c r="AA396" i="1" s="1"/>
  <c r="AC396" i="1" s="1"/>
  <c r="Q397" i="1" l="1"/>
  <c r="S397" i="1" s="1"/>
  <c r="G397" i="1"/>
  <c r="I397" i="1" s="1"/>
  <c r="BH394" i="1"/>
  <c r="BJ394" i="1" s="1"/>
  <c r="BL394" i="1" s="1"/>
  <c r="BI394" i="1"/>
  <c r="BK394" i="1" s="1"/>
  <c r="AT395" i="1"/>
  <c r="AV395" i="1" s="1"/>
  <c r="AS395" i="1"/>
  <c r="AU395" i="1" s="1"/>
  <c r="AW395" i="1" s="1"/>
  <c r="AD396" i="1"/>
  <c r="AF396" i="1" s="1"/>
  <c r="AH396" i="1" s="1"/>
  <c r="AE396" i="1"/>
  <c r="AG396" i="1" s="1"/>
  <c r="BW393" i="1"/>
  <c r="BY393" i="1" s="1"/>
  <c r="CA393" i="1" s="1"/>
  <c r="BX393" i="1"/>
  <c r="BZ393" i="1" s="1"/>
  <c r="CZ391" i="1"/>
  <c r="CM392" i="1"/>
  <c r="CO392" i="1" s="1"/>
  <c r="CL392" i="1"/>
  <c r="CN392" i="1" s="1"/>
  <c r="CP392" i="1" s="1"/>
  <c r="DB391" i="1" l="1"/>
  <c r="DD391" i="1" s="1"/>
  <c r="DA391" i="1"/>
  <c r="DC391" i="1" s="1"/>
  <c r="AY395" i="1"/>
  <c r="BA395" i="1" s="1"/>
  <c r="AX395" i="1"/>
  <c r="AZ395" i="1" s="1"/>
  <c r="BB395" i="1" s="1"/>
  <c r="J397" i="1"/>
  <c r="L397" i="1" s="1"/>
  <c r="N397" i="1" s="1"/>
  <c r="K397" i="1"/>
  <c r="M397" i="1" s="1"/>
  <c r="D398" i="1"/>
  <c r="CB393" i="1"/>
  <c r="CD393" i="1" s="1"/>
  <c r="CF393" i="1" s="1"/>
  <c r="CC393" i="1"/>
  <c r="CE393" i="1" s="1"/>
  <c r="AI396" i="1"/>
  <c r="AK396" i="1" s="1"/>
  <c r="AM396" i="1" s="1"/>
  <c r="AJ396" i="1"/>
  <c r="AL396" i="1" s="1"/>
  <c r="BM394" i="1"/>
  <c r="BO394" i="1" s="1"/>
  <c r="BQ394" i="1" s="1"/>
  <c r="BN394" i="1"/>
  <c r="BP394" i="1" s="1"/>
  <c r="CQ392" i="1"/>
  <c r="CS392" i="1" s="1"/>
  <c r="CU392" i="1" s="1"/>
  <c r="CR392" i="1"/>
  <c r="CT392" i="1" s="1"/>
  <c r="T397" i="1"/>
  <c r="V397" i="1" s="1"/>
  <c r="X397" i="1" s="1"/>
  <c r="U397" i="1"/>
  <c r="W397" i="1" s="1"/>
  <c r="CH393" i="1" l="1"/>
  <c r="CJ393" i="1" s="1"/>
  <c r="CG393" i="1"/>
  <c r="CI393" i="1" s="1"/>
  <c r="CK393" i="1" s="1"/>
  <c r="BD395" i="1"/>
  <c r="BF395" i="1" s="1"/>
  <c r="BC395" i="1"/>
  <c r="BE395" i="1" s="1"/>
  <c r="BG395" i="1" s="1"/>
  <c r="E398" i="1"/>
  <c r="F398" i="1"/>
  <c r="H398" i="1" s="1"/>
  <c r="Z397" i="1"/>
  <c r="AB397" i="1" s="1"/>
  <c r="Y397" i="1"/>
  <c r="AA397" i="1" s="1"/>
  <c r="AC397" i="1" s="1"/>
  <c r="AN396" i="1"/>
  <c r="AP396" i="1" s="1"/>
  <c r="AR396" i="1" s="1"/>
  <c r="AO396" i="1"/>
  <c r="AQ396" i="1" s="1"/>
  <c r="P397" i="1"/>
  <c r="R397" i="1" s="1"/>
  <c r="O397" i="1"/>
  <c r="CV392" i="1"/>
  <c r="CX392" i="1" s="1"/>
  <c r="CW392" i="1"/>
  <c r="CY392" i="1" s="1"/>
  <c r="BR394" i="1"/>
  <c r="BT394" i="1" s="1"/>
  <c r="BV394" i="1" s="1"/>
  <c r="BS394" i="1"/>
  <c r="BU394" i="1" s="1"/>
  <c r="AT396" i="1" l="1"/>
  <c r="AV396" i="1" s="1"/>
  <c r="AS396" i="1"/>
  <c r="AU396" i="1" s="1"/>
  <c r="AW396" i="1" s="1"/>
  <c r="BX394" i="1"/>
  <c r="BZ394" i="1" s="1"/>
  <c r="BW394" i="1"/>
  <c r="BY394" i="1" s="1"/>
  <c r="CA394" i="1" s="1"/>
  <c r="Q398" i="1"/>
  <c r="S398" i="1" s="1"/>
  <c r="G398" i="1"/>
  <c r="I398" i="1" s="1"/>
  <c r="CL393" i="1"/>
  <c r="CN393" i="1" s="1"/>
  <c r="CP393" i="1" s="1"/>
  <c r="CM393" i="1"/>
  <c r="CO393" i="1" s="1"/>
  <c r="AD397" i="1"/>
  <c r="AF397" i="1" s="1"/>
  <c r="AH397" i="1" s="1"/>
  <c r="AE397" i="1"/>
  <c r="AG397" i="1" s="1"/>
  <c r="BH395" i="1"/>
  <c r="BJ395" i="1" s="1"/>
  <c r="BL395" i="1" s="1"/>
  <c r="BI395" i="1"/>
  <c r="BK395" i="1" s="1"/>
  <c r="CZ392" i="1"/>
  <c r="BN395" i="1" l="1"/>
  <c r="BP395" i="1" s="1"/>
  <c r="BM395" i="1"/>
  <c r="BO395" i="1" s="1"/>
  <c r="BQ395" i="1" s="1"/>
  <c r="T398" i="1"/>
  <c r="V398" i="1" s="1"/>
  <c r="X398" i="1" s="1"/>
  <c r="U398" i="1"/>
  <c r="W398" i="1" s="1"/>
  <c r="AJ397" i="1"/>
  <c r="AL397" i="1" s="1"/>
  <c r="AI397" i="1"/>
  <c r="AK397" i="1" s="1"/>
  <c r="AM397" i="1" s="1"/>
  <c r="J398" i="1"/>
  <c r="L398" i="1" s="1"/>
  <c r="N398" i="1" s="1"/>
  <c r="K398" i="1"/>
  <c r="M398" i="1" s="1"/>
  <c r="D399" i="1"/>
  <c r="AX396" i="1"/>
  <c r="AZ396" i="1" s="1"/>
  <c r="BB396" i="1" s="1"/>
  <c r="AY396" i="1"/>
  <c r="BA396" i="1" s="1"/>
  <c r="CR393" i="1"/>
  <c r="CT393" i="1" s="1"/>
  <c r="CQ393" i="1"/>
  <c r="CS393" i="1" s="1"/>
  <c r="CU393" i="1" s="1"/>
  <c r="CC394" i="1"/>
  <c r="CE394" i="1" s="1"/>
  <c r="CB394" i="1"/>
  <c r="CD394" i="1" s="1"/>
  <c r="CF394" i="1" s="1"/>
  <c r="DB392" i="1"/>
  <c r="DD392" i="1" s="1"/>
  <c r="DA392" i="1"/>
  <c r="DC392" i="1" s="1"/>
  <c r="F399" i="1" l="1"/>
  <c r="H399" i="1" s="1"/>
  <c r="E399" i="1"/>
  <c r="P398" i="1"/>
  <c r="R398" i="1" s="1"/>
  <c r="O398" i="1"/>
  <c r="Z398" i="1"/>
  <c r="AB398" i="1" s="1"/>
  <c r="Y398" i="1"/>
  <c r="AA398" i="1" s="1"/>
  <c r="AC398" i="1" s="1"/>
  <c r="BR395" i="1"/>
  <c r="BT395" i="1" s="1"/>
  <c r="BV395" i="1" s="1"/>
  <c r="BS395" i="1"/>
  <c r="BU395" i="1" s="1"/>
  <c r="BC396" i="1"/>
  <c r="BE396" i="1" s="1"/>
  <c r="BG396" i="1" s="1"/>
  <c r="BD396" i="1"/>
  <c r="BF396" i="1" s="1"/>
  <c r="AN397" i="1"/>
  <c r="AP397" i="1" s="1"/>
  <c r="AR397" i="1" s="1"/>
  <c r="AO397" i="1"/>
  <c r="AQ397" i="1" s="1"/>
  <c r="CH394" i="1"/>
  <c r="CJ394" i="1" s="1"/>
  <c r="CG394" i="1"/>
  <c r="CI394" i="1" s="1"/>
  <c r="CK394" i="1" s="1"/>
  <c r="CV393" i="1"/>
  <c r="CX393" i="1" s="1"/>
  <c r="CZ393" i="1" s="1"/>
  <c r="CW393" i="1"/>
  <c r="CY393" i="1" s="1"/>
  <c r="BX395" i="1" l="1"/>
  <c r="BZ395" i="1" s="1"/>
  <c r="BW395" i="1"/>
  <c r="BY395" i="1" s="1"/>
  <c r="CA395" i="1" s="1"/>
  <c r="BI396" i="1"/>
  <c r="BK396" i="1" s="1"/>
  <c r="BH396" i="1"/>
  <c r="BJ396" i="1" s="1"/>
  <c r="BL396" i="1" s="1"/>
  <c r="AE398" i="1"/>
  <c r="AG398" i="1" s="1"/>
  <c r="AD398" i="1"/>
  <c r="AF398" i="1" s="1"/>
  <c r="AH398" i="1" s="1"/>
  <c r="DB393" i="1"/>
  <c r="DD393" i="1" s="1"/>
  <c r="DA393" i="1"/>
  <c r="DC393" i="1" s="1"/>
  <c r="Q399" i="1"/>
  <c r="S399" i="1" s="1"/>
  <c r="G399" i="1"/>
  <c r="I399" i="1" s="1"/>
  <c r="AS397" i="1"/>
  <c r="AU397" i="1" s="1"/>
  <c r="AW397" i="1" s="1"/>
  <c r="AT397" i="1"/>
  <c r="AV397" i="1" s="1"/>
  <c r="CM394" i="1"/>
  <c r="CO394" i="1" s="1"/>
  <c r="CL394" i="1"/>
  <c r="CN394" i="1" s="1"/>
  <c r="CP394" i="1" s="1"/>
  <c r="AX397" i="1" l="1"/>
  <c r="AZ397" i="1" s="1"/>
  <c r="BB397" i="1" s="1"/>
  <c r="AY397" i="1"/>
  <c r="BA397" i="1" s="1"/>
  <c r="CR394" i="1"/>
  <c r="CT394" i="1" s="1"/>
  <c r="CQ394" i="1"/>
  <c r="CS394" i="1" s="1"/>
  <c r="CU394" i="1" s="1"/>
  <c r="U399" i="1"/>
  <c r="W399" i="1" s="1"/>
  <c r="T399" i="1"/>
  <c r="V399" i="1" s="1"/>
  <c r="X399" i="1" s="1"/>
  <c r="K399" i="1"/>
  <c r="M399" i="1" s="1"/>
  <c r="J399" i="1"/>
  <c r="L399" i="1" s="1"/>
  <c r="N399" i="1" s="1"/>
  <c r="D400" i="1"/>
  <c r="AJ398" i="1"/>
  <c r="AL398" i="1" s="1"/>
  <c r="AI398" i="1"/>
  <c r="AK398" i="1" s="1"/>
  <c r="AM398" i="1" s="1"/>
  <c r="BM396" i="1"/>
  <c r="BO396" i="1" s="1"/>
  <c r="BQ396" i="1" s="1"/>
  <c r="BN396" i="1"/>
  <c r="BP396" i="1" s="1"/>
  <c r="CC395" i="1"/>
  <c r="CE395" i="1" s="1"/>
  <c r="CB395" i="1"/>
  <c r="CD395" i="1" s="1"/>
  <c r="CF395" i="1" s="1"/>
  <c r="P399" i="1" l="1"/>
  <c r="R399" i="1" s="1"/>
  <c r="O399" i="1"/>
  <c r="AN398" i="1"/>
  <c r="AP398" i="1" s="1"/>
  <c r="AR398" i="1" s="1"/>
  <c r="AO398" i="1"/>
  <c r="AQ398" i="1" s="1"/>
  <c r="F400" i="1"/>
  <c r="H400" i="1" s="1"/>
  <c r="E400" i="1"/>
  <c r="BR396" i="1"/>
  <c r="BT396" i="1" s="1"/>
  <c r="BV396" i="1" s="1"/>
  <c r="BS396" i="1"/>
  <c r="BU396" i="1" s="1"/>
  <c r="Y399" i="1"/>
  <c r="AA399" i="1" s="1"/>
  <c r="AC399" i="1" s="1"/>
  <c r="Z399" i="1"/>
  <c r="AB399" i="1" s="1"/>
  <c r="CH395" i="1"/>
  <c r="CJ395" i="1" s="1"/>
  <c r="CG395" i="1"/>
  <c r="CI395" i="1" s="1"/>
  <c r="CK395" i="1" s="1"/>
  <c r="CV394" i="1"/>
  <c r="CX394" i="1" s="1"/>
  <c r="CW394" i="1"/>
  <c r="CY394" i="1" s="1"/>
  <c r="BC397" i="1"/>
  <c r="BE397" i="1" s="1"/>
  <c r="BG397" i="1" s="1"/>
  <c r="BD397" i="1"/>
  <c r="BF397" i="1" s="1"/>
  <c r="AD399" i="1" l="1"/>
  <c r="AF399" i="1" s="1"/>
  <c r="AH399" i="1" s="1"/>
  <c r="AE399" i="1"/>
  <c r="AG399" i="1" s="1"/>
  <c r="BH397" i="1"/>
  <c r="BJ397" i="1" s="1"/>
  <c r="BL397" i="1" s="1"/>
  <c r="BI397" i="1"/>
  <c r="BK397" i="1" s="1"/>
  <c r="BX396" i="1"/>
  <c r="BZ396" i="1" s="1"/>
  <c r="BW396" i="1"/>
  <c r="BY396" i="1" s="1"/>
  <c r="CA396" i="1" s="1"/>
  <c r="G400" i="1"/>
  <c r="I400" i="1" s="1"/>
  <c r="Q400" i="1"/>
  <c r="S400" i="1" s="1"/>
  <c r="AT398" i="1"/>
  <c r="AV398" i="1" s="1"/>
  <c r="AS398" i="1"/>
  <c r="AU398" i="1" s="1"/>
  <c r="AW398" i="1" s="1"/>
  <c r="CZ394" i="1"/>
  <c r="CM395" i="1"/>
  <c r="CO395" i="1" s="1"/>
  <c r="CL395" i="1"/>
  <c r="CN395" i="1" s="1"/>
  <c r="CP395" i="1" s="1"/>
  <c r="U400" i="1" l="1"/>
  <c r="W400" i="1" s="1"/>
  <c r="T400" i="1"/>
  <c r="V400" i="1" s="1"/>
  <c r="X400" i="1" s="1"/>
  <c r="K400" i="1"/>
  <c r="M400" i="1" s="1"/>
  <c r="J400" i="1"/>
  <c r="L400" i="1" s="1"/>
  <c r="N400" i="1" s="1"/>
  <c r="D401" i="1"/>
  <c r="DB394" i="1"/>
  <c r="DD394" i="1" s="1"/>
  <c r="DA394" i="1"/>
  <c r="DC394" i="1" s="1"/>
  <c r="BN397" i="1"/>
  <c r="BP397" i="1" s="1"/>
  <c r="BM397" i="1"/>
  <c r="BO397" i="1" s="1"/>
  <c r="BQ397" i="1" s="1"/>
  <c r="AX398" i="1"/>
  <c r="AZ398" i="1" s="1"/>
  <c r="BB398" i="1" s="1"/>
  <c r="AY398" i="1"/>
  <c r="BA398" i="1" s="1"/>
  <c r="CB396" i="1"/>
  <c r="CD396" i="1" s="1"/>
  <c r="CF396" i="1" s="1"/>
  <c r="CC396" i="1"/>
  <c r="CE396" i="1" s="1"/>
  <c r="CR395" i="1"/>
  <c r="CT395" i="1" s="1"/>
  <c r="CQ395" i="1"/>
  <c r="CS395" i="1" s="1"/>
  <c r="CU395" i="1" s="1"/>
  <c r="AJ399" i="1"/>
  <c r="AL399" i="1" s="1"/>
  <c r="AI399" i="1"/>
  <c r="AK399" i="1" s="1"/>
  <c r="AM399" i="1" s="1"/>
  <c r="BC398" i="1" l="1"/>
  <c r="BE398" i="1" s="1"/>
  <c r="BG398" i="1" s="1"/>
  <c r="BD398" i="1"/>
  <c r="BF398" i="1" s="1"/>
  <c r="BR397" i="1"/>
  <c r="BT397" i="1" s="1"/>
  <c r="BV397" i="1" s="1"/>
  <c r="BS397" i="1"/>
  <c r="BU397" i="1" s="1"/>
  <c r="AN399" i="1"/>
  <c r="AP399" i="1" s="1"/>
  <c r="AR399" i="1" s="1"/>
  <c r="AO399" i="1"/>
  <c r="AQ399" i="1" s="1"/>
  <c r="F401" i="1"/>
  <c r="H401" i="1" s="1"/>
  <c r="E401" i="1"/>
  <c r="CW395" i="1"/>
  <c r="CY395" i="1" s="1"/>
  <c r="CV395" i="1"/>
  <c r="CX395" i="1" s="1"/>
  <c r="CZ395" i="1" s="1"/>
  <c r="Y400" i="1"/>
  <c r="AA400" i="1" s="1"/>
  <c r="AC400" i="1" s="1"/>
  <c r="Z400" i="1"/>
  <c r="AB400" i="1" s="1"/>
  <c r="P400" i="1"/>
  <c r="R400" i="1" s="1"/>
  <c r="O400" i="1"/>
  <c r="CG396" i="1"/>
  <c r="CI396" i="1" s="1"/>
  <c r="CK396" i="1" s="1"/>
  <c r="CH396" i="1"/>
  <c r="CJ396" i="1" s="1"/>
  <c r="DB395" i="1" l="1"/>
  <c r="DD395" i="1" s="1"/>
  <c r="DA395" i="1"/>
  <c r="DC395" i="1" s="1"/>
  <c r="Q401" i="1"/>
  <c r="S401" i="1" s="1"/>
  <c r="G401" i="1"/>
  <c r="I401" i="1" s="1"/>
  <c r="AT399" i="1"/>
  <c r="AV399" i="1" s="1"/>
  <c r="AS399" i="1"/>
  <c r="AU399" i="1" s="1"/>
  <c r="AW399" i="1" s="1"/>
  <c r="AD400" i="1"/>
  <c r="AF400" i="1" s="1"/>
  <c r="AH400" i="1" s="1"/>
  <c r="AE400" i="1"/>
  <c r="AG400" i="1" s="1"/>
  <c r="CL396" i="1"/>
  <c r="CN396" i="1" s="1"/>
  <c r="CP396" i="1" s="1"/>
  <c r="CM396" i="1"/>
  <c r="CO396" i="1" s="1"/>
  <c r="BX397" i="1"/>
  <c r="BZ397" i="1" s="1"/>
  <c r="BW397" i="1"/>
  <c r="BY397" i="1" s="1"/>
  <c r="CA397" i="1" s="1"/>
  <c r="BH398" i="1"/>
  <c r="BJ398" i="1" s="1"/>
  <c r="BL398" i="1" s="1"/>
  <c r="BI398" i="1"/>
  <c r="BK398" i="1" s="1"/>
  <c r="AJ400" i="1" l="1"/>
  <c r="AL400" i="1" s="1"/>
  <c r="AI400" i="1"/>
  <c r="AK400" i="1" s="1"/>
  <c r="AM400" i="1" s="1"/>
  <c r="AY399" i="1"/>
  <c r="BA399" i="1" s="1"/>
  <c r="AX399" i="1"/>
  <c r="AZ399" i="1" s="1"/>
  <c r="BB399" i="1" s="1"/>
  <c r="CR396" i="1"/>
  <c r="CT396" i="1" s="1"/>
  <c r="CQ396" i="1"/>
  <c r="CS396" i="1" s="1"/>
  <c r="CU396" i="1" s="1"/>
  <c r="K401" i="1"/>
  <c r="M401" i="1" s="1"/>
  <c r="J401" i="1"/>
  <c r="L401" i="1" s="1"/>
  <c r="N401" i="1" s="1"/>
  <c r="D402" i="1"/>
  <c r="U401" i="1"/>
  <c r="W401" i="1" s="1"/>
  <c r="T401" i="1"/>
  <c r="V401" i="1" s="1"/>
  <c r="X401" i="1" s="1"/>
  <c r="BM398" i="1"/>
  <c r="BO398" i="1" s="1"/>
  <c r="BQ398" i="1" s="1"/>
  <c r="BN398" i="1"/>
  <c r="BP398" i="1" s="1"/>
  <c r="CB397" i="1"/>
  <c r="CD397" i="1" s="1"/>
  <c r="CF397" i="1" s="1"/>
  <c r="CC397" i="1"/>
  <c r="CE397" i="1" s="1"/>
  <c r="O401" i="1" l="1"/>
  <c r="P401" i="1"/>
  <c r="R401" i="1" s="1"/>
  <c r="Y401" i="1"/>
  <c r="AA401" i="1" s="1"/>
  <c r="AC401" i="1" s="1"/>
  <c r="Z401" i="1"/>
  <c r="AB401" i="1" s="1"/>
  <c r="CV396" i="1"/>
  <c r="CX396" i="1" s="1"/>
  <c r="CW396" i="1"/>
  <c r="CY396" i="1" s="1"/>
  <c r="BC399" i="1"/>
  <c r="BE399" i="1" s="1"/>
  <c r="BG399" i="1" s="1"/>
  <c r="BD399" i="1"/>
  <c r="BF399" i="1" s="1"/>
  <c r="AN400" i="1"/>
  <c r="AP400" i="1" s="1"/>
  <c r="AR400" i="1" s="1"/>
  <c r="AO400" i="1"/>
  <c r="AQ400" i="1" s="1"/>
  <c r="BS398" i="1"/>
  <c r="BU398" i="1" s="1"/>
  <c r="BR398" i="1"/>
  <c r="BT398" i="1" s="1"/>
  <c r="BV398" i="1" s="1"/>
  <c r="E402" i="1"/>
  <c r="F402" i="1"/>
  <c r="H402" i="1" s="1"/>
  <c r="CG397" i="1"/>
  <c r="CI397" i="1" s="1"/>
  <c r="CK397" i="1" s="1"/>
  <c r="CH397" i="1"/>
  <c r="CJ397" i="1" s="1"/>
  <c r="AS400" i="1" l="1"/>
  <c r="AU400" i="1" s="1"/>
  <c r="AW400" i="1" s="1"/>
  <c r="AT400" i="1"/>
  <c r="AV400" i="1" s="1"/>
  <c r="BW398" i="1"/>
  <c r="BY398" i="1" s="1"/>
  <c r="CA398" i="1" s="1"/>
  <c r="BX398" i="1"/>
  <c r="BZ398" i="1" s="1"/>
  <c r="BI399" i="1"/>
  <c r="BK399" i="1" s="1"/>
  <c r="BH399" i="1"/>
  <c r="BJ399" i="1" s="1"/>
  <c r="BL399" i="1" s="1"/>
  <c r="CL397" i="1"/>
  <c r="CN397" i="1" s="1"/>
  <c r="CP397" i="1" s="1"/>
  <c r="CM397" i="1"/>
  <c r="CO397" i="1" s="1"/>
  <c r="CZ396" i="1"/>
  <c r="AE401" i="1"/>
  <c r="AG401" i="1" s="1"/>
  <c r="AD401" i="1"/>
  <c r="AF401" i="1" s="1"/>
  <c r="AH401" i="1" s="1"/>
  <c r="Q402" i="1"/>
  <c r="S402" i="1" s="1"/>
  <c r="G402" i="1"/>
  <c r="I402" i="1" s="1"/>
  <c r="DA396" i="1" l="1"/>
  <c r="DC396" i="1" s="1"/>
  <c r="DB396" i="1"/>
  <c r="DD396" i="1" s="1"/>
  <c r="AJ401" i="1"/>
  <c r="AL401" i="1" s="1"/>
  <c r="AI401" i="1"/>
  <c r="AK401" i="1" s="1"/>
  <c r="AM401" i="1" s="1"/>
  <c r="T402" i="1"/>
  <c r="V402" i="1" s="1"/>
  <c r="X402" i="1" s="1"/>
  <c r="U402" i="1"/>
  <c r="W402" i="1" s="1"/>
  <c r="BM399" i="1"/>
  <c r="BO399" i="1" s="1"/>
  <c r="BQ399" i="1" s="1"/>
  <c r="BN399" i="1"/>
  <c r="BP399" i="1" s="1"/>
  <c r="CB398" i="1"/>
  <c r="CD398" i="1" s="1"/>
  <c r="CF398" i="1" s="1"/>
  <c r="CC398" i="1"/>
  <c r="CE398" i="1" s="1"/>
  <c r="CR397" i="1"/>
  <c r="CT397" i="1" s="1"/>
  <c r="CQ397" i="1"/>
  <c r="CS397" i="1" s="1"/>
  <c r="CU397" i="1" s="1"/>
  <c r="K402" i="1"/>
  <c r="M402" i="1" s="1"/>
  <c r="J402" i="1"/>
  <c r="L402" i="1" s="1"/>
  <c r="N402" i="1" s="1"/>
  <c r="D403" i="1"/>
  <c r="AX400" i="1"/>
  <c r="AZ400" i="1" s="1"/>
  <c r="BB400" i="1" s="1"/>
  <c r="AY400" i="1"/>
  <c r="BA400" i="1" s="1"/>
  <c r="Y402" i="1" l="1"/>
  <c r="AA402" i="1" s="1"/>
  <c r="AC402" i="1" s="1"/>
  <c r="Z402" i="1"/>
  <c r="AB402" i="1" s="1"/>
  <c r="CG398" i="1"/>
  <c r="CI398" i="1" s="1"/>
  <c r="CK398" i="1" s="1"/>
  <c r="CH398" i="1"/>
  <c r="CJ398" i="1" s="1"/>
  <c r="AN401" i="1"/>
  <c r="AP401" i="1" s="1"/>
  <c r="AR401" i="1" s="1"/>
  <c r="AO401" i="1"/>
  <c r="AQ401" i="1" s="1"/>
  <c r="F403" i="1"/>
  <c r="H403" i="1" s="1"/>
  <c r="E403" i="1"/>
  <c r="BS399" i="1"/>
  <c r="BU399" i="1" s="1"/>
  <c r="BR399" i="1"/>
  <c r="BT399" i="1" s="1"/>
  <c r="BV399" i="1" s="1"/>
  <c r="BD400" i="1"/>
  <c r="BF400" i="1" s="1"/>
  <c r="BC400" i="1"/>
  <c r="BE400" i="1" s="1"/>
  <c r="BG400" i="1" s="1"/>
  <c r="O402" i="1"/>
  <c r="P402" i="1"/>
  <c r="R402" i="1" s="1"/>
  <c r="CV397" i="1"/>
  <c r="CX397" i="1" s="1"/>
  <c r="CW397" i="1"/>
  <c r="CY397" i="1" s="1"/>
  <c r="BW399" i="1" l="1"/>
  <c r="BY399" i="1" s="1"/>
  <c r="CA399" i="1" s="1"/>
  <c r="BX399" i="1"/>
  <c r="BZ399" i="1" s="1"/>
  <c r="CZ397" i="1"/>
  <c r="G403" i="1"/>
  <c r="I403" i="1" s="1"/>
  <c r="Q403" i="1"/>
  <c r="S403" i="1" s="1"/>
  <c r="CM398" i="1"/>
  <c r="CO398" i="1" s="1"/>
  <c r="CL398" i="1"/>
  <c r="CN398" i="1" s="1"/>
  <c r="CP398" i="1" s="1"/>
  <c r="AT401" i="1"/>
  <c r="AV401" i="1" s="1"/>
  <c r="AS401" i="1"/>
  <c r="AU401" i="1" s="1"/>
  <c r="AW401" i="1" s="1"/>
  <c r="BH400" i="1"/>
  <c r="BJ400" i="1" s="1"/>
  <c r="BL400" i="1" s="1"/>
  <c r="BI400" i="1"/>
  <c r="BK400" i="1" s="1"/>
  <c r="AE402" i="1"/>
  <c r="AG402" i="1" s="1"/>
  <c r="AD402" i="1"/>
  <c r="AF402" i="1" s="1"/>
  <c r="AH402" i="1" s="1"/>
  <c r="BM400" i="1" l="1"/>
  <c r="BO400" i="1" s="1"/>
  <c r="BQ400" i="1" s="1"/>
  <c r="BN400" i="1"/>
  <c r="BP400" i="1" s="1"/>
  <c r="AX401" i="1"/>
  <c r="AZ401" i="1" s="1"/>
  <c r="BB401" i="1" s="1"/>
  <c r="AY401" i="1"/>
  <c r="BA401" i="1" s="1"/>
  <c r="CQ398" i="1"/>
  <c r="CS398" i="1" s="1"/>
  <c r="CU398" i="1" s="1"/>
  <c r="CR398" i="1"/>
  <c r="CT398" i="1" s="1"/>
  <c r="DA397" i="1"/>
  <c r="DC397" i="1" s="1"/>
  <c r="DB397" i="1"/>
  <c r="DD397" i="1" s="1"/>
  <c r="T403" i="1"/>
  <c r="V403" i="1" s="1"/>
  <c r="X403" i="1" s="1"/>
  <c r="U403" i="1"/>
  <c r="W403" i="1" s="1"/>
  <c r="J403" i="1"/>
  <c r="L403" i="1" s="1"/>
  <c r="N403" i="1" s="1"/>
  <c r="K403" i="1"/>
  <c r="M403" i="1" s="1"/>
  <c r="D404" i="1"/>
  <c r="AJ402" i="1"/>
  <c r="AL402" i="1" s="1"/>
  <c r="AI402" i="1"/>
  <c r="AK402" i="1" s="1"/>
  <c r="AM402" i="1" s="1"/>
  <c r="CB399" i="1"/>
  <c r="CD399" i="1" s="1"/>
  <c r="CF399" i="1" s="1"/>
  <c r="CC399" i="1"/>
  <c r="CE399" i="1" s="1"/>
  <c r="Z403" i="1" l="1"/>
  <c r="AB403" i="1" s="1"/>
  <c r="Y403" i="1"/>
  <c r="AA403" i="1" s="1"/>
  <c r="AC403" i="1" s="1"/>
  <c r="CG399" i="1"/>
  <c r="CI399" i="1" s="1"/>
  <c r="CK399" i="1" s="1"/>
  <c r="CH399" i="1"/>
  <c r="CJ399" i="1" s="1"/>
  <c r="P403" i="1"/>
  <c r="R403" i="1" s="1"/>
  <c r="O403" i="1"/>
  <c r="CW398" i="1"/>
  <c r="CY398" i="1" s="1"/>
  <c r="CV398" i="1"/>
  <c r="CX398" i="1" s="1"/>
  <c r="CZ398" i="1" s="1"/>
  <c r="AN402" i="1"/>
  <c r="AP402" i="1" s="1"/>
  <c r="AR402" i="1" s="1"/>
  <c r="AO402" i="1"/>
  <c r="AQ402" i="1" s="1"/>
  <c r="BC401" i="1"/>
  <c r="BE401" i="1" s="1"/>
  <c r="BG401" i="1" s="1"/>
  <c r="BD401" i="1"/>
  <c r="BF401" i="1" s="1"/>
  <c r="F404" i="1"/>
  <c r="H404" i="1" s="1"/>
  <c r="E404" i="1"/>
  <c r="BR400" i="1"/>
  <c r="BT400" i="1" s="1"/>
  <c r="BV400" i="1" s="1"/>
  <c r="BS400" i="1"/>
  <c r="BU400" i="1" s="1"/>
  <c r="DA398" i="1" l="1"/>
  <c r="DC398" i="1" s="1"/>
  <c r="DB398" i="1"/>
  <c r="DD398" i="1" s="1"/>
  <c r="AS402" i="1"/>
  <c r="AU402" i="1" s="1"/>
  <c r="AW402" i="1" s="1"/>
  <c r="AT402" i="1"/>
  <c r="AV402" i="1" s="1"/>
  <c r="AD403" i="1"/>
  <c r="AF403" i="1" s="1"/>
  <c r="AH403" i="1" s="1"/>
  <c r="AE403" i="1"/>
  <c r="AG403" i="1" s="1"/>
  <c r="BI401" i="1"/>
  <c r="BK401" i="1" s="1"/>
  <c r="BH401" i="1"/>
  <c r="BJ401" i="1" s="1"/>
  <c r="BL401" i="1" s="1"/>
  <c r="BX400" i="1"/>
  <c r="BZ400" i="1" s="1"/>
  <c r="BW400" i="1"/>
  <c r="BY400" i="1" s="1"/>
  <c r="CA400" i="1" s="1"/>
  <c r="CM399" i="1"/>
  <c r="CO399" i="1" s="1"/>
  <c r="CL399" i="1"/>
  <c r="CN399" i="1" s="1"/>
  <c r="CP399" i="1" s="1"/>
  <c r="Q404" i="1"/>
  <c r="S404" i="1" s="1"/>
  <c r="G404" i="1"/>
  <c r="I404" i="1" s="1"/>
  <c r="CC400" i="1" l="1"/>
  <c r="CE400" i="1" s="1"/>
  <c r="CB400" i="1"/>
  <c r="CD400" i="1" s="1"/>
  <c r="CF400" i="1" s="1"/>
  <c r="BM401" i="1"/>
  <c r="BO401" i="1" s="1"/>
  <c r="BQ401" i="1" s="1"/>
  <c r="BN401" i="1"/>
  <c r="BP401" i="1" s="1"/>
  <c r="AX402" i="1"/>
  <c r="AZ402" i="1" s="1"/>
  <c r="BB402" i="1" s="1"/>
  <c r="AY402" i="1"/>
  <c r="BA402" i="1" s="1"/>
  <c r="T404" i="1"/>
  <c r="V404" i="1" s="1"/>
  <c r="X404" i="1" s="1"/>
  <c r="U404" i="1"/>
  <c r="W404" i="1" s="1"/>
  <c r="AJ403" i="1"/>
  <c r="AL403" i="1" s="1"/>
  <c r="AI403" i="1"/>
  <c r="AK403" i="1" s="1"/>
  <c r="AM403" i="1" s="1"/>
  <c r="J404" i="1"/>
  <c r="L404" i="1" s="1"/>
  <c r="N404" i="1" s="1"/>
  <c r="K404" i="1"/>
  <c r="M404" i="1" s="1"/>
  <c r="D405" i="1"/>
  <c r="CQ399" i="1"/>
  <c r="CS399" i="1" s="1"/>
  <c r="CU399" i="1" s="1"/>
  <c r="CR399" i="1"/>
  <c r="CT399" i="1" s="1"/>
  <c r="AO403" i="1" l="1"/>
  <c r="AQ403" i="1" s="1"/>
  <c r="AN403" i="1"/>
  <c r="AP403" i="1" s="1"/>
  <c r="AR403" i="1" s="1"/>
  <c r="BC402" i="1"/>
  <c r="BE402" i="1" s="1"/>
  <c r="BG402" i="1" s="1"/>
  <c r="BD402" i="1"/>
  <c r="BF402" i="1" s="1"/>
  <c r="P404" i="1"/>
  <c r="R404" i="1" s="1"/>
  <c r="O404" i="1"/>
  <c r="Z404" i="1"/>
  <c r="AB404" i="1" s="1"/>
  <c r="Y404" i="1"/>
  <c r="AA404" i="1" s="1"/>
  <c r="AC404" i="1" s="1"/>
  <c r="BS401" i="1"/>
  <c r="BU401" i="1" s="1"/>
  <c r="BR401" i="1"/>
  <c r="BT401" i="1" s="1"/>
  <c r="BV401" i="1" s="1"/>
  <c r="CG400" i="1"/>
  <c r="CI400" i="1" s="1"/>
  <c r="CK400" i="1" s="1"/>
  <c r="CH400" i="1"/>
  <c r="CJ400" i="1" s="1"/>
  <c r="CW399" i="1"/>
  <c r="CY399" i="1" s="1"/>
  <c r="CV399" i="1"/>
  <c r="CX399" i="1" s="1"/>
  <c r="CZ399" i="1" s="1"/>
  <c r="F405" i="1"/>
  <c r="H405" i="1" s="1"/>
  <c r="E405" i="1"/>
  <c r="AE404" i="1" l="1"/>
  <c r="AG404" i="1" s="1"/>
  <c r="AD404" i="1"/>
  <c r="AF404" i="1" s="1"/>
  <c r="AH404" i="1" s="1"/>
  <c r="BW401" i="1"/>
  <c r="BY401" i="1" s="1"/>
  <c r="CA401" i="1" s="1"/>
  <c r="BX401" i="1"/>
  <c r="BZ401" i="1" s="1"/>
  <c r="BH402" i="1"/>
  <c r="BJ402" i="1" s="1"/>
  <c r="BL402" i="1" s="1"/>
  <c r="BI402" i="1"/>
  <c r="BK402" i="1" s="1"/>
  <c r="AS403" i="1"/>
  <c r="AU403" i="1" s="1"/>
  <c r="AW403" i="1" s="1"/>
  <c r="AT403" i="1"/>
  <c r="AV403" i="1" s="1"/>
  <c r="CL400" i="1"/>
  <c r="CN400" i="1" s="1"/>
  <c r="CP400" i="1" s="1"/>
  <c r="CM400" i="1"/>
  <c r="CO400" i="1" s="1"/>
  <c r="G405" i="1"/>
  <c r="I405" i="1" s="1"/>
  <c r="Q405" i="1"/>
  <c r="S405" i="1" s="1"/>
  <c r="DA399" i="1"/>
  <c r="DC399" i="1" s="1"/>
  <c r="DB399" i="1"/>
  <c r="DD399" i="1" s="1"/>
  <c r="AY403" i="1" l="1"/>
  <c r="BA403" i="1" s="1"/>
  <c r="AX403" i="1"/>
  <c r="AZ403" i="1" s="1"/>
  <c r="BB403" i="1" s="1"/>
  <c r="J405" i="1"/>
  <c r="L405" i="1" s="1"/>
  <c r="N405" i="1" s="1"/>
  <c r="K405" i="1"/>
  <c r="M405" i="1" s="1"/>
  <c r="D406" i="1"/>
  <c r="CC401" i="1"/>
  <c r="CE401" i="1" s="1"/>
  <c r="CB401" i="1"/>
  <c r="CD401" i="1" s="1"/>
  <c r="CF401" i="1" s="1"/>
  <c r="CR400" i="1"/>
  <c r="CT400" i="1" s="1"/>
  <c r="CQ400" i="1"/>
  <c r="CS400" i="1" s="1"/>
  <c r="CU400" i="1" s="1"/>
  <c r="BN402" i="1"/>
  <c r="BP402" i="1" s="1"/>
  <c r="BM402" i="1"/>
  <c r="BO402" i="1" s="1"/>
  <c r="BQ402" i="1" s="1"/>
  <c r="AJ404" i="1"/>
  <c r="AL404" i="1" s="1"/>
  <c r="AI404" i="1"/>
  <c r="AK404" i="1" s="1"/>
  <c r="AM404" i="1" s="1"/>
  <c r="U405" i="1"/>
  <c r="W405" i="1" s="1"/>
  <c r="T405" i="1"/>
  <c r="V405" i="1" s="1"/>
  <c r="X405" i="1" s="1"/>
  <c r="CW400" i="1" l="1"/>
  <c r="CY400" i="1" s="1"/>
  <c r="CV400" i="1"/>
  <c r="CX400" i="1" s="1"/>
  <c r="CZ400" i="1" s="1"/>
  <c r="BS402" i="1"/>
  <c r="BU402" i="1" s="1"/>
  <c r="BR402" i="1"/>
  <c r="BT402" i="1" s="1"/>
  <c r="BV402" i="1" s="1"/>
  <c r="Z405" i="1"/>
  <c r="AB405" i="1" s="1"/>
  <c r="Y405" i="1"/>
  <c r="AA405" i="1" s="1"/>
  <c r="AC405" i="1" s="1"/>
  <c r="BC403" i="1"/>
  <c r="BE403" i="1" s="1"/>
  <c r="BG403" i="1" s="1"/>
  <c r="BD403" i="1"/>
  <c r="BF403" i="1" s="1"/>
  <c r="CG401" i="1"/>
  <c r="CI401" i="1" s="1"/>
  <c r="CK401" i="1" s="1"/>
  <c r="CH401" i="1"/>
  <c r="CJ401" i="1" s="1"/>
  <c r="F406" i="1"/>
  <c r="H406" i="1" s="1"/>
  <c r="E406" i="1"/>
  <c r="P405" i="1"/>
  <c r="R405" i="1" s="1"/>
  <c r="O405" i="1"/>
  <c r="AN404" i="1"/>
  <c r="AP404" i="1" s="1"/>
  <c r="AR404" i="1" s="1"/>
  <c r="AO404" i="1"/>
  <c r="AQ404" i="1" s="1"/>
  <c r="Q406" i="1" l="1"/>
  <c r="S406" i="1" s="1"/>
  <c r="G406" i="1"/>
  <c r="I406" i="1" s="1"/>
  <c r="BI403" i="1"/>
  <c r="BK403" i="1" s="1"/>
  <c r="BH403" i="1"/>
  <c r="BJ403" i="1" s="1"/>
  <c r="BL403" i="1" s="1"/>
  <c r="AS404" i="1"/>
  <c r="AU404" i="1" s="1"/>
  <c r="AW404" i="1" s="1"/>
  <c r="AT404" i="1"/>
  <c r="AV404" i="1" s="1"/>
  <c r="CM401" i="1"/>
  <c r="CO401" i="1" s="1"/>
  <c r="CL401" i="1"/>
  <c r="CN401" i="1" s="1"/>
  <c r="CP401" i="1" s="1"/>
  <c r="AD405" i="1"/>
  <c r="AF405" i="1" s="1"/>
  <c r="AH405" i="1" s="1"/>
  <c r="AE405" i="1"/>
  <c r="AG405" i="1" s="1"/>
  <c r="DA400" i="1"/>
  <c r="DC400" i="1" s="1"/>
  <c r="DB400" i="1"/>
  <c r="DD400" i="1" s="1"/>
  <c r="BX402" i="1"/>
  <c r="BZ402" i="1" s="1"/>
  <c r="BW402" i="1"/>
  <c r="BY402" i="1" s="1"/>
  <c r="CA402" i="1" s="1"/>
  <c r="CR401" i="1" l="1"/>
  <c r="CT401" i="1" s="1"/>
  <c r="CQ401" i="1"/>
  <c r="CS401" i="1" s="1"/>
  <c r="CU401" i="1" s="1"/>
  <c r="CB402" i="1"/>
  <c r="CD402" i="1" s="1"/>
  <c r="CF402" i="1" s="1"/>
  <c r="CC402" i="1"/>
  <c r="CE402" i="1" s="1"/>
  <c r="BM403" i="1"/>
  <c r="BO403" i="1" s="1"/>
  <c r="BQ403" i="1" s="1"/>
  <c r="BN403" i="1"/>
  <c r="BP403" i="1" s="1"/>
  <c r="K406" i="1"/>
  <c r="M406" i="1" s="1"/>
  <c r="J406" i="1"/>
  <c r="L406" i="1" s="1"/>
  <c r="N406" i="1" s="1"/>
  <c r="D407" i="1"/>
  <c r="AI405" i="1"/>
  <c r="AK405" i="1" s="1"/>
  <c r="AM405" i="1" s="1"/>
  <c r="AJ405" i="1"/>
  <c r="AL405" i="1" s="1"/>
  <c r="AX404" i="1"/>
  <c r="AZ404" i="1" s="1"/>
  <c r="BB404" i="1" s="1"/>
  <c r="AY404" i="1"/>
  <c r="BA404" i="1" s="1"/>
  <c r="T406" i="1"/>
  <c r="V406" i="1" s="1"/>
  <c r="X406" i="1" s="1"/>
  <c r="U406" i="1"/>
  <c r="W406" i="1" s="1"/>
  <c r="BD404" i="1" l="1"/>
  <c r="BF404" i="1" s="1"/>
  <c r="BC404" i="1"/>
  <c r="BE404" i="1" s="1"/>
  <c r="BG404" i="1" s="1"/>
  <c r="E407" i="1"/>
  <c r="F407" i="1"/>
  <c r="H407" i="1" s="1"/>
  <c r="O406" i="1"/>
  <c r="P406" i="1"/>
  <c r="R406" i="1" s="1"/>
  <c r="CW401" i="1"/>
  <c r="CY401" i="1" s="1"/>
  <c r="CV401" i="1"/>
  <c r="CX401" i="1" s="1"/>
  <c r="CZ401" i="1" s="1"/>
  <c r="AO405" i="1"/>
  <c r="AQ405" i="1" s="1"/>
  <c r="AN405" i="1"/>
  <c r="AP405" i="1" s="1"/>
  <c r="AR405" i="1" s="1"/>
  <c r="BR403" i="1"/>
  <c r="BT403" i="1" s="1"/>
  <c r="BV403" i="1" s="1"/>
  <c r="BS403" i="1"/>
  <c r="BU403" i="1" s="1"/>
  <c r="CG402" i="1"/>
  <c r="CI402" i="1" s="1"/>
  <c r="CK402" i="1" s="1"/>
  <c r="CH402" i="1"/>
  <c r="CJ402" i="1" s="1"/>
  <c r="Z406" i="1"/>
  <c r="AB406" i="1" s="1"/>
  <c r="Y406" i="1"/>
  <c r="AA406" i="1" s="1"/>
  <c r="AC406" i="1" s="1"/>
  <c r="AT405" i="1" l="1"/>
  <c r="AV405" i="1" s="1"/>
  <c r="AS405" i="1"/>
  <c r="AU405" i="1" s="1"/>
  <c r="AW405" i="1" s="1"/>
  <c r="DA401" i="1"/>
  <c r="DC401" i="1" s="1"/>
  <c r="DB401" i="1"/>
  <c r="DD401" i="1" s="1"/>
  <c r="AD406" i="1"/>
  <c r="AF406" i="1" s="1"/>
  <c r="AH406" i="1" s="1"/>
  <c r="AE406" i="1"/>
  <c r="AG406" i="1" s="1"/>
  <c r="CM402" i="1"/>
  <c r="CO402" i="1" s="1"/>
  <c r="CL402" i="1"/>
  <c r="CN402" i="1" s="1"/>
  <c r="CP402" i="1" s="1"/>
  <c r="BW403" i="1"/>
  <c r="BY403" i="1" s="1"/>
  <c r="CA403" i="1" s="1"/>
  <c r="BX403" i="1"/>
  <c r="BZ403" i="1" s="1"/>
  <c r="Q407" i="1"/>
  <c r="S407" i="1" s="1"/>
  <c r="G407" i="1"/>
  <c r="I407" i="1" s="1"/>
  <c r="BI404" i="1"/>
  <c r="BK404" i="1" s="1"/>
  <c r="BH404" i="1"/>
  <c r="BJ404" i="1" s="1"/>
  <c r="BL404" i="1" s="1"/>
  <c r="AI406" i="1" l="1"/>
  <c r="AK406" i="1" s="1"/>
  <c r="AM406" i="1" s="1"/>
  <c r="AJ406" i="1"/>
  <c r="AL406" i="1" s="1"/>
  <c r="K407" i="1"/>
  <c r="M407" i="1" s="1"/>
  <c r="J407" i="1"/>
  <c r="L407" i="1" s="1"/>
  <c r="N407" i="1" s="1"/>
  <c r="D408" i="1"/>
  <c r="CR402" i="1"/>
  <c r="CT402" i="1" s="1"/>
  <c r="CQ402" i="1"/>
  <c r="CS402" i="1" s="1"/>
  <c r="CU402" i="1" s="1"/>
  <c r="BM404" i="1"/>
  <c r="BO404" i="1" s="1"/>
  <c r="BQ404" i="1" s="1"/>
  <c r="BN404" i="1"/>
  <c r="BP404" i="1" s="1"/>
  <c r="U407" i="1"/>
  <c r="W407" i="1" s="1"/>
  <c r="T407" i="1"/>
  <c r="V407" i="1" s="1"/>
  <c r="X407" i="1" s="1"/>
  <c r="CB403" i="1"/>
  <c r="CD403" i="1" s="1"/>
  <c r="CF403" i="1" s="1"/>
  <c r="CC403" i="1"/>
  <c r="CE403" i="1" s="1"/>
  <c r="AY405" i="1"/>
  <c r="BA405" i="1" s="1"/>
  <c r="AX405" i="1"/>
  <c r="AZ405" i="1" s="1"/>
  <c r="BB405" i="1" s="1"/>
  <c r="CV402" i="1" l="1"/>
  <c r="CX402" i="1" s="1"/>
  <c r="CW402" i="1"/>
  <c r="CY402" i="1" s="1"/>
  <c r="F408" i="1"/>
  <c r="H408" i="1" s="1"/>
  <c r="E408" i="1"/>
  <c r="CG403" i="1"/>
  <c r="CI403" i="1" s="1"/>
  <c r="CK403" i="1" s="1"/>
  <c r="CH403" i="1"/>
  <c r="CJ403" i="1" s="1"/>
  <c r="BS404" i="1"/>
  <c r="BU404" i="1" s="1"/>
  <c r="BR404" i="1"/>
  <c r="BT404" i="1" s="1"/>
  <c r="BV404" i="1" s="1"/>
  <c r="O407" i="1"/>
  <c r="P407" i="1"/>
  <c r="R407" i="1" s="1"/>
  <c r="Y407" i="1"/>
  <c r="AA407" i="1" s="1"/>
  <c r="AC407" i="1" s="1"/>
  <c r="Z407" i="1"/>
  <c r="AB407" i="1" s="1"/>
  <c r="BC405" i="1"/>
  <c r="BE405" i="1" s="1"/>
  <c r="BG405" i="1" s="1"/>
  <c r="BD405" i="1"/>
  <c r="BF405" i="1" s="1"/>
  <c r="AO406" i="1"/>
  <c r="AQ406" i="1" s="1"/>
  <c r="AN406" i="1"/>
  <c r="AP406" i="1" s="1"/>
  <c r="AR406" i="1" s="1"/>
  <c r="BW404" i="1" l="1"/>
  <c r="BY404" i="1" s="1"/>
  <c r="CA404" i="1" s="1"/>
  <c r="BX404" i="1"/>
  <c r="BZ404" i="1" s="1"/>
  <c r="AS406" i="1"/>
  <c r="AU406" i="1" s="1"/>
  <c r="AW406" i="1" s="1"/>
  <c r="AT406" i="1"/>
  <c r="AV406" i="1" s="1"/>
  <c r="CL403" i="1"/>
  <c r="CN403" i="1" s="1"/>
  <c r="CP403" i="1" s="1"/>
  <c r="CM403" i="1"/>
  <c r="CO403" i="1" s="1"/>
  <c r="Q408" i="1"/>
  <c r="S408" i="1" s="1"/>
  <c r="G408" i="1"/>
  <c r="I408" i="1" s="1"/>
  <c r="AE407" i="1"/>
  <c r="AG407" i="1" s="1"/>
  <c r="AD407" i="1"/>
  <c r="AF407" i="1" s="1"/>
  <c r="AH407" i="1" s="1"/>
  <c r="BI405" i="1"/>
  <c r="BK405" i="1" s="1"/>
  <c r="BH405" i="1"/>
  <c r="BJ405" i="1" s="1"/>
  <c r="BL405" i="1" s="1"/>
  <c r="CZ402" i="1"/>
  <c r="BM405" i="1" l="1"/>
  <c r="BO405" i="1" s="1"/>
  <c r="BQ405" i="1" s="1"/>
  <c r="BN405" i="1"/>
  <c r="BP405" i="1" s="1"/>
  <c r="K408" i="1"/>
  <c r="M408" i="1" s="1"/>
  <c r="J408" i="1"/>
  <c r="L408" i="1" s="1"/>
  <c r="N408" i="1" s="1"/>
  <c r="D409" i="1"/>
  <c r="AI407" i="1"/>
  <c r="AK407" i="1" s="1"/>
  <c r="AM407" i="1" s="1"/>
  <c r="AJ407" i="1"/>
  <c r="AL407" i="1" s="1"/>
  <c r="CQ403" i="1"/>
  <c r="CS403" i="1" s="1"/>
  <c r="CU403" i="1" s="1"/>
  <c r="CR403" i="1"/>
  <c r="CT403" i="1" s="1"/>
  <c r="AX406" i="1"/>
  <c r="AZ406" i="1" s="1"/>
  <c r="BB406" i="1" s="1"/>
  <c r="AY406" i="1"/>
  <c r="BA406" i="1" s="1"/>
  <c r="U408" i="1"/>
  <c r="W408" i="1" s="1"/>
  <c r="T408" i="1"/>
  <c r="V408" i="1" s="1"/>
  <c r="X408" i="1" s="1"/>
  <c r="DB402" i="1"/>
  <c r="DD402" i="1" s="1"/>
  <c r="DA402" i="1"/>
  <c r="DC402" i="1" s="1"/>
  <c r="CB404" i="1"/>
  <c r="CD404" i="1" s="1"/>
  <c r="CF404" i="1" s="1"/>
  <c r="CC404" i="1"/>
  <c r="CE404" i="1" s="1"/>
  <c r="BD406" i="1" l="1"/>
  <c r="BF406" i="1" s="1"/>
  <c r="BC406" i="1"/>
  <c r="BE406" i="1" s="1"/>
  <c r="BG406" i="1" s="1"/>
  <c r="AN407" i="1"/>
  <c r="AP407" i="1" s="1"/>
  <c r="AR407" i="1" s="1"/>
  <c r="AO407" i="1"/>
  <c r="AQ407" i="1" s="1"/>
  <c r="P408" i="1"/>
  <c r="R408" i="1" s="1"/>
  <c r="O408" i="1"/>
  <c r="CW403" i="1"/>
  <c r="CY403" i="1" s="1"/>
  <c r="CV403" i="1"/>
  <c r="CX403" i="1" s="1"/>
  <c r="CZ403" i="1" s="1"/>
  <c r="CH404" i="1"/>
  <c r="CJ404" i="1" s="1"/>
  <c r="CG404" i="1"/>
  <c r="CI404" i="1" s="1"/>
  <c r="CK404" i="1" s="1"/>
  <c r="F409" i="1"/>
  <c r="H409" i="1" s="1"/>
  <c r="E409" i="1"/>
  <c r="Z408" i="1"/>
  <c r="AB408" i="1" s="1"/>
  <c r="Y408" i="1"/>
  <c r="AA408" i="1" s="1"/>
  <c r="AC408" i="1" s="1"/>
  <c r="BR405" i="1"/>
  <c r="BT405" i="1" s="1"/>
  <c r="BV405" i="1" s="1"/>
  <c r="BS405" i="1"/>
  <c r="BU405" i="1" s="1"/>
  <c r="G409" i="1" l="1"/>
  <c r="I409" i="1" s="1"/>
  <c r="Q409" i="1"/>
  <c r="S409" i="1" s="1"/>
  <c r="AE408" i="1"/>
  <c r="AG408" i="1" s="1"/>
  <c r="AD408" i="1"/>
  <c r="AF408" i="1" s="1"/>
  <c r="AH408" i="1" s="1"/>
  <c r="CL404" i="1"/>
  <c r="CN404" i="1" s="1"/>
  <c r="CP404" i="1" s="1"/>
  <c r="CM404" i="1"/>
  <c r="CO404" i="1" s="1"/>
  <c r="BW405" i="1"/>
  <c r="BY405" i="1" s="1"/>
  <c r="CA405" i="1" s="1"/>
  <c r="BX405" i="1"/>
  <c r="BZ405" i="1" s="1"/>
  <c r="DB403" i="1"/>
  <c r="DD403" i="1" s="1"/>
  <c r="DA403" i="1"/>
  <c r="DC403" i="1" s="1"/>
  <c r="AS407" i="1"/>
  <c r="AU407" i="1" s="1"/>
  <c r="AW407" i="1" s="1"/>
  <c r="AT407" i="1"/>
  <c r="AV407" i="1" s="1"/>
  <c r="BH406" i="1"/>
  <c r="BJ406" i="1" s="1"/>
  <c r="BL406" i="1" s="1"/>
  <c r="BI406" i="1"/>
  <c r="BK406" i="1" s="1"/>
  <c r="AX407" i="1" l="1"/>
  <c r="AZ407" i="1" s="1"/>
  <c r="BB407" i="1" s="1"/>
  <c r="AY407" i="1"/>
  <c r="BA407" i="1" s="1"/>
  <c r="AJ408" i="1"/>
  <c r="AL408" i="1" s="1"/>
  <c r="AI408" i="1"/>
  <c r="AK408" i="1" s="1"/>
  <c r="AM408" i="1" s="1"/>
  <c r="CR404" i="1"/>
  <c r="CT404" i="1" s="1"/>
  <c r="CQ404" i="1"/>
  <c r="CS404" i="1" s="1"/>
  <c r="CU404" i="1" s="1"/>
  <c r="U409" i="1"/>
  <c r="W409" i="1" s="1"/>
  <c r="T409" i="1"/>
  <c r="V409" i="1" s="1"/>
  <c r="X409" i="1" s="1"/>
  <c r="CC405" i="1"/>
  <c r="CE405" i="1" s="1"/>
  <c r="CB405" i="1"/>
  <c r="CD405" i="1" s="1"/>
  <c r="CF405" i="1" s="1"/>
  <c r="BN406" i="1"/>
  <c r="BP406" i="1" s="1"/>
  <c r="BM406" i="1"/>
  <c r="BO406" i="1" s="1"/>
  <c r="BQ406" i="1" s="1"/>
  <c r="J409" i="1"/>
  <c r="L409" i="1" s="1"/>
  <c r="N409" i="1" s="1"/>
  <c r="K409" i="1"/>
  <c r="M409" i="1" s="1"/>
  <c r="D410" i="1"/>
  <c r="BR406" i="1" l="1"/>
  <c r="BT406" i="1" s="1"/>
  <c r="BV406" i="1" s="1"/>
  <c r="BS406" i="1"/>
  <c r="BU406" i="1" s="1"/>
  <c r="CV404" i="1"/>
  <c r="CX404" i="1" s="1"/>
  <c r="CZ404" i="1" s="1"/>
  <c r="CW404" i="1"/>
  <c r="CY404" i="1" s="1"/>
  <c r="F410" i="1"/>
  <c r="H410" i="1" s="1"/>
  <c r="E410" i="1"/>
  <c r="CH405" i="1"/>
  <c r="CJ405" i="1" s="1"/>
  <c r="CG405" i="1"/>
  <c r="CI405" i="1" s="1"/>
  <c r="CK405" i="1" s="1"/>
  <c r="Z409" i="1"/>
  <c r="AB409" i="1" s="1"/>
  <c r="Y409" i="1"/>
  <c r="AA409" i="1" s="1"/>
  <c r="AC409" i="1" s="1"/>
  <c r="AN408" i="1"/>
  <c r="AP408" i="1" s="1"/>
  <c r="AR408" i="1" s="1"/>
  <c r="AO408" i="1"/>
  <c r="AQ408" i="1" s="1"/>
  <c r="P409" i="1"/>
  <c r="R409" i="1" s="1"/>
  <c r="O409" i="1"/>
  <c r="BD407" i="1"/>
  <c r="BF407" i="1" s="1"/>
  <c r="BC407" i="1"/>
  <c r="BE407" i="1" s="1"/>
  <c r="BG407" i="1" s="1"/>
  <c r="CM405" i="1" l="1"/>
  <c r="CO405" i="1" s="1"/>
  <c r="CL405" i="1"/>
  <c r="CN405" i="1" s="1"/>
  <c r="CP405" i="1" s="1"/>
  <c r="Q410" i="1"/>
  <c r="S410" i="1" s="1"/>
  <c r="G410" i="1"/>
  <c r="I410" i="1" s="1"/>
  <c r="AD409" i="1"/>
  <c r="AF409" i="1" s="1"/>
  <c r="AH409" i="1" s="1"/>
  <c r="AE409" i="1"/>
  <c r="AG409" i="1" s="1"/>
  <c r="BH407" i="1"/>
  <c r="BJ407" i="1" s="1"/>
  <c r="BL407" i="1" s="1"/>
  <c r="BI407" i="1"/>
  <c r="BK407" i="1" s="1"/>
  <c r="DB404" i="1"/>
  <c r="DD404" i="1" s="1"/>
  <c r="DA404" i="1"/>
  <c r="DC404" i="1" s="1"/>
  <c r="AT408" i="1"/>
  <c r="AV408" i="1" s="1"/>
  <c r="AS408" i="1"/>
  <c r="AU408" i="1" s="1"/>
  <c r="AW408" i="1" s="1"/>
  <c r="BX406" i="1"/>
  <c r="BZ406" i="1" s="1"/>
  <c r="BW406" i="1"/>
  <c r="BY406" i="1" s="1"/>
  <c r="CA406" i="1" s="1"/>
  <c r="CB406" i="1" l="1"/>
  <c r="CD406" i="1" s="1"/>
  <c r="CF406" i="1" s="1"/>
  <c r="CC406" i="1"/>
  <c r="CE406" i="1" s="1"/>
  <c r="BM407" i="1"/>
  <c r="BO407" i="1" s="1"/>
  <c r="BQ407" i="1" s="1"/>
  <c r="BN407" i="1"/>
  <c r="BP407" i="1" s="1"/>
  <c r="J410" i="1"/>
  <c r="L410" i="1" s="1"/>
  <c r="N410" i="1" s="1"/>
  <c r="K410" i="1"/>
  <c r="M410" i="1" s="1"/>
  <c r="D411" i="1"/>
  <c r="CR405" i="1"/>
  <c r="CT405" i="1" s="1"/>
  <c r="CQ405" i="1"/>
  <c r="CS405" i="1" s="1"/>
  <c r="CU405" i="1" s="1"/>
  <c r="AJ409" i="1"/>
  <c r="AL409" i="1" s="1"/>
  <c r="AI409" i="1"/>
  <c r="AK409" i="1" s="1"/>
  <c r="AM409" i="1" s="1"/>
  <c r="T410" i="1"/>
  <c r="V410" i="1" s="1"/>
  <c r="X410" i="1" s="1"/>
  <c r="U410" i="1"/>
  <c r="W410" i="1" s="1"/>
  <c r="AX408" i="1"/>
  <c r="AZ408" i="1" s="1"/>
  <c r="BB408" i="1" s="1"/>
  <c r="AY408" i="1"/>
  <c r="BA408" i="1" s="1"/>
  <c r="AN409" i="1" l="1"/>
  <c r="AP409" i="1" s="1"/>
  <c r="AR409" i="1" s="1"/>
  <c r="AO409" i="1"/>
  <c r="AQ409" i="1" s="1"/>
  <c r="BR407" i="1"/>
  <c r="BT407" i="1" s="1"/>
  <c r="BV407" i="1" s="1"/>
  <c r="BS407" i="1"/>
  <c r="BU407" i="1" s="1"/>
  <c r="CW405" i="1"/>
  <c r="CY405" i="1" s="1"/>
  <c r="CV405" i="1"/>
  <c r="CX405" i="1" s="1"/>
  <c r="CZ405" i="1" s="1"/>
  <c r="F411" i="1"/>
  <c r="H411" i="1" s="1"/>
  <c r="E411" i="1"/>
  <c r="Y410" i="1"/>
  <c r="AA410" i="1" s="1"/>
  <c r="AC410" i="1" s="1"/>
  <c r="Z410" i="1"/>
  <c r="AB410" i="1" s="1"/>
  <c r="P410" i="1"/>
  <c r="R410" i="1" s="1"/>
  <c r="O410" i="1"/>
  <c r="BC408" i="1"/>
  <c r="BE408" i="1" s="1"/>
  <c r="BG408" i="1" s="1"/>
  <c r="BD408" i="1"/>
  <c r="BF408" i="1" s="1"/>
  <c r="CH406" i="1"/>
  <c r="CJ406" i="1" s="1"/>
  <c r="CG406" i="1"/>
  <c r="CI406" i="1" s="1"/>
  <c r="CK406" i="1" s="1"/>
  <c r="Q411" i="1" l="1"/>
  <c r="S411" i="1" s="1"/>
  <c r="G411" i="1"/>
  <c r="I411" i="1" s="1"/>
  <c r="CL406" i="1"/>
  <c r="CN406" i="1" s="1"/>
  <c r="CP406" i="1" s="1"/>
  <c r="CM406" i="1"/>
  <c r="CO406" i="1" s="1"/>
  <c r="AD410" i="1"/>
  <c r="AF410" i="1" s="1"/>
  <c r="AH410" i="1" s="1"/>
  <c r="AE410" i="1"/>
  <c r="AG410" i="1" s="1"/>
  <c r="BI408" i="1"/>
  <c r="BK408" i="1" s="1"/>
  <c r="BH408" i="1"/>
  <c r="BJ408" i="1" s="1"/>
  <c r="BL408" i="1" s="1"/>
  <c r="DB405" i="1"/>
  <c r="DD405" i="1" s="1"/>
  <c r="DA405" i="1"/>
  <c r="DC405" i="1" s="1"/>
  <c r="BX407" i="1"/>
  <c r="BZ407" i="1" s="1"/>
  <c r="BW407" i="1"/>
  <c r="BY407" i="1" s="1"/>
  <c r="CA407" i="1" s="1"/>
  <c r="AT409" i="1"/>
  <c r="AV409" i="1" s="1"/>
  <c r="AS409" i="1"/>
  <c r="AU409" i="1" s="1"/>
  <c r="AW409" i="1" s="1"/>
  <c r="BM408" i="1" l="1"/>
  <c r="BO408" i="1" s="1"/>
  <c r="BQ408" i="1" s="1"/>
  <c r="BN408" i="1"/>
  <c r="BP408" i="1" s="1"/>
  <c r="AX409" i="1"/>
  <c r="AZ409" i="1" s="1"/>
  <c r="BB409" i="1" s="1"/>
  <c r="AY409" i="1"/>
  <c r="BA409" i="1" s="1"/>
  <c r="J411" i="1"/>
  <c r="L411" i="1" s="1"/>
  <c r="N411" i="1" s="1"/>
  <c r="K411" i="1"/>
  <c r="M411" i="1" s="1"/>
  <c r="D412" i="1"/>
  <c r="AI410" i="1"/>
  <c r="AK410" i="1" s="1"/>
  <c r="AM410" i="1" s="1"/>
  <c r="AJ410" i="1"/>
  <c r="AL410" i="1" s="1"/>
  <c r="CQ406" i="1"/>
  <c r="CS406" i="1" s="1"/>
  <c r="CU406" i="1" s="1"/>
  <c r="CR406" i="1"/>
  <c r="CT406" i="1" s="1"/>
  <c r="CB407" i="1"/>
  <c r="CD407" i="1" s="1"/>
  <c r="CF407" i="1" s="1"/>
  <c r="CC407" i="1"/>
  <c r="CE407" i="1" s="1"/>
  <c r="T411" i="1"/>
  <c r="V411" i="1" s="1"/>
  <c r="X411" i="1" s="1"/>
  <c r="U411" i="1"/>
  <c r="W411" i="1" s="1"/>
  <c r="AN410" i="1" l="1"/>
  <c r="AP410" i="1" s="1"/>
  <c r="AR410" i="1" s="1"/>
  <c r="AO410" i="1"/>
  <c r="AQ410" i="1" s="1"/>
  <c r="CH407" i="1"/>
  <c r="CJ407" i="1" s="1"/>
  <c r="CG407" i="1"/>
  <c r="CI407" i="1" s="1"/>
  <c r="CK407" i="1" s="1"/>
  <c r="F412" i="1"/>
  <c r="H412" i="1" s="1"/>
  <c r="E412" i="1"/>
  <c r="P411" i="1"/>
  <c r="R411" i="1" s="1"/>
  <c r="O411" i="1"/>
  <c r="Z411" i="1"/>
  <c r="AB411" i="1" s="1"/>
  <c r="Y411" i="1"/>
  <c r="AA411" i="1" s="1"/>
  <c r="AC411" i="1" s="1"/>
  <c r="CW406" i="1"/>
  <c r="CY406" i="1" s="1"/>
  <c r="CV406" i="1"/>
  <c r="CX406" i="1" s="1"/>
  <c r="BD409" i="1"/>
  <c r="BF409" i="1" s="1"/>
  <c r="BC409" i="1"/>
  <c r="BE409" i="1" s="1"/>
  <c r="BG409" i="1" s="1"/>
  <c r="BR408" i="1"/>
  <c r="BT408" i="1" s="1"/>
  <c r="BV408" i="1" s="1"/>
  <c r="BS408" i="1"/>
  <c r="BU408" i="1" s="1"/>
  <c r="AD411" i="1" l="1"/>
  <c r="AF411" i="1" s="1"/>
  <c r="AH411" i="1" s="1"/>
  <c r="AE411" i="1"/>
  <c r="AG411" i="1" s="1"/>
  <c r="BH409" i="1"/>
  <c r="BJ409" i="1" s="1"/>
  <c r="BL409" i="1" s="1"/>
  <c r="BI409" i="1"/>
  <c r="BK409" i="1" s="1"/>
  <c r="BX408" i="1"/>
  <c r="BZ408" i="1" s="1"/>
  <c r="BW408" i="1"/>
  <c r="BY408" i="1" s="1"/>
  <c r="CA408" i="1" s="1"/>
  <c r="G412" i="1"/>
  <c r="I412" i="1" s="1"/>
  <c r="Q412" i="1"/>
  <c r="S412" i="1" s="1"/>
  <c r="CL407" i="1"/>
  <c r="CN407" i="1" s="1"/>
  <c r="CP407" i="1" s="1"/>
  <c r="CM407" i="1"/>
  <c r="CO407" i="1" s="1"/>
  <c r="CZ406" i="1"/>
  <c r="AT410" i="1"/>
  <c r="AV410" i="1" s="1"/>
  <c r="AS410" i="1"/>
  <c r="AU410" i="1" s="1"/>
  <c r="AW410" i="1" s="1"/>
  <c r="J412" i="1" l="1"/>
  <c r="L412" i="1" s="1"/>
  <c r="N412" i="1" s="1"/>
  <c r="K412" i="1"/>
  <c r="M412" i="1" s="1"/>
  <c r="D413" i="1"/>
  <c r="DB406" i="1"/>
  <c r="DD406" i="1" s="1"/>
  <c r="DA406" i="1"/>
  <c r="DC406" i="1" s="1"/>
  <c r="CR407" i="1"/>
  <c r="CT407" i="1" s="1"/>
  <c r="CQ407" i="1"/>
  <c r="CS407" i="1" s="1"/>
  <c r="CU407" i="1" s="1"/>
  <c r="CB408" i="1"/>
  <c r="CD408" i="1" s="1"/>
  <c r="CF408" i="1" s="1"/>
  <c r="CC408" i="1"/>
  <c r="CE408" i="1" s="1"/>
  <c r="T412" i="1"/>
  <c r="V412" i="1" s="1"/>
  <c r="X412" i="1" s="1"/>
  <c r="U412" i="1"/>
  <c r="W412" i="1" s="1"/>
  <c r="BN409" i="1"/>
  <c r="BP409" i="1" s="1"/>
  <c r="BM409" i="1"/>
  <c r="BO409" i="1" s="1"/>
  <c r="BQ409" i="1" s="1"/>
  <c r="AY410" i="1"/>
  <c r="BA410" i="1" s="1"/>
  <c r="AX410" i="1"/>
  <c r="AZ410" i="1" s="1"/>
  <c r="BB410" i="1" s="1"/>
  <c r="AJ411" i="1"/>
  <c r="AL411" i="1" s="1"/>
  <c r="AI411" i="1"/>
  <c r="AK411" i="1" s="1"/>
  <c r="AM411" i="1" s="1"/>
  <c r="CG408" i="1" l="1"/>
  <c r="CI408" i="1" s="1"/>
  <c r="CK408" i="1" s="1"/>
  <c r="CH408" i="1"/>
  <c r="CJ408" i="1" s="1"/>
  <c r="Y412" i="1"/>
  <c r="AA412" i="1" s="1"/>
  <c r="AC412" i="1" s="1"/>
  <c r="Z412" i="1"/>
  <c r="AB412" i="1" s="1"/>
  <c r="AO411" i="1"/>
  <c r="AQ411" i="1" s="1"/>
  <c r="AN411" i="1"/>
  <c r="AP411" i="1" s="1"/>
  <c r="AR411" i="1" s="1"/>
  <c r="BC410" i="1"/>
  <c r="BE410" i="1" s="1"/>
  <c r="BG410" i="1" s="1"/>
  <c r="BD410" i="1"/>
  <c r="BF410" i="1" s="1"/>
  <c r="CW407" i="1"/>
  <c r="CY407" i="1" s="1"/>
  <c r="CV407" i="1"/>
  <c r="CX407" i="1" s="1"/>
  <c r="CZ407" i="1" s="1"/>
  <c r="F413" i="1"/>
  <c r="H413" i="1" s="1"/>
  <c r="E413" i="1"/>
  <c r="BR409" i="1"/>
  <c r="BT409" i="1" s="1"/>
  <c r="BV409" i="1" s="1"/>
  <c r="BS409" i="1"/>
  <c r="BU409" i="1" s="1"/>
  <c r="O412" i="1"/>
  <c r="P412" i="1"/>
  <c r="R412" i="1" s="1"/>
  <c r="DA407" i="1" l="1"/>
  <c r="DC407" i="1" s="1"/>
  <c r="DB407" i="1"/>
  <c r="DD407" i="1" s="1"/>
  <c r="AT411" i="1"/>
  <c r="AV411" i="1" s="1"/>
  <c r="AS411" i="1"/>
  <c r="AU411" i="1" s="1"/>
  <c r="AW411" i="1" s="1"/>
  <c r="Q413" i="1"/>
  <c r="S413" i="1" s="1"/>
  <c r="G413" i="1"/>
  <c r="I413" i="1" s="1"/>
  <c r="AE412" i="1"/>
  <c r="AG412" i="1" s="1"/>
  <c r="AD412" i="1"/>
  <c r="AF412" i="1" s="1"/>
  <c r="AH412" i="1" s="1"/>
  <c r="BW409" i="1"/>
  <c r="BY409" i="1" s="1"/>
  <c r="CA409" i="1" s="1"/>
  <c r="BX409" i="1"/>
  <c r="BZ409" i="1" s="1"/>
  <c r="BH410" i="1"/>
  <c r="BJ410" i="1" s="1"/>
  <c r="BL410" i="1" s="1"/>
  <c r="BI410" i="1"/>
  <c r="BK410" i="1" s="1"/>
  <c r="CM408" i="1"/>
  <c r="CO408" i="1" s="1"/>
  <c r="CL408" i="1"/>
  <c r="CN408" i="1" s="1"/>
  <c r="CP408" i="1" s="1"/>
  <c r="BN410" i="1" l="1"/>
  <c r="BP410" i="1" s="1"/>
  <c r="BM410" i="1"/>
  <c r="BO410" i="1" s="1"/>
  <c r="BQ410" i="1" s="1"/>
  <c r="AJ412" i="1"/>
  <c r="AL412" i="1" s="1"/>
  <c r="AI412" i="1"/>
  <c r="AK412" i="1" s="1"/>
  <c r="AM412" i="1" s="1"/>
  <c r="U413" i="1"/>
  <c r="W413" i="1" s="1"/>
  <c r="T413" i="1"/>
  <c r="V413" i="1" s="1"/>
  <c r="X413" i="1" s="1"/>
  <c r="CQ408" i="1"/>
  <c r="CS408" i="1" s="1"/>
  <c r="CU408" i="1" s="1"/>
  <c r="CR408" i="1"/>
  <c r="CT408" i="1" s="1"/>
  <c r="CB409" i="1"/>
  <c r="CD409" i="1" s="1"/>
  <c r="CF409" i="1" s="1"/>
  <c r="CC409" i="1"/>
  <c r="CE409" i="1" s="1"/>
  <c r="K413" i="1"/>
  <c r="M413" i="1" s="1"/>
  <c r="J413" i="1"/>
  <c r="L413" i="1" s="1"/>
  <c r="N413" i="1" s="1"/>
  <c r="D414" i="1"/>
  <c r="AY411" i="1"/>
  <c r="BA411" i="1" s="1"/>
  <c r="AX411" i="1"/>
  <c r="AZ411" i="1" s="1"/>
  <c r="BB411" i="1" s="1"/>
  <c r="CH409" i="1" l="1"/>
  <c r="CJ409" i="1" s="1"/>
  <c r="CG409" i="1"/>
  <c r="CI409" i="1" s="1"/>
  <c r="CK409" i="1" s="1"/>
  <c r="AN412" i="1"/>
  <c r="AP412" i="1" s="1"/>
  <c r="AR412" i="1" s="1"/>
  <c r="AO412" i="1"/>
  <c r="AQ412" i="1" s="1"/>
  <c r="O413" i="1"/>
  <c r="P413" i="1"/>
  <c r="R413" i="1" s="1"/>
  <c r="Z413" i="1"/>
  <c r="AB413" i="1" s="1"/>
  <c r="Y413" i="1"/>
  <c r="AA413" i="1" s="1"/>
  <c r="AC413" i="1" s="1"/>
  <c r="CV408" i="1"/>
  <c r="CX408" i="1" s="1"/>
  <c r="CW408" i="1"/>
  <c r="CY408" i="1" s="1"/>
  <c r="BD411" i="1"/>
  <c r="BF411" i="1" s="1"/>
  <c r="BC411" i="1"/>
  <c r="BE411" i="1" s="1"/>
  <c r="BG411" i="1" s="1"/>
  <c r="BR410" i="1"/>
  <c r="BT410" i="1" s="1"/>
  <c r="BV410" i="1" s="1"/>
  <c r="BS410" i="1"/>
  <c r="BU410" i="1" s="1"/>
  <c r="F414" i="1"/>
  <c r="H414" i="1" s="1"/>
  <c r="E414" i="1"/>
  <c r="BI411" i="1" l="1"/>
  <c r="BK411" i="1" s="1"/>
  <c r="BH411" i="1"/>
  <c r="BJ411" i="1" s="1"/>
  <c r="BL411" i="1" s="1"/>
  <c r="CZ408" i="1"/>
  <c r="CM409" i="1"/>
  <c r="CO409" i="1" s="1"/>
  <c r="CL409" i="1"/>
  <c r="CN409" i="1" s="1"/>
  <c r="CP409" i="1" s="1"/>
  <c r="AD413" i="1"/>
  <c r="AF413" i="1" s="1"/>
  <c r="AH413" i="1" s="1"/>
  <c r="AE413" i="1"/>
  <c r="AG413" i="1" s="1"/>
  <c r="G414" i="1"/>
  <c r="I414" i="1" s="1"/>
  <c r="Q414" i="1"/>
  <c r="S414" i="1" s="1"/>
  <c r="AT412" i="1"/>
  <c r="AV412" i="1" s="1"/>
  <c r="AS412" i="1"/>
  <c r="AU412" i="1" s="1"/>
  <c r="AW412" i="1" s="1"/>
  <c r="BX410" i="1"/>
  <c r="BZ410" i="1" s="1"/>
  <c r="BW410" i="1"/>
  <c r="BY410" i="1" s="1"/>
  <c r="CA410" i="1" s="1"/>
  <c r="T414" i="1" l="1"/>
  <c r="V414" i="1" s="1"/>
  <c r="X414" i="1" s="1"/>
  <c r="U414" i="1"/>
  <c r="W414" i="1" s="1"/>
  <c r="AX412" i="1"/>
  <c r="AZ412" i="1" s="1"/>
  <c r="BB412" i="1" s="1"/>
  <c r="AY412" i="1"/>
  <c r="BA412" i="1" s="1"/>
  <c r="CR409" i="1"/>
  <c r="CT409" i="1" s="1"/>
  <c r="CQ409" i="1"/>
  <c r="CS409" i="1" s="1"/>
  <c r="CU409" i="1" s="1"/>
  <c r="J414" i="1"/>
  <c r="L414" i="1" s="1"/>
  <c r="N414" i="1" s="1"/>
  <c r="K414" i="1"/>
  <c r="M414" i="1" s="1"/>
  <c r="D415" i="1"/>
  <c r="BN411" i="1"/>
  <c r="BP411" i="1" s="1"/>
  <c r="BM411" i="1"/>
  <c r="BO411" i="1" s="1"/>
  <c r="BQ411" i="1" s="1"/>
  <c r="AJ413" i="1"/>
  <c r="AL413" i="1" s="1"/>
  <c r="AI413" i="1"/>
  <c r="AK413" i="1" s="1"/>
  <c r="AM413" i="1" s="1"/>
  <c r="DB408" i="1"/>
  <c r="DD408" i="1" s="1"/>
  <c r="DA408" i="1"/>
  <c r="DC408" i="1" s="1"/>
  <c r="CB410" i="1"/>
  <c r="CD410" i="1" s="1"/>
  <c r="CF410" i="1" s="1"/>
  <c r="CC410" i="1"/>
  <c r="CE410" i="1" s="1"/>
  <c r="BR411" i="1" l="1"/>
  <c r="BT411" i="1" s="1"/>
  <c r="BV411" i="1" s="1"/>
  <c r="BS411" i="1"/>
  <c r="BU411" i="1" s="1"/>
  <c r="E415" i="1"/>
  <c r="F415" i="1"/>
  <c r="H415" i="1" s="1"/>
  <c r="CW409" i="1"/>
  <c r="CY409" i="1" s="1"/>
  <c r="CV409" i="1"/>
  <c r="CX409" i="1" s="1"/>
  <c r="CZ409" i="1" s="1"/>
  <c r="P414" i="1"/>
  <c r="R414" i="1" s="1"/>
  <c r="O414" i="1"/>
  <c r="CH410" i="1"/>
  <c r="CJ410" i="1" s="1"/>
  <c r="CG410" i="1"/>
  <c r="CI410" i="1" s="1"/>
  <c r="CK410" i="1" s="1"/>
  <c r="BD412" i="1"/>
  <c r="BF412" i="1" s="1"/>
  <c r="BC412" i="1"/>
  <c r="BE412" i="1" s="1"/>
  <c r="BG412" i="1" s="1"/>
  <c r="AO413" i="1"/>
  <c r="AQ413" i="1" s="1"/>
  <c r="AN413" i="1"/>
  <c r="AP413" i="1" s="1"/>
  <c r="AR413" i="1" s="1"/>
  <c r="Y414" i="1"/>
  <c r="AA414" i="1" s="1"/>
  <c r="AC414" i="1" s="1"/>
  <c r="Z414" i="1"/>
  <c r="AB414" i="1" s="1"/>
  <c r="DB409" i="1" l="1"/>
  <c r="DD409" i="1" s="1"/>
  <c r="DA409" i="1"/>
  <c r="DC409" i="1" s="1"/>
  <c r="AS413" i="1"/>
  <c r="AU413" i="1" s="1"/>
  <c r="AW413" i="1" s="1"/>
  <c r="AT413" i="1"/>
  <c r="AV413" i="1" s="1"/>
  <c r="CM410" i="1"/>
  <c r="CO410" i="1" s="1"/>
  <c r="CL410" i="1"/>
  <c r="CN410" i="1" s="1"/>
  <c r="CP410" i="1" s="1"/>
  <c r="AE414" i="1"/>
  <c r="AG414" i="1" s="1"/>
  <c r="AD414" i="1"/>
  <c r="AF414" i="1" s="1"/>
  <c r="AH414" i="1" s="1"/>
  <c r="Q415" i="1"/>
  <c r="S415" i="1" s="1"/>
  <c r="G415" i="1"/>
  <c r="I415" i="1" s="1"/>
  <c r="BI412" i="1"/>
  <c r="BK412" i="1" s="1"/>
  <c r="BH412" i="1"/>
  <c r="BJ412" i="1" s="1"/>
  <c r="BL412" i="1" s="1"/>
  <c r="BW411" i="1"/>
  <c r="BY411" i="1" s="1"/>
  <c r="CA411" i="1" s="1"/>
  <c r="BX411" i="1"/>
  <c r="BZ411" i="1" s="1"/>
  <c r="T415" i="1" l="1"/>
  <c r="V415" i="1" s="1"/>
  <c r="X415" i="1" s="1"/>
  <c r="U415" i="1"/>
  <c r="W415" i="1" s="1"/>
  <c r="CR410" i="1"/>
  <c r="CT410" i="1" s="1"/>
  <c r="CQ410" i="1"/>
  <c r="CS410" i="1" s="1"/>
  <c r="CU410" i="1" s="1"/>
  <c r="AI414" i="1"/>
  <c r="AK414" i="1" s="1"/>
  <c r="AM414" i="1" s="1"/>
  <c r="AJ414" i="1"/>
  <c r="AL414" i="1" s="1"/>
  <c r="AY413" i="1"/>
  <c r="BA413" i="1" s="1"/>
  <c r="AX413" i="1"/>
  <c r="AZ413" i="1" s="1"/>
  <c r="BB413" i="1" s="1"/>
  <c r="K415" i="1"/>
  <c r="M415" i="1" s="1"/>
  <c r="J415" i="1"/>
  <c r="L415" i="1" s="1"/>
  <c r="N415" i="1" s="1"/>
  <c r="D416" i="1"/>
  <c r="CB411" i="1"/>
  <c r="CD411" i="1" s="1"/>
  <c r="CF411" i="1" s="1"/>
  <c r="CC411" i="1"/>
  <c r="CE411" i="1" s="1"/>
  <c r="BN412" i="1"/>
  <c r="BP412" i="1" s="1"/>
  <c r="BM412" i="1"/>
  <c r="BO412" i="1" s="1"/>
  <c r="BQ412" i="1" s="1"/>
  <c r="P415" i="1" l="1"/>
  <c r="R415" i="1" s="1"/>
  <c r="O415" i="1"/>
  <c r="CH411" i="1"/>
  <c r="CJ411" i="1" s="1"/>
  <c r="CG411" i="1"/>
  <c r="CI411" i="1" s="1"/>
  <c r="CK411" i="1" s="1"/>
  <c r="AN414" i="1"/>
  <c r="AP414" i="1" s="1"/>
  <c r="AR414" i="1" s="1"/>
  <c r="AO414" i="1"/>
  <c r="AQ414" i="1" s="1"/>
  <c r="F416" i="1"/>
  <c r="H416" i="1" s="1"/>
  <c r="E416" i="1"/>
  <c r="BS412" i="1"/>
  <c r="BU412" i="1" s="1"/>
  <c r="BR412" i="1"/>
  <c r="BT412" i="1" s="1"/>
  <c r="BV412" i="1" s="1"/>
  <c r="BC413" i="1"/>
  <c r="BE413" i="1" s="1"/>
  <c r="BG413" i="1" s="1"/>
  <c r="BD413" i="1"/>
  <c r="BF413" i="1" s="1"/>
  <c r="CV410" i="1"/>
  <c r="CX410" i="1" s="1"/>
  <c r="CW410" i="1"/>
  <c r="CY410" i="1" s="1"/>
  <c r="Y415" i="1"/>
  <c r="AA415" i="1" s="1"/>
  <c r="AC415" i="1" s="1"/>
  <c r="Z415" i="1"/>
  <c r="AB415" i="1" s="1"/>
  <c r="AS414" i="1" l="1"/>
  <c r="AU414" i="1" s="1"/>
  <c r="AW414" i="1" s="1"/>
  <c r="AT414" i="1"/>
  <c r="AV414" i="1" s="1"/>
  <c r="BX412" i="1"/>
  <c r="BZ412" i="1" s="1"/>
  <c r="BW412" i="1"/>
  <c r="BY412" i="1" s="1"/>
  <c r="CA412" i="1" s="1"/>
  <c r="G416" i="1"/>
  <c r="I416" i="1" s="1"/>
  <c r="Q416" i="1"/>
  <c r="S416" i="1" s="1"/>
  <c r="AE415" i="1"/>
  <c r="AG415" i="1" s="1"/>
  <c r="AD415" i="1"/>
  <c r="AF415" i="1" s="1"/>
  <c r="AH415" i="1" s="1"/>
  <c r="CZ410" i="1"/>
  <c r="BI413" i="1"/>
  <c r="BK413" i="1" s="1"/>
  <c r="BH413" i="1"/>
  <c r="BJ413" i="1" s="1"/>
  <c r="BL413" i="1" s="1"/>
  <c r="CL411" i="1"/>
  <c r="CN411" i="1" s="1"/>
  <c r="CP411" i="1" s="1"/>
  <c r="CM411" i="1"/>
  <c r="CO411" i="1" s="1"/>
  <c r="CR411" i="1" l="1"/>
  <c r="CT411" i="1" s="1"/>
  <c r="CQ411" i="1"/>
  <c r="CS411" i="1" s="1"/>
  <c r="CU411" i="1" s="1"/>
  <c r="DA410" i="1"/>
  <c r="DC410" i="1" s="1"/>
  <c r="DB410" i="1"/>
  <c r="DD410" i="1" s="1"/>
  <c r="U416" i="1"/>
  <c r="W416" i="1" s="1"/>
  <c r="T416" i="1"/>
  <c r="V416" i="1" s="1"/>
  <c r="X416" i="1" s="1"/>
  <c r="BN413" i="1"/>
  <c r="BP413" i="1" s="1"/>
  <c r="BM413" i="1"/>
  <c r="BO413" i="1" s="1"/>
  <c r="BQ413" i="1" s="1"/>
  <c r="AJ415" i="1"/>
  <c r="AL415" i="1" s="1"/>
  <c r="AI415" i="1"/>
  <c r="AK415" i="1" s="1"/>
  <c r="AM415" i="1" s="1"/>
  <c r="J416" i="1"/>
  <c r="L416" i="1" s="1"/>
  <c r="N416" i="1" s="1"/>
  <c r="K416" i="1"/>
  <c r="M416" i="1" s="1"/>
  <c r="D417" i="1"/>
  <c r="CC412" i="1"/>
  <c r="CE412" i="1" s="1"/>
  <c r="CB412" i="1"/>
  <c r="CD412" i="1" s="1"/>
  <c r="CF412" i="1" s="1"/>
  <c r="AX414" i="1"/>
  <c r="AZ414" i="1" s="1"/>
  <c r="BB414" i="1" s="1"/>
  <c r="AY414" i="1"/>
  <c r="BA414" i="1" s="1"/>
  <c r="O416" i="1" l="1"/>
  <c r="P416" i="1"/>
  <c r="R416" i="1" s="1"/>
  <c r="Z416" i="1"/>
  <c r="AB416" i="1" s="1"/>
  <c r="Y416" i="1"/>
  <c r="AA416" i="1" s="1"/>
  <c r="AC416" i="1" s="1"/>
  <c r="BR413" i="1"/>
  <c r="BT413" i="1" s="1"/>
  <c r="BV413" i="1" s="1"/>
  <c r="BS413" i="1"/>
  <c r="BU413" i="1" s="1"/>
  <c r="AN415" i="1"/>
  <c r="AP415" i="1" s="1"/>
  <c r="AR415" i="1" s="1"/>
  <c r="AO415" i="1"/>
  <c r="AQ415" i="1" s="1"/>
  <c r="BD414" i="1"/>
  <c r="BF414" i="1" s="1"/>
  <c r="BC414" i="1"/>
  <c r="BE414" i="1" s="1"/>
  <c r="BG414" i="1" s="1"/>
  <c r="CH412" i="1"/>
  <c r="CJ412" i="1" s="1"/>
  <c r="CG412" i="1"/>
  <c r="CI412" i="1" s="1"/>
  <c r="CK412" i="1" s="1"/>
  <c r="CV411" i="1"/>
  <c r="CX411" i="1" s="1"/>
  <c r="CW411" i="1"/>
  <c r="CY411" i="1" s="1"/>
  <c r="F417" i="1"/>
  <c r="H417" i="1" s="1"/>
  <c r="E417" i="1"/>
  <c r="CM412" i="1" l="1"/>
  <c r="CO412" i="1" s="1"/>
  <c r="CL412" i="1"/>
  <c r="CN412" i="1" s="1"/>
  <c r="CP412" i="1" s="1"/>
  <c r="AS415" i="1"/>
  <c r="AU415" i="1" s="1"/>
  <c r="AW415" i="1" s="1"/>
  <c r="AT415" i="1"/>
  <c r="AV415" i="1" s="1"/>
  <c r="BH414" i="1"/>
  <c r="BJ414" i="1" s="1"/>
  <c r="BL414" i="1" s="1"/>
  <c r="BI414" i="1"/>
  <c r="BK414" i="1" s="1"/>
  <c r="BW413" i="1"/>
  <c r="BY413" i="1" s="1"/>
  <c r="CA413" i="1" s="1"/>
  <c r="BX413" i="1"/>
  <c r="BZ413" i="1" s="1"/>
  <c r="G417" i="1"/>
  <c r="I417" i="1" s="1"/>
  <c r="Q417" i="1"/>
  <c r="S417" i="1" s="1"/>
  <c r="AE416" i="1"/>
  <c r="AG416" i="1" s="1"/>
  <c r="AD416" i="1"/>
  <c r="AF416" i="1" s="1"/>
  <c r="AH416" i="1" s="1"/>
  <c r="CZ411" i="1"/>
  <c r="CB413" i="1" l="1"/>
  <c r="CD413" i="1" s="1"/>
  <c r="CF413" i="1" s="1"/>
  <c r="CC413" i="1"/>
  <c r="CE413" i="1" s="1"/>
  <c r="AI416" i="1"/>
  <c r="AK416" i="1" s="1"/>
  <c r="AM416" i="1" s="1"/>
  <c r="AJ416" i="1"/>
  <c r="AL416" i="1" s="1"/>
  <c r="J417" i="1"/>
  <c r="L417" i="1" s="1"/>
  <c r="N417" i="1" s="1"/>
  <c r="K417" i="1"/>
  <c r="M417" i="1" s="1"/>
  <c r="D418" i="1"/>
  <c r="BN414" i="1"/>
  <c r="BP414" i="1" s="1"/>
  <c r="BM414" i="1"/>
  <c r="BO414" i="1" s="1"/>
  <c r="BQ414" i="1" s="1"/>
  <c r="CR412" i="1"/>
  <c r="CT412" i="1" s="1"/>
  <c r="CQ412" i="1"/>
  <c r="CS412" i="1" s="1"/>
  <c r="CU412" i="1" s="1"/>
  <c r="U417" i="1"/>
  <c r="W417" i="1" s="1"/>
  <c r="T417" i="1"/>
  <c r="V417" i="1" s="1"/>
  <c r="X417" i="1" s="1"/>
  <c r="AY415" i="1"/>
  <c r="BA415" i="1" s="1"/>
  <c r="AX415" i="1"/>
  <c r="AZ415" i="1" s="1"/>
  <c r="BB415" i="1" s="1"/>
  <c r="DB411" i="1"/>
  <c r="DD411" i="1" s="1"/>
  <c r="DA411" i="1"/>
  <c r="DC411" i="1" s="1"/>
  <c r="CW412" i="1" l="1"/>
  <c r="CY412" i="1" s="1"/>
  <c r="CV412" i="1"/>
  <c r="CX412" i="1" s="1"/>
  <c r="CZ412" i="1" s="1"/>
  <c r="BS414" i="1"/>
  <c r="BU414" i="1" s="1"/>
  <c r="BR414" i="1"/>
  <c r="BT414" i="1" s="1"/>
  <c r="BV414" i="1" s="1"/>
  <c r="BC415" i="1"/>
  <c r="BE415" i="1" s="1"/>
  <c r="BG415" i="1" s="1"/>
  <c r="BD415" i="1"/>
  <c r="BF415" i="1" s="1"/>
  <c r="P417" i="1"/>
  <c r="R417" i="1" s="1"/>
  <c r="O417" i="1"/>
  <c r="F418" i="1"/>
  <c r="H418" i="1" s="1"/>
  <c r="E418" i="1"/>
  <c r="AN416" i="1"/>
  <c r="AP416" i="1" s="1"/>
  <c r="AR416" i="1" s="1"/>
  <c r="AO416" i="1"/>
  <c r="AQ416" i="1" s="1"/>
  <c r="Y417" i="1"/>
  <c r="AA417" i="1" s="1"/>
  <c r="AC417" i="1" s="1"/>
  <c r="Z417" i="1"/>
  <c r="AB417" i="1" s="1"/>
  <c r="CG413" i="1"/>
  <c r="CI413" i="1" s="1"/>
  <c r="CK413" i="1" s="1"/>
  <c r="CH413" i="1"/>
  <c r="CJ413" i="1" s="1"/>
  <c r="BW414" i="1" l="1"/>
  <c r="BY414" i="1" s="1"/>
  <c r="CA414" i="1" s="1"/>
  <c r="BX414" i="1"/>
  <c r="BZ414" i="1" s="1"/>
  <c r="Q418" i="1"/>
  <c r="S418" i="1" s="1"/>
  <c r="G418" i="1"/>
  <c r="I418" i="1" s="1"/>
  <c r="AT416" i="1"/>
  <c r="AV416" i="1" s="1"/>
  <c r="AS416" i="1"/>
  <c r="AU416" i="1" s="1"/>
  <c r="AW416" i="1" s="1"/>
  <c r="CM413" i="1"/>
  <c r="CO413" i="1" s="1"/>
  <c r="CL413" i="1"/>
  <c r="CN413" i="1" s="1"/>
  <c r="CP413" i="1" s="1"/>
  <c r="DA412" i="1"/>
  <c r="DC412" i="1" s="1"/>
  <c r="DB412" i="1"/>
  <c r="DD412" i="1" s="1"/>
  <c r="BH415" i="1"/>
  <c r="BJ415" i="1" s="1"/>
  <c r="BL415" i="1" s="1"/>
  <c r="BI415" i="1"/>
  <c r="BK415" i="1" s="1"/>
  <c r="AE417" i="1"/>
  <c r="AG417" i="1" s="1"/>
  <c r="AD417" i="1"/>
  <c r="AF417" i="1" s="1"/>
  <c r="AH417" i="1" s="1"/>
  <c r="CR413" i="1" l="1"/>
  <c r="CT413" i="1" s="1"/>
  <c r="CQ413" i="1"/>
  <c r="CS413" i="1" s="1"/>
  <c r="CU413" i="1" s="1"/>
  <c r="T418" i="1"/>
  <c r="V418" i="1" s="1"/>
  <c r="X418" i="1" s="1"/>
  <c r="U418" i="1"/>
  <c r="W418" i="1" s="1"/>
  <c r="AI417" i="1"/>
  <c r="AK417" i="1" s="1"/>
  <c r="AM417" i="1" s="1"/>
  <c r="AJ417" i="1"/>
  <c r="AL417" i="1" s="1"/>
  <c r="BM415" i="1"/>
  <c r="BO415" i="1" s="1"/>
  <c r="BQ415" i="1" s="1"/>
  <c r="BN415" i="1"/>
  <c r="BP415" i="1" s="1"/>
  <c r="AY416" i="1"/>
  <c r="BA416" i="1" s="1"/>
  <c r="AX416" i="1"/>
  <c r="AZ416" i="1" s="1"/>
  <c r="BB416" i="1" s="1"/>
  <c r="J418" i="1"/>
  <c r="L418" i="1" s="1"/>
  <c r="N418" i="1" s="1"/>
  <c r="K418" i="1"/>
  <c r="M418" i="1" s="1"/>
  <c r="D419" i="1"/>
  <c r="CC414" i="1"/>
  <c r="CE414" i="1" s="1"/>
  <c r="CB414" i="1"/>
  <c r="CD414" i="1" s="1"/>
  <c r="CF414" i="1" s="1"/>
  <c r="BR415" i="1" l="1"/>
  <c r="BT415" i="1" s="1"/>
  <c r="BV415" i="1" s="1"/>
  <c r="BS415" i="1"/>
  <c r="BU415" i="1" s="1"/>
  <c r="BC416" i="1"/>
  <c r="BE416" i="1" s="1"/>
  <c r="BG416" i="1" s="1"/>
  <c r="BD416" i="1"/>
  <c r="BF416" i="1" s="1"/>
  <c r="AO417" i="1"/>
  <c r="AQ417" i="1" s="1"/>
  <c r="AN417" i="1"/>
  <c r="AP417" i="1" s="1"/>
  <c r="AR417" i="1" s="1"/>
  <c r="Y418" i="1"/>
  <c r="AA418" i="1" s="1"/>
  <c r="AC418" i="1" s="1"/>
  <c r="Z418" i="1"/>
  <c r="AB418" i="1" s="1"/>
  <c r="O418" i="1"/>
  <c r="P418" i="1"/>
  <c r="R418" i="1" s="1"/>
  <c r="CG414" i="1"/>
  <c r="CI414" i="1" s="1"/>
  <c r="CK414" i="1" s="1"/>
  <c r="CH414" i="1"/>
  <c r="CJ414" i="1" s="1"/>
  <c r="CW413" i="1"/>
  <c r="CY413" i="1" s="1"/>
  <c r="CV413" i="1"/>
  <c r="CX413" i="1" s="1"/>
  <c r="CZ413" i="1" s="1"/>
  <c r="E419" i="1"/>
  <c r="F419" i="1"/>
  <c r="H419" i="1" s="1"/>
  <c r="AT417" i="1" l="1"/>
  <c r="AV417" i="1" s="1"/>
  <c r="AS417" i="1"/>
  <c r="AU417" i="1" s="1"/>
  <c r="AW417" i="1" s="1"/>
  <c r="AD418" i="1"/>
  <c r="AF418" i="1" s="1"/>
  <c r="AH418" i="1" s="1"/>
  <c r="AE418" i="1"/>
  <c r="AG418" i="1" s="1"/>
  <c r="Q419" i="1"/>
  <c r="S419" i="1" s="1"/>
  <c r="G419" i="1"/>
  <c r="I419" i="1" s="1"/>
  <c r="CL414" i="1"/>
  <c r="CN414" i="1" s="1"/>
  <c r="CP414" i="1" s="1"/>
  <c r="CM414" i="1"/>
  <c r="CO414" i="1" s="1"/>
  <c r="DB413" i="1"/>
  <c r="DD413" i="1" s="1"/>
  <c r="DA413" i="1"/>
  <c r="DC413" i="1" s="1"/>
  <c r="BI416" i="1"/>
  <c r="BK416" i="1" s="1"/>
  <c r="BH416" i="1"/>
  <c r="BJ416" i="1" s="1"/>
  <c r="BL416" i="1" s="1"/>
  <c r="BX415" i="1"/>
  <c r="BZ415" i="1" s="1"/>
  <c r="BW415" i="1"/>
  <c r="BY415" i="1" s="1"/>
  <c r="CA415" i="1" s="1"/>
  <c r="J419" i="1" l="1"/>
  <c r="L419" i="1" s="1"/>
  <c r="N419" i="1" s="1"/>
  <c r="K419" i="1"/>
  <c r="M419" i="1" s="1"/>
  <c r="D420" i="1"/>
  <c r="AJ418" i="1"/>
  <c r="AL418" i="1" s="1"/>
  <c r="AI418" i="1"/>
  <c r="AK418" i="1" s="1"/>
  <c r="AM418" i="1" s="1"/>
  <c r="CQ414" i="1"/>
  <c r="CS414" i="1" s="1"/>
  <c r="CU414" i="1" s="1"/>
  <c r="CR414" i="1"/>
  <c r="CT414" i="1" s="1"/>
  <c r="CC415" i="1"/>
  <c r="CE415" i="1" s="1"/>
  <c r="CB415" i="1"/>
  <c r="CD415" i="1" s="1"/>
  <c r="CF415" i="1" s="1"/>
  <c r="AX417" i="1"/>
  <c r="AZ417" i="1" s="1"/>
  <c r="BB417" i="1" s="1"/>
  <c r="AY417" i="1"/>
  <c r="BA417" i="1" s="1"/>
  <c r="U419" i="1"/>
  <c r="W419" i="1" s="1"/>
  <c r="T419" i="1"/>
  <c r="V419" i="1" s="1"/>
  <c r="X419" i="1" s="1"/>
  <c r="BM416" i="1"/>
  <c r="BO416" i="1" s="1"/>
  <c r="BQ416" i="1" s="1"/>
  <c r="BN416" i="1"/>
  <c r="BP416" i="1" s="1"/>
  <c r="BD417" i="1" l="1"/>
  <c r="BF417" i="1" s="1"/>
  <c r="BC417" i="1"/>
  <c r="BE417" i="1" s="1"/>
  <c r="BG417" i="1" s="1"/>
  <c r="CH415" i="1"/>
  <c r="CJ415" i="1" s="1"/>
  <c r="CG415" i="1"/>
  <c r="CI415" i="1" s="1"/>
  <c r="CK415" i="1" s="1"/>
  <c r="CV414" i="1"/>
  <c r="CX414" i="1" s="1"/>
  <c r="CW414" i="1"/>
  <c r="CY414" i="1" s="1"/>
  <c r="F420" i="1"/>
  <c r="H420" i="1" s="1"/>
  <c r="E420" i="1"/>
  <c r="AN418" i="1"/>
  <c r="AP418" i="1" s="1"/>
  <c r="AR418" i="1" s="1"/>
  <c r="AO418" i="1"/>
  <c r="AQ418" i="1" s="1"/>
  <c r="BR416" i="1"/>
  <c r="BT416" i="1" s="1"/>
  <c r="BV416" i="1" s="1"/>
  <c r="BS416" i="1"/>
  <c r="BU416" i="1" s="1"/>
  <c r="Y419" i="1"/>
  <c r="AA419" i="1" s="1"/>
  <c r="AC419" i="1" s="1"/>
  <c r="Z419" i="1"/>
  <c r="AB419" i="1" s="1"/>
  <c r="O419" i="1"/>
  <c r="P419" i="1"/>
  <c r="R419" i="1" s="1"/>
  <c r="AT418" i="1" l="1"/>
  <c r="AV418" i="1" s="1"/>
  <c r="AS418" i="1"/>
  <c r="AU418" i="1" s="1"/>
  <c r="AW418" i="1" s="1"/>
  <c r="CZ414" i="1"/>
  <c r="BX416" i="1"/>
  <c r="BZ416" i="1" s="1"/>
  <c r="BW416" i="1"/>
  <c r="BY416" i="1" s="1"/>
  <c r="CA416" i="1" s="1"/>
  <c r="BH417" i="1"/>
  <c r="BJ417" i="1" s="1"/>
  <c r="BL417" i="1" s="1"/>
  <c r="BI417" i="1"/>
  <c r="BK417" i="1" s="1"/>
  <c r="Q420" i="1"/>
  <c r="S420" i="1" s="1"/>
  <c r="G420" i="1"/>
  <c r="I420" i="1" s="1"/>
  <c r="CL415" i="1"/>
  <c r="CN415" i="1" s="1"/>
  <c r="CP415" i="1" s="1"/>
  <c r="CM415" i="1"/>
  <c r="CO415" i="1" s="1"/>
  <c r="AD419" i="1"/>
  <c r="AF419" i="1" s="1"/>
  <c r="AH419" i="1" s="1"/>
  <c r="AE419" i="1"/>
  <c r="AG419" i="1" s="1"/>
  <c r="K420" i="1" l="1"/>
  <c r="M420" i="1" s="1"/>
  <c r="J420" i="1"/>
  <c r="L420" i="1" s="1"/>
  <c r="N420" i="1" s="1"/>
  <c r="D421" i="1"/>
  <c r="AI419" i="1"/>
  <c r="AK419" i="1" s="1"/>
  <c r="AM419" i="1" s="1"/>
  <c r="AJ419" i="1"/>
  <c r="AL419" i="1" s="1"/>
  <c r="CR415" i="1"/>
  <c r="CT415" i="1" s="1"/>
  <c r="CQ415" i="1"/>
  <c r="CS415" i="1" s="1"/>
  <c r="CU415" i="1" s="1"/>
  <c r="T420" i="1"/>
  <c r="V420" i="1" s="1"/>
  <c r="X420" i="1" s="1"/>
  <c r="U420" i="1"/>
  <c r="W420" i="1" s="1"/>
  <c r="CC416" i="1"/>
  <c r="CE416" i="1" s="1"/>
  <c r="CB416" i="1"/>
  <c r="CD416" i="1" s="1"/>
  <c r="CF416" i="1" s="1"/>
  <c r="AX418" i="1"/>
  <c r="AZ418" i="1" s="1"/>
  <c r="BB418" i="1" s="1"/>
  <c r="AY418" i="1"/>
  <c r="BA418" i="1" s="1"/>
  <c r="BM417" i="1"/>
  <c r="BO417" i="1" s="1"/>
  <c r="BQ417" i="1" s="1"/>
  <c r="BN417" i="1"/>
  <c r="BP417" i="1" s="1"/>
  <c r="DB414" i="1"/>
  <c r="DD414" i="1" s="1"/>
  <c r="DA414" i="1"/>
  <c r="DC414" i="1" s="1"/>
  <c r="CH416" i="1" l="1"/>
  <c r="CJ416" i="1" s="1"/>
  <c r="CG416" i="1"/>
  <c r="CI416" i="1" s="1"/>
  <c r="CK416" i="1" s="1"/>
  <c r="BD418" i="1"/>
  <c r="BF418" i="1" s="1"/>
  <c r="BC418" i="1"/>
  <c r="BE418" i="1" s="1"/>
  <c r="BG418" i="1" s="1"/>
  <c r="Y420" i="1"/>
  <c r="AA420" i="1" s="1"/>
  <c r="AC420" i="1" s="1"/>
  <c r="Z420" i="1"/>
  <c r="AB420" i="1" s="1"/>
  <c r="AN419" i="1"/>
  <c r="AP419" i="1" s="1"/>
  <c r="AR419" i="1" s="1"/>
  <c r="AO419" i="1"/>
  <c r="AQ419" i="1" s="1"/>
  <c r="BR417" i="1"/>
  <c r="BT417" i="1" s="1"/>
  <c r="BV417" i="1" s="1"/>
  <c r="BS417" i="1"/>
  <c r="BU417" i="1" s="1"/>
  <c r="CV415" i="1"/>
  <c r="CX415" i="1" s="1"/>
  <c r="CW415" i="1"/>
  <c r="CY415" i="1" s="1"/>
  <c r="F421" i="1"/>
  <c r="H421" i="1" s="1"/>
  <c r="E421" i="1"/>
  <c r="O420" i="1"/>
  <c r="P420" i="1"/>
  <c r="R420" i="1" s="1"/>
  <c r="AS419" i="1" l="1"/>
  <c r="AU419" i="1" s="1"/>
  <c r="AW419" i="1" s="1"/>
  <c r="AT419" i="1"/>
  <c r="AV419" i="1" s="1"/>
  <c r="BW417" i="1"/>
  <c r="BY417" i="1" s="1"/>
  <c r="CA417" i="1" s="1"/>
  <c r="BX417" i="1"/>
  <c r="BZ417" i="1" s="1"/>
  <c r="CZ415" i="1"/>
  <c r="AE420" i="1"/>
  <c r="AG420" i="1" s="1"/>
  <c r="AD420" i="1"/>
  <c r="AF420" i="1" s="1"/>
  <c r="AH420" i="1" s="1"/>
  <c r="CL416" i="1"/>
  <c r="CN416" i="1" s="1"/>
  <c r="CP416" i="1" s="1"/>
  <c r="CM416" i="1"/>
  <c r="CO416" i="1" s="1"/>
  <c r="BI418" i="1"/>
  <c r="BK418" i="1" s="1"/>
  <c r="BH418" i="1"/>
  <c r="BJ418" i="1" s="1"/>
  <c r="BL418" i="1" s="1"/>
  <c r="Q421" i="1"/>
  <c r="S421" i="1" s="1"/>
  <c r="G421" i="1"/>
  <c r="I421" i="1" s="1"/>
  <c r="U421" i="1" l="1"/>
  <c r="W421" i="1" s="1"/>
  <c r="T421" i="1"/>
  <c r="V421" i="1" s="1"/>
  <c r="X421" i="1" s="1"/>
  <c r="DA415" i="1"/>
  <c r="DC415" i="1" s="1"/>
  <c r="DB415" i="1"/>
  <c r="DD415" i="1" s="1"/>
  <c r="CQ416" i="1"/>
  <c r="CS416" i="1" s="1"/>
  <c r="CU416" i="1" s="1"/>
  <c r="CR416" i="1"/>
  <c r="CT416" i="1" s="1"/>
  <c r="CC417" i="1"/>
  <c r="CE417" i="1" s="1"/>
  <c r="CB417" i="1"/>
  <c r="CD417" i="1" s="1"/>
  <c r="CF417" i="1" s="1"/>
  <c r="BM418" i="1"/>
  <c r="BO418" i="1" s="1"/>
  <c r="BQ418" i="1" s="1"/>
  <c r="BN418" i="1"/>
  <c r="BP418" i="1" s="1"/>
  <c r="AJ420" i="1"/>
  <c r="AL420" i="1" s="1"/>
  <c r="AI420" i="1"/>
  <c r="AK420" i="1" s="1"/>
  <c r="AM420" i="1" s="1"/>
  <c r="J421" i="1"/>
  <c r="L421" i="1" s="1"/>
  <c r="N421" i="1" s="1"/>
  <c r="K421" i="1"/>
  <c r="M421" i="1" s="1"/>
  <c r="D422" i="1"/>
  <c r="AY419" i="1"/>
  <c r="BA419" i="1" s="1"/>
  <c r="AX419" i="1"/>
  <c r="AZ419" i="1" s="1"/>
  <c r="BB419" i="1" s="1"/>
  <c r="AN420" i="1" l="1"/>
  <c r="AP420" i="1" s="1"/>
  <c r="AR420" i="1" s="1"/>
  <c r="AO420" i="1"/>
  <c r="AQ420" i="1" s="1"/>
  <c r="BR418" i="1"/>
  <c r="BT418" i="1" s="1"/>
  <c r="BV418" i="1" s="1"/>
  <c r="BS418" i="1"/>
  <c r="BU418" i="1" s="1"/>
  <c r="CV416" i="1"/>
  <c r="CX416" i="1" s="1"/>
  <c r="CW416" i="1"/>
  <c r="CY416" i="1" s="1"/>
  <c r="F422" i="1"/>
  <c r="H422" i="1" s="1"/>
  <c r="E422" i="1"/>
  <c r="BD419" i="1"/>
  <c r="BF419" i="1" s="1"/>
  <c r="BC419" i="1"/>
  <c r="BE419" i="1" s="1"/>
  <c r="BG419" i="1" s="1"/>
  <c r="Y421" i="1"/>
  <c r="AA421" i="1" s="1"/>
  <c r="AC421" i="1" s="1"/>
  <c r="Z421" i="1"/>
  <c r="AB421" i="1" s="1"/>
  <c r="CH417" i="1"/>
  <c r="CJ417" i="1" s="1"/>
  <c r="CG417" i="1"/>
  <c r="CI417" i="1" s="1"/>
  <c r="CK417" i="1" s="1"/>
  <c r="P421" i="1"/>
  <c r="R421" i="1" s="1"/>
  <c r="O421" i="1"/>
  <c r="AD421" i="1" l="1"/>
  <c r="AF421" i="1" s="1"/>
  <c r="AH421" i="1" s="1"/>
  <c r="AE421" i="1"/>
  <c r="AG421" i="1" s="1"/>
  <c r="G422" i="1"/>
  <c r="I422" i="1" s="1"/>
  <c r="Q422" i="1"/>
  <c r="S422" i="1" s="1"/>
  <c r="CL417" i="1"/>
  <c r="CN417" i="1" s="1"/>
  <c r="CP417" i="1" s="1"/>
  <c r="CM417" i="1"/>
  <c r="CO417" i="1" s="1"/>
  <c r="BH419" i="1"/>
  <c r="BJ419" i="1" s="1"/>
  <c r="BL419" i="1" s="1"/>
  <c r="BI419" i="1"/>
  <c r="BK419" i="1" s="1"/>
  <c r="CZ416" i="1"/>
  <c r="BX418" i="1"/>
  <c r="BZ418" i="1" s="1"/>
  <c r="BW418" i="1"/>
  <c r="BY418" i="1" s="1"/>
  <c r="CA418" i="1" s="1"/>
  <c r="AT420" i="1"/>
  <c r="AV420" i="1" s="1"/>
  <c r="AS420" i="1"/>
  <c r="AU420" i="1" s="1"/>
  <c r="AW420" i="1" s="1"/>
  <c r="DA416" i="1" l="1"/>
  <c r="DC416" i="1" s="1"/>
  <c r="DB416" i="1"/>
  <c r="DD416" i="1" s="1"/>
  <c r="BN419" i="1"/>
  <c r="BP419" i="1" s="1"/>
  <c r="BM419" i="1"/>
  <c r="BO419" i="1" s="1"/>
  <c r="BQ419" i="1" s="1"/>
  <c r="J422" i="1"/>
  <c r="L422" i="1" s="1"/>
  <c r="N422" i="1" s="1"/>
  <c r="K422" i="1"/>
  <c r="M422" i="1" s="1"/>
  <c r="D423" i="1"/>
  <c r="CC418" i="1"/>
  <c r="CE418" i="1" s="1"/>
  <c r="CB418" i="1"/>
  <c r="CD418" i="1" s="1"/>
  <c r="CF418" i="1" s="1"/>
  <c r="CQ417" i="1"/>
  <c r="CS417" i="1" s="1"/>
  <c r="CU417" i="1" s="1"/>
  <c r="CR417" i="1"/>
  <c r="CT417" i="1" s="1"/>
  <c r="T422" i="1"/>
  <c r="V422" i="1" s="1"/>
  <c r="X422" i="1" s="1"/>
  <c r="U422" i="1"/>
  <c r="W422" i="1" s="1"/>
  <c r="AX420" i="1"/>
  <c r="AZ420" i="1" s="1"/>
  <c r="BB420" i="1" s="1"/>
  <c r="AY420" i="1"/>
  <c r="BA420" i="1" s="1"/>
  <c r="AI421" i="1"/>
  <c r="AK421" i="1" s="1"/>
  <c r="AM421" i="1" s="1"/>
  <c r="AJ421" i="1"/>
  <c r="AL421" i="1" s="1"/>
  <c r="CH418" i="1" l="1"/>
  <c r="CJ418" i="1" s="1"/>
  <c r="CG418" i="1"/>
  <c r="CI418" i="1" s="1"/>
  <c r="CK418" i="1" s="1"/>
  <c r="O422" i="1"/>
  <c r="P422" i="1"/>
  <c r="R422" i="1" s="1"/>
  <c r="BS419" i="1"/>
  <c r="BU419" i="1" s="1"/>
  <c r="BR419" i="1"/>
  <c r="BT419" i="1" s="1"/>
  <c r="BV419" i="1" s="1"/>
  <c r="BD420" i="1"/>
  <c r="BF420" i="1" s="1"/>
  <c r="BC420" i="1"/>
  <c r="BE420" i="1" s="1"/>
  <c r="BG420" i="1" s="1"/>
  <c r="CV417" i="1"/>
  <c r="CX417" i="1" s="1"/>
  <c r="CZ417" i="1" s="1"/>
  <c r="CW417" i="1"/>
  <c r="CY417" i="1" s="1"/>
  <c r="F423" i="1"/>
  <c r="H423" i="1" s="1"/>
  <c r="E423" i="1"/>
  <c r="AN421" i="1"/>
  <c r="AP421" i="1" s="1"/>
  <c r="AR421" i="1" s="1"/>
  <c r="AO421" i="1"/>
  <c r="AQ421" i="1" s="1"/>
  <c r="Y422" i="1"/>
  <c r="AA422" i="1" s="1"/>
  <c r="AC422" i="1" s="1"/>
  <c r="Z422" i="1"/>
  <c r="AB422" i="1" s="1"/>
  <c r="G423" i="1" l="1"/>
  <c r="I423" i="1" s="1"/>
  <c r="Q423" i="1"/>
  <c r="S423" i="1" s="1"/>
  <c r="DB417" i="1"/>
  <c r="DD417" i="1" s="1"/>
  <c r="DA417" i="1"/>
  <c r="DC417" i="1" s="1"/>
  <c r="AD422" i="1"/>
  <c r="AF422" i="1" s="1"/>
  <c r="AH422" i="1" s="1"/>
  <c r="AE422" i="1"/>
  <c r="AG422" i="1" s="1"/>
  <c r="BX419" i="1"/>
  <c r="BZ419" i="1" s="1"/>
  <c r="BW419" i="1"/>
  <c r="BY419" i="1" s="1"/>
  <c r="CA419" i="1" s="1"/>
  <c r="CL418" i="1"/>
  <c r="CN418" i="1" s="1"/>
  <c r="CP418" i="1" s="1"/>
  <c r="CM418" i="1"/>
  <c r="CO418" i="1" s="1"/>
  <c r="BH420" i="1"/>
  <c r="BJ420" i="1" s="1"/>
  <c r="BL420" i="1" s="1"/>
  <c r="BI420" i="1"/>
  <c r="BK420" i="1" s="1"/>
  <c r="AT421" i="1"/>
  <c r="AV421" i="1" s="1"/>
  <c r="AS421" i="1"/>
  <c r="AU421" i="1" s="1"/>
  <c r="AW421" i="1" s="1"/>
  <c r="CB419" i="1" l="1"/>
  <c r="CD419" i="1" s="1"/>
  <c r="CF419" i="1" s="1"/>
  <c r="CC419" i="1"/>
  <c r="CE419" i="1" s="1"/>
  <c r="BM420" i="1"/>
  <c r="BO420" i="1" s="1"/>
  <c r="BQ420" i="1" s="1"/>
  <c r="BN420" i="1"/>
  <c r="BP420" i="1" s="1"/>
  <c r="AJ422" i="1"/>
  <c r="AL422" i="1" s="1"/>
  <c r="AI422" i="1"/>
  <c r="AK422" i="1" s="1"/>
  <c r="AM422" i="1" s="1"/>
  <c r="U423" i="1"/>
  <c r="W423" i="1" s="1"/>
  <c r="T423" i="1"/>
  <c r="V423" i="1" s="1"/>
  <c r="X423" i="1" s="1"/>
  <c r="CQ418" i="1"/>
  <c r="CS418" i="1" s="1"/>
  <c r="CU418" i="1" s="1"/>
  <c r="CR418" i="1"/>
  <c r="CT418" i="1" s="1"/>
  <c r="AX421" i="1"/>
  <c r="AZ421" i="1" s="1"/>
  <c r="BB421" i="1" s="1"/>
  <c r="AY421" i="1"/>
  <c r="BA421" i="1" s="1"/>
  <c r="J423" i="1"/>
  <c r="L423" i="1" s="1"/>
  <c r="N423" i="1" s="1"/>
  <c r="K423" i="1"/>
  <c r="M423" i="1" s="1"/>
  <c r="D424" i="1"/>
  <c r="Z423" i="1" l="1"/>
  <c r="AB423" i="1" s="1"/>
  <c r="Y423" i="1"/>
  <c r="AA423" i="1" s="1"/>
  <c r="AC423" i="1" s="1"/>
  <c r="BD421" i="1"/>
  <c r="BF421" i="1" s="1"/>
  <c r="BC421" i="1"/>
  <c r="BE421" i="1" s="1"/>
  <c r="BG421" i="1" s="1"/>
  <c r="AO422" i="1"/>
  <c r="AQ422" i="1" s="1"/>
  <c r="AN422" i="1"/>
  <c r="AP422" i="1" s="1"/>
  <c r="AR422" i="1" s="1"/>
  <c r="F424" i="1"/>
  <c r="H424" i="1" s="1"/>
  <c r="E424" i="1"/>
  <c r="BS420" i="1"/>
  <c r="BU420" i="1" s="1"/>
  <c r="BR420" i="1"/>
  <c r="BT420" i="1" s="1"/>
  <c r="BV420" i="1" s="1"/>
  <c r="CV418" i="1"/>
  <c r="CX418" i="1" s="1"/>
  <c r="CZ418" i="1" s="1"/>
  <c r="CW418" i="1"/>
  <c r="CY418" i="1" s="1"/>
  <c r="P423" i="1"/>
  <c r="R423" i="1" s="1"/>
  <c r="O423" i="1"/>
  <c r="CH419" i="1"/>
  <c r="CJ419" i="1" s="1"/>
  <c r="CG419" i="1"/>
  <c r="CI419" i="1" s="1"/>
  <c r="CK419" i="1" s="1"/>
  <c r="BW420" i="1" l="1"/>
  <c r="BY420" i="1" s="1"/>
  <c r="CA420" i="1" s="1"/>
  <c r="BX420" i="1"/>
  <c r="BZ420" i="1" s="1"/>
  <c r="Q424" i="1"/>
  <c r="S424" i="1" s="1"/>
  <c r="G424" i="1"/>
  <c r="I424" i="1" s="1"/>
  <c r="CM419" i="1"/>
  <c r="CO419" i="1" s="1"/>
  <c r="CL419" i="1"/>
  <c r="CN419" i="1" s="1"/>
  <c r="CP419" i="1" s="1"/>
  <c r="AE423" i="1"/>
  <c r="AG423" i="1" s="1"/>
  <c r="AD423" i="1"/>
  <c r="AF423" i="1" s="1"/>
  <c r="AH423" i="1" s="1"/>
  <c r="DA418" i="1"/>
  <c r="DC418" i="1" s="1"/>
  <c r="DB418" i="1"/>
  <c r="DD418" i="1" s="1"/>
  <c r="AT422" i="1"/>
  <c r="AV422" i="1" s="1"/>
  <c r="AS422" i="1"/>
  <c r="AU422" i="1" s="1"/>
  <c r="AW422" i="1" s="1"/>
  <c r="BH421" i="1"/>
  <c r="BJ421" i="1" s="1"/>
  <c r="BL421" i="1" s="1"/>
  <c r="BI421" i="1"/>
  <c r="BK421" i="1" s="1"/>
  <c r="AI423" i="1" l="1"/>
  <c r="AK423" i="1" s="1"/>
  <c r="AM423" i="1" s="1"/>
  <c r="AJ423" i="1"/>
  <c r="AL423" i="1" s="1"/>
  <c r="J424" i="1"/>
  <c r="L424" i="1" s="1"/>
  <c r="N424" i="1" s="1"/>
  <c r="K424" i="1"/>
  <c r="M424" i="1" s="1"/>
  <c r="D425" i="1"/>
  <c r="AY422" i="1"/>
  <c r="BA422" i="1" s="1"/>
  <c r="AX422" i="1"/>
  <c r="AZ422" i="1" s="1"/>
  <c r="BB422" i="1" s="1"/>
  <c r="CR419" i="1"/>
  <c r="CT419" i="1" s="1"/>
  <c r="CQ419" i="1"/>
  <c r="CS419" i="1" s="1"/>
  <c r="CU419" i="1" s="1"/>
  <c r="T424" i="1"/>
  <c r="V424" i="1" s="1"/>
  <c r="X424" i="1" s="1"/>
  <c r="U424" i="1"/>
  <c r="W424" i="1" s="1"/>
  <c r="BM421" i="1"/>
  <c r="BO421" i="1" s="1"/>
  <c r="BQ421" i="1" s="1"/>
  <c r="BN421" i="1"/>
  <c r="BP421" i="1" s="1"/>
  <c r="CC420" i="1"/>
  <c r="CE420" i="1" s="1"/>
  <c r="CB420" i="1"/>
  <c r="CD420" i="1" s="1"/>
  <c r="CF420" i="1" s="1"/>
  <c r="Z424" i="1" l="1"/>
  <c r="AB424" i="1" s="1"/>
  <c r="Y424" i="1"/>
  <c r="AA424" i="1" s="1"/>
  <c r="AC424" i="1" s="1"/>
  <c r="CW419" i="1"/>
  <c r="CY419" i="1" s="1"/>
  <c r="CV419" i="1"/>
  <c r="CX419" i="1" s="1"/>
  <c r="CZ419" i="1" s="1"/>
  <c r="BD422" i="1"/>
  <c r="BF422" i="1" s="1"/>
  <c r="BC422" i="1"/>
  <c r="BE422" i="1" s="1"/>
  <c r="BG422" i="1" s="1"/>
  <c r="E425" i="1"/>
  <c r="F425" i="1"/>
  <c r="H425" i="1" s="1"/>
  <c r="CH420" i="1"/>
  <c r="CJ420" i="1" s="1"/>
  <c r="CG420" i="1"/>
  <c r="CI420" i="1" s="1"/>
  <c r="CK420" i="1" s="1"/>
  <c r="BR421" i="1"/>
  <c r="BT421" i="1" s="1"/>
  <c r="BV421" i="1" s="1"/>
  <c r="BS421" i="1"/>
  <c r="BU421" i="1" s="1"/>
  <c r="O424" i="1"/>
  <c r="P424" i="1"/>
  <c r="R424" i="1" s="1"/>
  <c r="AN423" i="1"/>
  <c r="AP423" i="1" s="1"/>
  <c r="AR423" i="1" s="1"/>
  <c r="AO423" i="1"/>
  <c r="AQ423" i="1" s="1"/>
  <c r="G425" i="1" l="1"/>
  <c r="I425" i="1" s="1"/>
  <c r="Q425" i="1"/>
  <c r="S425" i="1" s="1"/>
  <c r="CL420" i="1"/>
  <c r="CN420" i="1" s="1"/>
  <c r="CP420" i="1" s="1"/>
  <c r="CM420" i="1"/>
  <c r="CO420" i="1" s="1"/>
  <c r="DA419" i="1"/>
  <c r="DC419" i="1" s="1"/>
  <c r="DB419" i="1"/>
  <c r="DD419" i="1" s="1"/>
  <c r="AE424" i="1"/>
  <c r="AG424" i="1" s="1"/>
  <c r="AD424" i="1"/>
  <c r="AF424" i="1" s="1"/>
  <c r="AH424" i="1" s="1"/>
  <c r="BW421" i="1"/>
  <c r="BY421" i="1" s="1"/>
  <c r="CA421" i="1" s="1"/>
  <c r="BX421" i="1"/>
  <c r="BZ421" i="1" s="1"/>
  <c r="BH422" i="1"/>
  <c r="BJ422" i="1" s="1"/>
  <c r="BL422" i="1" s="1"/>
  <c r="BI422" i="1"/>
  <c r="BK422" i="1" s="1"/>
  <c r="AT423" i="1"/>
  <c r="AV423" i="1" s="1"/>
  <c r="AS423" i="1"/>
  <c r="AU423" i="1" s="1"/>
  <c r="AW423" i="1" s="1"/>
  <c r="CB421" i="1" l="1"/>
  <c r="CD421" i="1" s="1"/>
  <c r="CF421" i="1" s="1"/>
  <c r="CC421" i="1"/>
  <c r="CE421" i="1" s="1"/>
  <c r="BM422" i="1"/>
  <c r="BO422" i="1" s="1"/>
  <c r="BQ422" i="1" s="1"/>
  <c r="BN422" i="1"/>
  <c r="BP422" i="1" s="1"/>
  <c r="AI424" i="1"/>
  <c r="AK424" i="1" s="1"/>
  <c r="AM424" i="1" s="1"/>
  <c r="AJ424" i="1"/>
  <c r="AL424" i="1" s="1"/>
  <c r="AX423" i="1"/>
  <c r="AZ423" i="1" s="1"/>
  <c r="BB423" i="1" s="1"/>
  <c r="AY423" i="1"/>
  <c r="BA423" i="1" s="1"/>
  <c r="U425" i="1"/>
  <c r="W425" i="1" s="1"/>
  <c r="T425" i="1"/>
  <c r="V425" i="1" s="1"/>
  <c r="X425" i="1" s="1"/>
  <c r="CR420" i="1"/>
  <c r="CT420" i="1" s="1"/>
  <c r="CQ420" i="1"/>
  <c r="CS420" i="1" s="1"/>
  <c r="CU420" i="1" s="1"/>
  <c r="K425" i="1"/>
  <c r="M425" i="1" s="1"/>
  <c r="J425" i="1"/>
  <c r="L425" i="1" s="1"/>
  <c r="N425" i="1" s="1"/>
  <c r="D426" i="1"/>
  <c r="CV420" i="1" l="1"/>
  <c r="CX420" i="1" s="1"/>
  <c r="CW420" i="1"/>
  <c r="CY420" i="1" s="1"/>
  <c r="BC423" i="1"/>
  <c r="BE423" i="1" s="1"/>
  <c r="BG423" i="1" s="1"/>
  <c r="BD423" i="1"/>
  <c r="BF423" i="1" s="1"/>
  <c r="F426" i="1"/>
  <c r="H426" i="1" s="1"/>
  <c r="E426" i="1"/>
  <c r="Z425" i="1"/>
  <c r="AB425" i="1" s="1"/>
  <c r="Y425" i="1"/>
  <c r="AA425" i="1" s="1"/>
  <c r="AC425" i="1" s="1"/>
  <c r="BS422" i="1"/>
  <c r="BU422" i="1" s="1"/>
  <c r="BR422" i="1"/>
  <c r="BT422" i="1" s="1"/>
  <c r="BV422" i="1" s="1"/>
  <c r="AN424" i="1"/>
  <c r="AP424" i="1" s="1"/>
  <c r="AR424" i="1" s="1"/>
  <c r="AO424" i="1"/>
  <c r="AQ424" i="1" s="1"/>
  <c r="P425" i="1"/>
  <c r="R425" i="1" s="1"/>
  <c r="O425" i="1"/>
  <c r="CH421" i="1"/>
  <c r="CJ421" i="1" s="1"/>
  <c r="CG421" i="1"/>
  <c r="CI421" i="1" s="1"/>
  <c r="CK421" i="1" s="1"/>
  <c r="G426" i="1" l="1"/>
  <c r="I426" i="1" s="1"/>
  <c r="Q426" i="1"/>
  <c r="S426" i="1" s="1"/>
  <c r="AT424" i="1"/>
  <c r="AV424" i="1" s="1"/>
  <c r="AS424" i="1"/>
  <c r="AU424" i="1" s="1"/>
  <c r="AW424" i="1" s="1"/>
  <c r="AD425" i="1"/>
  <c r="AF425" i="1" s="1"/>
  <c r="AH425" i="1" s="1"/>
  <c r="AE425" i="1"/>
  <c r="AG425" i="1" s="1"/>
  <c r="BX422" i="1"/>
  <c r="BZ422" i="1" s="1"/>
  <c r="BW422" i="1"/>
  <c r="BY422" i="1" s="1"/>
  <c r="CA422" i="1" s="1"/>
  <c r="CL421" i="1"/>
  <c r="CN421" i="1" s="1"/>
  <c r="CP421" i="1" s="1"/>
  <c r="CM421" i="1"/>
  <c r="CO421" i="1" s="1"/>
  <c r="BH423" i="1"/>
  <c r="BJ423" i="1" s="1"/>
  <c r="BL423" i="1" s="1"/>
  <c r="BI423" i="1"/>
  <c r="BK423" i="1" s="1"/>
  <c r="CZ420" i="1"/>
  <c r="CB422" i="1" l="1"/>
  <c r="CD422" i="1" s="1"/>
  <c r="CF422" i="1" s="1"/>
  <c r="CC422" i="1"/>
  <c r="CE422" i="1" s="1"/>
  <c r="CQ421" i="1"/>
  <c r="CS421" i="1" s="1"/>
  <c r="CU421" i="1" s="1"/>
  <c r="CR421" i="1"/>
  <c r="CT421" i="1" s="1"/>
  <c r="AI425" i="1"/>
  <c r="AK425" i="1" s="1"/>
  <c r="AM425" i="1" s="1"/>
  <c r="AJ425" i="1"/>
  <c r="AL425" i="1" s="1"/>
  <c r="T426" i="1"/>
  <c r="V426" i="1" s="1"/>
  <c r="X426" i="1" s="1"/>
  <c r="U426" i="1"/>
  <c r="W426" i="1" s="1"/>
  <c r="BM423" i="1"/>
  <c r="BO423" i="1" s="1"/>
  <c r="BQ423" i="1" s="1"/>
  <c r="BN423" i="1"/>
  <c r="BP423" i="1" s="1"/>
  <c r="AY424" i="1"/>
  <c r="BA424" i="1" s="1"/>
  <c r="AX424" i="1"/>
  <c r="AZ424" i="1" s="1"/>
  <c r="BB424" i="1" s="1"/>
  <c r="DB420" i="1"/>
  <c r="DD420" i="1" s="1"/>
  <c r="DA420" i="1"/>
  <c r="DC420" i="1" s="1"/>
  <c r="K426" i="1"/>
  <c r="M426" i="1" s="1"/>
  <c r="J426" i="1"/>
  <c r="L426" i="1" s="1"/>
  <c r="N426" i="1" s="1"/>
  <c r="D427" i="1"/>
  <c r="BR423" i="1" l="1"/>
  <c r="BT423" i="1" s="1"/>
  <c r="BV423" i="1" s="1"/>
  <c r="BS423" i="1"/>
  <c r="BU423" i="1" s="1"/>
  <c r="E427" i="1"/>
  <c r="F427" i="1"/>
  <c r="H427" i="1" s="1"/>
  <c r="AO425" i="1"/>
  <c r="AQ425" i="1" s="1"/>
  <c r="AN425" i="1"/>
  <c r="AP425" i="1" s="1"/>
  <c r="AR425" i="1" s="1"/>
  <c r="Z426" i="1"/>
  <c r="AB426" i="1" s="1"/>
  <c r="Y426" i="1"/>
  <c r="AA426" i="1" s="1"/>
  <c r="AC426" i="1" s="1"/>
  <c r="BC424" i="1"/>
  <c r="BE424" i="1" s="1"/>
  <c r="BG424" i="1" s="1"/>
  <c r="BD424" i="1"/>
  <c r="BF424" i="1" s="1"/>
  <c r="O426" i="1"/>
  <c r="P426" i="1"/>
  <c r="R426" i="1" s="1"/>
  <c r="CW421" i="1"/>
  <c r="CY421" i="1" s="1"/>
  <c r="CV421" i="1"/>
  <c r="CX421" i="1" s="1"/>
  <c r="CZ421" i="1" s="1"/>
  <c r="CG422" i="1"/>
  <c r="CI422" i="1" s="1"/>
  <c r="CK422" i="1" s="1"/>
  <c r="CH422" i="1"/>
  <c r="CJ422" i="1" s="1"/>
  <c r="AS425" i="1" l="1"/>
  <c r="AU425" i="1" s="1"/>
  <c r="AW425" i="1" s="1"/>
  <c r="AT425" i="1"/>
  <c r="AV425" i="1" s="1"/>
  <c r="CM422" i="1"/>
  <c r="CO422" i="1" s="1"/>
  <c r="CL422" i="1"/>
  <c r="CN422" i="1" s="1"/>
  <c r="CP422" i="1" s="1"/>
  <c r="BI424" i="1"/>
  <c r="BK424" i="1" s="1"/>
  <c r="BH424" i="1"/>
  <c r="BJ424" i="1" s="1"/>
  <c r="BL424" i="1" s="1"/>
  <c r="AE426" i="1"/>
  <c r="AG426" i="1" s="1"/>
  <c r="AD426" i="1"/>
  <c r="AF426" i="1" s="1"/>
  <c r="AH426" i="1" s="1"/>
  <c r="DA421" i="1"/>
  <c r="DC421" i="1" s="1"/>
  <c r="DB421" i="1"/>
  <c r="DD421" i="1" s="1"/>
  <c r="Q427" i="1"/>
  <c r="S427" i="1" s="1"/>
  <c r="G427" i="1"/>
  <c r="I427" i="1" s="1"/>
  <c r="BX423" i="1"/>
  <c r="BZ423" i="1" s="1"/>
  <c r="BW423" i="1"/>
  <c r="BY423" i="1" s="1"/>
  <c r="CA423" i="1" s="1"/>
  <c r="U427" i="1" l="1"/>
  <c r="W427" i="1" s="1"/>
  <c r="T427" i="1"/>
  <c r="V427" i="1" s="1"/>
  <c r="X427" i="1" s="1"/>
  <c r="AJ426" i="1"/>
  <c r="AL426" i="1" s="1"/>
  <c r="AI426" i="1"/>
  <c r="AK426" i="1" s="1"/>
  <c r="AM426" i="1" s="1"/>
  <c r="BM424" i="1"/>
  <c r="BO424" i="1" s="1"/>
  <c r="BQ424" i="1" s="1"/>
  <c r="BN424" i="1"/>
  <c r="BP424" i="1" s="1"/>
  <c r="CC423" i="1"/>
  <c r="CE423" i="1" s="1"/>
  <c r="CB423" i="1"/>
  <c r="CD423" i="1" s="1"/>
  <c r="CF423" i="1" s="1"/>
  <c r="CQ422" i="1"/>
  <c r="CS422" i="1" s="1"/>
  <c r="CU422" i="1" s="1"/>
  <c r="CR422" i="1"/>
  <c r="CT422" i="1" s="1"/>
  <c r="J427" i="1"/>
  <c r="L427" i="1" s="1"/>
  <c r="N427" i="1" s="1"/>
  <c r="K427" i="1"/>
  <c r="M427" i="1" s="1"/>
  <c r="D428" i="1"/>
  <c r="AX425" i="1"/>
  <c r="AZ425" i="1" s="1"/>
  <c r="BB425" i="1" s="1"/>
  <c r="AY425" i="1"/>
  <c r="BA425" i="1" s="1"/>
  <c r="P427" i="1" l="1"/>
  <c r="R427" i="1" s="1"/>
  <c r="O427" i="1"/>
  <c r="BR424" i="1"/>
  <c r="BT424" i="1" s="1"/>
  <c r="BV424" i="1" s="1"/>
  <c r="BS424" i="1"/>
  <c r="BU424" i="1" s="1"/>
  <c r="CH423" i="1"/>
  <c r="CJ423" i="1" s="1"/>
  <c r="CG423" i="1"/>
  <c r="CI423" i="1" s="1"/>
  <c r="CK423" i="1" s="1"/>
  <c r="AN426" i="1"/>
  <c r="AP426" i="1" s="1"/>
  <c r="AR426" i="1" s="1"/>
  <c r="AO426" i="1"/>
  <c r="AQ426" i="1" s="1"/>
  <c r="Z427" i="1"/>
  <c r="AB427" i="1" s="1"/>
  <c r="Y427" i="1"/>
  <c r="AA427" i="1" s="1"/>
  <c r="AC427" i="1" s="1"/>
  <c r="CV422" i="1"/>
  <c r="CX422" i="1" s="1"/>
  <c r="CZ422" i="1" s="1"/>
  <c r="CW422" i="1"/>
  <c r="CY422" i="1" s="1"/>
  <c r="BD425" i="1"/>
  <c r="BF425" i="1" s="1"/>
  <c r="BC425" i="1"/>
  <c r="BE425" i="1" s="1"/>
  <c r="BG425" i="1" s="1"/>
  <c r="F428" i="1"/>
  <c r="H428" i="1" s="1"/>
  <c r="E428" i="1"/>
  <c r="AD427" i="1" l="1"/>
  <c r="AF427" i="1" s="1"/>
  <c r="AH427" i="1" s="1"/>
  <c r="AE427" i="1"/>
  <c r="AG427" i="1" s="1"/>
  <c r="BW424" i="1"/>
  <c r="BY424" i="1" s="1"/>
  <c r="CA424" i="1" s="1"/>
  <c r="BX424" i="1"/>
  <c r="BZ424" i="1" s="1"/>
  <c r="AT426" i="1"/>
  <c r="AV426" i="1" s="1"/>
  <c r="AS426" i="1"/>
  <c r="AU426" i="1" s="1"/>
  <c r="AW426" i="1" s="1"/>
  <c r="BH425" i="1"/>
  <c r="BJ425" i="1" s="1"/>
  <c r="BL425" i="1" s="1"/>
  <c r="BI425" i="1"/>
  <c r="BK425" i="1" s="1"/>
  <c r="DB422" i="1"/>
  <c r="DD422" i="1" s="1"/>
  <c r="DA422" i="1"/>
  <c r="DC422" i="1" s="1"/>
  <c r="CM423" i="1"/>
  <c r="CO423" i="1" s="1"/>
  <c r="CL423" i="1"/>
  <c r="CN423" i="1" s="1"/>
  <c r="CP423" i="1" s="1"/>
  <c r="G428" i="1"/>
  <c r="I428" i="1" s="1"/>
  <c r="Q428" i="1"/>
  <c r="S428" i="1" s="1"/>
  <c r="AY426" i="1" l="1"/>
  <c r="BA426" i="1" s="1"/>
  <c r="AX426" i="1"/>
  <c r="AZ426" i="1" s="1"/>
  <c r="BB426" i="1" s="1"/>
  <c r="CB424" i="1"/>
  <c r="CD424" i="1" s="1"/>
  <c r="CF424" i="1" s="1"/>
  <c r="CC424" i="1"/>
  <c r="CE424" i="1" s="1"/>
  <c r="BM425" i="1"/>
  <c r="BO425" i="1" s="1"/>
  <c r="BQ425" i="1" s="1"/>
  <c r="BN425" i="1"/>
  <c r="BP425" i="1" s="1"/>
  <c r="U428" i="1"/>
  <c r="W428" i="1" s="1"/>
  <c r="T428" i="1"/>
  <c r="V428" i="1" s="1"/>
  <c r="X428" i="1" s="1"/>
  <c r="J428" i="1"/>
  <c r="L428" i="1" s="1"/>
  <c r="N428" i="1" s="1"/>
  <c r="K428" i="1"/>
  <c r="M428" i="1" s="1"/>
  <c r="D429" i="1"/>
  <c r="CQ423" i="1"/>
  <c r="CS423" i="1" s="1"/>
  <c r="CU423" i="1" s="1"/>
  <c r="CR423" i="1"/>
  <c r="CT423" i="1" s="1"/>
  <c r="AI427" i="1"/>
  <c r="AK427" i="1" s="1"/>
  <c r="AM427" i="1" s="1"/>
  <c r="AJ427" i="1"/>
  <c r="AL427" i="1" s="1"/>
  <c r="Y428" i="1" l="1"/>
  <c r="AA428" i="1" s="1"/>
  <c r="AC428" i="1" s="1"/>
  <c r="Z428" i="1"/>
  <c r="AB428" i="1" s="1"/>
  <c r="CW423" i="1"/>
  <c r="CY423" i="1" s="1"/>
  <c r="CV423" i="1"/>
  <c r="CX423" i="1" s="1"/>
  <c r="CZ423" i="1" s="1"/>
  <c r="BS425" i="1"/>
  <c r="BU425" i="1" s="1"/>
  <c r="BR425" i="1"/>
  <c r="BT425" i="1" s="1"/>
  <c r="BV425" i="1" s="1"/>
  <c r="E429" i="1"/>
  <c r="F429" i="1"/>
  <c r="H429" i="1" s="1"/>
  <c r="CG424" i="1"/>
  <c r="CI424" i="1" s="1"/>
  <c r="CK424" i="1" s="1"/>
  <c r="CH424" i="1"/>
  <c r="CJ424" i="1" s="1"/>
  <c r="BD426" i="1"/>
  <c r="BF426" i="1" s="1"/>
  <c r="BC426" i="1"/>
  <c r="BE426" i="1" s="1"/>
  <c r="BG426" i="1" s="1"/>
  <c r="O428" i="1"/>
  <c r="P428" i="1"/>
  <c r="R428" i="1" s="1"/>
  <c r="AN427" i="1"/>
  <c r="AP427" i="1" s="1"/>
  <c r="AR427" i="1" s="1"/>
  <c r="AO427" i="1"/>
  <c r="AQ427" i="1" s="1"/>
  <c r="CM424" i="1" l="1"/>
  <c r="CO424" i="1" s="1"/>
  <c r="CL424" i="1"/>
  <c r="CN424" i="1" s="1"/>
  <c r="CP424" i="1" s="1"/>
  <c r="G429" i="1"/>
  <c r="I429" i="1" s="1"/>
  <c r="Q429" i="1"/>
  <c r="S429" i="1" s="1"/>
  <c r="BW425" i="1"/>
  <c r="BY425" i="1" s="1"/>
  <c r="CA425" i="1" s="1"/>
  <c r="BX425" i="1"/>
  <c r="BZ425" i="1" s="1"/>
  <c r="DA423" i="1"/>
  <c r="DC423" i="1" s="1"/>
  <c r="DB423" i="1"/>
  <c r="DD423" i="1" s="1"/>
  <c r="AS427" i="1"/>
  <c r="AU427" i="1" s="1"/>
  <c r="AW427" i="1" s="1"/>
  <c r="AT427" i="1"/>
  <c r="AV427" i="1" s="1"/>
  <c r="BI426" i="1"/>
  <c r="BK426" i="1" s="1"/>
  <c r="BH426" i="1"/>
  <c r="BJ426" i="1" s="1"/>
  <c r="BL426" i="1" s="1"/>
  <c r="AE428" i="1"/>
  <c r="AG428" i="1" s="1"/>
  <c r="AD428" i="1"/>
  <c r="AF428" i="1" s="1"/>
  <c r="AH428" i="1" s="1"/>
  <c r="AX427" i="1" l="1"/>
  <c r="AZ427" i="1" s="1"/>
  <c r="BB427" i="1" s="1"/>
  <c r="AY427" i="1"/>
  <c r="BA427" i="1" s="1"/>
  <c r="T429" i="1"/>
  <c r="V429" i="1" s="1"/>
  <c r="X429" i="1" s="1"/>
  <c r="U429" i="1"/>
  <c r="W429" i="1" s="1"/>
  <c r="CR424" i="1"/>
  <c r="CT424" i="1" s="1"/>
  <c r="CQ424" i="1"/>
  <c r="CS424" i="1" s="1"/>
  <c r="CU424" i="1" s="1"/>
  <c r="BN426" i="1"/>
  <c r="BP426" i="1" s="1"/>
  <c r="BM426" i="1"/>
  <c r="BO426" i="1" s="1"/>
  <c r="BQ426" i="1" s="1"/>
  <c r="CC425" i="1"/>
  <c r="CE425" i="1" s="1"/>
  <c r="CB425" i="1"/>
  <c r="CD425" i="1" s="1"/>
  <c r="CF425" i="1" s="1"/>
  <c r="J429" i="1"/>
  <c r="L429" i="1" s="1"/>
  <c r="N429" i="1" s="1"/>
  <c r="K429" i="1"/>
  <c r="M429" i="1" s="1"/>
  <c r="D430" i="1"/>
  <c r="AJ428" i="1"/>
  <c r="AL428" i="1" s="1"/>
  <c r="AI428" i="1"/>
  <c r="AK428" i="1" s="1"/>
  <c r="AM428" i="1" s="1"/>
  <c r="BR426" i="1" l="1"/>
  <c r="BT426" i="1" s="1"/>
  <c r="BV426" i="1" s="1"/>
  <c r="BS426" i="1"/>
  <c r="BU426" i="1" s="1"/>
  <c r="P429" i="1"/>
  <c r="R429" i="1" s="1"/>
  <c r="O429" i="1"/>
  <c r="CW424" i="1"/>
  <c r="CY424" i="1" s="1"/>
  <c r="CV424" i="1"/>
  <c r="CX424" i="1" s="1"/>
  <c r="CZ424" i="1" s="1"/>
  <c r="AN428" i="1"/>
  <c r="AP428" i="1" s="1"/>
  <c r="AR428" i="1" s="1"/>
  <c r="AO428" i="1"/>
  <c r="AQ428" i="1" s="1"/>
  <c r="CG425" i="1"/>
  <c r="CI425" i="1" s="1"/>
  <c r="CK425" i="1" s="1"/>
  <c r="CH425" i="1"/>
  <c r="CJ425" i="1" s="1"/>
  <c r="Z429" i="1"/>
  <c r="AB429" i="1" s="1"/>
  <c r="Y429" i="1"/>
  <c r="AA429" i="1" s="1"/>
  <c r="AC429" i="1" s="1"/>
  <c r="F430" i="1"/>
  <c r="H430" i="1" s="1"/>
  <c r="E430" i="1"/>
  <c r="BD427" i="1"/>
  <c r="BF427" i="1" s="1"/>
  <c r="BC427" i="1"/>
  <c r="BE427" i="1" s="1"/>
  <c r="BG427" i="1" s="1"/>
  <c r="CM425" i="1" l="1"/>
  <c r="CO425" i="1" s="1"/>
  <c r="CL425" i="1"/>
  <c r="CN425" i="1" s="1"/>
  <c r="CP425" i="1" s="1"/>
  <c r="AE429" i="1"/>
  <c r="AG429" i="1" s="1"/>
  <c r="AD429" i="1"/>
  <c r="AF429" i="1" s="1"/>
  <c r="AH429" i="1" s="1"/>
  <c r="DB424" i="1"/>
  <c r="DD424" i="1" s="1"/>
  <c r="DA424" i="1"/>
  <c r="DC424" i="1" s="1"/>
  <c r="AS428" i="1"/>
  <c r="AU428" i="1" s="1"/>
  <c r="AW428" i="1" s="1"/>
  <c r="AT428" i="1"/>
  <c r="AV428" i="1" s="1"/>
  <c r="Q430" i="1"/>
  <c r="S430" i="1" s="1"/>
  <c r="G430" i="1"/>
  <c r="I430" i="1" s="1"/>
  <c r="BI427" i="1"/>
  <c r="BK427" i="1" s="1"/>
  <c r="BH427" i="1"/>
  <c r="BJ427" i="1" s="1"/>
  <c r="BL427" i="1" s="1"/>
  <c r="BX426" i="1"/>
  <c r="BZ426" i="1" s="1"/>
  <c r="BW426" i="1"/>
  <c r="BY426" i="1" s="1"/>
  <c r="CA426" i="1" s="1"/>
  <c r="U430" i="1" l="1"/>
  <c r="W430" i="1" s="1"/>
  <c r="T430" i="1"/>
  <c r="V430" i="1" s="1"/>
  <c r="X430" i="1" s="1"/>
  <c r="AI429" i="1"/>
  <c r="AK429" i="1" s="1"/>
  <c r="AM429" i="1" s="1"/>
  <c r="AJ429" i="1"/>
  <c r="AL429" i="1" s="1"/>
  <c r="CQ425" i="1"/>
  <c r="CS425" i="1" s="1"/>
  <c r="CU425" i="1" s="1"/>
  <c r="CR425" i="1"/>
  <c r="CT425" i="1" s="1"/>
  <c r="J430" i="1"/>
  <c r="L430" i="1" s="1"/>
  <c r="N430" i="1" s="1"/>
  <c r="K430" i="1"/>
  <c r="M430" i="1" s="1"/>
  <c r="D431" i="1"/>
  <c r="AY428" i="1"/>
  <c r="BA428" i="1" s="1"/>
  <c r="AX428" i="1"/>
  <c r="AZ428" i="1" s="1"/>
  <c r="BB428" i="1" s="1"/>
  <c r="CC426" i="1"/>
  <c r="CE426" i="1" s="1"/>
  <c r="CB426" i="1"/>
  <c r="CD426" i="1" s="1"/>
  <c r="CF426" i="1" s="1"/>
  <c r="BN427" i="1"/>
  <c r="BP427" i="1" s="1"/>
  <c r="BM427" i="1"/>
  <c r="BO427" i="1" s="1"/>
  <c r="BQ427" i="1" s="1"/>
  <c r="BC428" i="1" l="1"/>
  <c r="BE428" i="1" s="1"/>
  <c r="BG428" i="1" s="1"/>
  <c r="BD428" i="1"/>
  <c r="BF428" i="1" s="1"/>
  <c r="CW425" i="1"/>
  <c r="CY425" i="1" s="1"/>
  <c r="CV425" i="1"/>
  <c r="CX425" i="1" s="1"/>
  <c r="CZ425" i="1" s="1"/>
  <c r="BR427" i="1"/>
  <c r="BT427" i="1" s="1"/>
  <c r="BV427" i="1" s="1"/>
  <c r="BS427" i="1"/>
  <c r="BU427" i="1" s="1"/>
  <c r="F431" i="1"/>
  <c r="H431" i="1" s="1"/>
  <c r="E431" i="1"/>
  <c r="O430" i="1"/>
  <c r="P430" i="1"/>
  <c r="R430" i="1" s="1"/>
  <c r="AO429" i="1"/>
  <c r="AQ429" i="1" s="1"/>
  <c r="AN429" i="1"/>
  <c r="AP429" i="1" s="1"/>
  <c r="AR429" i="1" s="1"/>
  <c r="Z430" i="1"/>
  <c r="AB430" i="1" s="1"/>
  <c r="Y430" i="1"/>
  <c r="AA430" i="1" s="1"/>
  <c r="AC430" i="1" s="1"/>
  <c r="CG426" i="1"/>
  <c r="CI426" i="1" s="1"/>
  <c r="CK426" i="1" s="1"/>
  <c r="CH426" i="1"/>
  <c r="CJ426" i="1" s="1"/>
  <c r="CL426" i="1" l="1"/>
  <c r="CN426" i="1" s="1"/>
  <c r="CP426" i="1" s="1"/>
  <c r="CM426" i="1"/>
  <c r="CO426" i="1" s="1"/>
  <c r="Q431" i="1"/>
  <c r="S431" i="1" s="1"/>
  <c r="G431" i="1"/>
  <c r="I431" i="1" s="1"/>
  <c r="BX427" i="1"/>
  <c r="BZ427" i="1" s="1"/>
  <c r="BW427" i="1"/>
  <c r="BY427" i="1" s="1"/>
  <c r="CA427" i="1" s="1"/>
  <c r="AE430" i="1"/>
  <c r="AG430" i="1" s="1"/>
  <c r="AD430" i="1"/>
  <c r="AF430" i="1" s="1"/>
  <c r="AH430" i="1" s="1"/>
  <c r="DA425" i="1"/>
  <c r="DC425" i="1" s="1"/>
  <c r="DB425" i="1"/>
  <c r="DD425" i="1" s="1"/>
  <c r="AS429" i="1"/>
  <c r="AU429" i="1" s="1"/>
  <c r="AW429" i="1" s="1"/>
  <c r="AT429" i="1"/>
  <c r="AV429" i="1" s="1"/>
  <c r="BI428" i="1"/>
  <c r="BK428" i="1" s="1"/>
  <c r="BH428" i="1"/>
  <c r="BJ428" i="1" s="1"/>
  <c r="BL428" i="1" s="1"/>
  <c r="AI430" i="1" l="1"/>
  <c r="AK430" i="1" s="1"/>
  <c r="AM430" i="1" s="1"/>
  <c r="AJ430" i="1"/>
  <c r="AL430" i="1" s="1"/>
  <c r="U431" i="1"/>
  <c r="W431" i="1" s="1"/>
  <c r="T431" i="1"/>
  <c r="V431" i="1" s="1"/>
  <c r="X431" i="1" s="1"/>
  <c r="CC427" i="1"/>
  <c r="CE427" i="1" s="1"/>
  <c r="CB427" i="1"/>
  <c r="CD427" i="1" s="1"/>
  <c r="CF427" i="1" s="1"/>
  <c r="J431" i="1"/>
  <c r="L431" i="1" s="1"/>
  <c r="N431" i="1" s="1"/>
  <c r="K431" i="1"/>
  <c r="M431" i="1" s="1"/>
  <c r="D432" i="1"/>
  <c r="BM428" i="1"/>
  <c r="BO428" i="1" s="1"/>
  <c r="BQ428" i="1" s="1"/>
  <c r="BN428" i="1"/>
  <c r="BP428" i="1" s="1"/>
  <c r="AY429" i="1"/>
  <c r="BA429" i="1" s="1"/>
  <c r="AX429" i="1"/>
  <c r="AZ429" i="1" s="1"/>
  <c r="BB429" i="1" s="1"/>
  <c r="CQ426" i="1"/>
  <c r="CS426" i="1" s="1"/>
  <c r="CU426" i="1" s="1"/>
  <c r="CR426" i="1"/>
  <c r="CT426" i="1" s="1"/>
  <c r="F432" i="1" l="1"/>
  <c r="H432" i="1" s="1"/>
  <c r="E432" i="1"/>
  <c r="Z431" i="1"/>
  <c r="AB431" i="1" s="1"/>
  <c r="Y431" i="1"/>
  <c r="AA431" i="1" s="1"/>
  <c r="AC431" i="1" s="1"/>
  <c r="CH427" i="1"/>
  <c r="CJ427" i="1" s="1"/>
  <c r="CG427" i="1"/>
  <c r="CI427" i="1" s="1"/>
  <c r="CK427" i="1" s="1"/>
  <c r="BR428" i="1"/>
  <c r="BT428" i="1" s="1"/>
  <c r="BV428" i="1" s="1"/>
  <c r="BS428" i="1"/>
  <c r="BU428" i="1" s="1"/>
  <c r="O431" i="1"/>
  <c r="P431" i="1"/>
  <c r="R431" i="1" s="1"/>
  <c r="CV426" i="1"/>
  <c r="CX426" i="1" s="1"/>
  <c r="CZ426" i="1" s="1"/>
  <c r="CW426" i="1"/>
  <c r="CY426" i="1" s="1"/>
  <c r="BC429" i="1"/>
  <c r="BE429" i="1" s="1"/>
  <c r="BG429" i="1" s="1"/>
  <c r="BD429" i="1"/>
  <c r="BF429" i="1" s="1"/>
  <c r="AN430" i="1"/>
  <c r="AP430" i="1" s="1"/>
  <c r="AR430" i="1" s="1"/>
  <c r="AO430" i="1"/>
  <c r="AQ430" i="1" s="1"/>
  <c r="BX428" i="1" l="1"/>
  <c r="BZ428" i="1" s="1"/>
  <c r="BW428" i="1"/>
  <c r="BY428" i="1" s="1"/>
  <c r="CA428" i="1" s="1"/>
  <c r="AE431" i="1"/>
  <c r="AG431" i="1" s="1"/>
  <c r="AD431" i="1"/>
  <c r="AF431" i="1" s="1"/>
  <c r="AH431" i="1" s="1"/>
  <c r="BI429" i="1"/>
  <c r="BK429" i="1" s="1"/>
  <c r="BH429" i="1"/>
  <c r="BJ429" i="1" s="1"/>
  <c r="BL429" i="1" s="1"/>
  <c r="DB426" i="1"/>
  <c r="DD426" i="1" s="1"/>
  <c r="DA426" i="1"/>
  <c r="DC426" i="1" s="1"/>
  <c r="CL427" i="1"/>
  <c r="CN427" i="1" s="1"/>
  <c r="CP427" i="1" s="1"/>
  <c r="CM427" i="1"/>
  <c r="CO427" i="1" s="1"/>
  <c r="AT430" i="1"/>
  <c r="AV430" i="1" s="1"/>
  <c r="AS430" i="1"/>
  <c r="AU430" i="1" s="1"/>
  <c r="AW430" i="1" s="1"/>
  <c r="G432" i="1"/>
  <c r="I432" i="1" s="1"/>
  <c r="Q432" i="1"/>
  <c r="S432" i="1" s="1"/>
  <c r="CR427" i="1" l="1"/>
  <c r="CT427" i="1" s="1"/>
  <c r="CQ427" i="1"/>
  <c r="CS427" i="1" s="1"/>
  <c r="CU427" i="1" s="1"/>
  <c r="AJ431" i="1"/>
  <c r="AL431" i="1" s="1"/>
  <c r="AI431" i="1"/>
  <c r="AK431" i="1" s="1"/>
  <c r="AM431" i="1" s="1"/>
  <c r="BN429" i="1"/>
  <c r="BP429" i="1" s="1"/>
  <c r="BM429" i="1"/>
  <c r="BO429" i="1" s="1"/>
  <c r="BQ429" i="1" s="1"/>
  <c r="CC428" i="1"/>
  <c r="CE428" i="1" s="1"/>
  <c r="CB428" i="1"/>
  <c r="CD428" i="1" s="1"/>
  <c r="CF428" i="1" s="1"/>
  <c r="T432" i="1"/>
  <c r="V432" i="1" s="1"/>
  <c r="X432" i="1" s="1"/>
  <c r="U432" i="1"/>
  <c r="W432" i="1" s="1"/>
  <c r="J432" i="1"/>
  <c r="L432" i="1" s="1"/>
  <c r="N432" i="1" s="1"/>
  <c r="K432" i="1"/>
  <c r="M432" i="1" s="1"/>
  <c r="D433" i="1"/>
  <c r="AY430" i="1"/>
  <c r="BA430" i="1" s="1"/>
  <c r="AX430" i="1"/>
  <c r="AZ430" i="1" s="1"/>
  <c r="BB430" i="1" s="1"/>
  <c r="AN431" i="1" l="1"/>
  <c r="AP431" i="1" s="1"/>
  <c r="AR431" i="1" s="1"/>
  <c r="AO431" i="1"/>
  <c r="AQ431" i="1" s="1"/>
  <c r="P432" i="1"/>
  <c r="R432" i="1" s="1"/>
  <c r="O432" i="1"/>
  <c r="BS429" i="1"/>
  <c r="BU429" i="1" s="1"/>
  <c r="BR429" i="1"/>
  <c r="BT429" i="1" s="1"/>
  <c r="BV429" i="1" s="1"/>
  <c r="Z432" i="1"/>
  <c r="AB432" i="1" s="1"/>
  <c r="Y432" i="1"/>
  <c r="AA432" i="1" s="1"/>
  <c r="AC432" i="1" s="1"/>
  <c r="CV427" i="1"/>
  <c r="CX427" i="1" s="1"/>
  <c r="CZ427" i="1" s="1"/>
  <c r="CW427" i="1"/>
  <c r="CY427" i="1" s="1"/>
  <c r="CH428" i="1"/>
  <c r="CJ428" i="1" s="1"/>
  <c r="CG428" i="1"/>
  <c r="CI428" i="1" s="1"/>
  <c r="CK428" i="1" s="1"/>
  <c r="BD430" i="1"/>
  <c r="BF430" i="1" s="1"/>
  <c r="BC430" i="1"/>
  <c r="BE430" i="1" s="1"/>
  <c r="BG430" i="1" s="1"/>
  <c r="F433" i="1"/>
  <c r="H433" i="1" s="1"/>
  <c r="E433" i="1"/>
  <c r="DA427" i="1" l="1"/>
  <c r="DC427" i="1" s="1"/>
  <c r="DB427" i="1"/>
  <c r="DD427" i="1" s="1"/>
  <c r="BW429" i="1"/>
  <c r="BY429" i="1" s="1"/>
  <c r="CA429" i="1" s="1"/>
  <c r="BX429" i="1"/>
  <c r="BZ429" i="1" s="1"/>
  <c r="CM428" i="1"/>
  <c r="CO428" i="1" s="1"/>
  <c r="CL428" i="1"/>
  <c r="CN428" i="1" s="1"/>
  <c r="CP428" i="1" s="1"/>
  <c r="BI430" i="1"/>
  <c r="BK430" i="1" s="1"/>
  <c r="BH430" i="1"/>
  <c r="BJ430" i="1" s="1"/>
  <c r="BL430" i="1" s="1"/>
  <c r="AE432" i="1"/>
  <c r="AG432" i="1" s="1"/>
  <c r="AD432" i="1"/>
  <c r="AF432" i="1" s="1"/>
  <c r="AH432" i="1" s="1"/>
  <c r="Q433" i="1"/>
  <c r="S433" i="1" s="1"/>
  <c r="G433" i="1"/>
  <c r="I433" i="1" s="1"/>
  <c r="AS431" i="1"/>
  <c r="AU431" i="1" s="1"/>
  <c r="AW431" i="1" s="1"/>
  <c r="AT431" i="1"/>
  <c r="AV431" i="1" s="1"/>
  <c r="BN430" i="1" l="1"/>
  <c r="BP430" i="1" s="1"/>
  <c r="BM430" i="1"/>
  <c r="BO430" i="1" s="1"/>
  <c r="BQ430" i="1" s="1"/>
  <c r="K433" i="1"/>
  <c r="M433" i="1" s="1"/>
  <c r="J433" i="1"/>
  <c r="L433" i="1" s="1"/>
  <c r="N433" i="1" s="1"/>
  <c r="D434" i="1"/>
  <c r="CC429" i="1"/>
  <c r="CE429" i="1" s="1"/>
  <c r="CB429" i="1"/>
  <c r="CD429" i="1" s="1"/>
  <c r="CF429" i="1" s="1"/>
  <c r="T433" i="1"/>
  <c r="V433" i="1" s="1"/>
  <c r="X433" i="1" s="1"/>
  <c r="U433" i="1"/>
  <c r="W433" i="1" s="1"/>
  <c r="CR428" i="1"/>
  <c r="CT428" i="1" s="1"/>
  <c r="CQ428" i="1"/>
  <c r="CS428" i="1" s="1"/>
  <c r="CU428" i="1" s="1"/>
  <c r="AJ432" i="1"/>
  <c r="AL432" i="1" s="1"/>
  <c r="AI432" i="1"/>
  <c r="AK432" i="1" s="1"/>
  <c r="AM432" i="1" s="1"/>
  <c r="AX431" i="1"/>
  <c r="AZ431" i="1" s="1"/>
  <c r="BB431" i="1" s="1"/>
  <c r="AY431" i="1"/>
  <c r="BA431" i="1" s="1"/>
  <c r="CH429" i="1" l="1"/>
  <c r="CJ429" i="1" s="1"/>
  <c r="CG429" i="1"/>
  <c r="CI429" i="1" s="1"/>
  <c r="CK429" i="1" s="1"/>
  <c r="Z433" i="1"/>
  <c r="AB433" i="1" s="1"/>
  <c r="Y433" i="1"/>
  <c r="AA433" i="1" s="1"/>
  <c r="AC433" i="1" s="1"/>
  <c r="CV428" i="1"/>
  <c r="CX428" i="1" s="1"/>
  <c r="CW428" i="1"/>
  <c r="CY428" i="1" s="1"/>
  <c r="P433" i="1"/>
  <c r="R433" i="1" s="1"/>
  <c r="O433" i="1"/>
  <c r="BR430" i="1"/>
  <c r="BT430" i="1" s="1"/>
  <c r="BV430" i="1" s="1"/>
  <c r="BS430" i="1"/>
  <c r="BU430" i="1" s="1"/>
  <c r="E434" i="1"/>
  <c r="F434" i="1"/>
  <c r="H434" i="1" s="1"/>
  <c r="BD431" i="1"/>
  <c r="BF431" i="1" s="1"/>
  <c r="BC431" i="1"/>
  <c r="BE431" i="1" s="1"/>
  <c r="BG431" i="1" s="1"/>
  <c r="AN432" i="1"/>
  <c r="AP432" i="1" s="1"/>
  <c r="AR432" i="1" s="1"/>
  <c r="AO432" i="1"/>
  <c r="AQ432" i="1" s="1"/>
  <c r="Q434" i="1" l="1"/>
  <c r="S434" i="1" s="1"/>
  <c r="G434" i="1"/>
  <c r="I434" i="1" s="1"/>
  <c r="AD433" i="1"/>
  <c r="AF433" i="1" s="1"/>
  <c r="AH433" i="1" s="1"/>
  <c r="AE433" i="1"/>
  <c r="AG433" i="1" s="1"/>
  <c r="BW430" i="1"/>
  <c r="BY430" i="1" s="1"/>
  <c r="CA430" i="1" s="1"/>
  <c r="BX430" i="1"/>
  <c r="BZ430" i="1" s="1"/>
  <c r="CZ428" i="1"/>
  <c r="BH431" i="1"/>
  <c r="BJ431" i="1" s="1"/>
  <c r="BL431" i="1" s="1"/>
  <c r="BI431" i="1"/>
  <c r="BK431" i="1" s="1"/>
  <c r="AS432" i="1"/>
  <c r="AU432" i="1" s="1"/>
  <c r="AW432" i="1" s="1"/>
  <c r="AT432" i="1"/>
  <c r="AV432" i="1" s="1"/>
  <c r="CM429" i="1"/>
  <c r="CO429" i="1" s="1"/>
  <c r="CL429" i="1"/>
  <c r="CN429" i="1" s="1"/>
  <c r="CP429" i="1" s="1"/>
  <c r="AX432" i="1" l="1"/>
  <c r="AZ432" i="1" s="1"/>
  <c r="BB432" i="1" s="1"/>
  <c r="AY432" i="1"/>
  <c r="BA432" i="1" s="1"/>
  <c r="CB430" i="1"/>
  <c r="CD430" i="1" s="1"/>
  <c r="CF430" i="1" s="1"/>
  <c r="CC430" i="1"/>
  <c r="CE430" i="1" s="1"/>
  <c r="DB428" i="1"/>
  <c r="DD428" i="1" s="1"/>
  <c r="DA428" i="1"/>
  <c r="DC428" i="1" s="1"/>
  <c r="J434" i="1"/>
  <c r="L434" i="1" s="1"/>
  <c r="N434" i="1" s="1"/>
  <c r="K434" i="1"/>
  <c r="M434" i="1" s="1"/>
  <c r="D435" i="1"/>
  <c r="BN431" i="1"/>
  <c r="BP431" i="1" s="1"/>
  <c r="BM431" i="1"/>
  <c r="BO431" i="1" s="1"/>
  <c r="BQ431" i="1" s="1"/>
  <c r="AJ433" i="1"/>
  <c r="AL433" i="1" s="1"/>
  <c r="AI433" i="1"/>
  <c r="AK433" i="1" s="1"/>
  <c r="AM433" i="1" s="1"/>
  <c r="CQ429" i="1"/>
  <c r="CS429" i="1" s="1"/>
  <c r="CU429" i="1" s="1"/>
  <c r="CR429" i="1"/>
  <c r="CT429" i="1" s="1"/>
  <c r="T434" i="1"/>
  <c r="V434" i="1" s="1"/>
  <c r="X434" i="1" s="1"/>
  <c r="U434" i="1"/>
  <c r="W434" i="1" s="1"/>
  <c r="BS431" i="1" l="1"/>
  <c r="BU431" i="1" s="1"/>
  <c r="BR431" i="1"/>
  <c r="BT431" i="1" s="1"/>
  <c r="BV431" i="1" s="1"/>
  <c r="O434" i="1"/>
  <c r="P434" i="1"/>
  <c r="R434" i="1" s="1"/>
  <c r="Z434" i="1"/>
  <c r="AB434" i="1" s="1"/>
  <c r="Y434" i="1"/>
  <c r="AA434" i="1" s="1"/>
  <c r="AC434" i="1" s="1"/>
  <c r="CW429" i="1"/>
  <c r="CY429" i="1" s="1"/>
  <c r="CV429" i="1"/>
  <c r="CX429" i="1" s="1"/>
  <c r="CZ429" i="1" s="1"/>
  <c r="E435" i="1"/>
  <c r="F435" i="1"/>
  <c r="H435" i="1" s="1"/>
  <c r="CG430" i="1"/>
  <c r="CI430" i="1" s="1"/>
  <c r="CK430" i="1" s="1"/>
  <c r="CH430" i="1"/>
  <c r="CJ430" i="1" s="1"/>
  <c r="AO433" i="1"/>
  <c r="AQ433" i="1" s="1"/>
  <c r="AN433" i="1"/>
  <c r="AP433" i="1" s="1"/>
  <c r="AR433" i="1" s="1"/>
  <c r="BD432" i="1"/>
  <c r="BF432" i="1" s="1"/>
  <c r="BC432" i="1"/>
  <c r="BE432" i="1" s="1"/>
  <c r="BG432" i="1" s="1"/>
  <c r="DB429" i="1" l="1"/>
  <c r="DD429" i="1" s="1"/>
  <c r="DA429" i="1"/>
  <c r="DC429" i="1" s="1"/>
  <c r="CM430" i="1"/>
  <c r="CO430" i="1" s="1"/>
  <c r="CL430" i="1"/>
  <c r="CN430" i="1" s="1"/>
  <c r="CP430" i="1" s="1"/>
  <c r="G435" i="1"/>
  <c r="I435" i="1" s="1"/>
  <c r="Q435" i="1"/>
  <c r="S435" i="1" s="1"/>
  <c r="BH432" i="1"/>
  <c r="BJ432" i="1" s="1"/>
  <c r="BL432" i="1" s="1"/>
  <c r="BI432" i="1"/>
  <c r="BK432" i="1" s="1"/>
  <c r="AD434" i="1"/>
  <c r="AF434" i="1" s="1"/>
  <c r="AH434" i="1" s="1"/>
  <c r="AE434" i="1"/>
  <c r="AG434" i="1" s="1"/>
  <c r="AS433" i="1"/>
  <c r="AU433" i="1" s="1"/>
  <c r="AW433" i="1" s="1"/>
  <c r="AT433" i="1"/>
  <c r="AV433" i="1" s="1"/>
  <c r="BW431" i="1"/>
  <c r="BY431" i="1" s="1"/>
  <c r="CA431" i="1" s="1"/>
  <c r="BX431" i="1"/>
  <c r="BZ431" i="1" s="1"/>
  <c r="BN432" i="1" l="1"/>
  <c r="BP432" i="1" s="1"/>
  <c r="BM432" i="1"/>
  <c r="BO432" i="1" s="1"/>
  <c r="BQ432" i="1" s="1"/>
  <c r="AJ434" i="1"/>
  <c r="AL434" i="1" s="1"/>
  <c r="AI434" i="1"/>
  <c r="AK434" i="1" s="1"/>
  <c r="AM434" i="1" s="1"/>
  <c r="T435" i="1"/>
  <c r="V435" i="1" s="1"/>
  <c r="X435" i="1" s="1"/>
  <c r="U435" i="1"/>
  <c r="W435" i="1" s="1"/>
  <c r="CR430" i="1"/>
  <c r="CT430" i="1" s="1"/>
  <c r="CQ430" i="1"/>
  <c r="CS430" i="1" s="1"/>
  <c r="CU430" i="1" s="1"/>
  <c r="AY433" i="1"/>
  <c r="BA433" i="1" s="1"/>
  <c r="AX433" i="1"/>
  <c r="AZ433" i="1" s="1"/>
  <c r="BB433" i="1" s="1"/>
  <c r="J435" i="1"/>
  <c r="L435" i="1" s="1"/>
  <c r="N435" i="1" s="1"/>
  <c r="K435" i="1"/>
  <c r="M435" i="1" s="1"/>
  <c r="D436" i="1"/>
  <c r="CC431" i="1"/>
  <c r="CE431" i="1" s="1"/>
  <c r="CB431" i="1"/>
  <c r="CD431" i="1" s="1"/>
  <c r="CF431" i="1" s="1"/>
  <c r="BC433" i="1" l="1"/>
  <c r="BE433" i="1" s="1"/>
  <c r="BG433" i="1" s="1"/>
  <c r="BD433" i="1"/>
  <c r="BF433" i="1" s="1"/>
  <c r="Y435" i="1"/>
  <c r="AA435" i="1" s="1"/>
  <c r="AC435" i="1" s="1"/>
  <c r="Z435" i="1"/>
  <c r="AB435" i="1" s="1"/>
  <c r="CW430" i="1"/>
  <c r="CY430" i="1" s="1"/>
  <c r="CV430" i="1"/>
  <c r="CX430" i="1" s="1"/>
  <c r="CZ430" i="1" s="1"/>
  <c r="AO434" i="1"/>
  <c r="AQ434" i="1" s="1"/>
  <c r="AN434" i="1"/>
  <c r="AP434" i="1" s="1"/>
  <c r="AR434" i="1" s="1"/>
  <c r="BS432" i="1"/>
  <c r="BU432" i="1" s="1"/>
  <c r="BR432" i="1"/>
  <c r="BT432" i="1" s="1"/>
  <c r="BV432" i="1" s="1"/>
  <c r="P435" i="1"/>
  <c r="R435" i="1" s="1"/>
  <c r="O435" i="1"/>
  <c r="CG431" i="1"/>
  <c r="CI431" i="1" s="1"/>
  <c r="CK431" i="1" s="1"/>
  <c r="CH431" i="1"/>
  <c r="CJ431" i="1" s="1"/>
  <c r="F436" i="1"/>
  <c r="H436" i="1" s="1"/>
  <c r="E436" i="1"/>
  <c r="AT434" i="1" l="1"/>
  <c r="AV434" i="1" s="1"/>
  <c r="AS434" i="1"/>
  <c r="AU434" i="1" s="1"/>
  <c r="AW434" i="1" s="1"/>
  <c r="DB430" i="1"/>
  <c r="DD430" i="1" s="1"/>
  <c r="DA430" i="1"/>
  <c r="DC430" i="1" s="1"/>
  <c r="AD435" i="1"/>
  <c r="AF435" i="1" s="1"/>
  <c r="AH435" i="1" s="1"/>
  <c r="AE435" i="1"/>
  <c r="AG435" i="1" s="1"/>
  <c r="BX432" i="1"/>
  <c r="BZ432" i="1" s="1"/>
  <c r="BW432" i="1"/>
  <c r="BY432" i="1" s="1"/>
  <c r="CA432" i="1" s="1"/>
  <c r="G436" i="1"/>
  <c r="I436" i="1" s="1"/>
  <c r="Q436" i="1"/>
  <c r="S436" i="1" s="1"/>
  <c r="CL431" i="1"/>
  <c r="CN431" i="1" s="1"/>
  <c r="CP431" i="1" s="1"/>
  <c r="CM431" i="1"/>
  <c r="CO431" i="1" s="1"/>
  <c r="BH433" i="1"/>
  <c r="BJ433" i="1" s="1"/>
  <c r="BL433" i="1" s="1"/>
  <c r="BI433" i="1"/>
  <c r="BK433" i="1" s="1"/>
  <c r="CB432" i="1" l="1"/>
  <c r="CD432" i="1" s="1"/>
  <c r="CF432" i="1" s="1"/>
  <c r="CC432" i="1"/>
  <c r="CE432" i="1" s="1"/>
  <c r="CQ431" i="1"/>
  <c r="CS431" i="1" s="1"/>
  <c r="CU431" i="1" s="1"/>
  <c r="CR431" i="1"/>
  <c r="CT431" i="1" s="1"/>
  <c r="U436" i="1"/>
  <c r="W436" i="1" s="1"/>
  <c r="T436" i="1"/>
  <c r="V436" i="1" s="1"/>
  <c r="X436" i="1" s="1"/>
  <c r="BN433" i="1"/>
  <c r="BP433" i="1" s="1"/>
  <c r="BM433" i="1"/>
  <c r="BO433" i="1" s="1"/>
  <c r="BQ433" i="1" s="1"/>
  <c r="J436" i="1"/>
  <c r="L436" i="1" s="1"/>
  <c r="N436" i="1" s="1"/>
  <c r="K436" i="1"/>
  <c r="M436" i="1" s="1"/>
  <c r="D437" i="1"/>
  <c r="AI435" i="1"/>
  <c r="AK435" i="1" s="1"/>
  <c r="AM435" i="1" s="1"/>
  <c r="AJ435" i="1"/>
  <c r="AL435" i="1" s="1"/>
  <c r="AY434" i="1"/>
  <c r="BA434" i="1" s="1"/>
  <c r="AX434" i="1"/>
  <c r="AZ434" i="1" s="1"/>
  <c r="BB434" i="1" s="1"/>
  <c r="F437" i="1" l="1"/>
  <c r="H437" i="1" s="1"/>
  <c r="E437" i="1"/>
  <c r="BR433" i="1"/>
  <c r="BT433" i="1" s="1"/>
  <c r="BV433" i="1" s="1"/>
  <c r="BS433" i="1"/>
  <c r="BU433" i="1" s="1"/>
  <c r="P436" i="1"/>
  <c r="R436" i="1" s="1"/>
  <c r="O436" i="1"/>
  <c r="Z436" i="1"/>
  <c r="AB436" i="1" s="1"/>
  <c r="Y436" i="1"/>
  <c r="AA436" i="1" s="1"/>
  <c r="AC436" i="1" s="1"/>
  <c r="BD434" i="1"/>
  <c r="BF434" i="1" s="1"/>
  <c r="BC434" i="1"/>
  <c r="BE434" i="1" s="1"/>
  <c r="BG434" i="1" s="1"/>
  <c r="AN435" i="1"/>
  <c r="AP435" i="1" s="1"/>
  <c r="AR435" i="1" s="1"/>
  <c r="AO435" i="1"/>
  <c r="AQ435" i="1" s="1"/>
  <c r="CV431" i="1"/>
  <c r="CX431" i="1" s="1"/>
  <c r="CW431" i="1"/>
  <c r="CY431" i="1" s="1"/>
  <c r="CH432" i="1"/>
  <c r="CJ432" i="1" s="1"/>
  <c r="CG432" i="1"/>
  <c r="CI432" i="1" s="1"/>
  <c r="CK432" i="1" s="1"/>
  <c r="AT435" i="1" l="1"/>
  <c r="AV435" i="1" s="1"/>
  <c r="AS435" i="1"/>
  <c r="AU435" i="1" s="1"/>
  <c r="AW435" i="1" s="1"/>
  <c r="BH434" i="1"/>
  <c r="BJ434" i="1" s="1"/>
  <c r="BL434" i="1" s="1"/>
  <c r="BI434" i="1"/>
  <c r="BK434" i="1" s="1"/>
  <c r="CL432" i="1"/>
  <c r="CN432" i="1" s="1"/>
  <c r="CP432" i="1" s="1"/>
  <c r="CM432" i="1"/>
  <c r="CO432" i="1" s="1"/>
  <c r="AE436" i="1"/>
  <c r="AG436" i="1" s="1"/>
  <c r="AD436" i="1"/>
  <c r="AF436" i="1" s="1"/>
  <c r="AH436" i="1" s="1"/>
  <c r="CZ431" i="1"/>
  <c r="Q437" i="1"/>
  <c r="S437" i="1" s="1"/>
  <c r="G437" i="1"/>
  <c r="I437" i="1" s="1"/>
  <c r="BX433" i="1"/>
  <c r="BZ433" i="1" s="1"/>
  <c r="BW433" i="1"/>
  <c r="BY433" i="1" s="1"/>
  <c r="CA433" i="1" s="1"/>
  <c r="AI436" i="1" l="1"/>
  <c r="AK436" i="1" s="1"/>
  <c r="AM436" i="1" s="1"/>
  <c r="AJ436" i="1"/>
  <c r="AL436" i="1" s="1"/>
  <c r="K437" i="1"/>
  <c r="M437" i="1" s="1"/>
  <c r="J437" i="1"/>
  <c r="L437" i="1" s="1"/>
  <c r="N437" i="1" s="1"/>
  <c r="D438" i="1"/>
  <c r="CR432" i="1"/>
  <c r="CT432" i="1" s="1"/>
  <c r="CQ432" i="1"/>
  <c r="CS432" i="1" s="1"/>
  <c r="CU432" i="1" s="1"/>
  <c r="T437" i="1"/>
  <c r="V437" i="1" s="1"/>
  <c r="X437" i="1" s="1"/>
  <c r="U437" i="1"/>
  <c r="W437" i="1" s="1"/>
  <c r="AY435" i="1"/>
  <c r="BA435" i="1" s="1"/>
  <c r="AX435" i="1"/>
  <c r="AZ435" i="1" s="1"/>
  <c r="BB435" i="1" s="1"/>
  <c r="DB431" i="1"/>
  <c r="DD431" i="1" s="1"/>
  <c r="DA431" i="1"/>
  <c r="DC431" i="1" s="1"/>
  <c r="BM434" i="1"/>
  <c r="BO434" i="1" s="1"/>
  <c r="BQ434" i="1" s="1"/>
  <c r="BN434" i="1"/>
  <c r="BP434" i="1" s="1"/>
  <c r="CB433" i="1"/>
  <c r="CD433" i="1" s="1"/>
  <c r="CF433" i="1" s="1"/>
  <c r="CC433" i="1"/>
  <c r="CE433" i="1" s="1"/>
  <c r="Y437" i="1" l="1"/>
  <c r="AA437" i="1" s="1"/>
  <c r="AC437" i="1" s="1"/>
  <c r="Z437" i="1"/>
  <c r="AB437" i="1" s="1"/>
  <c r="BR434" i="1"/>
  <c r="BT434" i="1" s="1"/>
  <c r="BV434" i="1" s="1"/>
  <c r="BS434" i="1"/>
  <c r="BU434" i="1" s="1"/>
  <c r="BD435" i="1"/>
  <c r="BF435" i="1" s="1"/>
  <c r="BC435" i="1"/>
  <c r="BE435" i="1" s="1"/>
  <c r="BG435" i="1" s="1"/>
  <c r="CG433" i="1"/>
  <c r="CI433" i="1" s="1"/>
  <c r="CK433" i="1" s="1"/>
  <c r="CH433" i="1"/>
  <c r="CJ433" i="1" s="1"/>
  <c r="O437" i="1"/>
  <c r="P437" i="1"/>
  <c r="R437" i="1" s="1"/>
  <c r="CV432" i="1"/>
  <c r="CX432" i="1" s="1"/>
  <c r="CW432" i="1"/>
  <c r="CY432" i="1" s="1"/>
  <c r="E438" i="1"/>
  <c r="F438" i="1"/>
  <c r="H438" i="1" s="1"/>
  <c r="AO436" i="1"/>
  <c r="AQ436" i="1" s="1"/>
  <c r="AN436" i="1"/>
  <c r="AP436" i="1" s="1"/>
  <c r="AR436" i="1" s="1"/>
  <c r="CL433" i="1" l="1"/>
  <c r="CN433" i="1" s="1"/>
  <c r="CP433" i="1" s="1"/>
  <c r="CM433" i="1"/>
  <c r="CO433" i="1" s="1"/>
  <c r="BI435" i="1"/>
  <c r="BK435" i="1" s="1"/>
  <c r="BH435" i="1"/>
  <c r="BJ435" i="1" s="1"/>
  <c r="BL435" i="1" s="1"/>
  <c r="CZ432" i="1"/>
  <c r="AT436" i="1"/>
  <c r="AV436" i="1" s="1"/>
  <c r="AS436" i="1"/>
  <c r="AU436" i="1" s="1"/>
  <c r="AW436" i="1" s="1"/>
  <c r="BW434" i="1"/>
  <c r="BY434" i="1" s="1"/>
  <c r="CA434" i="1" s="1"/>
  <c r="BX434" i="1"/>
  <c r="BZ434" i="1" s="1"/>
  <c r="G438" i="1"/>
  <c r="I438" i="1" s="1"/>
  <c r="Q438" i="1"/>
  <c r="S438" i="1" s="1"/>
  <c r="AE437" i="1"/>
  <c r="AG437" i="1" s="1"/>
  <c r="AD437" i="1"/>
  <c r="AF437" i="1" s="1"/>
  <c r="AH437" i="1" s="1"/>
  <c r="K438" i="1" l="1"/>
  <c r="M438" i="1" s="1"/>
  <c r="J438" i="1"/>
  <c r="L438" i="1" s="1"/>
  <c r="N438" i="1" s="1"/>
  <c r="D439" i="1"/>
  <c r="DB432" i="1"/>
  <c r="DD432" i="1" s="1"/>
  <c r="DA432" i="1"/>
  <c r="DC432" i="1" s="1"/>
  <c r="U438" i="1"/>
  <c r="W438" i="1" s="1"/>
  <c r="T438" i="1"/>
  <c r="V438" i="1" s="1"/>
  <c r="X438" i="1" s="1"/>
  <c r="CB434" i="1"/>
  <c r="CD434" i="1" s="1"/>
  <c r="CF434" i="1" s="1"/>
  <c r="CC434" i="1"/>
  <c r="CE434" i="1" s="1"/>
  <c r="BN435" i="1"/>
  <c r="BP435" i="1" s="1"/>
  <c r="BM435" i="1"/>
  <c r="BO435" i="1" s="1"/>
  <c r="BQ435" i="1" s="1"/>
  <c r="AX436" i="1"/>
  <c r="AZ436" i="1" s="1"/>
  <c r="BB436" i="1" s="1"/>
  <c r="AY436" i="1"/>
  <c r="BA436" i="1" s="1"/>
  <c r="AI437" i="1"/>
  <c r="AK437" i="1" s="1"/>
  <c r="AM437" i="1" s="1"/>
  <c r="AJ437" i="1"/>
  <c r="AL437" i="1" s="1"/>
  <c r="CR433" i="1"/>
  <c r="CT433" i="1" s="1"/>
  <c r="CQ433" i="1"/>
  <c r="CS433" i="1" s="1"/>
  <c r="CU433" i="1" s="1"/>
  <c r="BR435" i="1" l="1"/>
  <c r="BT435" i="1" s="1"/>
  <c r="BV435" i="1" s="1"/>
  <c r="BS435" i="1"/>
  <c r="BU435" i="1" s="1"/>
  <c r="CW433" i="1"/>
  <c r="CY433" i="1" s="1"/>
  <c r="CV433" i="1"/>
  <c r="CX433" i="1" s="1"/>
  <c r="CZ433" i="1" s="1"/>
  <c r="AN437" i="1"/>
  <c r="AP437" i="1" s="1"/>
  <c r="AR437" i="1" s="1"/>
  <c r="AO437" i="1"/>
  <c r="AQ437" i="1" s="1"/>
  <c r="CH434" i="1"/>
  <c r="CJ434" i="1" s="1"/>
  <c r="CG434" i="1"/>
  <c r="CI434" i="1" s="1"/>
  <c r="CK434" i="1" s="1"/>
  <c r="P438" i="1"/>
  <c r="R438" i="1" s="1"/>
  <c r="O438" i="1"/>
  <c r="Z438" i="1"/>
  <c r="AB438" i="1" s="1"/>
  <c r="Y438" i="1"/>
  <c r="AA438" i="1" s="1"/>
  <c r="AC438" i="1" s="1"/>
  <c r="F439" i="1"/>
  <c r="H439" i="1" s="1"/>
  <c r="E439" i="1"/>
  <c r="BD436" i="1"/>
  <c r="BF436" i="1" s="1"/>
  <c r="BC436" i="1"/>
  <c r="BE436" i="1" s="1"/>
  <c r="BG436" i="1" s="1"/>
  <c r="AD438" i="1" l="1"/>
  <c r="AF438" i="1" s="1"/>
  <c r="AH438" i="1" s="1"/>
  <c r="AE438" i="1"/>
  <c r="AG438" i="1" s="1"/>
  <c r="AT437" i="1"/>
  <c r="AV437" i="1" s="1"/>
  <c r="AS437" i="1"/>
  <c r="AU437" i="1" s="1"/>
  <c r="AW437" i="1" s="1"/>
  <c r="CL434" i="1"/>
  <c r="CN434" i="1" s="1"/>
  <c r="CP434" i="1" s="1"/>
  <c r="CM434" i="1"/>
  <c r="CO434" i="1" s="1"/>
  <c r="DA433" i="1"/>
  <c r="DC433" i="1" s="1"/>
  <c r="DB433" i="1"/>
  <c r="DD433" i="1" s="1"/>
  <c r="BH436" i="1"/>
  <c r="BJ436" i="1" s="1"/>
  <c r="BL436" i="1" s="1"/>
  <c r="BI436" i="1"/>
  <c r="BK436" i="1" s="1"/>
  <c r="G439" i="1"/>
  <c r="I439" i="1" s="1"/>
  <c r="Q439" i="1"/>
  <c r="S439" i="1" s="1"/>
  <c r="BX435" i="1"/>
  <c r="BZ435" i="1" s="1"/>
  <c r="BW435" i="1"/>
  <c r="BY435" i="1" s="1"/>
  <c r="CA435" i="1" s="1"/>
  <c r="BN436" i="1" l="1"/>
  <c r="BP436" i="1" s="1"/>
  <c r="BM436" i="1"/>
  <c r="BO436" i="1" s="1"/>
  <c r="BQ436" i="1" s="1"/>
  <c r="J439" i="1"/>
  <c r="L439" i="1" s="1"/>
  <c r="N439" i="1" s="1"/>
  <c r="K439" i="1"/>
  <c r="M439" i="1" s="1"/>
  <c r="D440" i="1"/>
  <c r="U439" i="1"/>
  <c r="W439" i="1" s="1"/>
  <c r="T439" i="1"/>
  <c r="V439" i="1" s="1"/>
  <c r="X439" i="1" s="1"/>
  <c r="CR434" i="1"/>
  <c r="CT434" i="1" s="1"/>
  <c r="CQ434" i="1"/>
  <c r="CS434" i="1" s="1"/>
  <c r="CU434" i="1" s="1"/>
  <c r="AY437" i="1"/>
  <c r="BA437" i="1" s="1"/>
  <c r="AX437" i="1"/>
  <c r="AZ437" i="1" s="1"/>
  <c r="BB437" i="1" s="1"/>
  <c r="CC435" i="1"/>
  <c r="CE435" i="1" s="1"/>
  <c r="CB435" i="1"/>
  <c r="CD435" i="1" s="1"/>
  <c r="CF435" i="1" s="1"/>
  <c r="AI438" i="1"/>
  <c r="AK438" i="1" s="1"/>
  <c r="AM438" i="1" s="1"/>
  <c r="AJ438" i="1"/>
  <c r="AL438" i="1" s="1"/>
  <c r="CV434" i="1" l="1"/>
  <c r="CX434" i="1" s="1"/>
  <c r="CW434" i="1"/>
  <c r="CY434" i="1" s="1"/>
  <c r="BD437" i="1"/>
  <c r="BF437" i="1" s="1"/>
  <c r="BC437" i="1"/>
  <c r="BE437" i="1" s="1"/>
  <c r="BG437" i="1" s="1"/>
  <c r="Z439" i="1"/>
  <c r="AB439" i="1" s="1"/>
  <c r="Y439" i="1"/>
  <c r="AA439" i="1" s="1"/>
  <c r="AC439" i="1" s="1"/>
  <c r="P439" i="1"/>
  <c r="R439" i="1" s="1"/>
  <c r="O439" i="1"/>
  <c r="F440" i="1"/>
  <c r="H440" i="1" s="1"/>
  <c r="E440" i="1"/>
  <c r="AN438" i="1"/>
  <c r="AP438" i="1" s="1"/>
  <c r="AR438" i="1" s="1"/>
  <c r="AO438" i="1"/>
  <c r="AQ438" i="1" s="1"/>
  <c r="BR436" i="1"/>
  <c r="BT436" i="1" s="1"/>
  <c r="BV436" i="1" s="1"/>
  <c r="BS436" i="1"/>
  <c r="BU436" i="1" s="1"/>
  <c r="CH435" i="1"/>
  <c r="CJ435" i="1" s="1"/>
  <c r="CG435" i="1"/>
  <c r="CI435" i="1" s="1"/>
  <c r="CK435" i="1" s="1"/>
  <c r="AD439" i="1" l="1"/>
  <c r="AF439" i="1" s="1"/>
  <c r="AH439" i="1" s="1"/>
  <c r="AE439" i="1"/>
  <c r="AG439" i="1" s="1"/>
  <c r="BH437" i="1"/>
  <c r="BJ437" i="1" s="1"/>
  <c r="BL437" i="1" s="1"/>
  <c r="BI437" i="1"/>
  <c r="BK437" i="1" s="1"/>
  <c r="AS438" i="1"/>
  <c r="AU438" i="1" s="1"/>
  <c r="AW438" i="1" s="1"/>
  <c r="AT438" i="1"/>
  <c r="AV438" i="1" s="1"/>
  <c r="CL435" i="1"/>
  <c r="CN435" i="1" s="1"/>
  <c r="CP435" i="1" s="1"/>
  <c r="CM435" i="1"/>
  <c r="CO435" i="1" s="1"/>
  <c r="BX436" i="1"/>
  <c r="BZ436" i="1" s="1"/>
  <c r="BW436" i="1"/>
  <c r="BY436" i="1" s="1"/>
  <c r="CA436" i="1" s="1"/>
  <c r="G440" i="1"/>
  <c r="I440" i="1" s="1"/>
  <c r="Q440" i="1"/>
  <c r="S440" i="1" s="1"/>
  <c r="CZ434" i="1"/>
  <c r="T440" i="1" l="1"/>
  <c r="V440" i="1" s="1"/>
  <c r="X440" i="1" s="1"/>
  <c r="U440" i="1"/>
  <c r="W440" i="1" s="1"/>
  <c r="AY438" i="1"/>
  <c r="BA438" i="1" s="1"/>
  <c r="AX438" i="1"/>
  <c r="AZ438" i="1" s="1"/>
  <c r="BB438" i="1" s="1"/>
  <c r="K440" i="1"/>
  <c r="M440" i="1" s="1"/>
  <c r="J440" i="1"/>
  <c r="L440" i="1" s="1"/>
  <c r="N440" i="1" s="1"/>
  <c r="D441" i="1"/>
  <c r="CR435" i="1"/>
  <c r="CT435" i="1" s="1"/>
  <c r="CQ435" i="1"/>
  <c r="CS435" i="1" s="1"/>
  <c r="CU435" i="1" s="1"/>
  <c r="BN437" i="1"/>
  <c r="BP437" i="1" s="1"/>
  <c r="BM437" i="1"/>
  <c r="BO437" i="1" s="1"/>
  <c r="BQ437" i="1" s="1"/>
  <c r="CC436" i="1"/>
  <c r="CE436" i="1" s="1"/>
  <c r="CB436" i="1"/>
  <c r="CD436" i="1" s="1"/>
  <c r="CF436" i="1" s="1"/>
  <c r="DB434" i="1"/>
  <c r="DD434" i="1" s="1"/>
  <c r="DA434" i="1"/>
  <c r="DC434" i="1" s="1"/>
  <c r="AI439" i="1"/>
  <c r="AK439" i="1" s="1"/>
  <c r="AM439" i="1" s="1"/>
  <c r="AJ439" i="1"/>
  <c r="AL439" i="1" s="1"/>
  <c r="BR437" i="1" l="1"/>
  <c r="BT437" i="1" s="1"/>
  <c r="BV437" i="1" s="1"/>
  <c r="BS437" i="1"/>
  <c r="BU437" i="1" s="1"/>
  <c r="F441" i="1"/>
  <c r="H441" i="1" s="1"/>
  <c r="E441" i="1"/>
  <c r="CV435" i="1"/>
  <c r="CX435" i="1" s="1"/>
  <c r="CW435" i="1"/>
  <c r="CY435" i="1" s="1"/>
  <c r="P440" i="1"/>
  <c r="R440" i="1" s="1"/>
  <c r="O440" i="1"/>
  <c r="AN439" i="1"/>
  <c r="AP439" i="1" s="1"/>
  <c r="AR439" i="1" s="1"/>
  <c r="AO439" i="1"/>
  <c r="AQ439" i="1" s="1"/>
  <c r="BC438" i="1"/>
  <c r="BE438" i="1" s="1"/>
  <c r="BG438" i="1" s="1"/>
  <c r="BD438" i="1"/>
  <c r="BF438" i="1" s="1"/>
  <c r="CH436" i="1"/>
  <c r="CJ436" i="1" s="1"/>
  <c r="CG436" i="1"/>
  <c r="CI436" i="1" s="1"/>
  <c r="CK436" i="1" s="1"/>
  <c r="Z440" i="1"/>
  <c r="AB440" i="1" s="1"/>
  <c r="Y440" i="1"/>
  <c r="AA440" i="1" s="1"/>
  <c r="AC440" i="1" s="1"/>
  <c r="AT439" i="1" l="1"/>
  <c r="AV439" i="1" s="1"/>
  <c r="AS439" i="1"/>
  <c r="AU439" i="1" s="1"/>
  <c r="AW439" i="1" s="1"/>
  <c r="CL436" i="1"/>
  <c r="CN436" i="1" s="1"/>
  <c r="CP436" i="1" s="1"/>
  <c r="CM436" i="1"/>
  <c r="CO436" i="1" s="1"/>
  <c r="BH438" i="1"/>
  <c r="BJ438" i="1" s="1"/>
  <c r="BL438" i="1" s="1"/>
  <c r="BI438" i="1"/>
  <c r="BK438" i="1" s="1"/>
  <c r="AD440" i="1"/>
  <c r="AF440" i="1" s="1"/>
  <c r="AH440" i="1" s="1"/>
  <c r="AE440" i="1"/>
  <c r="AG440" i="1" s="1"/>
  <c r="CZ435" i="1"/>
  <c r="G441" i="1"/>
  <c r="I441" i="1" s="1"/>
  <c r="Q441" i="1"/>
  <c r="S441" i="1" s="1"/>
  <c r="BX437" i="1"/>
  <c r="BZ437" i="1" s="1"/>
  <c r="BW437" i="1"/>
  <c r="BY437" i="1" s="1"/>
  <c r="CA437" i="1" s="1"/>
  <c r="DA435" i="1" l="1"/>
  <c r="DC435" i="1" s="1"/>
  <c r="DB435" i="1"/>
  <c r="DD435" i="1" s="1"/>
  <c r="U441" i="1"/>
  <c r="W441" i="1" s="1"/>
  <c r="T441" i="1"/>
  <c r="V441" i="1" s="1"/>
  <c r="X441" i="1" s="1"/>
  <c r="AI440" i="1"/>
  <c r="AK440" i="1" s="1"/>
  <c r="AM440" i="1" s="1"/>
  <c r="AJ440" i="1"/>
  <c r="AL440" i="1" s="1"/>
  <c r="AY439" i="1"/>
  <c r="BA439" i="1" s="1"/>
  <c r="AX439" i="1"/>
  <c r="AZ439" i="1" s="1"/>
  <c r="BB439" i="1" s="1"/>
  <c r="J441" i="1"/>
  <c r="L441" i="1" s="1"/>
  <c r="N441" i="1" s="1"/>
  <c r="K441" i="1"/>
  <c r="M441" i="1" s="1"/>
  <c r="D442" i="1"/>
  <c r="BN438" i="1"/>
  <c r="BP438" i="1" s="1"/>
  <c r="BM438" i="1"/>
  <c r="BO438" i="1" s="1"/>
  <c r="BQ438" i="1" s="1"/>
  <c r="CQ436" i="1"/>
  <c r="CS436" i="1" s="1"/>
  <c r="CU436" i="1" s="1"/>
  <c r="CR436" i="1"/>
  <c r="CT436" i="1" s="1"/>
  <c r="CB437" i="1"/>
  <c r="CD437" i="1" s="1"/>
  <c r="CF437" i="1" s="1"/>
  <c r="CC437" i="1"/>
  <c r="CE437" i="1" s="1"/>
  <c r="BC439" i="1" l="1"/>
  <c r="BE439" i="1" s="1"/>
  <c r="BG439" i="1" s="1"/>
  <c r="BD439" i="1"/>
  <c r="BF439" i="1" s="1"/>
  <c r="CG437" i="1"/>
  <c r="CI437" i="1" s="1"/>
  <c r="CK437" i="1" s="1"/>
  <c r="CH437" i="1"/>
  <c r="CJ437" i="1" s="1"/>
  <c r="CW436" i="1"/>
  <c r="CY436" i="1" s="1"/>
  <c r="CV436" i="1"/>
  <c r="CX436" i="1" s="1"/>
  <c r="CZ436" i="1" s="1"/>
  <c r="F442" i="1"/>
  <c r="H442" i="1" s="1"/>
  <c r="E442" i="1"/>
  <c r="AO440" i="1"/>
  <c r="AQ440" i="1" s="1"/>
  <c r="AN440" i="1"/>
  <c r="AP440" i="1" s="1"/>
  <c r="AR440" i="1" s="1"/>
  <c r="BS438" i="1"/>
  <c r="BU438" i="1" s="1"/>
  <c r="BR438" i="1"/>
  <c r="BT438" i="1" s="1"/>
  <c r="BV438" i="1" s="1"/>
  <c r="O441" i="1"/>
  <c r="P441" i="1"/>
  <c r="R441" i="1" s="1"/>
  <c r="Y441" i="1"/>
  <c r="AA441" i="1" s="1"/>
  <c r="AC441" i="1" s="1"/>
  <c r="Z441" i="1"/>
  <c r="AB441" i="1" s="1"/>
  <c r="DB436" i="1" l="1"/>
  <c r="DD436" i="1" s="1"/>
  <c r="DA436" i="1"/>
  <c r="DC436" i="1" s="1"/>
  <c r="AD441" i="1"/>
  <c r="AF441" i="1" s="1"/>
  <c r="AH441" i="1" s="1"/>
  <c r="AE441" i="1"/>
  <c r="AG441" i="1" s="1"/>
  <c r="AT440" i="1"/>
  <c r="AV440" i="1" s="1"/>
  <c r="AS440" i="1"/>
  <c r="AU440" i="1" s="1"/>
  <c r="AW440" i="1" s="1"/>
  <c r="CL437" i="1"/>
  <c r="CN437" i="1" s="1"/>
  <c r="CP437" i="1" s="1"/>
  <c r="CM437" i="1"/>
  <c r="CO437" i="1" s="1"/>
  <c r="Q442" i="1"/>
  <c r="S442" i="1" s="1"/>
  <c r="G442" i="1"/>
  <c r="I442" i="1" s="1"/>
  <c r="BX438" i="1"/>
  <c r="BZ438" i="1" s="1"/>
  <c r="BW438" i="1"/>
  <c r="BY438" i="1" s="1"/>
  <c r="CA438" i="1" s="1"/>
  <c r="BH439" i="1"/>
  <c r="BJ439" i="1" s="1"/>
  <c r="BL439" i="1" s="1"/>
  <c r="BI439" i="1"/>
  <c r="BK439" i="1" s="1"/>
  <c r="CQ437" i="1" l="1"/>
  <c r="CS437" i="1" s="1"/>
  <c r="CU437" i="1" s="1"/>
  <c r="CR437" i="1"/>
  <c r="CT437" i="1" s="1"/>
  <c r="AY440" i="1"/>
  <c r="BA440" i="1" s="1"/>
  <c r="AX440" i="1"/>
  <c r="AZ440" i="1" s="1"/>
  <c r="BB440" i="1" s="1"/>
  <c r="K442" i="1"/>
  <c r="M442" i="1" s="1"/>
  <c r="J442" i="1"/>
  <c r="L442" i="1" s="1"/>
  <c r="N442" i="1" s="1"/>
  <c r="D443" i="1"/>
  <c r="T442" i="1"/>
  <c r="V442" i="1" s="1"/>
  <c r="X442" i="1" s="1"/>
  <c r="U442" i="1"/>
  <c r="W442" i="1" s="1"/>
  <c r="AI441" i="1"/>
  <c r="AK441" i="1" s="1"/>
  <c r="AM441" i="1" s="1"/>
  <c r="AJ441" i="1"/>
  <c r="AL441" i="1" s="1"/>
  <c r="BN439" i="1"/>
  <c r="BP439" i="1" s="1"/>
  <c r="BM439" i="1"/>
  <c r="BO439" i="1" s="1"/>
  <c r="BQ439" i="1" s="1"/>
  <c r="CB438" i="1"/>
  <c r="CD438" i="1" s="1"/>
  <c r="CF438" i="1" s="1"/>
  <c r="CC438" i="1"/>
  <c r="CE438" i="1" s="1"/>
  <c r="O442" i="1" l="1"/>
  <c r="P442" i="1"/>
  <c r="R442" i="1" s="1"/>
  <c r="AN441" i="1"/>
  <c r="AP441" i="1" s="1"/>
  <c r="AR441" i="1" s="1"/>
  <c r="AO441" i="1"/>
  <c r="AQ441" i="1" s="1"/>
  <c r="E443" i="1"/>
  <c r="F443" i="1"/>
  <c r="H443" i="1" s="1"/>
  <c r="CG438" i="1"/>
  <c r="CI438" i="1" s="1"/>
  <c r="CK438" i="1" s="1"/>
  <c r="CH438" i="1"/>
  <c r="CJ438" i="1" s="1"/>
  <c r="Z442" i="1"/>
  <c r="AB442" i="1" s="1"/>
  <c r="Y442" i="1"/>
  <c r="AA442" i="1" s="1"/>
  <c r="AC442" i="1" s="1"/>
  <c r="BD440" i="1"/>
  <c r="BF440" i="1" s="1"/>
  <c r="BC440" i="1"/>
  <c r="BE440" i="1" s="1"/>
  <c r="BG440" i="1" s="1"/>
  <c r="BS439" i="1"/>
  <c r="BU439" i="1" s="1"/>
  <c r="BR439" i="1"/>
  <c r="BT439" i="1" s="1"/>
  <c r="BV439" i="1" s="1"/>
  <c r="CV437" i="1"/>
  <c r="CX437" i="1" s="1"/>
  <c r="CW437" i="1"/>
  <c r="CY437" i="1" s="1"/>
  <c r="AE442" i="1" l="1"/>
  <c r="AG442" i="1" s="1"/>
  <c r="AD442" i="1"/>
  <c r="AF442" i="1" s="1"/>
  <c r="AH442" i="1" s="1"/>
  <c r="BX439" i="1"/>
  <c r="BZ439" i="1" s="1"/>
  <c r="BW439" i="1"/>
  <c r="BY439" i="1" s="1"/>
  <c r="CA439" i="1" s="1"/>
  <c r="G443" i="1"/>
  <c r="I443" i="1" s="1"/>
  <c r="Q443" i="1"/>
  <c r="S443" i="1" s="1"/>
  <c r="CL438" i="1"/>
  <c r="CN438" i="1" s="1"/>
  <c r="CP438" i="1" s="1"/>
  <c r="CM438" i="1"/>
  <c r="CO438" i="1" s="1"/>
  <c r="CZ437" i="1"/>
  <c r="AT441" i="1"/>
  <c r="AV441" i="1" s="1"/>
  <c r="AS441" i="1"/>
  <c r="AU441" i="1" s="1"/>
  <c r="AW441" i="1" s="1"/>
  <c r="BI440" i="1"/>
  <c r="BK440" i="1" s="1"/>
  <c r="BH440" i="1"/>
  <c r="BJ440" i="1" s="1"/>
  <c r="BL440" i="1" s="1"/>
  <c r="DA437" i="1" l="1"/>
  <c r="DC437" i="1" s="1"/>
  <c r="DB437" i="1"/>
  <c r="DD437" i="1" s="1"/>
  <c r="K443" i="1"/>
  <c r="M443" i="1" s="1"/>
  <c r="J443" i="1"/>
  <c r="L443" i="1" s="1"/>
  <c r="N443" i="1" s="1"/>
  <c r="D444" i="1"/>
  <c r="AX441" i="1"/>
  <c r="AZ441" i="1" s="1"/>
  <c r="BB441" i="1" s="1"/>
  <c r="AY441" i="1"/>
  <c r="BA441" i="1" s="1"/>
  <c r="T443" i="1"/>
  <c r="V443" i="1" s="1"/>
  <c r="X443" i="1" s="1"/>
  <c r="U443" i="1"/>
  <c r="W443" i="1" s="1"/>
  <c r="AJ442" i="1"/>
  <c r="AL442" i="1" s="1"/>
  <c r="AI442" i="1"/>
  <c r="AK442" i="1" s="1"/>
  <c r="AM442" i="1" s="1"/>
  <c r="CR438" i="1"/>
  <c r="CT438" i="1" s="1"/>
  <c r="CQ438" i="1"/>
  <c r="CS438" i="1" s="1"/>
  <c r="CU438" i="1" s="1"/>
  <c r="CB439" i="1"/>
  <c r="CD439" i="1" s="1"/>
  <c r="CF439" i="1" s="1"/>
  <c r="CC439" i="1"/>
  <c r="CE439" i="1" s="1"/>
  <c r="BM440" i="1"/>
  <c r="BO440" i="1" s="1"/>
  <c r="BQ440" i="1" s="1"/>
  <c r="BN440" i="1"/>
  <c r="BP440" i="1" s="1"/>
  <c r="AN442" i="1" l="1"/>
  <c r="AP442" i="1" s="1"/>
  <c r="AR442" i="1" s="1"/>
  <c r="AO442" i="1"/>
  <c r="AQ442" i="1" s="1"/>
  <c r="BC441" i="1"/>
  <c r="BE441" i="1" s="1"/>
  <c r="BG441" i="1" s="1"/>
  <c r="BD441" i="1"/>
  <c r="BF441" i="1" s="1"/>
  <c r="F444" i="1"/>
  <c r="H444" i="1" s="1"/>
  <c r="E444" i="1"/>
  <c r="Z443" i="1"/>
  <c r="AB443" i="1" s="1"/>
  <c r="Y443" i="1"/>
  <c r="AA443" i="1" s="1"/>
  <c r="AC443" i="1" s="1"/>
  <c r="P443" i="1"/>
  <c r="R443" i="1" s="1"/>
  <c r="O443" i="1"/>
  <c r="BS440" i="1"/>
  <c r="BU440" i="1" s="1"/>
  <c r="BR440" i="1"/>
  <c r="BT440" i="1" s="1"/>
  <c r="BV440" i="1" s="1"/>
  <c r="CG439" i="1"/>
  <c r="CI439" i="1" s="1"/>
  <c r="CK439" i="1" s="1"/>
  <c r="CH439" i="1"/>
  <c r="CJ439" i="1" s="1"/>
  <c r="CW438" i="1"/>
  <c r="CY438" i="1" s="1"/>
  <c r="CV438" i="1"/>
  <c r="CX438" i="1" s="1"/>
  <c r="CZ438" i="1" s="1"/>
  <c r="AE443" i="1" l="1"/>
  <c r="AG443" i="1" s="1"/>
  <c r="AD443" i="1"/>
  <c r="AF443" i="1" s="1"/>
  <c r="AH443" i="1" s="1"/>
  <c r="BH441" i="1"/>
  <c r="BJ441" i="1" s="1"/>
  <c r="BL441" i="1" s="1"/>
  <c r="BI441" i="1"/>
  <c r="BK441" i="1" s="1"/>
  <c r="DB438" i="1"/>
  <c r="DD438" i="1" s="1"/>
  <c r="DA438" i="1"/>
  <c r="DC438" i="1" s="1"/>
  <c r="CL439" i="1"/>
  <c r="CN439" i="1" s="1"/>
  <c r="CP439" i="1" s="1"/>
  <c r="CM439" i="1"/>
  <c r="CO439" i="1" s="1"/>
  <c r="G444" i="1"/>
  <c r="I444" i="1" s="1"/>
  <c r="Q444" i="1"/>
  <c r="S444" i="1" s="1"/>
  <c r="BW440" i="1"/>
  <c r="BY440" i="1" s="1"/>
  <c r="CA440" i="1" s="1"/>
  <c r="BX440" i="1"/>
  <c r="BZ440" i="1" s="1"/>
  <c r="AS442" i="1"/>
  <c r="AU442" i="1" s="1"/>
  <c r="AW442" i="1" s="1"/>
  <c r="AT442" i="1"/>
  <c r="AV442" i="1" s="1"/>
  <c r="CQ439" i="1" l="1"/>
  <c r="CS439" i="1" s="1"/>
  <c r="CU439" i="1" s="1"/>
  <c r="CR439" i="1"/>
  <c r="CT439" i="1" s="1"/>
  <c r="T444" i="1"/>
  <c r="V444" i="1" s="1"/>
  <c r="X444" i="1" s="1"/>
  <c r="U444" i="1"/>
  <c r="W444" i="1" s="1"/>
  <c r="CB440" i="1"/>
  <c r="CD440" i="1" s="1"/>
  <c r="CF440" i="1" s="1"/>
  <c r="CC440" i="1"/>
  <c r="CE440" i="1" s="1"/>
  <c r="AI443" i="1"/>
  <c r="AK443" i="1" s="1"/>
  <c r="AM443" i="1" s="1"/>
  <c r="AJ443" i="1"/>
  <c r="AL443" i="1" s="1"/>
  <c r="J444" i="1"/>
  <c r="L444" i="1" s="1"/>
  <c r="N444" i="1" s="1"/>
  <c r="K444" i="1"/>
  <c r="M444" i="1" s="1"/>
  <c r="D445" i="1"/>
  <c r="BM441" i="1"/>
  <c r="BO441" i="1" s="1"/>
  <c r="BQ441" i="1" s="1"/>
  <c r="BN441" i="1"/>
  <c r="BP441" i="1" s="1"/>
  <c r="AX442" i="1"/>
  <c r="AZ442" i="1" s="1"/>
  <c r="BB442" i="1" s="1"/>
  <c r="AY442" i="1"/>
  <c r="BA442" i="1" s="1"/>
  <c r="BR441" i="1" l="1"/>
  <c r="BT441" i="1" s="1"/>
  <c r="BV441" i="1" s="1"/>
  <c r="BS441" i="1"/>
  <c r="BU441" i="1" s="1"/>
  <c r="AO443" i="1"/>
  <c r="AQ443" i="1" s="1"/>
  <c r="AN443" i="1"/>
  <c r="AP443" i="1" s="1"/>
  <c r="AR443" i="1" s="1"/>
  <c r="Y444" i="1"/>
  <c r="AA444" i="1" s="1"/>
  <c r="AC444" i="1" s="1"/>
  <c r="Z444" i="1"/>
  <c r="AB444" i="1" s="1"/>
  <c r="E445" i="1"/>
  <c r="F445" i="1"/>
  <c r="H445" i="1" s="1"/>
  <c r="BC442" i="1"/>
  <c r="BE442" i="1" s="1"/>
  <c r="BG442" i="1" s="1"/>
  <c r="BD442" i="1"/>
  <c r="BF442" i="1" s="1"/>
  <c r="O444" i="1"/>
  <c r="P444" i="1"/>
  <c r="R444" i="1" s="1"/>
  <c r="CH440" i="1"/>
  <c r="CJ440" i="1" s="1"/>
  <c r="CG440" i="1"/>
  <c r="CI440" i="1" s="1"/>
  <c r="CK440" i="1" s="1"/>
  <c r="CW439" i="1"/>
  <c r="CY439" i="1" s="1"/>
  <c r="CV439" i="1"/>
  <c r="CX439" i="1" s="1"/>
  <c r="CZ439" i="1" s="1"/>
  <c r="DB439" i="1" l="1"/>
  <c r="DD439" i="1" s="1"/>
  <c r="DA439" i="1"/>
  <c r="DC439" i="1" s="1"/>
  <c r="G445" i="1"/>
  <c r="I445" i="1" s="1"/>
  <c r="Q445" i="1"/>
  <c r="S445" i="1" s="1"/>
  <c r="AT443" i="1"/>
  <c r="AV443" i="1" s="1"/>
  <c r="AS443" i="1"/>
  <c r="AU443" i="1" s="1"/>
  <c r="AW443" i="1" s="1"/>
  <c r="CL440" i="1"/>
  <c r="CN440" i="1" s="1"/>
  <c r="CP440" i="1" s="1"/>
  <c r="CM440" i="1"/>
  <c r="CO440" i="1" s="1"/>
  <c r="BI442" i="1"/>
  <c r="BK442" i="1" s="1"/>
  <c r="BH442" i="1"/>
  <c r="BJ442" i="1" s="1"/>
  <c r="BL442" i="1" s="1"/>
  <c r="AE444" i="1"/>
  <c r="AG444" i="1" s="1"/>
  <c r="AD444" i="1"/>
  <c r="AF444" i="1" s="1"/>
  <c r="AH444" i="1" s="1"/>
  <c r="BW441" i="1"/>
  <c r="BY441" i="1" s="1"/>
  <c r="CA441" i="1" s="1"/>
  <c r="BX441" i="1"/>
  <c r="BZ441" i="1" s="1"/>
  <c r="BM442" i="1" l="1"/>
  <c r="BO442" i="1" s="1"/>
  <c r="BQ442" i="1" s="1"/>
  <c r="BN442" i="1"/>
  <c r="BP442" i="1" s="1"/>
  <c r="U445" i="1"/>
  <c r="W445" i="1" s="1"/>
  <c r="T445" i="1"/>
  <c r="V445" i="1" s="1"/>
  <c r="X445" i="1" s="1"/>
  <c r="AJ444" i="1"/>
  <c r="AL444" i="1" s="1"/>
  <c r="AI444" i="1"/>
  <c r="AK444" i="1" s="1"/>
  <c r="AM444" i="1" s="1"/>
  <c r="AY443" i="1"/>
  <c r="BA443" i="1" s="1"/>
  <c r="AX443" i="1"/>
  <c r="AZ443" i="1" s="1"/>
  <c r="BB443" i="1" s="1"/>
  <c r="CR440" i="1"/>
  <c r="CT440" i="1" s="1"/>
  <c r="CQ440" i="1"/>
  <c r="CS440" i="1" s="1"/>
  <c r="CU440" i="1" s="1"/>
  <c r="K445" i="1"/>
  <c r="M445" i="1" s="1"/>
  <c r="J445" i="1"/>
  <c r="L445" i="1" s="1"/>
  <c r="N445" i="1" s="1"/>
  <c r="D446" i="1"/>
  <c r="CB441" i="1"/>
  <c r="CD441" i="1" s="1"/>
  <c r="CF441" i="1" s="1"/>
  <c r="CC441" i="1"/>
  <c r="CE441" i="1" s="1"/>
  <c r="CV440" i="1" l="1"/>
  <c r="CX440" i="1" s="1"/>
  <c r="CW440" i="1"/>
  <c r="CY440" i="1" s="1"/>
  <c r="AO444" i="1"/>
  <c r="AQ444" i="1" s="1"/>
  <c r="AN444" i="1"/>
  <c r="AP444" i="1" s="1"/>
  <c r="AR444" i="1" s="1"/>
  <c r="P445" i="1"/>
  <c r="R445" i="1" s="1"/>
  <c r="O445" i="1"/>
  <c r="BC443" i="1"/>
  <c r="BE443" i="1" s="1"/>
  <c r="BG443" i="1" s="1"/>
  <c r="BD443" i="1"/>
  <c r="BF443" i="1" s="1"/>
  <c r="Z445" i="1"/>
  <c r="AB445" i="1" s="1"/>
  <c r="Y445" i="1"/>
  <c r="AA445" i="1" s="1"/>
  <c r="AC445" i="1" s="1"/>
  <c r="CG441" i="1"/>
  <c r="CI441" i="1" s="1"/>
  <c r="CK441" i="1" s="1"/>
  <c r="CH441" i="1"/>
  <c r="CJ441" i="1" s="1"/>
  <c r="E446" i="1"/>
  <c r="F446" i="1"/>
  <c r="H446" i="1" s="1"/>
  <c r="BS442" i="1"/>
  <c r="BU442" i="1" s="1"/>
  <c r="BR442" i="1"/>
  <c r="BT442" i="1" s="1"/>
  <c r="BV442" i="1" s="1"/>
  <c r="CL441" i="1" l="1"/>
  <c r="CN441" i="1" s="1"/>
  <c r="CP441" i="1" s="1"/>
  <c r="CM441" i="1"/>
  <c r="CO441" i="1" s="1"/>
  <c r="BX442" i="1"/>
  <c r="BZ442" i="1" s="1"/>
  <c r="BW442" i="1"/>
  <c r="BY442" i="1" s="1"/>
  <c r="CA442" i="1" s="1"/>
  <c r="BH443" i="1"/>
  <c r="BJ443" i="1" s="1"/>
  <c r="BL443" i="1" s="1"/>
  <c r="BI443" i="1"/>
  <c r="BK443" i="1" s="1"/>
  <c r="AD445" i="1"/>
  <c r="AF445" i="1" s="1"/>
  <c r="AH445" i="1" s="1"/>
  <c r="AE445" i="1"/>
  <c r="AG445" i="1" s="1"/>
  <c r="AT444" i="1"/>
  <c r="AV444" i="1" s="1"/>
  <c r="AS444" i="1"/>
  <c r="AU444" i="1" s="1"/>
  <c r="AW444" i="1" s="1"/>
  <c r="G446" i="1"/>
  <c r="I446" i="1" s="1"/>
  <c r="Q446" i="1"/>
  <c r="S446" i="1" s="1"/>
  <c r="CZ440" i="1"/>
  <c r="K446" i="1" l="1"/>
  <c r="M446" i="1" s="1"/>
  <c r="J446" i="1"/>
  <c r="L446" i="1" s="1"/>
  <c r="N446" i="1" s="1"/>
  <c r="D447" i="1"/>
  <c r="CC442" i="1"/>
  <c r="CE442" i="1" s="1"/>
  <c r="CB442" i="1"/>
  <c r="CD442" i="1" s="1"/>
  <c r="CF442" i="1" s="1"/>
  <c r="T446" i="1"/>
  <c r="V446" i="1" s="1"/>
  <c r="X446" i="1" s="1"/>
  <c r="U446" i="1"/>
  <c r="W446" i="1" s="1"/>
  <c r="BN443" i="1"/>
  <c r="BP443" i="1" s="1"/>
  <c r="BM443" i="1"/>
  <c r="BO443" i="1" s="1"/>
  <c r="BQ443" i="1" s="1"/>
  <c r="AY444" i="1"/>
  <c r="BA444" i="1" s="1"/>
  <c r="AX444" i="1"/>
  <c r="AZ444" i="1" s="1"/>
  <c r="BB444" i="1" s="1"/>
  <c r="AJ445" i="1"/>
  <c r="AL445" i="1" s="1"/>
  <c r="AI445" i="1"/>
  <c r="AK445" i="1" s="1"/>
  <c r="AM445" i="1" s="1"/>
  <c r="DA440" i="1"/>
  <c r="DC440" i="1" s="1"/>
  <c r="DB440" i="1"/>
  <c r="DD440" i="1" s="1"/>
  <c r="CQ441" i="1"/>
  <c r="CS441" i="1" s="1"/>
  <c r="CU441" i="1" s="1"/>
  <c r="CR441" i="1"/>
  <c r="CT441" i="1" s="1"/>
  <c r="CW441" i="1" l="1"/>
  <c r="CY441" i="1" s="1"/>
  <c r="CV441" i="1"/>
  <c r="CX441" i="1" s="1"/>
  <c r="CZ441" i="1" s="1"/>
  <c r="BC444" i="1"/>
  <c r="BE444" i="1" s="1"/>
  <c r="BG444" i="1" s="1"/>
  <c r="BD444" i="1"/>
  <c r="BF444" i="1" s="1"/>
  <c r="Y446" i="1"/>
  <c r="AA446" i="1" s="1"/>
  <c r="AC446" i="1" s="1"/>
  <c r="Z446" i="1"/>
  <c r="AB446" i="1" s="1"/>
  <c r="BS443" i="1"/>
  <c r="BU443" i="1" s="1"/>
  <c r="BR443" i="1"/>
  <c r="BT443" i="1" s="1"/>
  <c r="BV443" i="1" s="1"/>
  <c r="CG442" i="1"/>
  <c r="CI442" i="1" s="1"/>
  <c r="CK442" i="1" s="1"/>
  <c r="CH442" i="1"/>
  <c r="CJ442" i="1" s="1"/>
  <c r="F447" i="1"/>
  <c r="H447" i="1" s="1"/>
  <c r="E447" i="1"/>
  <c r="O446" i="1"/>
  <c r="P446" i="1"/>
  <c r="R446" i="1" s="1"/>
  <c r="AO445" i="1"/>
  <c r="AQ445" i="1" s="1"/>
  <c r="AN445" i="1"/>
  <c r="AP445" i="1" s="1"/>
  <c r="AR445" i="1" s="1"/>
  <c r="AT445" i="1" l="1"/>
  <c r="AV445" i="1" s="1"/>
  <c r="AS445" i="1"/>
  <c r="AU445" i="1" s="1"/>
  <c r="AW445" i="1" s="1"/>
  <c r="CL442" i="1"/>
  <c r="CN442" i="1" s="1"/>
  <c r="CP442" i="1" s="1"/>
  <c r="CM442" i="1"/>
  <c r="CO442" i="1" s="1"/>
  <c r="BW443" i="1"/>
  <c r="BY443" i="1" s="1"/>
  <c r="CA443" i="1" s="1"/>
  <c r="BX443" i="1"/>
  <c r="BZ443" i="1" s="1"/>
  <c r="AE446" i="1"/>
  <c r="AG446" i="1" s="1"/>
  <c r="AD446" i="1"/>
  <c r="AF446" i="1" s="1"/>
  <c r="AH446" i="1" s="1"/>
  <c r="BI444" i="1"/>
  <c r="BK444" i="1" s="1"/>
  <c r="BH444" i="1"/>
  <c r="BJ444" i="1" s="1"/>
  <c r="BL444" i="1" s="1"/>
  <c r="G447" i="1"/>
  <c r="I447" i="1" s="1"/>
  <c r="Q447" i="1"/>
  <c r="S447" i="1" s="1"/>
  <c r="DA441" i="1"/>
  <c r="DC441" i="1" s="1"/>
  <c r="DB441" i="1"/>
  <c r="DD441" i="1" s="1"/>
  <c r="BN444" i="1" l="1"/>
  <c r="BP444" i="1" s="1"/>
  <c r="BM444" i="1"/>
  <c r="BO444" i="1" s="1"/>
  <c r="BQ444" i="1" s="1"/>
  <c r="U447" i="1"/>
  <c r="W447" i="1" s="1"/>
  <c r="T447" i="1"/>
  <c r="V447" i="1" s="1"/>
  <c r="X447" i="1" s="1"/>
  <c r="CC443" i="1"/>
  <c r="CE443" i="1" s="1"/>
  <c r="CB443" i="1"/>
  <c r="CD443" i="1" s="1"/>
  <c r="CF443" i="1" s="1"/>
  <c r="AX445" i="1"/>
  <c r="AZ445" i="1" s="1"/>
  <c r="BB445" i="1" s="1"/>
  <c r="AY445" i="1"/>
  <c r="BA445" i="1" s="1"/>
  <c r="K447" i="1"/>
  <c r="M447" i="1" s="1"/>
  <c r="J447" i="1"/>
  <c r="L447" i="1" s="1"/>
  <c r="N447" i="1" s="1"/>
  <c r="D448" i="1"/>
  <c r="AI446" i="1"/>
  <c r="AK446" i="1" s="1"/>
  <c r="AM446" i="1" s="1"/>
  <c r="AJ446" i="1"/>
  <c r="AL446" i="1" s="1"/>
  <c r="CR442" i="1"/>
  <c r="CT442" i="1" s="1"/>
  <c r="CQ442" i="1"/>
  <c r="CS442" i="1" s="1"/>
  <c r="CU442" i="1" s="1"/>
  <c r="AN446" i="1" l="1"/>
  <c r="AP446" i="1" s="1"/>
  <c r="AR446" i="1" s="1"/>
  <c r="AO446" i="1"/>
  <c r="AQ446" i="1" s="1"/>
  <c r="BC445" i="1"/>
  <c r="BE445" i="1" s="1"/>
  <c r="BG445" i="1" s="1"/>
  <c r="BD445" i="1"/>
  <c r="BF445" i="1" s="1"/>
  <c r="F448" i="1"/>
  <c r="H448" i="1" s="1"/>
  <c r="E448" i="1"/>
  <c r="Z447" i="1"/>
  <c r="AB447" i="1" s="1"/>
  <c r="Y447" i="1"/>
  <c r="AA447" i="1" s="1"/>
  <c r="AC447" i="1" s="1"/>
  <c r="O447" i="1"/>
  <c r="P447" i="1"/>
  <c r="R447" i="1" s="1"/>
  <c r="CH443" i="1"/>
  <c r="CJ443" i="1" s="1"/>
  <c r="CG443" i="1"/>
  <c r="CI443" i="1" s="1"/>
  <c r="CK443" i="1" s="1"/>
  <c r="CV442" i="1"/>
  <c r="CX442" i="1" s="1"/>
  <c r="CW442" i="1"/>
  <c r="CY442" i="1" s="1"/>
  <c r="BS444" i="1"/>
  <c r="BU444" i="1" s="1"/>
  <c r="BR444" i="1"/>
  <c r="BT444" i="1" s="1"/>
  <c r="BV444" i="1" s="1"/>
  <c r="BW444" i="1" l="1"/>
  <c r="BY444" i="1" s="1"/>
  <c r="CA444" i="1" s="1"/>
  <c r="BX444" i="1"/>
  <c r="BZ444" i="1" s="1"/>
  <c r="AE447" i="1"/>
  <c r="AG447" i="1" s="1"/>
  <c r="AD447" i="1"/>
  <c r="AF447" i="1" s="1"/>
  <c r="AH447" i="1" s="1"/>
  <c r="G448" i="1"/>
  <c r="I448" i="1" s="1"/>
  <c r="Q448" i="1"/>
  <c r="S448" i="1" s="1"/>
  <c r="BI445" i="1"/>
  <c r="BK445" i="1" s="1"/>
  <c r="BH445" i="1"/>
  <c r="BJ445" i="1" s="1"/>
  <c r="BL445" i="1" s="1"/>
  <c r="CZ442" i="1"/>
  <c r="CL443" i="1"/>
  <c r="CN443" i="1" s="1"/>
  <c r="CP443" i="1" s="1"/>
  <c r="CM443" i="1"/>
  <c r="CO443" i="1" s="1"/>
  <c r="AT446" i="1"/>
  <c r="AV446" i="1" s="1"/>
  <c r="AS446" i="1"/>
  <c r="AU446" i="1" s="1"/>
  <c r="AW446" i="1" s="1"/>
  <c r="BN445" i="1" l="1"/>
  <c r="BP445" i="1" s="1"/>
  <c r="BM445" i="1"/>
  <c r="BO445" i="1" s="1"/>
  <c r="BQ445" i="1" s="1"/>
  <c r="T448" i="1"/>
  <c r="V448" i="1" s="1"/>
  <c r="X448" i="1" s="1"/>
  <c r="U448" i="1"/>
  <c r="W448" i="1" s="1"/>
  <c r="DA442" i="1"/>
  <c r="DC442" i="1" s="1"/>
  <c r="DB442" i="1"/>
  <c r="DD442" i="1" s="1"/>
  <c r="K448" i="1"/>
  <c r="M448" i="1" s="1"/>
  <c r="J448" i="1"/>
  <c r="L448" i="1" s="1"/>
  <c r="N448" i="1" s="1"/>
  <c r="D449" i="1"/>
  <c r="CQ443" i="1"/>
  <c r="CS443" i="1" s="1"/>
  <c r="CU443" i="1" s="1"/>
  <c r="CR443" i="1"/>
  <c r="CT443" i="1" s="1"/>
  <c r="AI447" i="1"/>
  <c r="AK447" i="1" s="1"/>
  <c r="AM447" i="1" s="1"/>
  <c r="AJ447" i="1"/>
  <c r="AL447" i="1" s="1"/>
  <c r="AX446" i="1"/>
  <c r="AZ446" i="1" s="1"/>
  <c r="BB446" i="1" s="1"/>
  <c r="AY446" i="1"/>
  <c r="BA446" i="1" s="1"/>
  <c r="CC444" i="1"/>
  <c r="CE444" i="1" s="1"/>
  <c r="CB444" i="1"/>
  <c r="CD444" i="1" s="1"/>
  <c r="CF444" i="1" s="1"/>
  <c r="P448" i="1" l="1"/>
  <c r="R448" i="1" s="1"/>
  <c r="O448" i="1"/>
  <c r="F449" i="1"/>
  <c r="H449" i="1" s="1"/>
  <c r="E449" i="1"/>
  <c r="BD446" i="1"/>
  <c r="BF446" i="1" s="1"/>
  <c r="BC446" i="1"/>
  <c r="BE446" i="1" s="1"/>
  <c r="BG446" i="1" s="1"/>
  <c r="CV443" i="1"/>
  <c r="CX443" i="1" s="1"/>
  <c r="CW443" i="1"/>
  <c r="CY443" i="1" s="1"/>
  <c r="CH444" i="1"/>
  <c r="CJ444" i="1" s="1"/>
  <c r="CG444" i="1"/>
  <c r="CI444" i="1" s="1"/>
  <c r="CK444" i="1" s="1"/>
  <c r="Z448" i="1"/>
  <c r="AB448" i="1" s="1"/>
  <c r="Y448" i="1"/>
  <c r="AA448" i="1" s="1"/>
  <c r="AC448" i="1" s="1"/>
  <c r="BR445" i="1"/>
  <c r="BT445" i="1" s="1"/>
  <c r="BV445" i="1" s="1"/>
  <c r="BS445" i="1"/>
  <c r="BU445" i="1" s="1"/>
  <c r="AN447" i="1"/>
  <c r="AP447" i="1" s="1"/>
  <c r="AR447" i="1" s="1"/>
  <c r="AO447" i="1"/>
  <c r="AQ447" i="1" s="1"/>
  <c r="CM444" i="1" l="1"/>
  <c r="CO444" i="1" s="1"/>
  <c r="CL444" i="1"/>
  <c r="CN444" i="1" s="1"/>
  <c r="CP444" i="1" s="1"/>
  <c r="CZ443" i="1"/>
  <c r="AT447" i="1"/>
  <c r="AV447" i="1" s="1"/>
  <c r="AS447" i="1"/>
  <c r="AU447" i="1" s="1"/>
  <c r="AW447" i="1" s="1"/>
  <c r="BI446" i="1"/>
  <c r="BK446" i="1" s="1"/>
  <c r="BH446" i="1"/>
  <c r="BJ446" i="1" s="1"/>
  <c r="BL446" i="1" s="1"/>
  <c r="G449" i="1"/>
  <c r="I449" i="1" s="1"/>
  <c r="Q449" i="1"/>
  <c r="S449" i="1" s="1"/>
  <c r="BW445" i="1"/>
  <c r="BY445" i="1" s="1"/>
  <c r="CA445" i="1" s="1"/>
  <c r="BX445" i="1"/>
  <c r="BZ445" i="1" s="1"/>
  <c r="AD448" i="1"/>
  <c r="AF448" i="1" s="1"/>
  <c r="AH448" i="1" s="1"/>
  <c r="AE448" i="1"/>
  <c r="AG448" i="1" s="1"/>
  <c r="AJ448" i="1" l="1"/>
  <c r="AL448" i="1" s="1"/>
  <c r="AI448" i="1"/>
  <c r="AK448" i="1" s="1"/>
  <c r="AM448" i="1" s="1"/>
  <c r="K449" i="1"/>
  <c r="M449" i="1" s="1"/>
  <c r="J449" i="1"/>
  <c r="L449" i="1" s="1"/>
  <c r="N449" i="1" s="1"/>
  <c r="D450" i="1"/>
  <c r="BN446" i="1"/>
  <c r="BP446" i="1" s="1"/>
  <c r="BM446" i="1"/>
  <c r="BO446" i="1" s="1"/>
  <c r="BQ446" i="1" s="1"/>
  <c r="CC445" i="1"/>
  <c r="CE445" i="1" s="1"/>
  <c r="CB445" i="1"/>
  <c r="CD445" i="1" s="1"/>
  <c r="CF445" i="1" s="1"/>
  <c r="AY447" i="1"/>
  <c r="BA447" i="1" s="1"/>
  <c r="AX447" i="1"/>
  <c r="AZ447" i="1" s="1"/>
  <c r="BB447" i="1" s="1"/>
  <c r="U449" i="1"/>
  <c r="W449" i="1" s="1"/>
  <c r="T449" i="1"/>
  <c r="V449" i="1" s="1"/>
  <c r="X449" i="1" s="1"/>
  <c r="DA443" i="1"/>
  <c r="DC443" i="1" s="1"/>
  <c r="DB443" i="1"/>
  <c r="DD443" i="1" s="1"/>
  <c r="CR444" i="1"/>
  <c r="CT444" i="1" s="1"/>
  <c r="CQ444" i="1"/>
  <c r="CS444" i="1" s="1"/>
  <c r="CU444" i="1" s="1"/>
  <c r="BC447" i="1" l="1"/>
  <c r="BE447" i="1" s="1"/>
  <c r="BG447" i="1" s="1"/>
  <c r="BD447" i="1"/>
  <c r="BF447" i="1" s="1"/>
  <c r="P449" i="1"/>
  <c r="R449" i="1" s="1"/>
  <c r="O449" i="1"/>
  <c r="CH445" i="1"/>
  <c r="CJ445" i="1" s="1"/>
  <c r="CG445" i="1"/>
  <c r="CI445" i="1" s="1"/>
  <c r="CK445" i="1" s="1"/>
  <c r="CW444" i="1"/>
  <c r="CY444" i="1" s="1"/>
  <c r="CV444" i="1"/>
  <c r="CX444" i="1" s="1"/>
  <c r="E450" i="1"/>
  <c r="F450" i="1"/>
  <c r="H450" i="1" s="1"/>
  <c r="BR446" i="1"/>
  <c r="BT446" i="1" s="1"/>
  <c r="BV446" i="1" s="1"/>
  <c r="BS446" i="1"/>
  <c r="BU446" i="1" s="1"/>
  <c r="AN448" i="1"/>
  <c r="AP448" i="1" s="1"/>
  <c r="AR448" i="1" s="1"/>
  <c r="AO448" i="1"/>
  <c r="AQ448" i="1" s="1"/>
  <c r="Z449" i="1"/>
  <c r="AB449" i="1" s="1"/>
  <c r="Y449" i="1"/>
  <c r="AA449" i="1" s="1"/>
  <c r="AC449" i="1" s="1"/>
  <c r="BW446" i="1" l="1"/>
  <c r="BY446" i="1" s="1"/>
  <c r="CA446" i="1" s="1"/>
  <c r="BX446" i="1"/>
  <c r="BZ446" i="1" s="1"/>
  <c r="CZ444" i="1"/>
  <c r="CM445" i="1"/>
  <c r="CO445" i="1" s="1"/>
  <c r="CL445" i="1"/>
  <c r="CN445" i="1" s="1"/>
  <c r="CP445" i="1" s="1"/>
  <c r="Q450" i="1"/>
  <c r="S450" i="1" s="1"/>
  <c r="G450" i="1"/>
  <c r="I450" i="1" s="1"/>
  <c r="AD449" i="1"/>
  <c r="AF449" i="1" s="1"/>
  <c r="AH449" i="1" s="1"/>
  <c r="AE449" i="1"/>
  <c r="AG449" i="1" s="1"/>
  <c r="AT448" i="1"/>
  <c r="AV448" i="1" s="1"/>
  <c r="AS448" i="1"/>
  <c r="AU448" i="1" s="1"/>
  <c r="AW448" i="1" s="1"/>
  <c r="BI447" i="1"/>
  <c r="BK447" i="1" s="1"/>
  <c r="BH447" i="1"/>
  <c r="BJ447" i="1" s="1"/>
  <c r="BL447" i="1" s="1"/>
  <c r="K450" i="1" l="1"/>
  <c r="M450" i="1" s="1"/>
  <c r="J450" i="1"/>
  <c r="L450" i="1" s="1"/>
  <c r="N450" i="1" s="1"/>
  <c r="D451" i="1"/>
  <c r="AY448" i="1"/>
  <c r="BA448" i="1" s="1"/>
  <c r="AX448" i="1"/>
  <c r="AZ448" i="1" s="1"/>
  <c r="BB448" i="1" s="1"/>
  <c r="CQ445" i="1"/>
  <c r="CS445" i="1" s="1"/>
  <c r="CU445" i="1" s="1"/>
  <c r="CR445" i="1"/>
  <c r="CT445" i="1" s="1"/>
  <c r="AI449" i="1"/>
  <c r="AK449" i="1" s="1"/>
  <c r="AM449" i="1" s="1"/>
  <c r="AJ449" i="1"/>
  <c r="AL449" i="1" s="1"/>
  <c r="T450" i="1"/>
  <c r="V450" i="1" s="1"/>
  <c r="X450" i="1" s="1"/>
  <c r="U450" i="1"/>
  <c r="W450" i="1" s="1"/>
  <c r="DA444" i="1"/>
  <c r="DC444" i="1" s="1"/>
  <c r="DB444" i="1"/>
  <c r="DD444" i="1" s="1"/>
  <c r="BN447" i="1"/>
  <c r="BP447" i="1" s="1"/>
  <c r="BM447" i="1"/>
  <c r="BO447" i="1" s="1"/>
  <c r="BQ447" i="1" s="1"/>
  <c r="CC446" i="1"/>
  <c r="CE446" i="1" s="1"/>
  <c r="CB446" i="1"/>
  <c r="CD446" i="1" s="1"/>
  <c r="CF446" i="1" s="1"/>
  <c r="CG446" i="1" l="1"/>
  <c r="CI446" i="1" s="1"/>
  <c r="CK446" i="1" s="1"/>
  <c r="CH446" i="1"/>
  <c r="CJ446" i="1" s="1"/>
  <c r="Y450" i="1"/>
  <c r="AA450" i="1" s="1"/>
  <c r="AC450" i="1" s="1"/>
  <c r="Z450" i="1"/>
  <c r="AB450" i="1" s="1"/>
  <c r="BD448" i="1"/>
  <c r="BF448" i="1" s="1"/>
  <c r="BC448" i="1"/>
  <c r="BE448" i="1" s="1"/>
  <c r="BG448" i="1" s="1"/>
  <c r="AO449" i="1"/>
  <c r="AQ449" i="1" s="1"/>
  <c r="AN449" i="1"/>
  <c r="AP449" i="1" s="1"/>
  <c r="AR449" i="1" s="1"/>
  <c r="CW445" i="1"/>
  <c r="CY445" i="1" s="1"/>
  <c r="CV445" i="1"/>
  <c r="CX445" i="1" s="1"/>
  <c r="CZ445" i="1" s="1"/>
  <c r="BR447" i="1"/>
  <c r="BT447" i="1" s="1"/>
  <c r="BV447" i="1" s="1"/>
  <c r="BS447" i="1"/>
  <c r="BU447" i="1" s="1"/>
  <c r="E451" i="1"/>
  <c r="F451" i="1"/>
  <c r="H451" i="1" s="1"/>
  <c r="O450" i="1"/>
  <c r="P450" i="1"/>
  <c r="R450" i="1" s="1"/>
  <c r="AS449" i="1" l="1"/>
  <c r="AU449" i="1" s="1"/>
  <c r="AW449" i="1" s="1"/>
  <c r="AT449" i="1"/>
  <c r="AV449" i="1" s="1"/>
  <c r="BX447" i="1"/>
  <c r="BZ447" i="1" s="1"/>
  <c r="BW447" i="1"/>
  <c r="BY447" i="1" s="1"/>
  <c r="CA447" i="1" s="1"/>
  <c r="AD450" i="1"/>
  <c r="AF450" i="1" s="1"/>
  <c r="AH450" i="1" s="1"/>
  <c r="AE450" i="1"/>
  <c r="AG450" i="1" s="1"/>
  <c r="DA445" i="1"/>
  <c r="DC445" i="1" s="1"/>
  <c r="DB445" i="1"/>
  <c r="DD445" i="1" s="1"/>
  <c r="BI448" i="1"/>
  <c r="BK448" i="1" s="1"/>
  <c r="BH448" i="1"/>
  <c r="BJ448" i="1" s="1"/>
  <c r="BL448" i="1" s="1"/>
  <c r="G451" i="1"/>
  <c r="I451" i="1" s="1"/>
  <c r="Q451" i="1"/>
  <c r="S451" i="1" s="1"/>
  <c r="CM446" i="1"/>
  <c r="CO446" i="1" s="1"/>
  <c r="CL446" i="1"/>
  <c r="CN446" i="1" s="1"/>
  <c r="CP446" i="1" s="1"/>
  <c r="K451" i="1" l="1"/>
  <c r="M451" i="1" s="1"/>
  <c r="J451" i="1"/>
  <c r="L451" i="1" s="1"/>
  <c r="N451" i="1" s="1"/>
  <c r="D452" i="1"/>
  <c r="AI450" i="1"/>
  <c r="AK450" i="1" s="1"/>
  <c r="AM450" i="1" s="1"/>
  <c r="AJ450" i="1"/>
  <c r="AL450" i="1" s="1"/>
  <c r="BN448" i="1"/>
  <c r="BP448" i="1" s="1"/>
  <c r="BM448" i="1"/>
  <c r="BO448" i="1" s="1"/>
  <c r="BQ448" i="1" s="1"/>
  <c r="CQ446" i="1"/>
  <c r="CS446" i="1" s="1"/>
  <c r="CU446" i="1" s="1"/>
  <c r="CR446" i="1"/>
  <c r="CT446" i="1" s="1"/>
  <c r="CC447" i="1"/>
  <c r="CE447" i="1" s="1"/>
  <c r="CB447" i="1"/>
  <c r="CD447" i="1" s="1"/>
  <c r="CF447" i="1" s="1"/>
  <c r="U451" i="1"/>
  <c r="W451" i="1" s="1"/>
  <c r="T451" i="1"/>
  <c r="V451" i="1" s="1"/>
  <c r="X451" i="1" s="1"/>
  <c r="AX449" i="1"/>
  <c r="AZ449" i="1" s="1"/>
  <c r="BB449" i="1" s="1"/>
  <c r="AY449" i="1"/>
  <c r="BA449" i="1" s="1"/>
  <c r="CG447" i="1" l="1"/>
  <c r="CI447" i="1" s="1"/>
  <c r="CK447" i="1" s="1"/>
  <c r="CH447" i="1"/>
  <c r="CJ447" i="1" s="1"/>
  <c r="CW446" i="1"/>
  <c r="CY446" i="1" s="1"/>
  <c r="CV446" i="1"/>
  <c r="CX446" i="1" s="1"/>
  <c r="CZ446" i="1" s="1"/>
  <c r="BS448" i="1"/>
  <c r="BU448" i="1" s="1"/>
  <c r="BR448" i="1"/>
  <c r="BT448" i="1" s="1"/>
  <c r="BV448" i="1" s="1"/>
  <c r="AO450" i="1"/>
  <c r="AQ450" i="1" s="1"/>
  <c r="AN450" i="1"/>
  <c r="AP450" i="1" s="1"/>
  <c r="AR450" i="1" s="1"/>
  <c r="E452" i="1"/>
  <c r="F452" i="1"/>
  <c r="H452" i="1" s="1"/>
  <c r="BC449" i="1"/>
  <c r="BE449" i="1" s="1"/>
  <c r="BG449" i="1" s="1"/>
  <c r="BD449" i="1"/>
  <c r="BF449" i="1" s="1"/>
  <c r="O451" i="1"/>
  <c r="P451" i="1"/>
  <c r="R451" i="1" s="1"/>
  <c r="Y451" i="1"/>
  <c r="AA451" i="1" s="1"/>
  <c r="AC451" i="1" s="1"/>
  <c r="Z451" i="1"/>
  <c r="AB451" i="1" s="1"/>
  <c r="DA446" i="1" l="1"/>
  <c r="DC446" i="1" s="1"/>
  <c r="DB446" i="1"/>
  <c r="DD446" i="1" s="1"/>
  <c r="BH449" i="1"/>
  <c r="BJ449" i="1" s="1"/>
  <c r="BL449" i="1" s="1"/>
  <c r="BI449" i="1"/>
  <c r="BK449" i="1" s="1"/>
  <c r="AS450" i="1"/>
  <c r="AU450" i="1" s="1"/>
  <c r="AW450" i="1" s="1"/>
  <c r="AT450" i="1"/>
  <c r="AV450" i="1" s="1"/>
  <c r="AE451" i="1"/>
  <c r="AG451" i="1" s="1"/>
  <c r="AD451" i="1"/>
  <c r="AF451" i="1" s="1"/>
  <c r="AH451" i="1" s="1"/>
  <c r="G452" i="1"/>
  <c r="I452" i="1" s="1"/>
  <c r="Q452" i="1"/>
  <c r="S452" i="1" s="1"/>
  <c r="BW448" i="1"/>
  <c r="BY448" i="1" s="1"/>
  <c r="CA448" i="1" s="1"/>
  <c r="BX448" i="1"/>
  <c r="BZ448" i="1" s="1"/>
  <c r="CM447" i="1"/>
  <c r="CO447" i="1" s="1"/>
  <c r="CL447" i="1"/>
  <c r="CN447" i="1" s="1"/>
  <c r="CP447" i="1" s="1"/>
  <c r="CC448" i="1" l="1"/>
  <c r="CE448" i="1" s="1"/>
  <c r="CB448" i="1"/>
  <c r="CD448" i="1" s="1"/>
  <c r="CF448" i="1" s="1"/>
  <c r="K452" i="1"/>
  <c r="M452" i="1" s="1"/>
  <c r="J452" i="1"/>
  <c r="L452" i="1" s="1"/>
  <c r="N452" i="1" s="1"/>
  <c r="D453" i="1"/>
  <c r="U452" i="1"/>
  <c r="W452" i="1" s="1"/>
  <c r="T452" i="1"/>
  <c r="V452" i="1" s="1"/>
  <c r="X452" i="1" s="1"/>
  <c r="BM449" i="1"/>
  <c r="BO449" i="1" s="1"/>
  <c r="BQ449" i="1" s="1"/>
  <c r="BN449" i="1"/>
  <c r="BP449" i="1" s="1"/>
  <c r="AJ451" i="1"/>
  <c r="AL451" i="1" s="1"/>
  <c r="AI451" i="1"/>
  <c r="AK451" i="1" s="1"/>
  <c r="AM451" i="1" s="1"/>
  <c r="AY450" i="1"/>
  <c r="BA450" i="1" s="1"/>
  <c r="AX450" i="1"/>
  <c r="AZ450" i="1" s="1"/>
  <c r="BB450" i="1" s="1"/>
  <c r="CQ447" i="1"/>
  <c r="CS447" i="1" s="1"/>
  <c r="CU447" i="1" s="1"/>
  <c r="CR447" i="1"/>
  <c r="CT447" i="1" s="1"/>
  <c r="Y452" i="1" l="1"/>
  <c r="AA452" i="1" s="1"/>
  <c r="AC452" i="1" s="1"/>
  <c r="Z452" i="1"/>
  <c r="AB452" i="1" s="1"/>
  <c r="AO451" i="1"/>
  <c r="AQ451" i="1" s="1"/>
  <c r="AN451" i="1"/>
  <c r="AP451" i="1" s="1"/>
  <c r="AR451" i="1" s="1"/>
  <c r="E453" i="1"/>
  <c r="F453" i="1"/>
  <c r="H453" i="1" s="1"/>
  <c r="CG448" i="1"/>
  <c r="CI448" i="1" s="1"/>
  <c r="CK448" i="1" s="1"/>
  <c r="CH448" i="1"/>
  <c r="CJ448" i="1" s="1"/>
  <c r="BR449" i="1"/>
  <c r="BT449" i="1" s="1"/>
  <c r="BV449" i="1" s="1"/>
  <c r="BS449" i="1"/>
  <c r="BU449" i="1" s="1"/>
  <c r="O452" i="1"/>
  <c r="P452" i="1"/>
  <c r="R452" i="1" s="1"/>
  <c r="CV447" i="1"/>
  <c r="CX447" i="1" s="1"/>
  <c r="CW447" i="1"/>
  <c r="CY447" i="1" s="1"/>
  <c r="BC450" i="1"/>
  <c r="BE450" i="1" s="1"/>
  <c r="BG450" i="1" s="1"/>
  <c r="BD450" i="1"/>
  <c r="BF450" i="1" s="1"/>
  <c r="CM448" i="1" l="1"/>
  <c r="CO448" i="1" s="1"/>
  <c r="CL448" i="1"/>
  <c r="CN448" i="1" s="1"/>
  <c r="CP448" i="1" s="1"/>
  <c r="Q453" i="1"/>
  <c r="S453" i="1" s="1"/>
  <c r="G453" i="1"/>
  <c r="I453" i="1" s="1"/>
  <c r="BI450" i="1"/>
  <c r="BK450" i="1" s="1"/>
  <c r="BH450" i="1"/>
  <c r="BJ450" i="1" s="1"/>
  <c r="BL450" i="1" s="1"/>
  <c r="CZ447" i="1"/>
  <c r="BX449" i="1"/>
  <c r="BZ449" i="1" s="1"/>
  <c r="BW449" i="1"/>
  <c r="BY449" i="1" s="1"/>
  <c r="CA449" i="1" s="1"/>
  <c r="AT451" i="1"/>
  <c r="AV451" i="1" s="1"/>
  <c r="AS451" i="1"/>
  <c r="AU451" i="1" s="1"/>
  <c r="AW451" i="1" s="1"/>
  <c r="AE452" i="1"/>
  <c r="AG452" i="1" s="1"/>
  <c r="AD452" i="1"/>
  <c r="AF452" i="1" s="1"/>
  <c r="AH452" i="1" s="1"/>
  <c r="CC449" i="1" l="1"/>
  <c r="CE449" i="1" s="1"/>
  <c r="CB449" i="1"/>
  <c r="CD449" i="1" s="1"/>
  <c r="CF449" i="1" s="1"/>
  <c r="DA447" i="1"/>
  <c r="DC447" i="1" s="1"/>
  <c r="DB447" i="1"/>
  <c r="DD447" i="1" s="1"/>
  <c r="K453" i="1"/>
  <c r="M453" i="1" s="1"/>
  <c r="J453" i="1"/>
  <c r="L453" i="1" s="1"/>
  <c r="N453" i="1" s="1"/>
  <c r="D454" i="1"/>
  <c r="BM450" i="1"/>
  <c r="BO450" i="1" s="1"/>
  <c r="BQ450" i="1" s="1"/>
  <c r="BN450" i="1"/>
  <c r="BP450" i="1" s="1"/>
  <c r="CR448" i="1"/>
  <c r="CT448" i="1" s="1"/>
  <c r="CQ448" i="1"/>
  <c r="CS448" i="1" s="1"/>
  <c r="CU448" i="1" s="1"/>
  <c r="AY451" i="1"/>
  <c r="BA451" i="1" s="1"/>
  <c r="AX451" i="1"/>
  <c r="AZ451" i="1" s="1"/>
  <c r="BB451" i="1" s="1"/>
  <c r="U453" i="1"/>
  <c r="W453" i="1" s="1"/>
  <c r="T453" i="1"/>
  <c r="V453" i="1" s="1"/>
  <c r="X453" i="1" s="1"/>
  <c r="AI452" i="1"/>
  <c r="AK452" i="1" s="1"/>
  <c r="AM452" i="1" s="1"/>
  <c r="AJ452" i="1"/>
  <c r="AL452" i="1" s="1"/>
  <c r="CV448" i="1" l="1"/>
  <c r="CX448" i="1" s="1"/>
  <c r="CW448" i="1"/>
  <c r="CY448" i="1" s="1"/>
  <c r="F454" i="1"/>
  <c r="H454" i="1" s="1"/>
  <c r="E454" i="1"/>
  <c r="BR450" i="1"/>
  <c r="BT450" i="1" s="1"/>
  <c r="BV450" i="1" s="1"/>
  <c r="BS450" i="1"/>
  <c r="BU450" i="1" s="1"/>
  <c r="Z453" i="1"/>
  <c r="AB453" i="1" s="1"/>
  <c r="Y453" i="1"/>
  <c r="AA453" i="1" s="1"/>
  <c r="AC453" i="1" s="1"/>
  <c r="CH449" i="1"/>
  <c r="CJ449" i="1" s="1"/>
  <c r="CG449" i="1"/>
  <c r="CI449" i="1" s="1"/>
  <c r="CK449" i="1" s="1"/>
  <c r="P453" i="1"/>
  <c r="R453" i="1" s="1"/>
  <c r="O453" i="1"/>
  <c r="AN452" i="1"/>
  <c r="AP452" i="1" s="1"/>
  <c r="AR452" i="1" s="1"/>
  <c r="AO452" i="1"/>
  <c r="AQ452" i="1" s="1"/>
  <c r="BD451" i="1"/>
  <c r="BF451" i="1" s="1"/>
  <c r="BC451" i="1"/>
  <c r="BE451" i="1" s="1"/>
  <c r="BG451" i="1" s="1"/>
  <c r="AE453" i="1" l="1"/>
  <c r="AG453" i="1" s="1"/>
  <c r="AD453" i="1"/>
  <c r="AF453" i="1" s="1"/>
  <c r="AH453" i="1" s="1"/>
  <c r="BH451" i="1"/>
  <c r="BJ451" i="1" s="1"/>
  <c r="BL451" i="1" s="1"/>
  <c r="BI451" i="1"/>
  <c r="BK451" i="1" s="1"/>
  <c r="G454" i="1"/>
  <c r="I454" i="1" s="1"/>
  <c r="Q454" i="1"/>
  <c r="S454" i="1" s="1"/>
  <c r="CM449" i="1"/>
  <c r="CO449" i="1" s="1"/>
  <c r="CL449" i="1"/>
  <c r="CN449" i="1" s="1"/>
  <c r="CP449" i="1" s="1"/>
  <c r="BX450" i="1"/>
  <c r="BZ450" i="1" s="1"/>
  <c r="BW450" i="1"/>
  <c r="BY450" i="1" s="1"/>
  <c r="CA450" i="1" s="1"/>
  <c r="AS452" i="1"/>
  <c r="AU452" i="1" s="1"/>
  <c r="AW452" i="1" s="1"/>
  <c r="AT452" i="1"/>
  <c r="AV452" i="1" s="1"/>
  <c r="CZ448" i="1"/>
  <c r="CR449" i="1" l="1"/>
  <c r="CT449" i="1" s="1"/>
  <c r="CQ449" i="1"/>
  <c r="CS449" i="1" s="1"/>
  <c r="CU449" i="1" s="1"/>
  <c r="AY452" i="1"/>
  <c r="BA452" i="1" s="1"/>
  <c r="AX452" i="1"/>
  <c r="AZ452" i="1" s="1"/>
  <c r="BB452" i="1" s="1"/>
  <c r="CC450" i="1"/>
  <c r="CE450" i="1" s="1"/>
  <c r="CB450" i="1"/>
  <c r="CD450" i="1" s="1"/>
  <c r="CF450" i="1" s="1"/>
  <c r="K454" i="1"/>
  <c r="M454" i="1" s="1"/>
  <c r="J454" i="1"/>
  <c r="L454" i="1" s="1"/>
  <c r="N454" i="1" s="1"/>
  <c r="D455" i="1"/>
  <c r="AI453" i="1"/>
  <c r="AK453" i="1" s="1"/>
  <c r="AM453" i="1" s="1"/>
  <c r="AJ453" i="1"/>
  <c r="AL453" i="1" s="1"/>
  <c r="U454" i="1"/>
  <c r="W454" i="1" s="1"/>
  <c r="T454" i="1"/>
  <c r="V454" i="1" s="1"/>
  <c r="X454" i="1" s="1"/>
  <c r="BM451" i="1"/>
  <c r="BO451" i="1" s="1"/>
  <c r="BQ451" i="1" s="1"/>
  <c r="BN451" i="1"/>
  <c r="BP451" i="1" s="1"/>
  <c r="DA448" i="1"/>
  <c r="DC448" i="1" s="1"/>
  <c r="DB448" i="1"/>
  <c r="DD448" i="1" s="1"/>
  <c r="E455" i="1" l="1"/>
  <c r="F455" i="1"/>
  <c r="H455" i="1" s="1"/>
  <c r="O454" i="1"/>
  <c r="P454" i="1"/>
  <c r="R454" i="1" s="1"/>
  <c r="CW449" i="1"/>
  <c r="CY449" i="1" s="1"/>
  <c r="CV449" i="1"/>
  <c r="CX449" i="1" s="1"/>
  <c r="CZ449" i="1" s="1"/>
  <c r="AO453" i="1"/>
  <c r="AQ453" i="1" s="1"/>
  <c r="AN453" i="1"/>
  <c r="AP453" i="1" s="1"/>
  <c r="AR453" i="1" s="1"/>
  <c r="CG450" i="1"/>
  <c r="CI450" i="1" s="1"/>
  <c r="CK450" i="1" s="1"/>
  <c r="CH450" i="1"/>
  <c r="CJ450" i="1" s="1"/>
  <c r="BD452" i="1"/>
  <c r="BF452" i="1" s="1"/>
  <c r="BC452" i="1"/>
  <c r="BE452" i="1" s="1"/>
  <c r="BG452" i="1" s="1"/>
  <c r="BS451" i="1"/>
  <c r="BU451" i="1" s="1"/>
  <c r="BR451" i="1"/>
  <c r="BT451" i="1" s="1"/>
  <c r="BV451" i="1" s="1"/>
  <c r="Y454" i="1"/>
  <c r="AA454" i="1" s="1"/>
  <c r="AC454" i="1" s="1"/>
  <c r="Z454" i="1"/>
  <c r="AB454" i="1" s="1"/>
  <c r="DA449" i="1" l="1"/>
  <c r="DC449" i="1" s="1"/>
  <c r="DB449" i="1"/>
  <c r="DD449" i="1" s="1"/>
  <c r="CM450" i="1"/>
  <c r="CO450" i="1" s="1"/>
  <c r="CL450" i="1"/>
  <c r="CN450" i="1" s="1"/>
  <c r="CP450" i="1" s="1"/>
  <c r="BW451" i="1"/>
  <c r="BY451" i="1" s="1"/>
  <c r="CA451" i="1" s="1"/>
  <c r="BX451" i="1"/>
  <c r="BZ451" i="1" s="1"/>
  <c r="AS453" i="1"/>
  <c r="AU453" i="1" s="1"/>
  <c r="AW453" i="1" s="1"/>
  <c r="AT453" i="1"/>
  <c r="AV453" i="1" s="1"/>
  <c r="AE454" i="1"/>
  <c r="AG454" i="1" s="1"/>
  <c r="AD454" i="1"/>
  <c r="AF454" i="1" s="1"/>
  <c r="AH454" i="1" s="1"/>
  <c r="BH452" i="1"/>
  <c r="BJ452" i="1" s="1"/>
  <c r="BL452" i="1" s="1"/>
  <c r="BI452" i="1"/>
  <c r="BK452" i="1" s="1"/>
  <c r="Q455" i="1"/>
  <c r="S455" i="1" s="1"/>
  <c r="G455" i="1"/>
  <c r="I455" i="1" s="1"/>
  <c r="BM452" i="1" l="1"/>
  <c r="BO452" i="1" s="1"/>
  <c r="BQ452" i="1" s="1"/>
  <c r="BN452" i="1"/>
  <c r="BP452" i="1" s="1"/>
  <c r="CR450" i="1"/>
  <c r="CT450" i="1" s="1"/>
  <c r="CQ450" i="1"/>
  <c r="CS450" i="1" s="1"/>
  <c r="CU450" i="1" s="1"/>
  <c r="AY453" i="1"/>
  <c r="BA453" i="1" s="1"/>
  <c r="AX453" i="1"/>
  <c r="AZ453" i="1" s="1"/>
  <c r="BB453" i="1" s="1"/>
  <c r="K455" i="1"/>
  <c r="M455" i="1" s="1"/>
  <c r="J455" i="1"/>
  <c r="L455" i="1" s="1"/>
  <c r="N455" i="1" s="1"/>
  <c r="D456" i="1"/>
  <c r="AJ454" i="1"/>
  <c r="AL454" i="1" s="1"/>
  <c r="AI454" i="1"/>
  <c r="AK454" i="1" s="1"/>
  <c r="AM454" i="1" s="1"/>
  <c r="CB451" i="1"/>
  <c r="CD451" i="1" s="1"/>
  <c r="CF451" i="1" s="1"/>
  <c r="CC451" i="1"/>
  <c r="CE451" i="1" s="1"/>
  <c r="U455" i="1"/>
  <c r="W455" i="1" s="1"/>
  <c r="T455" i="1"/>
  <c r="V455" i="1" s="1"/>
  <c r="X455" i="1" s="1"/>
  <c r="O455" i="1" l="1"/>
  <c r="P455" i="1"/>
  <c r="R455" i="1" s="1"/>
  <c r="AO454" i="1"/>
  <c r="AQ454" i="1" s="1"/>
  <c r="AN454" i="1"/>
  <c r="AP454" i="1" s="1"/>
  <c r="AR454" i="1" s="1"/>
  <c r="Y455" i="1"/>
  <c r="AA455" i="1" s="1"/>
  <c r="AC455" i="1" s="1"/>
  <c r="Z455" i="1"/>
  <c r="AB455" i="1" s="1"/>
  <c r="CG451" i="1"/>
  <c r="CI451" i="1" s="1"/>
  <c r="CK451" i="1" s="1"/>
  <c r="CH451" i="1"/>
  <c r="CJ451" i="1" s="1"/>
  <c r="E456" i="1"/>
  <c r="F456" i="1"/>
  <c r="H456" i="1" s="1"/>
  <c r="CV450" i="1"/>
  <c r="CX450" i="1" s="1"/>
  <c r="CZ450" i="1" s="1"/>
  <c r="CW450" i="1"/>
  <c r="CY450" i="1" s="1"/>
  <c r="BC453" i="1"/>
  <c r="BE453" i="1" s="1"/>
  <c r="BG453" i="1" s="1"/>
  <c r="BD453" i="1"/>
  <c r="BF453" i="1" s="1"/>
  <c r="BR452" i="1"/>
  <c r="BT452" i="1" s="1"/>
  <c r="BV452" i="1" s="1"/>
  <c r="BS452" i="1"/>
  <c r="BU452" i="1" s="1"/>
  <c r="DA450" i="1" l="1"/>
  <c r="DC450" i="1" s="1"/>
  <c r="DB450" i="1"/>
  <c r="DD450" i="1" s="1"/>
  <c r="G456" i="1"/>
  <c r="I456" i="1" s="1"/>
  <c r="Q456" i="1"/>
  <c r="S456" i="1" s="1"/>
  <c r="AS454" i="1"/>
  <c r="AU454" i="1" s="1"/>
  <c r="AW454" i="1" s="1"/>
  <c r="AT454" i="1"/>
  <c r="AV454" i="1" s="1"/>
  <c r="AE455" i="1"/>
  <c r="AG455" i="1" s="1"/>
  <c r="AD455" i="1"/>
  <c r="AF455" i="1" s="1"/>
  <c r="AH455" i="1" s="1"/>
  <c r="CL451" i="1"/>
  <c r="CN451" i="1" s="1"/>
  <c r="CP451" i="1" s="1"/>
  <c r="CM451" i="1"/>
  <c r="CO451" i="1" s="1"/>
  <c r="BX452" i="1"/>
  <c r="BZ452" i="1" s="1"/>
  <c r="BW452" i="1"/>
  <c r="BY452" i="1" s="1"/>
  <c r="CA452" i="1" s="1"/>
  <c r="BI453" i="1"/>
  <c r="BK453" i="1" s="1"/>
  <c r="BH453" i="1"/>
  <c r="BJ453" i="1" s="1"/>
  <c r="BL453" i="1" s="1"/>
  <c r="CR451" i="1" l="1"/>
  <c r="CT451" i="1" s="1"/>
  <c r="CQ451" i="1"/>
  <c r="CS451" i="1" s="1"/>
  <c r="CU451" i="1" s="1"/>
  <c r="U456" i="1"/>
  <c r="W456" i="1" s="1"/>
  <c r="T456" i="1"/>
  <c r="V456" i="1" s="1"/>
  <c r="X456" i="1" s="1"/>
  <c r="AJ455" i="1"/>
  <c r="AL455" i="1" s="1"/>
  <c r="AI455" i="1"/>
  <c r="AK455" i="1" s="1"/>
  <c r="AM455" i="1" s="1"/>
  <c r="K456" i="1"/>
  <c r="M456" i="1" s="1"/>
  <c r="J456" i="1"/>
  <c r="L456" i="1" s="1"/>
  <c r="N456" i="1" s="1"/>
  <c r="D457" i="1"/>
  <c r="AY454" i="1"/>
  <c r="BA454" i="1" s="1"/>
  <c r="AX454" i="1"/>
  <c r="AZ454" i="1" s="1"/>
  <c r="BB454" i="1" s="1"/>
  <c r="BM453" i="1"/>
  <c r="BO453" i="1" s="1"/>
  <c r="BQ453" i="1" s="1"/>
  <c r="BN453" i="1"/>
  <c r="BP453" i="1" s="1"/>
  <c r="CC452" i="1"/>
  <c r="CE452" i="1" s="1"/>
  <c r="CB452" i="1"/>
  <c r="CD452" i="1" s="1"/>
  <c r="CF452" i="1" s="1"/>
  <c r="P456" i="1" l="1"/>
  <c r="R456" i="1" s="1"/>
  <c r="O456" i="1"/>
  <c r="CH452" i="1"/>
  <c r="CJ452" i="1" s="1"/>
  <c r="CG452" i="1"/>
  <c r="CI452" i="1" s="1"/>
  <c r="CK452" i="1" s="1"/>
  <c r="BR453" i="1"/>
  <c r="BT453" i="1" s="1"/>
  <c r="BV453" i="1" s="1"/>
  <c r="BS453" i="1"/>
  <c r="BU453" i="1" s="1"/>
  <c r="E457" i="1"/>
  <c r="F457" i="1"/>
  <c r="H457" i="1" s="1"/>
  <c r="CW451" i="1"/>
  <c r="CY451" i="1" s="1"/>
  <c r="CV451" i="1"/>
  <c r="CX451" i="1" s="1"/>
  <c r="CZ451" i="1" s="1"/>
  <c r="BD454" i="1"/>
  <c r="BF454" i="1" s="1"/>
  <c r="BC454" i="1"/>
  <c r="BE454" i="1" s="1"/>
  <c r="BG454" i="1" s="1"/>
  <c r="AN455" i="1"/>
  <c r="AP455" i="1" s="1"/>
  <c r="AR455" i="1" s="1"/>
  <c r="AO455" i="1"/>
  <c r="AQ455" i="1" s="1"/>
  <c r="Z456" i="1"/>
  <c r="AB456" i="1" s="1"/>
  <c r="Y456" i="1"/>
  <c r="AA456" i="1" s="1"/>
  <c r="AC456" i="1" s="1"/>
  <c r="DA451" i="1" l="1"/>
  <c r="DC451" i="1" s="1"/>
  <c r="DB451" i="1"/>
  <c r="DD451" i="1" s="1"/>
  <c r="G457" i="1"/>
  <c r="I457" i="1" s="1"/>
  <c r="Q457" i="1"/>
  <c r="S457" i="1" s="1"/>
  <c r="CL452" i="1"/>
  <c r="CN452" i="1" s="1"/>
  <c r="CP452" i="1" s="1"/>
  <c r="CM452" i="1"/>
  <c r="CO452" i="1" s="1"/>
  <c r="AE456" i="1"/>
  <c r="AG456" i="1" s="1"/>
  <c r="AD456" i="1"/>
  <c r="AF456" i="1" s="1"/>
  <c r="AH456" i="1" s="1"/>
  <c r="AS455" i="1"/>
  <c r="AU455" i="1" s="1"/>
  <c r="AW455" i="1" s="1"/>
  <c r="AT455" i="1"/>
  <c r="AV455" i="1" s="1"/>
  <c r="BW453" i="1"/>
  <c r="BY453" i="1" s="1"/>
  <c r="CA453" i="1" s="1"/>
  <c r="BX453" i="1"/>
  <c r="BZ453" i="1" s="1"/>
  <c r="BI454" i="1"/>
  <c r="BK454" i="1" s="1"/>
  <c r="BH454" i="1"/>
  <c r="BJ454" i="1" s="1"/>
  <c r="BL454" i="1" s="1"/>
  <c r="AJ456" i="1" l="1"/>
  <c r="AL456" i="1" s="1"/>
  <c r="AI456" i="1"/>
  <c r="AK456" i="1" s="1"/>
  <c r="AM456" i="1" s="1"/>
  <c r="K457" i="1"/>
  <c r="M457" i="1" s="1"/>
  <c r="J457" i="1"/>
  <c r="L457" i="1" s="1"/>
  <c r="N457" i="1" s="1"/>
  <c r="D458" i="1"/>
  <c r="CC453" i="1"/>
  <c r="CE453" i="1" s="1"/>
  <c r="CB453" i="1"/>
  <c r="CD453" i="1" s="1"/>
  <c r="CF453" i="1" s="1"/>
  <c r="T457" i="1"/>
  <c r="V457" i="1" s="1"/>
  <c r="X457" i="1" s="1"/>
  <c r="U457" i="1"/>
  <c r="W457" i="1" s="1"/>
  <c r="AX455" i="1"/>
  <c r="AZ455" i="1" s="1"/>
  <c r="BB455" i="1" s="1"/>
  <c r="AY455" i="1"/>
  <c r="BA455" i="1" s="1"/>
  <c r="CR452" i="1"/>
  <c r="CT452" i="1" s="1"/>
  <c r="CQ452" i="1"/>
  <c r="CS452" i="1" s="1"/>
  <c r="CU452" i="1" s="1"/>
  <c r="BM454" i="1"/>
  <c r="BO454" i="1" s="1"/>
  <c r="BQ454" i="1" s="1"/>
  <c r="BN454" i="1"/>
  <c r="BP454" i="1" s="1"/>
  <c r="Z457" i="1" l="1"/>
  <c r="AB457" i="1" s="1"/>
  <c r="Y457" i="1"/>
  <c r="AA457" i="1" s="1"/>
  <c r="AC457" i="1" s="1"/>
  <c r="BD455" i="1"/>
  <c r="BF455" i="1" s="1"/>
  <c r="BC455" i="1"/>
  <c r="BE455" i="1" s="1"/>
  <c r="BG455" i="1" s="1"/>
  <c r="O457" i="1"/>
  <c r="P457" i="1"/>
  <c r="R457" i="1" s="1"/>
  <c r="AN456" i="1"/>
  <c r="AP456" i="1" s="1"/>
  <c r="AR456" i="1" s="1"/>
  <c r="AO456" i="1"/>
  <c r="AQ456" i="1" s="1"/>
  <c r="CH453" i="1"/>
  <c r="CJ453" i="1" s="1"/>
  <c r="CG453" i="1"/>
  <c r="CI453" i="1" s="1"/>
  <c r="CK453" i="1" s="1"/>
  <c r="F458" i="1"/>
  <c r="H458" i="1" s="1"/>
  <c r="E458" i="1"/>
  <c r="BS454" i="1"/>
  <c r="BU454" i="1" s="1"/>
  <c r="BR454" i="1"/>
  <c r="BT454" i="1" s="1"/>
  <c r="BV454" i="1" s="1"/>
  <c r="CV452" i="1"/>
  <c r="CX452" i="1" s="1"/>
  <c r="CW452" i="1"/>
  <c r="CY452" i="1" s="1"/>
  <c r="CL453" i="1" l="1"/>
  <c r="CN453" i="1" s="1"/>
  <c r="CP453" i="1" s="1"/>
  <c r="CM453" i="1"/>
  <c r="CO453" i="1" s="1"/>
  <c r="BI455" i="1"/>
  <c r="BK455" i="1" s="1"/>
  <c r="BH455" i="1"/>
  <c r="BJ455" i="1" s="1"/>
  <c r="BL455" i="1" s="1"/>
  <c r="CZ452" i="1"/>
  <c r="AE457" i="1"/>
  <c r="AG457" i="1" s="1"/>
  <c r="AD457" i="1"/>
  <c r="AF457" i="1" s="1"/>
  <c r="AH457" i="1" s="1"/>
  <c r="Q458" i="1"/>
  <c r="S458" i="1" s="1"/>
  <c r="G458" i="1"/>
  <c r="I458" i="1" s="1"/>
  <c r="AS456" i="1"/>
  <c r="AU456" i="1" s="1"/>
  <c r="AW456" i="1" s="1"/>
  <c r="AT456" i="1"/>
  <c r="AV456" i="1" s="1"/>
  <c r="BW454" i="1"/>
  <c r="BY454" i="1" s="1"/>
  <c r="CA454" i="1" s="1"/>
  <c r="BX454" i="1"/>
  <c r="BZ454" i="1" s="1"/>
  <c r="K458" i="1" l="1"/>
  <c r="M458" i="1" s="1"/>
  <c r="J458" i="1"/>
  <c r="L458" i="1" s="1"/>
  <c r="N458" i="1" s="1"/>
  <c r="D459" i="1"/>
  <c r="CB454" i="1"/>
  <c r="CD454" i="1" s="1"/>
  <c r="CF454" i="1" s="1"/>
  <c r="CC454" i="1"/>
  <c r="CE454" i="1" s="1"/>
  <c r="DA452" i="1"/>
  <c r="DC452" i="1" s="1"/>
  <c r="DB452" i="1"/>
  <c r="DD452" i="1" s="1"/>
  <c r="U458" i="1"/>
  <c r="W458" i="1" s="1"/>
  <c r="T458" i="1"/>
  <c r="V458" i="1" s="1"/>
  <c r="X458" i="1" s="1"/>
  <c r="BM455" i="1"/>
  <c r="BO455" i="1" s="1"/>
  <c r="BQ455" i="1" s="1"/>
  <c r="BN455" i="1"/>
  <c r="BP455" i="1" s="1"/>
  <c r="AX456" i="1"/>
  <c r="AZ456" i="1" s="1"/>
  <c r="BB456" i="1" s="1"/>
  <c r="AY456" i="1"/>
  <c r="BA456" i="1" s="1"/>
  <c r="AJ457" i="1"/>
  <c r="AL457" i="1" s="1"/>
  <c r="AI457" i="1"/>
  <c r="AK457" i="1" s="1"/>
  <c r="AM457" i="1" s="1"/>
  <c r="CQ453" i="1"/>
  <c r="CS453" i="1" s="1"/>
  <c r="CU453" i="1" s="1"/>
  <c r="CR453" i="1"/>
  <c r="CT453" i="1" s="1"/>
  <c r="BR455" i="1" l="1"/>
  <c r="BT455" i="1" s="1"/>
  <c r="BV455" i="1" s="1"/>
  <c r="BS455" i="1"/>
  <c r="BU455" i="1" s="1"/>
  <c r="CH454" i="1"/>
  <c r="CJ454" i="1" s="1"/>
  <c r="CG454" i="1"/>
  <c r="CI454" i="1" s="1"/>
  <c r="CK454" i="1" s="1"/>
  <c r="P458" i="1"/>
  <c r="R458" i="1" s="1"/>
  <c r="O458" i="1"/>
  <c r="Z458" i="1"/>
  <c r="AB458" i="1" s="1"/>
  <c r="Y458" i="1"/>
  <c r="AA458" i="1" s="1"/>
  <c r="AC458" i="1" s="1"/>
  <c r="CV453" i="1"/>
  <c r="CX453" i="1" s="1"/>
  <c r="CW453" i="1"/>
  <c r="CY453" i="1" s="1"/>
  <c r="AO457" i="1"/>
  <c r="AQ457" i="1" s="1"/>
  <c r="AN457" i="1"/>
  <c r="AP457" i="1" s="1"/>
  <c r="AR457" i="1" s="1"/>
  <c r="F459" i="1"/>
  <c r="H459" i="1" s="1"/>
  <c r="E459" i="1"/>
  <c r="BD456" i="1"/>
  <c r="BF456" i="1" s="1"/>
  <c r="BC456" i="1"/>
  <c r="BE456" i="1" s="1"/>
  <c r="BG456" i="1" s="1"/>
  <c r="AS457" i="1" l="1"/>
  <c r="AU457" i="1" s="1"/>
  <c r="AW457" i="1" s="1"/>
  <c r="AT457" i="1"/>
  <c r="AV457" i="1" s="1"/>
  <c r="CZ453" i="1"/>
  <c r="BI456" i="1"/>
  <c r="BK456" i="1" s="1"/>
  <c r="BH456" i="1"/>
  <c r="BJ456" i="1" s="1"/>
  <c r="BL456" i="1" s="1"/>
  <c r="Q459" i="1"/>
  <c r="S459" i="1" s="1"/>
  <c r="G459" i="1"/>
  <c r="I459" i="1" s="1"/>
  <c r="AE458" i="1"/>
  <c r="AG458" i="1" s="1"/>
  <c r="AD458" i="1"/>
  <c r="AF458" i="1" s="1"/>
  <c r="AH458" i="1" s="1"/>
  <c r="CM454" i="1"/>
  <c r="CO454" i="1" s="1"/>
  <c r="CL454" i="1"/>
  <c r="CN454" i="1" s="1"/>
  <c r="CP454" i="1" s="1"/>
  <c r="BW455" i="1"/>
  <c r="BY455" i="1" s="1"/>
  <c r="CA455" i="1" s="1"/>
  <c r="BX455" i="1"/>
  <c r="BZ455" i="1" s="1"/>
  <c r="CC455" i="1" l="1"/>
  <c r="CE455" i="1" s="1"/>
  <c r="CB455" i="1"/>
  <c r="CD455" i="1" s="1"/>
  <c r="CF455" i="1" s="1"/>
  <c r="K459" i="1"/>
  <c r="M459" i="1" s="1"/>
  <c r="J459" i="1"/>
  <c r="L459" i="1" s="1"/>
  <c r="N459" i="1" s="1"/>
  <c r="D460" i="1"/>
  <c r="CQ454" i="1"/>
  <c r="CS454" i="1" s="1"/>
  <c r="CU454" i="1" s="1"/>
  <c r="CR454" i="1"/>
  <c r="CT454" i="1" s="1"/>
  <c r="BN456" i="1"/>
  <c r="BP456" i="1" s="1"/>
  <c r="BM456" i="1"/>
  <c r="BO456" i="1" s="1"/>
  <c r="BQ456" i="1" s="1"/>
  <c r="AI458" i="1"/>
  <c r="AK458" i="1" s="1"/>
  <c r="AM458" i="1" s="1"/>
  <c r="AJ458" i="1"/>
  <c r="AL458" i="1" s="1"/>
  <c r="DA453" i="1"/>
  <c r="DC453" i="1" s="1"/>
  <c r="DB453" i="1"/>
  <c r="DD453" i="1" s="1"/>
  <c r="U459" i="1"/>
  <c r="W459" i="1" s="1"/>
  <c r="T459" i="1"/>
  <c r="V459" i="1" s="1"/>
  <c r="X459" i="1" s="1"/>
  <c r="AX457" i="1"/>
  <c r="AZ457" i="1" s="1"/>
  <c r="BB457" i="1" s="1"/>
  <c r="AY457" i="1"/>
  <c r="BA457" i="1" s="1"/>
  <c r="BD457" i="1" l="1"/>
  <c r="BF457" i="1" s="1"/>
  <c r="BC457" i="1"/>
  <c r="BE457" i="1" s="1"/>
  <c r="BG457" i="1" s="1"/>
  <c r="BR456" i="1"/>
  <c r="BT456" i="1" s="1"/>
  <c r="BV456" i="1" s="1"/>
  <c r="BS456" i="1"/>
  <c r="BU456" i="1" s="1"/>
  <c r="E460" i="1"/>
  <c r="F460" i="1"/>
  <c r="H460" i="1" s="1"/>
  <c r="AO458" i="1"/>
  <c r="AQ458" i="1" s="1"/>
  <c r="AN458" i="1"/>
  <c r="AP458" i="1" s="1"/>
  <c r="AR458" i="1" s="1"/>
  <c r="Z459" i="1"/>
  <c r="AB459" i="1" s="1"/>
  <c r="Y459" i="1"/>
  <c r="AA459" i="1" s="1"/>
  <c r="AC459" i="1" s="1"/>
  <c r="CH455" i="1"/>
  <c r="CJ455" i="1" s="1"/>
  <c r="CG455" i="1"/>
  <c r="CI455" i="1" s="1"/>
  <c r="CK455" i="1" s="1"/>
  <c r="CW454" i="1"/>
  <c r="CY454" i="1" s="1"/>
  <c r="CV454" i="1"/>
  <c r="CX454" i="1" s="1"/>
  <c r="CZ454" i="1" s="1"/>
  <c r="P459" i="1"/>
  <c r="R459" i="1" s="1"/>
  <c r="O459" i="1"/>
  <c r="AS458" i="1" l="1"/>
  <c r="AU458" i="1" s="1"/>
  <c r="AW458" i="1" s="1"/>
  <c r="AT458" i="1"/>
  <c r="AV458" i="1" s="1"/>
  <c r="BX456" i="1"/>
  <c r="BZ456" i="1" s="1"/>
  <c r="BW456" i="1"/>
  <c r="BY456" i="1" s="1"/>
  <c r="CA456" i="1" s="1"/>
  <c r="Q460" i="1"/>
  <c r="S460" i="1" s="1"/>
  <c r="G460" i="1"/>
  <c r="I460" i="1" s="1"/>
  <c r="BI457" i="1"/>
  <c r="BK457" i="1" s="1"/>
  <c r="BH457" i="1"/>
  <c r="BJ457" i="1" s="1"/>
  <c r="BL457" i="1" s="1"/>
  <c r="AE459" i="1"/>
  <c r="AG459" i="1" s="1"/>
  <c r="AD459" i="1"/>
  <c r="AF459" i="1" s="1"/>
  <c r="AH459" i="1" s="1"/>
  <c r="DA454" i="1"/>
  <c r="DC454" i="1" s="1"/>
  <c r="DB454" i="1"/>
  <c r="DD454" i="1" s="1"/>
  <c r="CM455" i="1"/>
  <c r="CO455" i="1" s="1"/>
  <c r="CL455" i="1"/>
  <c r="CN455" i="1" s="1"/>
  <c r="CP455" i="1" s="1"/>
  <c r="BN457" i="1" l="1"/>
  <c r="BP457" i="1" s="1"/>
  <c r="BM457" i="1"/>
  <c r="BO457" i="1" s="1"/>
  <c r="BQ457" i="1" s="1"/>
  <c r="CR455" i="1"/>
  <c r="CT455" i="1" s="1"/>
  <c r="CQ455" i="1"/>
  <c r="CS455" i="1" s="1"/>
  <c r="CU455" i="1" s="1"/>
  <c r="T460" i="1"/>
  <c r="V460" i="1" s="1"/>
  <c r="X460" i="1" s="1"/>
  <c r="U460" i="1"/>
  <c r="W460" i="1" s="1"/>
  <c r="AJ459" i="1"/>
  <c r="AL459" i="1" s="1"/>
  <c r="AI459" i="1"/>
  <c r="AK459" i="1" s="1"/>
  <c r="AM459" i="1" s="1"/>
  <c r="K460" i="1"/>
  <c r="M460" i="1" s="1"/>
  <c r="J460" i="1"/>
  <c r="L460" i="1" s="1"/>
  <c r="N460" i="1" s="1"/>
  <c r="D461" i="1"/>
  <c r="CC456" i="1"/>
  <c r="CE456" i="1" s="1"/>
  <c r="CB456" i="1"/>
  <c r="CD456" i="1" s="1"/>
  <c r="CF456" i="1" s="1"/>
  <c r="AX458" i="1"/>
  <c r="AZ458" i="1" s="1"/>
  <c r="BB458" i="1" s="1"/>
  <c r="AY458" i="1"/>
  <c r="BA458" i="1" s="1"/>
  <c r="AN459" i="1" l="1"/>
  <c r="AP459" i="1" s="1"/>
  <c r="AR459" i="1" s="1"/>
  <c r="AO459" i="1"/>
  <c r="AQ459" i="1" s="1"/>
  <c r="P460" i="1"/>
  <c r="R460" i="1" s="1"/>
  <c r="O460" i="1"/>
  <c r="CV455" i="1"/>
  <c r="CX455" i="1" s="1"/>
  <c r="CW455" i="1"/>
  <c r="CY455" i="1" s="1"/>
  <c r="BR457" i="1"/>
  <c r="BT457" i="1" s="1"/>
  <c r="BV457" i="1" s="1"/>
  <c r="BS457" i="1"/>
  <c r="BU457" i="1" s="1"/>
  <c r="F461" i="1"/>
  <c r="H461" i="1" s="1"/>
  <c r="E461" i="1"/>
  <c r="Z460" i="1"/>
  <c r="AB460" i="1" s="1"/>
  <c r="Y460" i="1"/>
  <c r="AA460" i="1" s="1"/>
  <c r="AC460" i="1" s="1"/>
  <c r="BD458" i="1"/>
  <c r="BF458" i="1" s="1"/>
  <c r="BC458" i="1"/>
  <c r="BE458" i="1" s="1"/>
  <c r="BG458" i="1" s="1"/>
  <c r="CH456" i="1"/>
  <c r="CJ456" i="1" s="1"/>
  <c r="CG456" i="1"/>
  <c r="CI456" i="1" s="1"/>
  <c r="CK456" i="1" s="1"/>
  <c r="BW457" i="1" l="1"/>
  <c r="BY457" i="1" s="1"/>
  <c r="CA457" i="1" s="1"/>
  <c r="BX457" i="1"/>
  <c r="BZ457" i="1" s="1"/>
  <c r="BI458" i="1"/>
  <c r="BK458" i="1" s="1"/>
  <c r="BH458" i="1"/>
  <c r="BJ458" i="1" s="1"/>
  <c r="BL458" i="1" s="1"/>
  <c r="CM456" i="1"/>
  <c r="CO456" i="1" s="1"/>
  <c r="CL456" i="1"/>
  <c r="CN456" i="1" s="1"/>
  <c r="CP456" i="1" s="1"/>
  <c r="G461" i="1"/>
  <c r="I461" i="1" s="1"/>
  <c r="Q461" i="1"/>
  <c r="S461" i="1" s="1"/>
  <c r="CZ455" i="1"/>
  <c r="AE460" i="1"/>
  <c r="AG460" i="1" s="1"/>
  <c r="AD460" i="1"/>
  <c r="AF460" i="1" s="1"/>
  <c r="AH460" i="1" s="1"/>
  <c r="AT459" i="1"/>
  <c r="AV459" i="1" s="1"/>
  <c r="AS459" i="1"/>
  <c r="AU459" i="1" s="1"/>
  <c r="AW459" i="1" s="1"/>
  <c r="DA455" i="1" l="1"/>
  <c r="DC455" i="1" s="1"/>
  <c r="DB455" i="1"/>
  <c r="DD455" i="1" s="1"/>
  <c r="AI460" i="1"/>
  <c r="AK460" i="1" s="1"/>
  <c r="AM460" i="1" s="1"/>
  <c r="AJ460" i="1"/>
  <c r="AL460" i="1" s="1"/>
  <c r="K461" i="1"/>
  <c r="M461" i="1" s="1"/>
  <c r="J461" i="1"/>
  <c r="L461" i="1" s="1"/>
  <c r="N461" i="1" s="1"/>
  <c r="D462" i="1"/>
  <c r="U461" i="1"/>
  <c r="W461" i="1" s="1"/>
  <c r="T461" i="1"/>
  <c r="V461" i="1" s="1"/>
  <c r="X461" i="1" s="1"/>
  <c r="BN458" i="1"/>
  <c r="BP458" i="1" s="1"/>
  <c r="BM458" i="1"/>
  <c r="BO458" i="1" s="1"/>
  <c r="BQ458" i="1" s="1"/>
  <c r="CQ456" i="1"/>
  <c r="CS456" i="1" s="1"/>
  <c r="CU456" i="1" s="1"/>
  <c r="CR456" i="1"/>
  <c r="CT456" i="1" s="1"/>
  <c r="AY459" i="1"/>
  <c r="BA459" i="1" s="1"/>
  <c r="AX459" i="1"/>
  <c r="AZ459" i="1" s="1"/>
  <c r="BB459" i="1" s="1"/>
  <c r="CB457" i="1"/>
  <c r="CD457" i="1" s="1"/>
  <c r="CF457" i="1" s="1"/>
  <c r="CC457" i="1"/>
  <c r="CE457" i="1" s="1"/>
  <c r="CG457" i="1" l="1"/>
  <c r="CI457" i="1" s="1"/>
  <c r="CK457" i="1" s="1"/>
  <c r="CH457" i="1"/>
  <c r="CJ457" i="1" s="1"/>
  <c r="BS458" i="1"/>
  <c r="BU458" i="1" s="1"/>
  <c r="BR458" i="1"/>
  <c r="BT458" i="1" s="1"/>
  <c r="BV458" i="1" s="1"/>
  <c r="O461" i="1"/>
  <c r="P461" i="1"/>
  <c r="R461" i="1" s="1"/>
  <c r="E462" i="1"/>
  <c r="F462" i="1"/>
  <c r="H462" i="1" s="1"/>
  <c r="BC459" i="1"/>
  <c r="BE459" i="1" s="1"/>
  <c r="BG459" i="1" s="1"/>
  <c r="BD459" i="1"/>
  <c r="BF459" i="1" s="1"/>
  <c r="Y461" i="1"/>
  <c r="AA461" i="1" s="1"/>
  <c r="AC461" i="1" s="1"/>
  <c r="Z461" i="1"/>
  <c r="AB461" i="1" s="1"/>
  <c r="AO460" i="1"/>
  <c r="AQ460" i="1" s="1"/>
  <c r="AN460" i="1"/>
  <c r="AP460" i="1" s="1"/>
  <c r="AR460" i="1" s="1"/>
  <c r="CW456" i="1"/>
  <c r="CY456" i="1" s="1"/>
  <c r="CV456" i="1"/>
  <c r="CX456" i="1" s="1"/>
  <c r="CZ456" i="1" s="1"/>
  <c r="DA456" i="1" l="1"/>
  <c r="DC456" i="1" s="1"/>
  <c r="DB456" i="1"/>
  <c r="DD456" i="1" s="1"/>
  <c r="AD461" i="1"/>
  <c r="AF461" i="1" s="1"/>
  <c r="AH461" i="1" s="1"/>
  <c r="AE461" i="1"/>
  <c r="AG461" i="1" s="1"/>
  <c r="Q462" i="1"/>
  <c r="S462" i="1" s="1"/>
  <c r="G462" i="1"/>
  <c r="I462" i="1" s="1"/>
  <c r="AS460" i="1"/>
  <c r="AU460" i="1" s="1"/>
  <c r="AW460" i="1" s="1"/>
  <c r="AT460" i="1"/>
  <c r="AV460" i="1" s="1"/>
  <c r="BI459" i="1"/>
  <c r="BK459" i="1" s="1"/>
  <c r="BH459" i="1"/>
  <c r="BJ459" i="1" s="1"/>
  <c r="BL459" i="1" s="1"/>
  <c r="BW458" i="1"/>
  <c r="BY458" i="1" s="1"/>
  <c r="CA458" i="1" s="1"/>
  <c r="BX458" i="1"/>
  <c r="BZ458" i="1" s="1"/>
  <c r="CM457" i="1"/>
  <c r="CO457" i="1" s="1"/>
  <c r="CL457" i="1"/>
  <c r="CN457" i="1" s="1"/>
  <c r="CP457" i="1" s="1"/>
  <c r="AY460" i="1" l="1"/>
  <c r="BA460" i="1" s="1"/>
  <c r="AX460" i="1"/>
  <c r="AZ460" i="1" s="1"/>
  <c r="BB460" i="1" s="1"/>
  <c r="AJ461" i="1"/>
  <c r="AL461" i="1" s="1"/>
  <c r="AI461" i="1"/>
  <c r="AK461" i="1" s="1"/>
  <c r="AM461" i="1" s="1"/>
  <c r="BN459" i="1"/>
  <c r="BP459" i="1" s="1"/>
  <c r="BM459" i="1"/>
  <c r="BO459" i="1" s="1"/>
  <c r="BQ459" i="1" s="1"/>
  <c r="K462" i="1"/>
  <c r="M462" i="1" s="1"/>
  <c r="J462" i="1"/>
  <c r="L462" i="1" s="1"/>
  <c r="N462" i="1" s="1"/>
  <c r="D463" i="1"/>
  <c r="CC458" i="1"/>
  <c r="CE458" i="1" s="1"/>
  <c r="CB458" i="1"/>
  <c r="CD458" i="1" s="1"/>
  <c r="CF458" i="1" s="1"/>
  <c r="U462" i="1"/>
  <c r="W462" i="1" s="1"/>
  <c r="T462" i="1"/>
  <c r="V462" i="1" s="1"/>
  <c r="X462" i="1" s="1"/>
  <c r="CQ457" i="1"/>
  <c r="CS457" i="1" s="1"/>
  <c r="CU457" i="1" s="1"/>
  <c r="CR457" i="1"/>
  <c r="CT457" i="1" s="1"/>
  <c r="F463" i="1" l="1"/>
  <c r="H463" i="1" s="1"/>
  <c r="E463" i="1"/>
  <c r="O462" i="1"/>
  <c r="P462" i="1"/>
  <c r="R462" i="1" s="1"/>
  <c r="CG458" i="1"/>
  <c r="CI458" i="1" s="1"/>
  <c r="CK458" i="1" s="1"/>
  <c r="CH458" i="1"/>
  <c r="CJ458" i="1" s="1"/>
  <c r="BS459" i="1"/>
  <c r="BU459" i="1" s="1"/>
  <c r="BR459" i="1"/>
  <c r="BT459" i="1" s="1"/>
  <c r="BV459" i="1" s="1"/>
  <c r="BC460" i="1"/>
  <c r="BE460" i="1" s="1"/>
  <c r="BG460" i="1" s="1"/>
  <c r="BD460" i="1"/>
  <c r="BF460" i="1" s="1"/>
  <c r="AO461" i="1"/>
  <c r="AQ461" i="1" s="1"/>
  <c r="AN461" i="1"/>
  <c r="AP461" i="1" s="1"/>
  <c r="AR461" i="1" s="1"/>
  <c r="CW457" i="1"/>
  <c r="CY457" i="1" s="1"/>
  <c r="CV457" i="1"/>
  <c r="CX457" i="1" s="1"/>
  <c r="CZ457" i="1" s="1"/>
  <c r="Y462" i="1"/>
  <c r="AA462" i="1" s="1"/>
  <c r="AC462" i="1" s="1"/>
  <c r="Z462" i="1"/>
  <c r="AB462" i="1" s="1"/>
  <c r="AD462" i="1" l="1"/>
  <c r="AF462" i="1" s="1"/>
  <c r="AH462" i="1" s="1"/>
  <c r="AE462" i="1"/>
  <c r="AG462" i="1" s="1"/>
  <c r="BX459" i="1"/>
  <c r="BZ459" i="1" s="1"/>
  <c r="BW459" i="1"/>
  <c r="BY459" i="1" s="1"/>
  <c r="CA459" i="1" s="1"/>
  <c r="G463" i="1"/>
  <c r="I463" i="1" s="1"/>
  <c r="Q463" i="1"/>
  <c r="S463" i="1" s="1"/>
  <c r="BH460" i="1"/>
  <c r="BJ460" i="1" s="1"/>
  <c r="BL460" i="1" s="1"/>
  <c r="BI460" i="1"/>
  <c r="BK460" i="1" s="1"/>
  <c r="CM458" i="1"/>
  <c r="CO458" i="1" s="1"/>
  <c r="CL458" i="1"/>
  <c r="CN458" i="1" s="1"/>
  <c r="CP458" i="1" s="1"/>
  <c r="DA457" i="1"/>
  <c r="DC457" i="1" s="1"/>
  <c r="DB457" i="1"/>
  <c r="DD457" i="1" s="1"/>
  <c r="AT461" i="1"/>
  <c r="AV461" i="1" s="1"/>
  <c r="AS461" i="1"/>
  <c r="AU461" i="1" s="1"/>
  <c r="AW461" i="1" s="1"/>
  <c r="AX461" i="1" l="1"/>
  <c r="AZ461" i="1" s="1"/>
  <c r="BB461" i="1" s="1"/>
  <c r="AY461" i="1"/>
  <c r="BA461" i="1" s="1"/>
  <c r="BN460" i="1"/>
  <c r="BP460" i="1" s="1"/>
  <c r="BM460" i="1"/>
  <c r="BO460" i="1" s="1"/>
  <c r="BQ460" i="1" s="1"/>
  <c r="CB459" i="1"/>
  <c r="CD459" i="1" s="1"/>
  <c r="CF459" i="1" s="1"/>
  <c r="CC459" i="1"/>
  <c r="CE459" i="1" s="1"/>
  <c r="CR458" i="1"/>
  <c r="CT458" i="1" s="1"/>
  <c r="CQ458" i="1"/>
  <c r="CS458" i="1" s="1"/>
  <c r="CU458" i="1" s="1"/>
  <c r="T463" i="1"/>
  <c r="V463" i="1" s="1"/>
  <c r="X463" i="1" s="1"/>
  <c r="U463" i="1"/>
  <c r="W463" i="1" s="1"/>
  <c r="K463" i="1"/>
  <c r="M463" i="1" s="1"/>
  <c r="J463" i="1"/>
  <c r="L463" i="1" s="1"/>
  <c r="N463" i="1" s="1"/>
  <c r="D464" i="1"/>
  <c r="AJ462" i="1"/>
  <c r="AL462" i="1" s="1"/>
  <c r="AI462" i="1"/>
  <c r="AK462" i="1" s="1"/>
  <c r="AM462" i="1" s="1"/>
  <c r="O463" i="1" l="1"/>
  <c r="P463" i="1"/>
  <c r="R463" i="1" s="1"/>
  <c r="CG459" i="1"/>
  <c r="CI459" i="1" s="1"/>
  <c r="CK459" i="1" s="1"/>
  <c r="CH459" i="1"/>
  <c r="CJ459" i="1" s="1"/>
  <c r="Z463" i="1"/>
  <c r="AB463" i="1" s="1"/>
  <c r="Y463" i="1"/>
  <c r="AA463" i="1" s="1"/>
  <c r="AC463" i="1" s="1"/>
  <c r="AO462" i="1"/>
  <c r="AQ462" i="1" s="1"/>
  <c r="AN462" i="1"/>
  <c r="AP462" i="1" s="1"/>
  <c r="AR462" i="1" s="1"/>
  <c r="CW458" i="1"/>
  <c r="CY458" i="1" s="1"/>
  <c r="CV458" i="1"/>
  <c r="CX458" i="1" s="1"/>
  <c r="CZ458" i="1" s="1"/>
  <c r="BS460" i="1"/>
  <c r="BU460" i="1" s="1"/>
  <c r="BR460" i="1"/>
  <c r="BT460" i="1" s="1"/>
  <c r="BV460" i="1" s="1"/>
  <c r="F464" i="1"/>
  <c r="H464" i="1" s="1"/>
  <c r="E464" i="1"/>
  <c r="BC461" i="1"/>
  <c r="BE461" i="1" s="1"/>
  <c r="BG461" i="1" s="1"/>
  <c r="BD461" i="1"/>
  <c r="BF461" i="1" s="1"/>
  <c r="AT462" i="1" l="1"/>
  <c r="AV462" i="1" s="1"/>
  <c r="AS462" i="1"/>
  <c r="AU462" i="1" s="1"/>
  <c r="AW462" i="1" s="1"/>
  <c r="BW460" i="1"/>
  <c r="BY460" i="1" s="1"/>
  <c r="CA460" i="1" s="1"/>
  <c r="BX460" i="1"/>
  <c r="BZ460" i="1" s="1"/>
  <c r="BI461" i="1"/>
  <c r="BK461" i="1" s="1"/>
  <c r="BH461" i="1"/>
  <c r="BJ461" i="1" s="1"/>
  <c r="BL461" i="1" s="1"/>
  <c r="DB458" i="1"/>
  <c r="DD458" i="1" s="1"/>
  <c r="DA458" i="1"/>
  <c r="DC458" i="1" s="1"/>
  <c r="AD463" i="1"/>
  <c r="AF463" i="1" s="1"/>
  <c r="AH463" i="1" s="1"/>
  <c r="AE463" i="1"/>
  <c r="AG463" i="1" s="1"/>
  <c r="CM459" i="1"/>
  <c r="CO459" i="1" s="1"/>
  <c r="CL459" i="1"/>
  <c r="CN459" i="1" s="1"/>
  <c r="CP459" i="1" s="1"/>
  <c r="Q464" i="1"/>
  <c r="S464" i="1" s="1"/>
  <c r="G464" i="1"/>
  <c r="I464" i="1" s="1"/>
  <c r="AJ463" i="1" l="1"/>
  <c r="AL463" i="1" s="1"/>
  <c r="AI463" i="1"/>
  <c r="AK463" i="1" s="1"/>
  <c r="AM463" i="1" s="1"/>
  <c r="K464" i="1"/>
  <c r="M464" i="1" s="1"/>
  <c r="J464" i="1"/>
  <c r="L464" i="1" s="1"/>
  <c r="N464" i="1" s="1"/>
  <c r="D465" i="1"/>
  <c r="T464" i="1"/>
  <c r="V464" i="1" s="1"/>
  <c r="X464" i="1" s="1"/>
  <c r="U464" i="1"/>
  <c r="W464" i="1" s="1"/>
  <c r="AY462" i="1"/>
  <c r="BA462" i="1" s="1"/>
  <c r="AX462" i="1"/>
  <c r="AZ462" i="1" s="1"/>
  <c r="BB462" i="1" s="1"/>
  <c r="BN461" i="1"/>
  <c r="BP461" i="1" s="1"/>
  <c r="BM461" i="1"/>
  <c r="BO461" i="1" s="1"/>
  <c r="BQ461" i="1" s="1"/>
  <c r="CC460" i="1"/>
  <c r="CE460" i="1" s="1"/>
  <c r="CB460" i="1"/>
  <c r="CD460" i="1" s="1"/>
  <c r="CF460" i="1" s="1"/>
  <c r="CQ459" i="1"/>
  <c r="CS459" i="1" s="1"/>
  <c r="CU459" i="1" s="1"/>
  <c r="CR459" i="1"/>
  <c r="CT459" i="1" s="1"/>
  <c r="BS461" i="1" l="1"/>
  <c r="BU461" i="1" s="1"/>
  <c r="BR461" i="1"/>
  <c r="BT461" i="1" s="1"/>
  <c r="BV461" i="1" s="1"/>
  <c r="O464" i="1"/>
  <c r="P464" i="1"/>
  <c r="R464" i="1" s="1"/>
  <c r="E465" i="1"/>
  <c r="F465" i="1"/>
  <c r="H465" i="1" s="1"/>
  <c r="CW459" i="1"/>
  <c r="CY459" i="1" s="1"/>
  <c r="CV459" i="1"/>
  <c r="CX459" i="1" s="1"/>
  <c r="CZ459" i="1" s="1"/>
  <c r="AO463" i="1"/>
  <c r="AQ463" i="1" s="1"/>
  <c r="AN463" i="1"/>
  <c r="AP463" i="1" s="1"/>
  <c r="AR463" i="1" s="1"/>
  <c r="BC462" i="1"/>
  <c r="BE462" i="1" s="1"/>
  <c r="BG462" i="1" s="1"/>
  <c r="BD462" i="1"/>
  <c r="BF462" i="1" s="1"/>
  <c r="Y464" i="1"/>
  <c r="AA464" i="1" s="1"/>
  <c r="AC464" i="1" s="1"/>
  <c r="Z464" i="1"/>
  <c r="AB464" i="1" s="1"/>
  <c r="CG460" i="1"/>
  <c r="CI460" i="1" s="1"/>
  <c r="CK460" i="1" s="1"/>
  <c r="CH460" i="1"/>
  <c r="CJ460" i="1" s="1"/>
  <c r="DB459" i="1" l="1"/>
  <c r="DD459" i="1" s="1"/>
  <c r="DA459" i="1"/>
  <c r="DC459" i="1" s="1"/>
  <c r="G465" i="1"/>
  <c r="I465" i="1" s="1"/>
  <c r="Q465" i="1"/>
  <c r="S465" i="1" s="1"/>
  <c r="AS463" i="1"/>
  <c r="AU463" i="1" s="1"/>
  <c r="AW463" i="1" s="1"/>
  <c r="AT463" i="1"/>
  <c r="AV463" i="1" s="1"/>
  <c r="CM460" i="1"/>
  <c r="CO460" i="1" s="1"/>
  <c r="CL460" i="1"/>
  <c r="CN460" i="1" s="1"/>
  <c r="CP460" i="1" s="1"/>
  <c r="AE464" i="1"/>
  <c r="AG464" i="1" s="1"/>
  <c r="AD464" i="1"/>
  <c r="AF464" i="1" s="1"/>
  <c r="AH464" i="1" s="1"/>
  <c r="BX461" i="1"/>
  <c r="BZ461" i="1" s="1"/>
  <c r="BW461" i="1"/>
  <c r="BY461" i="1" s="1"/>
  <c r="CA461" i="1" s="1"/>
  <c r="BI462" i="1"/>
  <c r="BK462" i="1" s="1"/>
  <c r="BH462" i="1"/>
  <c r="BJ462" i="1" s="1"/>
  <c r="BL462" i="1" s="1"/>
  <c r="AJ464" i="1" l="1"/>
  <c r="AL464" i="1" s="1"/>
  <c r="AI464" i="1"/>
  <c r="AK464" i="1" s="1"/>
  <c r="AM464" i="1" s="1"/>
  <c r="CR460" i="1"/>
  <c r="CT460" i="1" s="1"/>
  <c r="CQ460" i="1"/>
  <c r="CS460" i="1" s="1"/>
  <c r="CU460" i="1" s="1"/>
  <c r="U465" i="1"/>
  <c r="W465" i="1" s="1"/>
  <c r="T465" i="1"/>
  <c r="V465" i="1" s="1"/>
  <c r="X465" i="1" s="1"/>
  <c r="BM462" i="1"/>
  <c r="BO462" i="1" s="1"/>
  <c r="BQ462" i="1" s="1"/>
  <c r="BN462" i="1"/>
  <c r="BP462" i="1" s="1"/>
  <c r="CB461" i="1"/>
  <c r="CD461" i="1" s="1"/>
  <c r="CF461" i="1" s="1"/>
  <c r="CC461" i="1"/>
  <c r="CE461" i="1" s="1"/>
  <c r="AY463" i="1"/>
  <c r="BA463" i="1" s="1"/>
  <c r="AX463" i="1"/>
  <c r="AZ463" i="1" s="1"/>
  <c r="BB463" i="1" s="1"/>
  <c r="K465" i="1"/>
  <c r="M465" i="1" s="1"/>
  <c r="J465" i="1"/>
  <c r="L465" i="1" s="1"/>
  <c r="N465" i="1" s="1"/>
  <c r="D466" i="1"/>
  <c r="CG461" i="1" l="1"/>
  <c r="CI461" i="1" s="1"/>
  <c r="CK461" i="1" s="1"/>
  <c r="CH461" i="1"/>
  <c r="CJ461" i="1" s="1"/>
  <c r="CW460" i="1"/>
  <c r="CY460" i="1" s="1"/>
  <c r="CV460" i="1"/>
  <c r="CX460" i="1" s="1"/>
  <c r="CZ460" i="1" s="1"/>
  <c r="Y465" i="1"/>
  <c r="AA465" i="1" s="1"/>
  <c r="AC465" i="1" s="1"/>
  <c r="Z465" i="1"/>
  <c r="AB465" i="1" s="1"/>
  <c r="P465" i="1"/>
  <c r="R465" i="1" s="1"/>
  <c r="O465" i="1"/>
  <c r="AO464" i="1"/>
  <c r="AQ464" i="1" s="1"/>
  <c r="AN464" i="1"/>
  <c r="AP464" i="1" s="1"/>
  <c r="AR464" i="1" s="1"/>
  <c r="BC463" i="1"/>
  <c r="BE463" i="1" s="1"/>
  <c r="BG463" i="1" s="1"/>
  <c r="BD463" i="1"/>
  <c r="BF463" i="1" s="1"/>
  <c r="BS462" i="1"/>
  <c r="BU462" i="1" s="1"/>
  <c r="BR462" i="1"/>
  <c r="BT462" i="1" s="1"/>
  <c r="BV462" i="1" s="1"/>
  <c r="F466" i="1"/>
  <c r="H466" i="1" s="1"/>
  <c r="E466" i="1"/>
  <c r="AE465" i="1" l="1"/>
  <c r="AG465" i="1" s="1"/>
  <c r="AD465" i="1"/>
  <c r="AF465" i="1" s="1"/>
  <c r="AH465" i="1" s="1"/>
  <c r="AS464" i="1"/>
  <c r="AU464" i="1" s="1"/>
  <c r="AW464" i="1" s="1"/>
  <c r="AT464" i="1"/>
  <c r="AV464" i="1" s="1"/>
  <c r="Q466" i="1"/>
  <c r="S466" i="1" s="1"/>
  <c r="G466" i="1"/>
  <c r="I466" i="1" s="1"/>
  <c r="BW462" i="1"/>
  <c r="BY462" i="1" s="1"/>
  <c r="CA462" i="1" s="1"/>
  <c r="BX462" i="1"/>
  <c r="BZ462" i="1" s="1"/>
  <c r="BI463" i="1"/>
  <c r="BK463" i="1" s="1"/>
  <c r="BH463" i="1"/>
  <c r="BJ463" i="1" s="1"/>
  <c r="BL463" i="1" s="1"/>
  <c r="DA460" i="1"/>
  <c r="DC460" i="1" s="1"/>
  <c r="DB460" i="1"/>
  <c r="DD460" i="1" s="1"/>
  <c r="CL461" i="1"/>
  <c r="CN461" i="1" s="1"/>
  <c r="CP461" i="1" s="1"/>
  <c r="CM461" i="1"/>
  <c r="CO461" i="1" s="1"/>
  <c r="BM463" i="1" l="1"/>
  <c r="BO463" i="1" s="1"/>
  <c r="BQ463" i="1" s="1"/>
  <c r="BN463" i="1"/>
  <c r="BP463" i="1" s="1"/>
  <c r="T466" i="1"/>
  <c r="V466" i="1" s="1"/>
  <c r="X466" i="1" s="1"/>
  <c r="U466" i="1"/>
  <c r="W466" i="1" s="1"/>
  <c r="CB462" i="1"/>
  <c r="CD462" i="1" s="1"/>
  <c r="CF462" i="1" s="1"/>
  <c r="CC462" i="1"/>
  <c r="CE462" i="1" s="1"/>
  <c r="AX464" i="1"/>
  <c r="AZ464" i="1" s="1"/>
  <c r="BB464" i="1" s="1"/>
  <c r="AY464" i="1"/>
  <c r="BA464" i="1" s="1"/>
  <c r="AJ465" i="1"/>
  <c r="AL465" i="1" s="1"/>
  <c r="AI465" i="1"/>
  <c r="AK465" i="1" s="1"/>
  <c r="AM465" i="1" s="1"/>
  <c r="K466" i="1"/>
  <c r="M466" i="1" s="1"/>
  <c r="J466" i="1"/>
  <c r="L466" i="1" s="1"/>
  <c r="N466" i="1" s="1"/>
  <c r="D467" i="1"/>
  <c r="CQ461" i="1"/>
  <c r="CS461" i="1" s="1"/>
  <c r="CU461" i="1" s="1"/>
  <c r="CR461" i="1"/>
  <c r="CT461" i="1" s="1"/>
  <c r="AO465" i="1" l="1"/>
  <c r="AQ465" i="1" s="1"/>
  <c r="AN465" i="1"/>
  <c r="AP465" i="1" s="1"/>
  <c r="AR465" i="1" s="1"/>
  <c r="CH462" i="1"/>
  <c r="CJ462" i="1" s="1"/>
  <c r="CG462" i="1"/>
  <c r="CI462" i="1" s="1"/>
  <c r="CK462" i="1" s="1"/>
  <c r="CV461" i="1"/>
  <c r="CX461" i="1" s="1"/>
  <c r="CW461" i="1"/>
  <c r="CY461" i="1" s="1"/>
  <c r="O466" i="1"/>
  <c r="P466" i="1"/>
  <c r="R466" i="1" s="1"/>
  <c r="BC464" i="1"/>
  <c r="BE464" i="1" s="1"/>
  <c r="BG464" i="1" s="1"/>
  <c r="BD464" i="1"/>
  <c r="BF464" i="1" s="1"/>
  <c r="Y466" i="1"/>
  <c r="AA466" i="1" s="1"/>
  <c r="AC466" i="1" s="1"/>
  <c r="Z466" i="1"/>
  <c r="AB466" i="1" s="1"/>
  <c r="E467" i="1"/>
  <c r="F467" i="1"/>
  <c r="H467" i="1" s="1"/>
  <c r="BS463" i="1"/>
  <c r="BU463" i="1" s="1"/>
  <c r="BR463" i="1"/>
  <c r="BT463" i="1" s="1"/>
  <c r="BV463" i="1" s="1"/>
  <c r="AE466" i="1" l="1"/>
  <c r="AG466" i="1" s="1"/>
  <c r="AD466" i="1"/>
  <c r="AF466" i="1" s="1"/>
  <c r="AH466" i="1" s="1"/>
  <c r="CZ461" i="1"/>
  <c r="CM462" i="1"/>
  <c r="CO462" i="1" s="1"/>
  <c r="CL462" i="1"/>
  <c r="CN462" i="1" s="1"/>
  <c r="CP462" i="1" s="1"/>
  <c r="AT465" i="1"/>
  <c r="AV465" i="1" s="1"/>
  <c r="AS465" i="1"/>
  <c r="AU465" i="1" s="1"/>
  <c r="AW465" i="1" s="1"/>
  <c r="BI464" i="1"/>
  <c r="BK464" i="1" s="1"/>
  <c r="BH464" i="1"/>
  <c r="BJ464" i="1" s="1"/>
  <c r="BL464" i="1" s="1"/>
  <c r="BW463" i="1"/>
  <c r="BY463" i="1" s="1"/>
  <c r="CA463" i="1" s="1"/>
  <c r="BX463" i="1"/>
  <c r="BZ463" i="1" s="1"/>
  <c r="G467" i="1"/>
  <c r="I467" i="1" s="1"/>
  <c r="Q467" i="1"/>
  <c r="S467" i="1" s="1"/>
  <c r="CC463" i="1" l="1"/>
  <c r="CE463" i="1" s="1"/>
  <c r="CB463" i="1"/>
  <c r="CD463" i="1" s="1"/>
  <c r="CF463" i="1" s="1"/>
  <c r="BN464" i="1"/>
  <c r="BP464" i="1" s="1"/>
  <c r="BM464" i="1"/>
  <c r="BO464" i="1" s="1"/>
  <c r="BQ464" i="1" s="1"/>
  <c r="K467" i="1"/>
  <c r="M467" i="1" s="1"/>
  <c r="J467" i="1"/>
  <c r="L467" i="1" s="1"/>
  <c r="N467" i="1" s="1"/>
  <c r="D468" i="1"/>
  <c r="DA461" i="1"/>
  <c r="DC461" i="1" s="1"/>
  <c r="DB461" i="1"/>
  <c r="DD461" i="1" s="1"/>
  <c r="AI466" i="1"/>
  <c r="AK466" i="1" s="1"/>
  <c r="AM466" i="1" s="1"/>
  <c r="AJ466" i="1"/>
  <c r="AL466" i="1" s="1"/>
  <c r="AX465" i="1"/>
  <c r="AZ465" i="1" s="1"/>
  <c r="BB465" i="1" s="1"/>
  <c r="AY465" i="1"/>
  <c r="BA465" i="1" s="1"/>
  <c r="CR462" i="1"/>
  <c r="CT462" i="1" s="1"/>
  <c r="CQ462" i="1"/>
  <c r="CS462" i="1" s="1"/>
  <c r="CU462" i="1" s="1"/>
  <c r="U467" i="1"/>
  <c r="W467" i="1" s="1"/>
  <c r="T467" i="1"/>
  <c r="V467" i="1" s="1"/>
  <c r="X467" i="1" s="1"/>
  <c r="Y467" i="1" l="1"/>
  <c r="AA467" i="1" s="1"/>
  <c r="AC467" i="1" s="1"/>
  <c r="Z467" i="1"/>
  <c r="AB467" i="1" s="1"/>
  <c r="CW462" i="1"/>
  <c r="CY462" i="1" s="1"/>
  <c r="CV462" i="1"/>
  <c r="CX462" i="1" s="1"/>
  <c r="CZ462" i="1" s="1"/>
  <c r="O467" i="1"/>
  <c r="P467" i="1"/>
  <c r="R467" i="1" s="1"/>
  <c r="CG463" i="1"/>
  <c r="CI463" i="1" s="1"/>
  <c r="CK463" i="1" s="1"/>
  <c r="CH463" i="1"/>
  <c r="CJ463" i="1" s="1"/>
  <c r="AO466" i="1"/>
  <c r="AQ466" i="1" s="1"/>
  <c r="AN466" i="1"/>
  <c r="AP466" i="1" s="1"/>
  <c r="AR466" i="1" s="1"/>
  <c r="F468" i="1"/>
  <c r="H468" i="1" s="1"/>
  <c r="E468" i="1"/>
  <c r="BS464" i="1"/>
  <c r="BU464" i="1" s="1"/>
  <c r="BR464" i="1"/>
  <c r="BT464" i="1" s="1"/>
  <c r="BV464" i="1" s="1"/>
  <c r="BC465" i="1"/>
  <c r="BE465" i="1" s="1"/>
  <c r="BG465" i="1" s="1"/>
  <c r="BD465" i="1"/>
  <c r="BF465" i="1" s="1"/>
  <c r="G468" i="1" l="1"/>
  <c r="I468" i="1" s="1"/>
  <c r="Q468" i="1"/>
  <c r="S468" i="1" s="1"/>
  <c r="CL463" i="1"/>
  <c r="CN463" i="1" s="1"/>
  <c r="CP463" i="1" s="1"/>
  <c r="CM463" i="1"/>
  <c r="CO463" i="1" s="1"/>
  <c r="BI465" i="1"/>
  <c r="BK465" i="1" s="1"/>
  <c r="BH465" i="1"/>
  <c r="BJ465" i="1" s="1"/>
  <c r="BL465" i="1" s="1"/>
  <c r="BW464" i="1"/>
  <c r="BY464" i="1" s="1"/>
  <c r="CA464" i="1" s="1"/>
  <c r="BX464" i="1"/>
  <c r="BZ464" i="1" s="1"/>
  <c r="AS466" i="1"/>
  <c r="AU466" i="1" s="1"/>
  <c r="AW466" i="1" s="1"/>
  <c r="AT466" i="1"/>
  <c r="AV466" i="1" s="1"/>
  <c r="DA462" i="1"/>
  <c r="DC462" i="1" s="1"/>
  <c r="DB462" i="1"/>
  <c r="DD462" i="1" s="1"/>
  <c r="AD467" i="1"/>
  <c r="AF467" i="1" s="1"/>
  <c r="AH467" i="1" s="1"/>
  <c r="AE467" i="1"/>
  <c r="AG467" i="1" s="1"/>
  <c r="AX466" i="1" l="1"/>
  <c r="AZ466" i="1" s="1"/>
  <c r="BB466" i="1" s="1"/>
  <c r="AY466" i="1"/>
  <c r="BA466" i="1" s="1"/>
  <c r="CB464" i="1"/>
  <c r="CD464" i="1" s="1"/>
  <c r="CF464" i="1" s="1"/>
  <c r="CC464" i="1"/>
  <c r="CE464" i="1" s="1"/>
  <c r="BN465" i="1"/>
  <c r="BP465" i="1" s="1"/>
  <c r="BM465" i="1"/>
  <c r="BO465" i="1" s="1"/>
  <c r="BQ465" i="1" s="1"/>
  <c r="AI467" i="1"/>
  <c r="AK467" i="1" s="1"/>
  <c r="AM467" i="1" s="1"/>
  <c r="AJ467" i="1"/>
  <c r="AL467" i="1" s="1"/>
  <c r="T468" i="1"/>
  <c r="V468" i="1" s="1"/>
  <c r="X468" i="1" s="1"/>
  <c r="U468" i="1"/>
  <c r="W468" i="1" s="1"/>
  <c r="CR463" i="1"/>
  <c r="CT463" i="1" s="1"/>
  <c r="CQ463" i="1"/>
  <c r="CS463" i="1" s="1"/>
  <c r="CU463" i="1" s="1"/>
  <c r="K468" i="1"/>
  <c r="M468" i="1" s="1"/>
  <c r="J468" i="1"/>
  <c r="L468" i="1" s="1"/>
  <c r="N468" i="1" s="1"/>
  <c r="D469" i="1"/>
  <c r="Z468" i="1" l="1"/>
  <c r="AB468" i="1" s="1"/>
  <c r="Y468" i="1"/>
  <c r="AA468" i="1" s="1"/>
  <c r="AC468" i="1" s="1"/>
  <c r="CW463" i="1"/>
  <c r="CY463" i="1" s="1"/>
  <c r="CV463" i="1"/>
  <c r="CX463" i="1" s="1"/>
  <c r="CZ463" i="1" s="1"/>
  <c r="AO467" i="1"/>
  <c r="AQ467" i="1" s="1"/>
  <c r="AN467" i="1"/>
  <c r="AP467" i="1" s="1"/>
  <c r="AR467" i="1" s="1"/>
  <c r="CG464" i="1"/>
  <c r="CI464" i="1" s="1"/>
  <c r="CK464" i="1" s="1"/>
  <c r="CH464" i="1"/>
  <c r="CJ464" i="1" s="1"/>
  <c r="E469" i="1"/>
  <c r="F469" i="1"/>
  <c r="H469" i="1" s="1"/>
  <c r="BS465" i="1"/>
  <c r="BU465" i="1" s="1"/>
  <c r="BR465" i="1"/>
  <c r="BT465" i="1" s="1"/>
  <c r="BV465" i="1" s="1"/>
  <c r="O468" i="1"/>
  <c r="P468" i="1"/>
  <c r="R468" i="1" s="1"/>
  <c r="BC466" i="1"/>
  <c r="BE466" i="1" s="1"/>
  <c r="BG466" i="1" s="1"/>
  <c r="BD466" i="1"/>
  <c r="BF466" i="1" s="1"/>
  <c r="G469" i="1" l="1"/>
  <c r="I469" i="1" s="1"/>
  <c r="Q469" i="1"/>
  <c r="S469" i="1" s="1"/>
  <c r="AS467" i="1"/>
  <c r="AU467" i="1" s="1"/>
  <c r="AW467" i="1" s="1"/>
  <c r="AT467" i="1"/>
  <c r="AV467" i="1" s="1"/>
  <c r="DB463" i="1"/>
  <c r="DD463" i="1" s="1"/>
  <c r="DA463" i="1"/>
  <c r="DC463" i="1" s="1"/>
  <c r="AE468" i="1"/>
  <c r="AG468" i="1" s="1"/>
  <c r="AD468" i="1"/>
  <c r="AF468" i="1" s="1"/>
  <c r="AH468" i="1" s="1"/>
  <c r="CM464" i="1"/>
  <c r="CO464" i="1" s="1"/>
  <c r="CL464" i="1"/>
  <c r="CN464" i="1" s="1"/>
  <c r="CP464" i="1" s="1"/>
  <c r="BI466" i="1"/>
  <c r="BK466" i="1" s="1"/>
  <c r="BH466" i="1"/>
  <c r="BJ466" i="1" s="1"/>
  <c r="BL466" i="1" s="1"/>
  <c r="BW465" i="1"/>
  <c r="BY465" i="1" s="1"/>
  <c r="CA465" i="1" s="1"/>
  <c r="BX465" i="1"/>
  <c r="BZ465" i="1" s="1"/>
  <c r="AI468" i="1" l="1"/>
  <c r="AK468" i="1" s="1"/>
  <c r="AM468" i="1" s="1"/>
  <c r="AJ468" i="1"/>
  <c r="AL468" i="1" s="1"/>
  <c r="CQ464" i="1"/>
  <c r="CS464" i="1" s="1"/>
  <c r="CU464" i="1" s="1"/>
  <c r="CR464" i="1"/>
  <c r="CT464" i="1" s="1"/>
  <c r="AX467" i="1"/>
  <c r="AZ467" i="1" s="1"/>
  <c r="BB467" i="1" s="1"/>
  <c r="AY467" i="1"/>
  <c r="BA467" i="1" s="1"/>
  <c r="CB465" i="1"/>
  <c r="CD465" i="1" s="1"/>
  <c r="CF465" i="1" s="1"/>
  <c r="CC465" i="1"/>
  <c r="CE465" i="1" s="1"/>
  <c r="U469" i="1"/>
  <c r="W469" i="1" s="1"/>
  <c r="T469" i="1"/>
  <c r="V469" i="1" s="1"/>
  <c r="X469" i="1" s="1"/>
  <c r="BM466" i="1"/>
  <c r="BO466" i="1" s="1"/>
  <c r="BQ466" i="1" s="1"/>
  <c r="BN466" i="1"/>
  <c r="BP466" i="1" s="1"/>
  <c r="J469" i="1"/>
  <c r="L469" i="1" s="1"/>
  <c r="N469" i="1" s="1"/>
  <c r="K469" i="1"/>
  <c r="M469" i="1" s="1"/>
  <c r="D470" i="1"/>
  <c r="CG465" i="1" l="1"/>
  <c r="CI465" i="1" s="1"/>
  <c r="CK465" i="1" s="1"/>
  <c r="CH465" i="1"/>
  <c r="CJ465" i="1" s="1"/>
  <c r="Y469" i="1"/>
  <c r="AA469" i="1" s="1"/>
  <c r="AC469" i="1" s="1"/>
  <c r="Z469" i="1"/>
  <c r="AB469" i="1" s="1"/>
  <c r="CV464" i="1"/>
  <c r="CX464" i="1" s="1"/>
  <c r="CW464" i="1"/>
  <c r="CY464" i="1" s="1"/>
  <c r="BS466" i="1"/>
  <c r="BU466" i="1" s="1"/>
  <c r="BR466" i="1"/>
  <c r="BT466" i="1" s="1"/>
  <c r="BV466" i="1" s="1"/>
  <c r="BD467" i="1"/>
  <c r="BF467" i="1" s="1"/>
  <c r="BC467" i="1"/>
  <c r="BE467" i="1" s="1"/>
  <c r="BG467" i="1" s="1"/>
  <c r="E470" i="1"/>
  <c r="F470" i="1"/>
  <c r="H470" i="1" s="1"/>
  <c r="O469" i="1"/>
  <c r="P469" i="1"/>
  <c r="R469" i="1" s="1"/>
  <c r="AO468" i="1"/>
  <c r="AQ468" i="1" s="1"/>
  <c r="AN468" i="1"/>
  <c r="AP468" i="1" s="1"/>
  <c r="AR468" i="1" s="1"/>
  <c r="G470" i="1" l="1"/>
  <c r="I470" i="1" s="1"/>
  <c r="Q470" i="1"/>
  <c r="S470" i="1" s="1"/>
  <c r="CZ464" i="1"/>
  <c r="BH467" i="1"/>
  <c r="BJ467" i="1" s="1"/>
  <c r="BL467" i="1" s="1"/>
  <c r="BI467" i="1"/>
  <c r="BK467" i="1" s="1"/>
  <c r="AD469" i="1"/>
  <c r="AF469" i="1" s="1"/>
  <c r="AH469" i="1" s="1"/>
  <c r="AE469" i="1"/>
  <c r="AG469" i="1" s="1"/>
  <c r="BW466" i="1"/>
  <c r="BY466" i="1" s="1"/>
  <c r="CA466" i="1" s="1"/>
  <c r="BX466" i="1"/>
  <c r="BZ466" i="1" s="1"/>
  <c r="AS468" i="1"/>
  <c r="AU468" i="1" s="1"/>
  <c r="AW468" i="1" s="1"/>
  <c r="AT468" i="1"/>
  <c r="AV468" i="1" s="1"/>
  <c r="CM465" i="1"/>
  <c r="CO465" i="1" s="1"/>
  <c r="CL465" i="1"/>
  <c r="CN465" i="1" s="1"/>
  <c r="CP465" i="1" s="1"/>
  <c r="AX468" i="1" l="1"/>
  <c r="AZ468" i="1" s="1"/>
  <c r="BB468" i="1" s="1"/>
  <c r="AY468" i="1"/>
  <c r="BA468" i="1" s="1"/>
  <c r="CC466" i="1"/>
  <c r="CE466" i="1" s="1"/>
  <c r="CB466" i="1"/>
  <c r="CD466" i="1" s="1"/>
  <c r="CF466" i="1" s="1"/>
  <c r="AJ469" i="1"/>
  <c r="AL469" i="1" s="1"/>
  <c r="AI469" i="1"/>
  <c r="AK469" i="1" s="1"/>
  <c r="AM469" i="1" s="1"/>
  <c r="DA464" i="1"/>
  <c r="DC464" i="1" s="1"/>
  <c r="DB464" i="1"/>
  <c r="DD464" i="1" s="1"/>
  <c r="U470" i="1"/>
  <c r="W470" i="1" s="1"/>
  <c r="T470" i="1"/>
  <c r="V470" i="1" s="1"/>
  <c r="X470" i="1" s="1"/>
  <c r="BN467" i="1"/>
  <c r="BP467" i="1" s="1"/>
  <c r="BM467" i="1"/>
  <c r="BO467" i="1" s="1"/>
  <c r="BQ467" i="1" s="1"/>
  <c r="CQ465" i="1"/>
  <c r="CS465" i="1" s="1"/>
  <c r="CU465" i="1" s="1"/>
  <c r="CR465" i="1"/>
  <c r="CT465" i="1" s="1"/>
  <c r="K470" i="1"/>
  <c r="M470" i="1" s="1"/>
  <c r="J470" i="1"/>
  <c r="L470" i="1" s="1"/>
  <c r="N470" i="1" s="1"/>
  <c r="D471" i="1"/>
  <c r="E471" i="1" l="1"/>
  <c r="F471" i="1"/>
  <c r="H471" i="1" s="1"/>
  <c r="Y470" i="1"/>
  <c r="AA470" i="1" s="1"/>
  <c r="AC470" i="1" s="1"/>
  <c r="Z470" i="1"/>
  <c r="AB470" i="1" s="1"/>
  <c r="O470" i="1"/>
  <c r="P470" i="1"/>
  <c r="R470" i="1" s="1"/>
  <c r="CV465" i="1"/>
  <c r="CX465" i="1" s="1"/>
  <c r="CW465" i="1"/>
  <c r="CY465" i="1" s="1"/>
  <c r="AN469" i="1"/>
  <c r="AP469" i="1" s="1"/>
  <c r="AR469" i="1" s="1"/>
  <c r="AO469" i="1"/>
  <c r="AQ469" i="1" s="1"/>
  <c r="CG466" i="1"/>
  <c r="CI466" i="1" s="1"/>
  <c r="CK466" i="1" s="1"/>
  <c r="CH466" i="1"/>
  <c r="CJ466" i="1" s="1"/>
  <c r="BS467" i="1"/>
  <c r="BU467" i="1" s="1"/>
  <c r="BR467" i="1"/>
  <c r="BT467" i="1" s="1"/>
  <c r="BV467" i="1" s="1"/>
  <c r="BD468" i="1"/>
  <c r="BF468" i="1" s="1"/>
  <c r="BC468" i="1"/>
  <c r="BE468" i="1" s="1"/>
  <c r="BG468" i="1" s="1"/>
  <c r="AT469" i="1" l="1"/>
  <c r="AV469" i="1" s="1"/>
  <c r="AS469" i="1"/>
  <c r="AU469" i="1" s="1"/>
  <c r="AW469" i="1" s="1"/>
  <c r="CM466" i="1"/>
  <c r="CO466" i="1" s="1"/>
  <c r="CL466" i="1"/>
  <c r="CN466" i="1" s="1"/>
  <c r="CP466" i="1" s="1"/>
  <c r="BI468" i="1"/>
  <c r="BK468" i="1" s="1"/>
  <c r="BH468" i="1"/>
  <c r="BJ468" i="1" s="1"/>
  <c r="BL468" i="1" s="1"/>
  <c r="AE470" i="1"/>
  <c r="AG470" i="1" s="1"/>
  <c r="AD470" i="1"/>
  <c r="AF470" i="1" s="1"/>
  <c r="AH470" i="1" s="1"/>
  <c r="CZ465" i="1"/>
  <c r="BW467" i="1"/>
  <c r="BY467" i="1" s="1"/>
  <c r="CA467" i="1" s="1"/>
  <c r="BX467" i="1"/>
  <c r="BZ467" i="1" s="1"/>
  <c r="G471" i="1"/>
  <c r="I471" i="1" s="1"/>
  <c r="Q471" i="1"/>
  <c r="S471" i="1" s="1"/>
  <c r="DA465" i="1" l="1"/>
  <c r="DC465" i="1" s="1"/>
  <c r="DB465" i="1"/>
  <c r="DD465" i="1" s="1"/>
  <c r="AI470" i="1"/>
  <c r="AK470" i="1" s="1"/>
  <c r="AM470" i="1" s="1"/>
  <c r="AJ470" i="1"/>
  <c r="AL470" i="1" s="1"/>
  <c r="AY469" i="1"/>
  <c r="BA469" i="1" s="1"/>
  <c r="AX469" i="1"/>
  <c r="AZ469" i="1" s="1"/>
  <c r="BB469" i="1" s="1"/>
  <c r="K471" i="1"/>
  <c r="M471" i="1" s="1"/>
  <c r="J471" i="1"/>
  <c r="L471" i="1" s="1"/>
  <c r="N471" i="1" s="1"/>
  <c r="D472" i="1"/>
  <c r="CC467" i="1"/>
  <c r="CE467" i="1" s="1"/>
  <c r="CB467" i="1"/>
  <c r="CD467" i="1" s="1"/>
  <c r="CF467" i="1" s="1"/>
  <c r="BN468" i="1"/>
  <c r="BP468" i="1" s="1"/>
  <c r="BM468" i="1"/>
  <c r="BO468" i="1" s="1"/>
  <c r="BQ468" i="1" s="1"/>
  <c r="CQ466" i="1"/>
  <c r="CS466" i="1" s="1"/>
  <c r="CU466" i="1" s="1"/>
  <c r="CR466" i="1"/>
  <c r="CT466" i="1" s="1"/>
  <c r="U471" i="1"/>
  <c r="W471" i="1" s="1"/>
  <c r="T471" i="1"/>
  <c r="V471" i="1" s="1"/>
  <c r="X471" i="1" s="1"/>
  <c r="P471" i="1" l="1"/>
  <c r="R471" i="1" s="1"/>
  <c r="O471" i="1"/>
  <c r="CV466" i="1"/>
  <c r="CX466" i="1" s="1"/>
  <c r="CW466" i="1"/>
  <c r="CY466" i="1" s="1"/>
  <c r="CH467" i="1"/>
  <c r="CJ467" i="1" s="1"/>
  <c r="CG467" i="1"/>
  <c r="CI467" i="1" s="1"/>
  <c r="CK467" i="1" s="1"/>
  <c r="E472" i="1"/>
  <c r="F472" i="1"/>
  <c r="H472" i="1" s="1"/>
  <c r="Z471" i="1"/>
  <c r="AB471" i="1" s="1"/>
  <c r="Y471" i="1"/>
  <c r="AA471" i="1" s="1"/>
  <c r="AC471" i="1" s="1"/>
  <c r="BR468" i="1"/>
  <c r="BT468" i="1" s="1"/>
  <c r="BV468" i="1" s="1"/>
  <c r="BS468" i="1"/>
  <c r="BU468" i="1" s="1"/>
  <c r="BD469" i="1"/>
  <c r="BF469" i="1" s="1"/>
  <c r="BC469" i="1"/>
  <c r="BE469" i="1" s="1"/>
  <c r="BG469" i="1" s="1"/>
  <c r="AN470" i="1"/>
  <c r="AP470" i="1" s="1"/>
  <c r="AR470" i="1" s="1"/>
  <c r="AO470" i="1"/>
  <c r="AQ470" i="1" s="1"/>
  <c r="AS470" i="1" l="1"/>
  <c r="AU470" i="1" s="1"/>
  <c r="AW470" i="1" s="1"/>
  <c r="AT470" i="1"/>
  <c r="AV470" i="1" s="1"/>
  <c r="AE471" i="1"/>
  <c r="AG471" i="1" s="1"/>
  <c r="AD471" i="1"/>
  <c r="AF471" i="1" s="1"/>
  <c r="AH471" i="1" s="1"/>
  <c r="Q472" i="1"/>
  <c r="S472" i="1" s="1"/>
  <c r="G472" i="1"/>
  <c r="I472" i="1" s="1"/>
  <c r="CZ466" i="1"/>
  <c r="CM467" i="1"/>
  <c r="CO467" i="1" s="1"/>
  <c r="CL467" i="1"/>
  <c r="CN467" i="1" s="1"/>
  <c r="CP467" i="1" s="1"/>
  <c r="BW468" i="1"/>
  <c r="BY468" i="1" s="1"/>
  <c r="CA468" i="1" s="1"/>
  <c r="BX468" i="1"/>
  <c r="BZ468" i="1" s="1"/>
  <c r="BI469" i="1"/>
  <c r="BK469" i="1" s="1"/>
  <c r="BH469" i="1"/>
  <c r="BJ469" i="1" s="1"/>
  <c r="BL469" i="1" s="1"/>
  <c r="CC468" i="1" l="1"/>
  <c r="CE468" i="1" s="1"/>
  <c r="CB468" i="1"/>
  <c r="CD468" i="1" s="1"/>
  <c r="CF468" i="1" s="1"/>
  <c r="CR467" i="1"/>
  <c r="CT467" i="1" s="1"/>
  <c r="CQ467" i="1"/>
  <c r="CS467" i="1" s="1"/>
  <c r="CU467" i="1" s="1"/>
  <c r="U472" i="1"/>
  <c r="W472" i="1" s="1"/>
  <c r="T472" i="1"/>
  <c r="V472" i="1" s="1"/>
  <c r="X472" i="1" s="1"/>
  <c r="AJ471" i="1"/>
  <c r="AL471" i="1" s="1"/>
  <c r="AI471" i="1"/>
  <c r="AK471" i="1" s="1"/>
  <c r="AM471" i="1" s="1"/>
  <c r="DA466" i="1"/>
  <c r="DC466" i="1" s="1"/>
  <c r="DB466" i="1"/>
  <c r="DD466" i="1" s="1"/>
  <c r="K472" i="1"/>
  <c r="M472" i="1" s="1"/>
  <c r="J472" i="1"/>
  <c r="L472" i="1" s="1"/>
  <c r="N472" i="1" s="1"/>
  <c r="D473" i="1"/>
  <c r="BN469" i="1"/>
  <c r="BP469" i="1" s="1"/>
  <c r="BM469" i="1"/>
  <c r="BO469" i="1" s="1"/>
  <c r="BQ469" i="1" s="1"/>
  <c r="AY470" i="1"/>
  <c r="BA470" i="1" s="1"/>
  <c r="AX470" i="1"/>
  <c r="AZ470" i="1" s="1"/>
  <c r="BB470" i="1" s="1"/>
  <c r="BC470" i="1" l="1"/>
  <c r="BE470" i="1" s="1"/>
  <c r="BG470" i="1" s="1"/>
  <c r="BD470" i="1"/>
  <c r="BF470" i="1" s="1"/>
  <c r="Y472" i="1"/>
  <c r="AA472" i="1" s="1"/>
  <c r="AC472" i="1" s="1"/>
  <c r="Z472" i="1"/>
  <c r="AB472" i="1" s="1"/>
  <c r="CW467" i="1"/>
  <c r="CY467" i="1" s="1"/>
  <c r="CV467" i="1"/>
  <c r="CX467" i="1" s="1"/>
  <c r="CZ467" i="1" s="1"/>
  <c r="CH468" i="1"/>
  <c r="CJ468" i="1" s="1"/>
  <c r="CG468" i="1"/>
  <c r="CI468" i="1" s="1"/>
  <c r="CK468" i="1" s="1"/>
  <c r="AO471" i="1"/>
  <c r="AQ471" i="1" s="1"/>
  <c r="AN471" i="1"/>
  <c r="AP471" i="1" s="1"/>
  <c r="AR471" i="1" s="1"/>
  <c r="BR469" i="1"/>
  <c r="BT469" i="1" s="1"/>
  <c r="BV469" i="1" s="1"/>
  <c r="BS469" i="1"/>
  <c r="BU469" i="1" s="1"/>
  <c r="E473" i="1"/>
  <c r="F473" i="1"/>
  <c r="H473" i="1" s="1"/>
  <c r="O472" i="1"/>
  <c r="P472" i="1"/>
  <c r="R472" i="1" s="1"/>
  <c r="AS471" i="1" l="1"/>
  <c r="AU471" i="1" s="1"/>
  <c r="AW471" i="1" s="1"/>
  <c r="AT471" i="1"/>
  <c r="AV471" i="1" s="1"/>
  <c r="BW469" i="1"/>
  <c r="BY469" i="1" s="1"/>
  <c r="CA469" i="1" s="1"/>
  <c r="BX469" i="1"/>
  <c r="BZ469" i="1" s="1"/>
  <c r="CM468" i="1"/>
  <c r="CO468" i="1" s="1"/>
  <c r="CL468" i="1"/>
  <c r="CN468" i="1" s="1"/>
  <c r="CP468" i="1" s="1"/>
  <c r="DB467" i="1"/>
  <c r="DD467" i="1" s="1"/>
  <c r="DA467" i="1"/>
  <c r="DC467" i="1" s="1"/>
  <c r="AE472" i="1"/>
  <c r="AG472" i="1" s="1"/>
  <c r="AD472" i="1"/>
  <c r="AF472" i="1" s="1"/>
  <c r="AH472" i="1" s="1"/>
  <c r="Q473" i="1"/>
  <c r="S473" i="1" s="1"/>
  <c r="G473" i="1"/>
  <c r="I473" i="1" s="1"/>
  <c r="BI470" i="1"/>
  <c r="BK470" i="1" s="1"/>
  <c r="BH470" i="1"/>
  <c r="BJ470" i="1" s="1"/>
  <c r="BL470" i="1" s="1"/>
  <c r="CB469" i="1" l="1"/>
  <c r="CD469" i="1" s="1"/>
  <c r="CF469" i="1" s="1"/>
  <c r="CC469" i="1"/>
  <c r="CE469" i="1" s="1"/>
  <c r="T473" i="1"/>
  <c r="V473" i="1" s="1"/>
  <c r="X473" i="1" s="1"/>
  <c r="U473" i="1"/>
  <c r="W473" i="1" s="1"/>
  <c r="CR468" i="1"/>
  <c r="CT468" i="1" s="1"/>
  <c r="CQ468" i="1"/>
  <c r="CS468" i="1" s="1"/>
  <c r="CU468" i="1" s="1"/>
  <c r="BM470" i="1"/>
  <c r="BO470" i="1" s="1"/>
  <c r="BQ470" i="1" s="1"/>
  <c r="BN470" i="1"/>
  <c r="BP470" i="1" s="1"/>
  <c r="AJ472" i="1"/>
  <c r="AL472" i="1" s="1"/>
  <c r="AI472" i="1"/>
  <c r="AK472" i="1" s="1"/>
  <c r="AM472" i="1" s="1"/>
  <c r="J473" i="1"/>
  <c r="L473" i="1" s="1"/>
  <c r="N473" i="1" s="1"/>
  <c r="K473" i="1"/>
  <c r="M473" i="1" s="1"/>
  <c r="D474" i="1"/>
  <c r="AX471" i="1"/>
  <c r="AZ471" i="1" s="1"/>
  <c r="BB471" i="1" s="1"/>
  <c r="AY471" i="1"/>
  <c r="BA471" i="1" s="1"/>
  <c r="CW468" i="1" l="1"/>
  <c r="CY468" i="1" s="1"/>
  <c r="CV468" i="1"/>
  <c r="CX468" i="1" s="1"/>
  <c r="CZ468" i="1" s="1"/>
  <c r="Y473" i="1"/>
  <c r="AA473" i="1" s="1"/>
  <c r="AC473" i="1" s="1"/>
  <c r="Z473" i="1"/>
  <c r="AB473" i="1" s="1"/>
  <c r="O473" i="1"/>
  <c r="P473" i="1"/>
  <c r="R473" i="1" s="1"/>
  <c r="BC471" i="1"/>
  <c r="BE471" i="1" s="1"/>
  <c r="BG471" i="1" s="1"/>
  <c r="BD471" i="1"/>
  <c r="BF471" i="1" s="1"/>
  <c r="AO472" i="1"/>
  <c r="AQ472" i="1" s="1"/>
  <c r="AN472" i="1"/>
  <c r="AP472" i="1" s="1"/>
  <c r="AR472" i="1" s="1"/>
  <c r="BS470" i="1"/>
  <c r="BU470" i="1" s="1"/>
  <c r="BR470" i="1"/>
  <c r="BT470" i="1" s="1"/>
  <c r="BV470" i="1" s="1"/>
  <c r="E474" i="1"/>
  <c r="F474" i="1"/>
  <c r="H474" i="1" s="1"/>
  <c r="CG469" i="1"/>
  <c r="CI469" i="1" s="1"/>
  <c r="CK469" i="1" s="1"/>
  <c r="CH469" i="1"/>
  <c r="CJ469" i="1" s="1"/>
  <c r="AT472" i="1" l="1"/>
  <c r="AV472" i="1" s="1"/>
  <c r="AS472" i="1"/>
  <c r="AU472" i="1" s="1"/>
  <c r="AW472" i="1" s="1"/>
  <c r="BI471" i="1"/>
  <c r="BK471" i="1" s="1"/>
  <c r="BH471" i="1"/>
  <c r="BJ471" i="1" s="1"/>
  <c r="BL471" i="1" s="1"/>
  <c r="CM469" i="1"/>
  <c r="CO469" i="1" s="1"/>
  <c r="CL469" i="1"/>
  <c r="CN469" i="1" s="1"/>
  <c r="CP469" i="1" s="1"/>
  <c r="BW470" i="1"/>
  <c r="BY470" i="1" s="1"/>
  <c r="CA470" i="1" s="1"/>
  <c r="BX470" i="1"/>
  <c r="BZ470" i="1" s="1"/>
  <c r="DB468" i="1"/>
  <c r="DD468" i="1" s="1"/>
  <c r="DA468" i="1"/>
  <c r="DC468" i="1" s="1"/>
  <c r="AD473" i="1"/>
  <c r="AF473" i="1" s="1"/>
  <c r="AH473" i="1" s="1"/>
  <c r="AE473" i="1"/>
  <c r="AG473" i="1" s="1"/>
  <c r="Q474" i="1"/>
  <c r="S474" i="1" s="1"/>
  <c r="G474" i="1"/>
  <c r="I474" i="1" s="1"/>
  <c r="CC470" i="1" l="1"/>
  <c r="CE470" i="1" s="1"/>
  <c r="CB470" i="1"/>
  <c r="CD470" i="1" s="1"/>
  <c r="CF470" i="1" s="1"/>
  <c r="AJ473" i="1"/>
  <c r="AL473" i="1" s="1"/>
  <c r="AI473" i="1"/>
  <c r="AK473" i="1" s="1"/>
  <c r="AM473" i="1" s="1"/>
  <c r="BM471" i="1"/>
  <c r="BO471" i="1" s="1"/>
  <c r="BQ471" i="1" s="1"/>
  <c r="BN471" i="1"/>
  <c r="BP471" i="1" s="1"/>
  <c r="U474" i="1"/>
  <c r="W474" i="1" s="1"/>
  <c r="T474" i="1"/>
  <c r="V474" i="1" s="1"/>
  <c r="X474" i="1" s="1"/>
  <c r="CQ469" i="1"/>
  <c r="CS469" i="1" s="1"/>
  <c r="CU469" i="1" s="1"/>
  <c r="CR469" i="1"/>
  <c r="CT469" i="1" s="1"/>
  <c r="K474" i="1"/>
  <c r="M474" i="1" s="1"/>
  <c r="J474" i="1"/>
  <c r="L474" i="1" s="1"/>
  <c r="N474" i="1" s="1"/>
  <c r="D475" i="1"/>
  <c r="AX472" i="1"/>
  <c r="AZ472" i="1" s="1"/>
  <c r="BB472" i="1" s="1"/>
  <c r="AY472" i="1"/>
  <c r="BA472" i="1" s="1"/>
  <c r="Z474" i="1" l="1"/>
  <c r="AB474" i="1" s="1"/>
  <c r="Y474" i="1"/>
  <c r="AA474" i="1" s="1"/>
  <c r="AC474" i="1" s="1"/>
  <c r="AN473" i="1"/>
  <c r="AP473" i="1" s="1"/>
  <c r="AR473" i="1" s="1"/>
  <c r="AO473" i="1"/>
  <c r="AQ473" i="1" s="1"/>
  <c r="CV469" i="1"/>
  <c r="CX469" i="1" s="1"/>
  <c r="CW469" i="1"/>
  <c r="CY469" i="1" s="1"/>
  <c r="CG470" i="1"/>
  <c r="CI470" i="1" s="1"/>
  <c r="CK470" i="1" s="1"/>
  <c r="CH470" i="1"/>
  <c r="CJ470" i="1" s="1"/>
  <c r="P474" i="1"/>
  <c r="R474" i="1" s="1"/>
  <c r="O474" i="1"/>
  <c r="BR471" i="1"/>
  <c r="BT471" i="1" s="1"/>
  <c r="BV471" i="1" s="1"/>
  <c r="BS471" i="1"/>
  <c r="BU471" i="1" s="1"/>
  <c r="BC472" i="1"/>
  <c r="BE472" i="1" s="1"/>
  <c r="BG472" i="1" s="1"/>
  <c r="BD472" i="1"/>
  <c r="BF472" i="1" s="1"/>
  <c r="F475" i="1"/>
  <c r="H475" i="1" s="1"/>
  <c r="E475" i="1"/>
  <c r="G475" i="1" l="1"/>
  <c r="I475" i="1" s="1"/>
  <c r="Q475" i="1"/>
  <c r="S475" i="1" s="1"/>
  <c r="BW471" i="1"/>
  <c r="BY471" i="1" s="1"/>
  <c r="CA471" i="1" s="1"/>
  <c r="BX471" i="1"/>
  <c r="BZ471" i="1" s="1"/>
  <c r="CZ469" i="1"/>
  <c r="AS473" i="1"/>
  <c r="AU473" i="1" s="1"/>
  <c r="AW473" i="1" s="1"/>
  <c r="AT473" i="1"/>
  <c r="AV473" i="1" s="1"/>
  <c r="AD474" i="1"/>
  <c r="AF474" i="1" s="1"/>
  <c r="AH474" i="1" s="1"/>
  <c r="AE474" i="1"/>
  <c r="AG474" i="1" s="1"/>
  <c r="CM470" i="1"/>
  <c r="CO470" i="1" s="1"/>
  <c r="CL470" i="1"/>
  <c r="CN470" i="1" s="1"/>
  <c r="CP470" i="1" s="1"/>
  <c r="BI472" i="1"/>
  <c r="BK472" i="1" s="1"/>
  <c r="BH472" i="1"/>
  <c r="BJ472" i="1" s="1"/>
  <c r="BL472" i="1" s="1"/>
  <c r="CR470" i="1" l="1"/>
  <c r="CT470" i="1" s="1"/>
  <c r="CQ470" i="1"/>
  <c r="CS470" i="1" s="1"/>
  <c r="CU470" i="1" s="1"/>
  <c r="DB469" i="1"/>
  <c r="DD469" i="1" s="1"/>
  <c r="DA469" i="1"/>
  <c r="DC469" i="1" s="1"/>
  <c r="T475" i="1"/>
  <c r="V475" i="1" s="1"/>
  <c r="X475" i="1" s="1"/>
  <c r="U475" i="1"/>
  <c r="W475" i="1" s="1"/>
  <c r="AI474" i="1"/>
  <c r="AK474" i="1" s="1"/>
  <c r="AM474" i="1" s="1"/>
  <c r="AJ474" i="1"/>
  <c r="AL474" i="1" s="1"/>
  <c r="AY473" i="1"/>
  <c r="BA473" i="1" s="1"/>
  <c r="AX473" i="1"/>
  <c r="AZ473" i="1" s="1"/>
  <c r="BB473" i="1" s="1"/>
  <c r="CC471" i="1"/>
  <c r="CE471" i="1" s="1"/>
  <c r="CB471" i="1"/>
  <c r="CD471" i="1" s="1"/>
  <c r="CF471" i="1" s="1"/>
  <c r="BN472" i="1"/>
  <c r="BP472" i="1" s="1"/>
  <c r="BM472" i="1"/>
  <c r="BO472" i="1" s="1"/>
  <c r="BQ472" i="1" s="1"/>
  <c r="K475" i="1"/>
  <c r="M475" i="1" s="1"/>
  <c r="J475" i="1"/>
  <c r="L475" i="1" s="1"/>
  <c r="N475" i="1" s="1"/>
  <c r="D476" i="1"/>
  <c r="BC473" i="1" l="1"/>
  <c r="BE473" i="1" s="1"/>
  <c r="BG473" i="1" s="1"/>
  <c r="BD473" i="1"/>
  <c r="BF473" i="1" s="1"/>
  <c r="Y475" i="1"/>
  <c r="AA475" i="1" s="1"/>
  <c r="AC475" i="1" s="1"/>
  <c r="Z475" i="1"/>
  <c r="AB475" i="1" s="1"/>
  <c r="E476" i="1"/>
  <c r="F476" i="1"/>
  <c r="H476" i="1" s="1"/>
  <c r="BS472" i="1"/>
  <c r="BU472" i="1" s="1"/>
  <c r="BR472" i="1"/>
  <c r="BT472" i="1" s="1"/>
  <c r="BV472" i="1" s="1"/>
  <c r="AO474" i="1"/>
  <c r="AQ474" i="1" s="1"/>
  <c r="AN474" i="1"/>
  <c r="AP474" i="1" s="1"/>
  <c r="AR474" i="1" s="1"/>
  <c r="CW470" i="1"/>
  <c r="CY470" i="1" s="1"/>
  <c r="CV470" i="1"/>
  <c r="CX470" i="1" s="1"/>
  <c r="O475" i="1"/>
  <c r="P475" i="1"/>
  <c r="R475" i="1" s="1"/>
  <c r="CG471" i="1"/>
  <c r="CI471" i="1" s="1"/>
  <c r="CK471" i="1" s="1"/>
  <c r="CH471" i="1"/>
  <c r="CJ471" i="1" s="1"/>
  <c r="AS474" i="1" l="1"/>
  <c r="AU474" i="1" s="1"/>
  <c r="AW474" i="1" s="1"/>
  <c r="AT474" i="1"/>
  <c r="AV474" i="1" s="1"/>
  <c r="G476" i="1"/>
  <c r="I476" i="1" s="1"/>
  <c r="Q476" i="1"/>
  <c r="S476" i="1" s="1"/>
  <c r="BW472" i="1"/>
  <c r="BY472" i="1" s="1"/>
  <c r="CA472" i="1" s="1"/>
  <c r="BX472" i="1"/>
  <c r="BZ472" i="1" s="1"/>
  <c r="CL471" i="1"/>
  <c r="CN471" i="1" s="1"/>
  <c r="CP471" i="1" s="1"/>
  <c r="CM471" i="1"/>
  <c r="CO471" i="1" s="1"/>
  <c r="AD475" i="1"/>
  <c r="AF475" i="1" s="1"/>
  <c r="AH475" i="1" s="1"/>
  <c r="AE475" i="1"/>
  <c r="AG475" i="1" s="1"/>
  <c r="CZ470" i="1"/>
  <c r="BI473" i="1"/>
  <c r="BK473" i="1" s="1"/>
  <c r="BH473" i="1"/>
  <c r="BJ473" i="1" s="1"/>
  <c r="BL473" i="1" s="1"/>
  <c r="AI475" i="1" l="1"/>
  <c r="AK475" i="1" s="1"/>
  <c r="AM475" i="1" s="1"/>
  <c r="AJ475" i="1"/>
  <c r="AL475" i="1" s="1"/>
  <c r="DA470" i="1"/>
  <c r="DC470" i="1" s="1"/>
  <c r="DB470" i="1"/>
  <c r="DD470" i="1" s="1"/>
  <c r="CQ471" i="1"/>
  <c r="CS471" i="1" s="1"/>
  <c r="CU471" i="1" s="1"/>
  <c r="CR471" i="1"/>
  <c r="CT471" i="1" s="1"/>
  <c r="K476" i="1"/>
  <c r="M476" i="1" s="1"/>
  <c r="J476" i="1"/>
  <c r="L476" i="1" s="1"/>
  <c r="N476" i="1" s="1"/>
  <c r="D477" i="1"/>
  <c r="CC472" i="1"/>
  <c r="CE472" i="1" s="1"/>
  <c r="CB472" i="1"/>
  <c r="CD472" i="1" s="1"/>
  <c r="CF472" i="1" s="1"/>
  <c r="U476" i="1"/>
  <c r="W476" i="1" s="1"/>
  <c r="T476" i="1"/>
  <c r="V476" i="1" s="1"/>
  <c r="X476" i="1" s="1"/>
  <c r="BM473" i="1"/>
  <c r="BO473" i="1" s="1"/>
  <c r="BQ473" i="1" s="1"/>
  <c r="BN473" i="1"/>
  <c r="BP473" i="1" s="1"/>
  <c r="AY474" i="1"/>
  <c r="BA474" i="1" s="1"/>
  <c r="AX474" i="1"/>
  <c r="AZ474" i="1" s="1"/>
  <c r="BB474" i="1" s="1"/>
  <c r="CG472" i="1" l="1"/>
  <c r="CI472" i="1" s="1"/>
  <c r="CK472" i="1" s="1"/>
  <c r="CH472" i="1"/>
  <c r="CJ472" i="1" s="1"/>
  <c r="E477" i="1"/>
  <c r="F477" i="1"/>
  <c r="H477" i="1" s="1"/>
  <c r="BC474" i="1"/>
  <c r="BE474" i="1" s="1"/>
  <c r="BG474" i="1" s="1"/>
  <c r="BD474" i="1"/>
  <c r="BF474" i="1" s="1"/>
  <c r="CW471" i="1"/>
  <c r="CY471" i="1" s="1"/>
  <c r="CV471" i="1"/>
  <c r="CX471" i="1" s="1"/>
  <c r="Y476" i="1"/>
  <c r="AA476" i="1" s="1"/>
  <c r="AC476" i="1" s="1"/>
  <c r="Z476" i="1"/>
  <c r="AB476" i="1" s="1"/>
  <c r="O476" i="1"/>
  <c r="P476" i="1"/>
  <c r="R476" i="1" s="1"/>
  <c r="BR473" i="1"/>
  <c r="BT473" i="1" s="1"/>
  <c r="BV473" i="1" s="1"/>
  <c r="BS473" i="1"/>
  <c r="BU473" i="1" s="1"/>
  <c r="AO475" i="1"/>
  <c r="AQ475" i="1" s="1"/>
  <c r="AN475" i="1"/>
  <c r="AP475" i="1" s="1"/>
  <c r="AR475" i="1" s="1"/>
  <c r="AE476" i="1" l="1"/>
  <c r="AG476" i="1" s="1"/>
  <c r="AD476" i="1"/>
  <c r="AF476" i="1" s="1"/>
  <c r="AH476" i="1" s="1"/>
  <c r="AT475" i="1"/>
  <c r="AV475" i="1" s="1"/>
  <c r="AS475" i="1"/>
  <c r="AU475" i="1" s="1"/>
  <c r="AW475" i="1" s="1"/>
  <c r="Q477" i="1"/>
  <c r="S477" i="1" s="1"/>
  <c r="G477" i="1"/>
  <c r="I477" i="1" s="1"/>
  <c r="CZ471" i="1"/>
  <c r="BW473" i="1"/>
  <c r="BY473" i="1" s="1"/>
  <c r="CA473" i="1" s="1"/>
  <c r="BX473" i="1"/>
  <c r="BZ473" i="1" s="1"/>
  <c r="BH474" i="1"/>
  <c r="BJ474" i="1" s="1"/>
  <c r="BL474" i="1" s="1"/>
  <c r="BI474" i="1"/>
  <c r="BK474" i="1" s="1"/>
  <c r="CM472" i="1"/>
  <c r="CO472" i="1" s="1"/>
  <c r="CL472" i="1"/>
  <c r="CN472" i="1" s="1"/>
  <c r="CP472" i="1" s="1"/>
  <c r="BM474" i="1" l="1"/>
  <c r="BO474" i="1" s="1"/>
  <c r="BQ474" i="1" s="1"/>
  <c r="BN474" i="1"/>
  <c r="BP474" i="1" s="1"/>
  <c r="DB471" i="1"/>
  <c r="DD471" i="1" s="1"/>
  <c r="DA471" i="1"/>
  <c r="DC471" i="1" s="1"/>
  <c r="U477" i="1"/>
  <c r="W477" i="1" s="1"/>
  <c r="T477" i="1"/>
  <c r="V477" i="1" s="1"/>
  <c r="X477" i="1" s="1"/>
  <c r="AI476" i="1"/>
  <c r="AK476" i="1" s="1"/>
  <c r="AM476" i="1" s="1"/>
  <c r="AJ476" i="1"/>
  <c r="AL476" i="1" s="1"/>
  <c r="CB473" i="1"/>
  <c r="CD473" i="1" s="1"/>
  <c r="CF473" i="1" s="1"/>
  <c r="CC473" i="1"/>
  <c r="CE473" i="1" s="1"/>
  <c r="K477" i="1"/>
  <c r="M477" i="1" s="1"/>
  <c r="J477" i="1"/>
  <c r="L477" i="1" s="1"/>
  <c r="N477" i="1" s="1"/>
  <c r="D478" i="1"/>
  <c r="AY475" i="1"/>
  <c r="BA475" i="1" s="1"/>
  <c r="AX475" i="1"/>
  <c r="AZ475" i="1" s="1"/>
  <c r="BB475" i="1" s="1"/>
  <c r="CR472" i="1"/>
  <c r="CT472" i="1" s="1"/>
  <c r="CQ472" i="1"/>
  <c r="CS472" i="1" s="1"/>
  <c r="CU472" i="1" s="1"/>
  <c r="AN476" i="1" l="1"/>
  <c r="AP476" i="1" s="1"/>
  <c r="AR476" i="1" s="1"/>
  <c r="AO476" i="1"/>
  <c r="AQ476" i="1" s="1"/>
  <c r="CW472" i="1"/>
  <c r="CY472" i="1" s="1"/>
  <c r="CV472" i="1"/>
  <c r="CX472" i="1" s="1"/>
  <c r="CZ472" i="1" s="1"/>
  <c r="BC475" i="1"/>
  <c r="BE475" i="1" s="1"/>
  <c r="BG475" i="1" s="1"/>
  <c r="BD475" i="1"/>
  <c r="BF475" i="1" s="1"/>
  <c r="E478" i="1"/>
  <c r="F478" i="1"/>
  <c r="H478" i="1" s="1"/>
  <c r="CG473" i="1"/>
  <c r="CI473" i="1" s="1"/>
  <c r="CK473" i="1" s="1"/>
  <c r="CH473" i="1"/>
  <c r="CJ473" i="1" s="1"/>
  <c r="Y477" i="1"/>
  <c r="AA477" i="1" s="1"/>
  <c r="AC477" i="1" s="1"/>
  <c r="Z477" i="1"/>
  <c r="AB477" i="1" s="1"/>
  <c r="O477" i="1"/>
  <c r="P477" i="1"/>
  <c r="R477" i="1" s="1"/>
  <c r="BS474" i="1"/>
  <c r="BU474" i="1" s="1"/>
  <c r="BR474" i="1"/>
  <c r="BT474" i="1" s="1"/>
  <c r="BV474" i="1" s="1"/>
  <c r="CL473" i="1" l="1"/>
  <c r="CN473" i="1" s="1"/>
  <c r="CP473" i="1" s="1"/>
  <c r="CM473" i="1"/>
  <c r="CO473" i="1" s="1"/>
  <c r="AE477" i="1"/>
  <c r="AG477" i="1" s="1"/>
  <c r="AD477" i="1"/>
  <c r="AF477" i="1" s="1"/>
  <c r="AH477" i="1" s="1"/>
  <c r="BW474" i="1"/>
  <c r="BY474" i="1" s="1"/>
  <c r="CA474" i="1" s="1"/>
  <c r="BX474" i="1"/>
  <c r="BZ474" i="1" s="1"/>
  <c r="G478" i="1"/>
  <c r="I478" i="1" s="1"/>
  <c r="Q478" i="1"/>
  <c r="S478" i="1" s="1"/>
  <c r="BH475" i="1"/>
  <c r="BJ475" i="1" s="1"/>
  <c r="BL475" i="1" s="1"/>
  <c r="BI475" i="1"/>
  <c r="BK475" i="1" s="1"/>
  <c r="DA472" i="1"/>
  <c r="DC472" i="1" s="1"/>
  <c r="DB472" i="1"/>
  <c r="DD472" i="1" s="1"/>
  <c r="AS476" i="1"/>
  <c r="AU476" i="1" s="1"/>
  <c r="AW476" i="1" s="1"/>
  <c r="AT476" i="1"/>
  <c r="AV476" i="1" s="1"/>
  <c r="K478" i="1" l="1"/>
  <c r="M478" i="1" s="1"/>
  <c r="J478" i="1"/>
  <c r="L478" i="1" s="1"/>
  <c r="N478" i="1" s="1"/>
  <c r="D479" i="1"/>
  <c r="U478" i="1"/>
  <c r="W478" i="1" s="1"/>
  <c r="T478" i="1"/>
  <c r="V478" i="1" s="1"/>
  <c r="X478" i="1" s="1"/>
  <c r="CB474" i="1"/>
  <c r="CD474" i="1" s="1"/>
  <c r="CF474" i="1" s="1"/>
  <c r="CC474" i="1"/>
  <c r="CE474" i="1" s="1"/>
  <c r="BM475" i="1"/>
  <c r="BO475" i="1" s="1"/>
  <c r="BQ475" i="1" s="1"/>
  <c r="BN475" i="1"/>
  <c r="BP475" i="1" s="1"/>
  <c r="AJ477" i="1"/>
  <c r="AL477" i="1" s="1"/>
  <c r="AI477" i="1"/>
  <c r="AK477" i="1" s="1"/>
  <c r="AM477" i="1" s="1"/>
  <c r="AY476" i="1"/>
  <c r="BA476" i="1" s="1"/>
  <c r="AX476" i="1"/>
  <c r="AZ476" i="1" s="1"/>
  <c r="BB476" i="1" s="1"/>
  <c r="CR473" i="1"/>
  <c r="CT473" i="1" s="1"/>
  <c r="CQ473" i="1"/>
  <c r="CS473" i="1" s="1"/>
  <c r="CU473" i="1" s="1"/>
  <c r="AO477" i="1" l="1"/>
  <c r="AQ477" i="1" s="1"/>
  <c r="AN477" i="1"/>
  <c r="AP477" i="1" s="1"/>
  <c r="AR477" i="1" s="1"/>
  <c r="CW473" i="1"/>
  <c r="CY473" i="1" s="1"/>
  <c r="CV473" i="1"/>
  <c r="CX473" i="1" s="1"/>
  <c r="CZ473" i="1" s="1"/>
  <c r="BR475" i="1"/>
  <c r="BT475" i="1" s="1"/>
  <c r="BV475" i="1" s="1"/>
  <c r="BS475" i="1"/>
  <c r="BU475" i="1" s="1"/>
  <c r="Y478" i="1"/>
  <c r="AA478" i="1" s="1"/>
  <c r="AC478" i="1" s="1"/>
  <c r="Z478" i="1"/>
  <c r="AB478" i="1" s="1"/>
  <c r="O478" i="1"/>
  <c r="P478" i="1"/>
  <c r="R478" i="1" s="1"/>
  <c r="CG474" i="1"/>
  <c r="CI474" i="1" s="1"/>
  <c r="CK474" i="1" s="1"/>
  <c r="CH474" i="1"/>
  <c r="CJ474" i="1" s="1"/>
  <c r="F479" i="1"/>
  <c r="H479" i="1" s="1"/>
  <c r="E479" i="1"/>
  <c r="BC476" i="1"/>
  <c r="BE476" i="1" s="1"/>
  <c r="BG476" i="1" s="1"/>
  <c r="BD476" i="1"/>
  <c r="BF476" i="1" s="1"/>
  <c r="AD478" i="1" l="1"/>
  <c r="AF478" i="1" s="1"/>
  <c r="AH478" i="1" s="1"/>
  <c r="AE478" i="1"/>
  <c r="AG478" i="1" s="1"/>
  <c r="CL474" i="1"/>
  <c r="CN474" i="1" s="1"/>
  <c r="CP474" i="1" s="1"/>
  <c r="CM474" i="1"/>
  <c r="CO474" i="1" s="1"/>
  <c r="BH476" i="1"/>
  <c r="BJ476" i="1" s="1"/>
  <c r="BL476" i="1" s="1"/>
  <c r="BI476" i="1"/>
  <c r="BK476" i="1" s="1"/>
  <c r="AS477" i="1"/>
  <c r="AU477" i="1" s="1"/>
  <c r="AW477" i="1" s="1"/>
  <c r="AT477" i="1"/>
  <c r="AV477" i="1" s="1"/>
  <c r="BX475" i="1"/>
  <c r="BZ475" i="1" s="1"/>
  <c r="BW475" i="1"/>
  <c r="BY475" i="1" s="1"/>
  <c r="CA475" i="1" s="1"/>
  <c r="DB473" i="1"/>
  <c r="DD473" i="1" s="1"/>
  <c r="DA473" i="1"/>
  <c r="DC473" i="1" s="1"/>
  <c r="G479" i="1"/>
  <c r="I479" i="1" s="1"/>
  <c r="Q479" i="1"/>
  <c r="S479" i="1" s="1"/>
  <c r="AX477" i="1" l="1"/>
  <c r="AZ477" i="1" s="1"/>
  <c r="BB477" i="1" s="1"/>
  <c r="AY477" i="1"/>
  <c r="BA477" i="1" s="1"/>
  <c r="U479" i="1"/>
  <c r="W479" i="1" s="1"/>
  <c r="T479" i="1"/>
  <c r="V479" i="1" s="1"/>
  <c r="X479" i="1" s="1"/>
  <c r="CQ474" i="1"/>
  <c r="CS474" i="1" s="1"/>
  <c r="CU474" i="1" s="1"/>
  <c r="CR474" i="1"/>
  <c r="CT474" i="1" s="1"/>
  <c r="CB475" i="1"/>
  <c r="CD475" i="1" s="1"/>
  <c r="CF475" i="1" s="1"/>
  <c r="CC475" i="1"/>
  <c r="CE475" i="1" s="1"/>
  <c r="BM476" i="1"/>
  <c r="BO476" i="1" s="1"/>
  <c r="BQ476" i="1" s="1"/>
  <c r="BN476" i="1"/>
  <c r="BP476" i="1" s="1"/>
  <c r="J479" i="1"/>
  <c r="L479" i="1" s="1"/>
  <c r="N479" i="1" s="1"/>
  <c r="K479" i="1"/>
  <c r="M479" i="1" s="1"/>
  <c r="D480" i="1"/>
  <c r="AI478" i="1"/>
  <c r="AK478" i="1" s="1"/>
  <c r="AM478" i="1" s="1"/>
  <c r="AJ478" i="1"/>
  <c r="AL478" i="1" s="1"/>
  <c r="CG475" i="1" l="1"/>
  <c r="CI475" i="1" s="1"/>
  <c r="CK475" i="1" s="1"/>
  <c r="CH475" i="1"/>
  <c r="CJ475" i="1" s="1"/>
  <c r="P479" i="1"/>
  <c r="R479" i="1" s="1"/>
  <c r="O479" i="1"/>
  <c r="CV474" i="1"/>
  <c r="CX474" i="1" s="1"/>
  <c r="CW474" i="1"/>
  <c r="CY474" i="1" s="1"/>
  <c r="BS476" i="1"/>
  <c r="BU476" i="1" s="1"/>
  <c r="BR476" i="1"/>
  <c r="BT476" i="1" s="1"/>
  <c r="BV476" i="1" s="1"/>
  <c r="Z479" i="1"/>
  <c r="AB479" i="1" s="1"/>
  <c r="Y479" i="1"/>
  <c r="AA479" i="1" s="1"/>
  <c r="AC479" i="1" s="1"/>
  <c r="AN478" i="1"/>
  <c r="AP478" i="1" s="1"/>
  <c r="AR478" i="1" s="1"/>
  <c r="AO478" i="1"/>
  <c r="AQ478" i="1" s="1"/>
  <c r="F480" i="1"/>
  <c r="H480" i="1" s="1"/>
  <c r="E480" i="1"/>
  <c r="BD477" i="1"/>
  <c r="BF477" i="1" s="1"/>
  <c r="BC477" i="1"/>
  <c r="BE477" i="1" s="1"/>
  <c r="BG477" i="1" s="1"/>
  <c r="BX476" i="1" l="1"/>
  <c r="BZ476" i="1" s="1"/>
  <c r="BW476" i="1"/>
  <c r="BY476" i="1" s="1"/>
  <c r="CA476" i="1" s="1"/>
  <c r="AS478" i="1"/>
  <c r="AU478" i="1" s="1"/>
  <c r="AW478" i="1" s="1"/>
  <c r="AT478" i="1"/>
  <c r="AV478" i="1" s="1"/>
  <c r="CZ474" i="1"/>
  <c r="AE479" i="1"/>
  <c r="AG479" i="1" s="1"/>
  <c r="AD479" i="1"/>
  <c r="AF479" i="1" s="1"/>
  <c r="AH479" i="1" s="1"/>
  <c r="Q480" i="1"/>
  <c r="S480" i="1" s="1"/>
  <c r="G480" i="1"/>
  <c r="I480" i="1" s="1"/>
  <c r="BI477" i="1"/>
  <c r="BK477" i="1" s="1"/>
  <c r="BH477" i="1"/>
  <c r="BJ477" i="1" s="1"/>
  <c r="BL477" i="1" s="1"/>
  <c r="CM475" i="1"/>
  <c r="CO475" i="1" s="1"/>
  <c r="CL475" i="1"/>
  <c r="CN475" i="1" s="1"/>
  <c r="CP475" i="1" s="1"/>
  <c r="DA474" i="1" l="1"/>
  <c r="DC474" i="1" s="1"/>
  <c r="DB474" i="1"/>
  <c r="DD474" i="1" s="1"/>
  <c r="K480" i="1"/>
  <c r="M480" i="1" s="1"/>
  <c r="J480" i="1"/>
  <c r="L480" i="1" s="1"/>
  <c r="N480" i="1" s="1"/>
  <c r="D481" i="1"/>
  <c r="AI479" i="1"/>
  <c r="AK479" i="1" s="1"/>
  <c r="AM479" i="1" s="1"/>
  <c r="AJ479" i="1"/>
  <c r="AL479" i="1" s="1"/>
  <c r="CB476" i="1"/>
  <c r="CD476" i="1" s="1"/>
  <c r="CF476" i="1" s="1"/>
  <c r="CC476" i="1"/>
  <c r="CE476" i="1" s="1"/>
  <c r="BN477" i="1"/>
  <c r="BP477" i="1" s="1"/>
  <c r="BM477" i="1"/>
  <c r="BO477" i="1" s="1"/>
  <c r="BQ477" i="1" s="1"/>
  <c r="U480" i="1"/>
  <c r="W480" i="1" s="1"/>
  <c r="T480" i="1"/>
  <c r="V480" i="1" s="1"/>
  <c r="X480" i="1" s="1"/>
  <c r="AX478" i="1"/>
  <c r="AZ478" i="1" s="1"/>
  <c r="BB478" i="1" s="1"/>
  <c r="AY478" i="1"/>
  <c r="BA478" i="1" s="1"/>
  <c r="CR475" i="1"/>
  <c r="CT475" i="1" s="1"/>
  <c r="CQ475" i="1"/>
  <c r="CS475" i="1" s="1"/>
  <c r="CU475" i="1" s="1"/>
  <c r="O480" i="1" l="1"/>
  <c r="P480" i="1"/>
  <c r="R480" i="1" s="1"/>
  <c r="BC478" i="1"/>
  <c r="BE478" i="1" s="1"/>
  <c r="BG478" i="1" s="1"/>
  <c r="BD478" i="1"/>
  <c r="BF478" i="1" s="1"/>
  <c r="BS477" i="1"/>
  <c r="BU477" i="1" s="1"/>
  <c r="BR477" i="1"/>
  <c r="BT477" i="1" s="1"/>
  <c r="BV477" i="1" s="1"/>
  <c r="AN479" i="1"/>
  <c r="AP479" i="1" s="1"/>
  <c r="AR479" i="1" s="1"/>
  <c r="AO479" i="1"/>
  <c r="AQ479" i="1" s="1"/>
  <c r="F481" i="1"/>
  <c r="H481" i="1" s="1"/>
  <c r="E481" i="1"/>
  <c r="Z480" i="1"/>
  <c r="AB480" i="1" s="1"/>
  <c r="Y480" i="1"/>
  <c r="AA480" i="1" s="1"/>
  <c r="AC480" i="1" s="1"/>
  <c r="CG476" i="1"/>
  <c r="CI476" i="1" s="1"/>
  <c r="CK476" i="1" s="1"/>
  <c r="CH476" i="1"/>
  <c r="CJ476" i="1" s="1"/>
  <c r="CW475" i="1"/>
  <c r="CY475" i="1" s="1"/>
  <c r="CV475" i="1"/>
  <c r="CX475" i="1" s="1"/>
  <c r="CZ475" i="1" s="1"/>
  <c r="AS479" i="1" l="1"/>
  <c r="AU479" i="1" s="1"/>
  <c r="AW479" i="1" s="1"/>
  <c r="AT479" i="1"/>
  <c r="AV479" i="1" s="1"/>
  <c r="DA475" i="1"/>
  <c r="DC475" i="1" s="1"/>
  <c r="DB475" i="1"/>
  <c r="DD475" i="1" s="1"/>
  <c r="BH478" i="1"/>
  <c r="BJ478" i="1" s="1"/>
  <c r="BL478" i="1" s="1"/>
  <c r="BI478" i="1"/>
  <c r="BK478" i="1" s="1"/>
  <c r="G481" i="1"/>
  <c r="I481" i="1" s="1"/>
  <c r="Q481" i="1"/>
  <c r="S481" i="1" s="1"/>
  <c r="BW477" i="1"/>
  <c r="BY477" i="1" s="1"/>
  <c r="CA477" i="1" s="1"/>
  <c r="BX477" i="1"/>
  <c r="BZ477" i="1" s="1"/>
  <c r="CM476" i="1"/>
  <c r="CO476" i="1" s="1"/>
  <c r="CL476" i="1"/>
  <c r="CN476" i="1" s="1"/>
  <c r="CP476" i="1" s="1"/>
  <c r="AD480" i="1"/>
  <c r="AF480" i="1" s="1"/>
  <c r="AH480" i="1" s="1"/>
  <c r="AE480" i="1"/>
  <c r="AG480" i="1" s="1"/>
  <c r="J481" i="1" l="1"/>
  <c r="L481" i="1" s="1"/>
  <c r="N481" i="1" s="1"/>
  <c r="K481" i="1"/>
  <c r="M481" i="1" s="1"/>
  <c r="D482" i="1"/>
  <c r="U481" i="1"/>
  <c r="W481" i="1" s="1"/>
  <c r="T481" i="1"/>
  <c r="V481" i="1" s="1"/>
  <c r="X481" i="1" s="1"/>
  <c r="BM478" i="1"/>
  <c r="BO478" i="1" s="1"/>
  <c r="BQ478" i="1" s="1"/>
  <c r="BN478" i="1"/>
  <c r="BP478" i="1" s="1"/>
  <c r="CC477" i="1"/>
  <c r="CE477" i="1" s="1"/>
  <c r="CB477" i="1"/>
  <c r="CD477" i="1" s="1"/>
  <c r="CF477" i="1" s="1"/>
  <c r="AI480" i="1"/>
  <c r="AK480" i="1" s="1"/>
  <c r="AM480" i="1" s="1"/>
  <c r="AJ480" i="1"/>
  <c r="AL480" i="1" s="1"/>
  <c r="CQ476" i="1"/>
  <c r="CS476" i="1" s="1"/>
  <c r="CU476" i="1" s="1"/>
  <c r="CR476" i="1"/>
  <c r="CT476" i="1" s="1"/>
  <c r="AX479" i="1"/>
  <c r="AZ479" i="1" s="1"/>
  <c r="BB479" i="1" s="1"/>
  <c r="AY479" i="1"/>
  <c r="BA479" i="1" s="1"/>
  <c r="CW476" i="1" l="1"/>
  <c r="CY476" i="1" s="1"/>
  <c r="CV476" i="1"/>
  <c r="CX476" i="1" s="1"/>
  <c r="CZ476" i="1" s="1"/>
  <c r="BR478" i="1"/>
  <c r="BT478" i="1" s="1"/>
  <c r="BV478" i="1" s="1"/>
  <c r="BS478" i="1"/>
  <c r="BU478" i="1" s="1"/>
  <c r="E482" i="1"/>
  <c r="F482" i="1"/>
  <c r="H482" i="1" s="1"/>
  <c r="CG477" i="1"/>
  <c r="CI477" i="1" s="1"/>
  <c r="CK477" i="1" s="1"/>
  <c r="CH477" i="1"/>
  <c r="CJ477" i="1" s="1"/>
  <c r="Z481" i="1"/>
  <c r="AB481" i="1" s="1"/>
  <c r="Y481" i="1"/>
  <c r="AA481" i="1" s="1"/>
  <c r="AC481" i="1" s="1"/>
  <c r="AN480" i="1"/>
  <c r="AP480" i="1" s="1"/>
  <c r="AR480" i="1" s="1"/>
  <c r="AO480" i="1"/>
  <c r="AQ480" i="1" s="1"/>
  <c r="BC479" i="1"/>
  <c r="BE479" i="1" s="1"/>
  <c r="BG479" i="1" s="1"/>
  <c r="BD479" i="1"/>
  <c r="BF479" i="1" s="1"/>
  <c r="P481" i="1"/>
  <c r="R481" i="1" s="1"/>
  <c r="O481" i="1"/>
  <c r="AE481" i="1" l="1"/>
  <c r="AG481" i="1" s="1"/>
  <c r="AD481" i="1"/>
  <c r="AF481" i="1" s="1"/>
  <c r="AH481" i="1" s="1"/>
  <c r="CL477" i="1"/>
  <c r="CN477" i="1" s="1"/>
  <c r="CP477" i="1" s="1"/>
  <c r="CM477" i="1"/>
  <c r="CO477" i="1" s="1"/>
  <c r="G482" i="1"/>
  <c r="I482" i="1" s="1"/>
  <c r="Q482" i="1"/>
  <c r="S482" i="1" s="1"/>
  <c r="DB476" i="1"/>
  <c r="DD476" i="1" s="1"/>
  <c r="DA476" i="1"/>
  <c r="DC476" i="1" s="1"/>
  <c r="AT480" i="1"/>
  <c r="AV480" i="1" s="1"/>
  <c r="AS480" i="1"/>
  <c r="AU480" i="1" s="1"/>
  <c r="AW480" i="1" s="1"/>
  <c r="BX478" i="1"/>
  <c r="BZ478" i="1" s="1"/>
  <c r="BW478" i="1"/>
  <c r="BY478" i="1" s="1"/>
  <c r="CA478" i="1" s="1"/>
  <c r="BI479" i="1"/>
  <c r="BK479" i="1" s="1"/>
  <c r="BH479" i="1"/>
  <c r="BJ479" i="1" s="1"/>
  <c r="BL479" i="1" s="1"/>
  <c r="CR477" i="1" l="1"/>
  <c r="CT477" i="1" s="1"/>
  <c r="CQ477" i="1"/>
  <c r="CS477" i="1" s="1"/>
  <c r="CU477" i="1" s="1"/>
  <c r="T482" i="1"/>
  <c r="V482" i="1" s="1"/>
  <c r="X482" i="1" s="1"/>
  <c r="U482" i="1"/>
  <c r="W482" i="1" s="1"/>
  <c r="AI481" i="1"/>
  <c r="AK481" i="1" s="1"/>
  <c r="AM481" i="1" s="1"/>
  <c r="AJ481" i="1"/>
  <c r="AL481" i="1" s="1"/>
  <c r="AY480" i="1"/>
  <c r="BA480" i="1" s="1"/>
  <c r="AX480" i="1"/>
  <c r="AZ480" i="1" s="1"/>
  <c r="BB480" i="1" s="1"/>
  <c r="K482" i="1"/>
  <c r="M482" i="1" s="1"/>
  <c r="J482" i="1"/>
  <c r="L482" i="1" s="1"/>
  <c r="N482" i="1" s="1"/>
  <c r="D483" i="1"/>
  <c r="BM479" i="1"/>
  <c r="BO479" i="1" s="1"/>
  <c r="BQ479" i="1" s="1"/>
  <c r="BN479" i="1"/>
  <c r="BP479" i="1" s="1"/>
  <c r="CC478" i="1"/>
  <c r="CE478" i="1" s="1"/>
  <c r="CB478" i="1"/>
  <c r="CD478" i="1" s="1"/>
  <c r="CF478" i="1" s="1"/>
  <c r="BR479" i="1" l="1"/>
  <c r="BT479" i="1" s="1"/>
  <c r="BV479" i="1" s="1"/>
  <c r="BS479" i="1"/>
  <c r="BU479" i="1" s="1"/>
  <c r="P482" i="1"/>
  <c r="R482" i="1" s="1"/>
  <c r="O482" i="1"/>
  <c r="CG478" i="1"/>
  <c r="CI478" i="1" s="1"/>
  <c r="CK478" i="1" s="1"/>
  <c r="CH478" i="1"/>
  <c r="CJ478" i="1" s="1"/>
  <c r="BD480" i="1"/>
  <c r="BF480" i="1" s="1"/>
  <c r="BC480" i="1"/>
  <c r="BE480" i="1" s="1"/>
  <c r="BG480" i="1" s="1"/>
  <c r="CW477" i="1"/>
  <c r="CY477" i="1" s="1"/>
  <c r="CV477" i="1"/>
  <c r="CX477" i="1" s="1"/>
  <c r="CZ477" i="1" s="1"/>
  <c r="F483" i="1"/>
  <c r="H483" i="1" s="1"/>
  <c r="E483" i="1"/>
  <c r="AN481" i="1"/>
  <c r="AP481" i="1" s="1"/>
  <c r="AR481" i="1" s="1"/>
  <c r="AO481" i="1"/>
  <c r="AQ481" i="1" s="1"/>
  <c r="Z482" i="1"/>
  <c r="AB482" i="1" s="1"/>
  <c r="Y482" i="1"/>
  <c r="AA482" i="1" s="1"/>
  <c r="AC482" i="1" s="1"/>
  <c r="BH480" i="1" l="1"/>
  <c r="BJ480" i="1" s="1"/>
  <c r="BL480" i="1" s="1"/>
  <c r="BI480" i="1"/>
  <c r="BK480" i="1" s="1"/>
  <c r="G483" i="1"/>
  <c r="I483" i="1" s="1"/>
  <c r="Q483" i="1"/>
  <c r="S483" i="1" s="1"/>
  <c r="AD482" i="1"/>
  <c r="AF482" i="1" s="1"/>
  <c r="AH482" i="1" s="1"/>
  <c r="AE482" i="1"/>
  <c r="AG482" i="1" s="1"/>
  <c r="AT481" i="1"/>
  <c r="AV481" i="1" s="1"/>
  <c r="AS481" i="1"/>
  <c r="AU481" i="1" s="1"/>
  <c r="AW481" i="1" s="1"/>
  <c r="DA477" i="1"/>
  <c r="DC477" i="1" s="1"/>
  <c r="DB477" i="1"/>
  <c r="DD477" i="1" s="1"/>
  <c r="CM478" i="1"/>
  <c r="CO478" i="1" s="1"/>
  <c r="CL478" i="1"/>
  <c r="CN478" i="1" s="1"/>
  <c r="CP478" i="1" s="1"/>
  <c r="BW479" i="1"/>
  <c r="BY479" i="1" s="1"/>
  <c r="CA479" i="1" s="1"/>
  <c r="BX479" i="1"/>
  <c r="BZ479" i="1" s="1"/>
  <c r="K483" i="1" l="1"/>
  <c r="M483" i="1" s="1"/>
  <c r="J483" i="1"/>
  <c r="L483" i="1" s="1"/>
  <c r="N483" i="1" s="1"/>
  <c r="D484" i="1"/>
  <c r="AJ482" i="1"/>
  <c r="AL482" i="1" s="1"/>
  <c r="AI482" i="1"/>
  <c r="AK482" i="1" s="1"/>
  <c r="AM482" i="1" s="1"/>
  <c r="CC479" i="1"/>
  <c r="CE479" i="1" s="1"/>
  <c r="CB479" i="1"/>
  <c r="CD479" i="1" s="1"/>
  <c r="CF479" i="1" s="1"/>
  <c r="AX481" i="1"/>
  <c r="AZ481" i="1" s="1"/>
  <c r="BB481" i="1" s="1"/>
  <c r="AY481" i="1"/>
  <c r="BA481" i="1" s="1"/>
  <c r="U483" i="1"/>
  <c r="W483" i="1" s="1"/>
  <c r="T483" i="1"/>
  <c r="V483" i="1" s="1"/>
  <c r="X483" i="1" s="1"/>
  <c r="CQ478" i="1"/>
  <c r="CS478" i="1" s="1"/>
  <c r="CU478" i="1" s="1"/>
  <c r="CR478" i="1"/>
  <c r="CT478" i="1" s="1"/>
  <c r="BM480" i="1"/>
  <c r="BO480" i="1" s="1"/>
  <c r="BQ480" i="1" s="1"/>
  <c r="BN480" i="1"/>
  <c r="BP480" i="1" s="1"/>
  <c r="BC481" i="1" l="1"/>
  <c r="BE481" i="1" s="1"/>
  <c r="BG481" i="1" s="1"/>
  <c r="BD481" i="1"/>
  <c r="BF481" i="1" s="1"/>
  <c r="CG479" i="1"/>
  <c r="CI479" i="1" s="1"/>
  <c r="CK479" i="1" s="1"/>
  <c r="CH479" i="1"/>
  <c r="CJ479" i="1" s="1"/>
  <c r="E484" i="1"/>
  <c r="F484" i="1"/>
  <c r="H484" i="1" s="1"/>
  <c r="Z483" i="1"/>
  <c r="AB483" i="1" s="1"/>
  <c r="Y483" i="1"/>
  <c r="AA483" i="1" s="1"/>
  <c r="AC483" i="1" s="1"/>
  <c r="P483" i="1"/>
  <c r="R483" i="1" s="1"/>
  <c r="O483" i="1"/>
  <c r="CV478" i="1"/>
  <c r="CX478" i="1" s="1"/>
  <c r="CZ478" i="1" s="1"/>
  <c r="CW478" i="1"/>
  <c r="CY478" i="1" s="1"/>
  <c r="AN482" i="1"/>
  <c r="AP482" i="1" s="1"/>
  <c r="AR482" i="1" s="1"/>
  <c r="AO482" i="1"/>
  <c r="AQ482" i="1" s="1"/>
  <c r="BR480" i="1"/>
  <c r="BT480" i="1" s="1"/>
  <c r="BV480" i="1" s="1"/>
  <c r="BS480" i="1"/>
  <c r="BU480" i="1" s="1"/>
  <c r="AE483" i="1" l="1"/>
  <c r="AG483" i="1" s="1"/>
  <c r="AD483" i="1"/>
  <c r="AF483" i="1" s="1"/>
  <c r="AH483" i="1" s="1"/>
  <c r="BW480" i="1"/>
  <c r="BY480" i="1" s="1"/>
  <c r="CA480" i="1" s="1"/>
  <c r="BX480" i="1"/>
  <c r="BZ480" i="1" s="1"/>
  <c r="AT482" i="1"/>
  <c r="AV482" i="1" s="1"/>
  <c r="AS482" i="1"/>
  <c r="AU482" i="1" s="1"/>
  <c r="AW482" i="1" s="1"/>
  <c r="DB478" i="1"/>
  <c r="DD478" i="1" s="1"/>
  <c r="DA478" i="1"/>
  <c r="DC478" i="1" s="1"/>
  <c r="G484" i="1"/>
  <c r="I484" i="1" s="1"/>
  <c r="Q484" i="1"/>
  <c r="S484" i="1" s="1"/>
  <c r="CL479" i="1"/>
  <c r="CN479" i="1" s="1"/>
  <c r="CP479" i="1" s="1"/>
  <c r="CM479" i="1"/>
  <c r="CO479" i="1" s="1"/>
  <c r="BH481" i="1"/>
  <c r="BJ481" i="1" s="1"/>
  <c r="BL481" i="1" s="1"/>
  <c r="BI481" i="1"/>
  <c r="BK481" i="1" s="1"/>
  <c r="J484" i="1" l="1"/>
  <c r="L484" i="1" s="1"/>
  <c r="N484" i="1" s="1"/>
  <c r="K484" i="1"/>
  <c r="M484" i="1" s="1"/>
  <c r="D485" i="1"/>
  <c r="CB480" i="1"/>
  <c r="CD480" i="1" s="1"/>
  <c r="CF480" i="1" s="1"/>
  <c r="CC480" i="1"/>
  <c r="CE480" i="1" s="1"/>
  <c r="CQ479" i="1"/>
  <c r="CS479" i="1" s="1"/>
  <c r="CU479" i="1" s="1"/>
  <c r="CR479" i="1"/>
  <c r="CT479" i="1" s="1"/>
  <c r="AX482" i="1"/>
  <c r="AZ482" i="1" s="1"/>
  <c r="BB482" i="1" s="1"/>
  <c r="AY482" i="1"/>
  <c r="BA482" i="1" s="1"/>
  <c r="AI483" i="1"/>
  <c r="AK483" i="1" s="1"/>
  <c r="AM483" i="1" s="1"/>
  <c r="AJ483" i="1"/>
  <c r="AL483" i="1" s="1"/>
  <c r="T484" i="1"/>
  <c r="V484" i="1" s="1"/>
  <c r="X484" i="1" s="1"/>
  <c r="U484" i="1"/>
  <c r="W484" i="1" s="1"/>
  <c r="BN481" i="1"/>
  <c r="BP481" i="1" s="1"/>
  <c r="BM481" i="1"/>
  <c r="BO481" i="1" s="1"/>
  <c r="BQ481" i="1" s="1"/>
  <c r="BC482" i="1" l="1"/>
  <c r="BE482" i="1" s="1"/>
  <c r="BG482" i="1" s="1"/>
  <c r="BD482" i="1"/>
  <c r="BF482" i="1" s="1"/>
  <c r="Y484" i="1"/>
  <c r="AA484" i="1" s="1"/>
  <c r="AC484" i="1" s="1"/>
  <c r="Z484" i="1"/>
  <c r="AB484" i="1" s="1"/>
  <c r="BR481" i="1"/>
  <c r="BT481" i="1" s="1"/>
  <c r="BV481" i="1" s="1"/>
  <c r="BS481" i="1"/>
  <c r="BU481" i="1" s="1"/>
  <c r="CV479" i="1"/>
  <c r="CX479" i="1" s="1"/>
  <c r="CW479" i="1"/>
  <c r="CY479" i="1" s="1"/>
  <c r="AN483" i="1"/>
  <c r="AP483" i="1" s="1"/>
  <c r="AR483" i="1" s="1"/>
  <c r="AO483" i="1"/>
  <c r="AQ483" i="1" s="1"/>
  <c r="CH480" i="1"/>
  <c r="CJ480" i="1" s="1"/>
  <c r="CG480" i="1"/>
  <c r="CI480" i="1" s="1"/>
  <c r="CK480" i="1" s="1"/>
  <c r="F485" i="1"/>
  <c r="H485" i="1" s="1"/>
  <c r="E485" i="1"/>
  <c r="P484" i="1"/>
  <c r="R484" i="1" s="1"/>
  <c r="O484" i="1"/>
  <c r="AT483" i="1" l="1"/>
  <c r="AV483" i="1" s="1"/>
  <c r="AS483" i="1"/>
  <c r="AU483" i="1" s="1"/>
  <c r="AW483" i="1" s="1"/>
  <c r="BX481" i="1"/>
  <c r="BZ481" i="1" s="1"/>
  <c r="BW481" i="1"/>
  <c r="BY481" i="1" s="1"/>
  <c r="CA481" i="1" s="1"/>
  <c r="G485" i="1"/>
  <c r="I485" i="1" s="1"/>
  <c r="Q485" i="1"/>
  <c r="S485" i="1" s="1"/>
  <c r="CL480" i="1"/>
  <c r="CN480" i="1" s="1"/>
  <c r="CP480" i="1" s="1"/>
  <c r="CM480" i="1"/>
  <c r="CO480" i="1" s="1"/>
  <c r="CZ479" i="1"/>
  <c r="AE484" i="1"/>
  <c r="AG484" i="1" s="1"/>
  <c r="AD484" i="1"/>
  <c r="AF484" i="1" s="1"/>
  <c r="AH484" i="1" s="1"/>
  <c r="BH482" i="1"/>
  <c r="BJ482" i="1" s="1"/>
  <c r="BL482" i="1" s="1"/>
  <c r="BI482" i="1"/>
  <c r="BK482" i="1" s="1"/>
  <c r="BN482" i="1" l="1"/>
  <c r="BP482" i="1" s="1"/>
  <c r="BM482" i="1"/>
  <c r="BO482" i="1" s="1"/>
  <c r="BQ482" i="1" s="1"/>
  <c r="CR480" i="1"/>
  <c r="CT480" i="1" s="1"/>
  <c r="CQ480" i="1"/>
  <c r="CS480" i="1" s="1"/>
  <c r="CU480" i="1" s="1"/>
  <c r="DA479" i="1"/>
  <c r="DC479" i="1" s="1"/>
  <c r="DB479" i="1"/>
  <c r="DD479" i="1" s="1"/>
  <c r="T485" i="1"/>
  <c r="V485" i="1" s="1"/>
  <c r="X485" i="1" s="1"/>
  <c r="U485" i="1"/>
  <c r="W485" i="1" s="1"/>
  <c r="AY483" i="1"/>
  <c r="BA483" i="1" s="1"/>
  <c r="AX483" i="1"/>
  <c r="AZ483" i="1" s="1"/>
  <c r="BB483" i="1" s="1"/>
  <c r="AJ484" i="1"/>
  <c r="AL484" i="1" s="1"/>
  <c r="AI484" i="1"/>
  <c r="AK484" i="1" s="1"/>
  <c r="AM484" i="1" s="1"/>
  <c r="J485" i="1"/>
  <c r="L485" i="1" s="1"/>
  <c r="N485" i="1" s="1"/>
  <c r="K485" i="1"/>
  <c r="M485" i="1" s="1"/>
  <c r="D486" i="1"/>
  <c r="CC481" i="1"/>
  <c r="CE481" i="1" s="1"/>
  <c r="CB481" i="1"/>
  <c r="CD481" i="1" s="1"/>
  <c r="CF481" i="1" s="1"/>
  <c r="Z485" i="1" l="1"/>
  <c r="AB485" i="1" s="1"/>
  <c r="Y485" i="1"/>
  <c r="AA485" i="1" s="1"/>
  <c r="AC485" i="1" s="1"/>
  <c r="AN484" i="1"/>
  <c r="AP484" i="1" s="1"/>
  <c r="AR484" i="1" s="1"/>
  <c r="AO484" i="1"/>
  <c r="AQ484" i="1" s="1"/>
  <c r="CW480" i="1"/>
  <c r="CY480" i="1" s="1"/>
  <c r="CV480" i="1"/>
  <c r="CX480" i="1" s="1"/>
  <c r="CZ480" i="1" s="1"/>
  <c r="CH481" i="1"/>
  <c r="CJ481" i="1" s="1"/>
  <c r="CG481" i="1"/>
  <c r="CI481" i="1" s="1"/>
  <c r="CK481" i="1" s="1"/>
  <c r="BR482" i="1"/>
  <c r="BT482" i="1" s="1"/>
  <c r="BV482" i="1" s="1"/>
  <c r="BS482" i="1"/>
  <c r="BU482" i="1" s="1"/>
  <c r="BD483" i="1"/>
  <c r="BF483" i="1" s="1"/>
  <c r="BC483" i="1"/>
  <c r="BE483" i="1" s="1"/>
  <c r="BG483" i="1" s="1"/>
  <c r="F486" i="1"/>
  <c r="H486" i="1" s="1"/>
  <c r="E486" i="1"/>
  <c r="P485" i="1"/>
  <c r="R485" i="1" s="1"/>
  <c r="O485" i="1"/>
  <c r="BH483" i="1" l="1"/>
  <c r="BJ483" i="1" s="1"/>
  <c r="BL483" i="1" s="1"/>
  <c r="BI483" i="1"/>
  <c r="BK483" i="1" s="1"/>
  <c r="CM481" i="1"/>
  <c r="CO481" i="1" s="1"/>
  <c r="CL481" i="1"/>
  <c r="CN481" i="1" s="1"/>
  <c r="CP481" i="1" s="1"/>
  <c r="BX482" i="1"/>
  <c r="BZ482" i="1" s="1"/>
  <c r="BW482" i="1"/>
  <c r="BY482" i="1" s="1"/>
  <c r="CA482" i="1" s="1"/>
  <c r="AT484" i="1"/>
  <c r="AV484" i="1" s="1"/>
  <c r="AS484" i="1"/>
  <c r="AU484" i="1" s="1"/>
  <c r="AW484" i="1" s="1"/>
  <c r="Q486" i="1"/>
  <c r="S486" i="1" s="1"/>
  <c r="G486" i="1"/>
  <c r="I486" i="1" s="1"/>
  <c r="AE485" i="1"/>
  <c r="AG485" i="1" s="1"/>
  <c r="AD485" i="1"/>
  <c r="AF485" i="1" s="1"/>
  <c r="AH485" i="1" s="1"/>
  <c r="DB480" i="1"/>
  <c r="DD480" i="1" s="1"/>
  <c r="DA480" i="1"/>
  <c r="DC480" i="1" s="1"/>
  <c r="J486" i="1" l="1"/>
  <c r="L486" i="1" s="1"/>
  <c r="N486" i="1" s="1"/>
  <c r="K486" i="1"/>
  <c r="M486" i="1" s="1"/>
  <c r="D487" i="1"/>
  <c r="AI485" i="1"/>
  <c r="AK485" i="1" s="1"/>
  <c r="AM485" i="1" s="1"/>
  <c r="AJ485" i="1"/>
  <c r="AL485" i="1" s="1"/>
  <c r="CB482" i="1"/>
  <c r="CD482" i="1" s="1"/>
  <c r="CF482" i="1" s="1"/>
  <c r="CC482" i="1"/>
  <c r="CE482" i="1" s="1"/>
  <c r="U486" i="1"/>
  <c r="W486" i="1" s="1"/>
  <c r="T486" i="1"/>
  <c r="V486" i="1" s="1"/>
  <c r="X486" i="1" s="1"/>
  <c r="CR481" i="1"/>
  <c r="CT481" i="1" s="1"/>
  <c r="CQ481" i="1"/>
  <c r="CS481" i="1" s="1"/>
  <c r="CU481" i="1" s="1"/>
  <c r="AX484" i="1"/>
  <c r="AZ484" i="1" s="1"/>
  <c r="BB484" i="1" s="1"/>
  <c r="AY484" i="1"/>
  <c r="BA484" i="1" s="1"/>
  <c r="BN483" i="1"/>
  <c r="BP483" i="1" s="1"/>
  <c r="BM483" i="1"/>
  <c r="BO483" i="1" s="1"/>
  <c r="BQ483" i="1" s="1"/>
  <c r="BD484" i="1" l="1"/>
  <c r="BF484" i="1" s="1"/>
  <c r="BC484" i="1"/>
  <c r="BE484" i="1" s="1"/>
  <c r="BG484" i="1" s="1"/>
  <c r="CW481" i="1"/>
  <c r="CY481" i="1" s="1"/>
  <c r="CV481" i="1"/>
  <c r="CX481" i="1" s="1"/>
  <c r="CZ481" i="1" s="1"/>
  <c r="BR483" i="1"/>
  <c r="BT483" i="1" s="1"/>
  <c r="BV483" i="1" s="1"/>
  <c r="BS483" i="1"/>
  <c r="BU483" i="1" s="1"/>
  <c r="CH482" i="1"/>
  <c r="CJ482" i="1" s="1"/>
  <c r="CG482" i="1"/>
  <c r="CI482" i="1" s="1"/>
  <c r="CK482" i="1" s="1"/>
  <c r="E487" i="1"/>
  <c r="F487" i="1"/>
  <c r="H487" i="1" s="1"/>
  <c r="Y486" i="1"/>
  <c r="AA486" i="1" s="1"/>
  <c r="AC486" i="1" s="1"/>
  <c r="Z486" i="1"/>
  <c r="AB486" i="1" s="1"/>
  <c r="AN485" i="1"/>
  <c r="AP485" i="1" s="1"/>
  <c r="AR485" i="1" s="1"/>
  <c r="AO485" i="1"/>
  <c r="AQ485" i="1" s="1"/>
  <c r="P486" i="1"/>
  <c r="R486" i="1" s="1"/>
  <c r="O486" i="1"/>
  <c r="AE486" i="1" l="1"/>
  <c r="AG486" i="1" s="1"/>
  <c r="AD486" i="1"/>
  <c r="AF486" i="1" s="1"/>
  <c r="AH486" i="1" s="1"/>
  <c r="DA481" i="1"/>
  <c r="DC481" i="1" s="1"/>
  <c r="DB481" i="1"/>
  <c r="DD481" i="1" s="1"/>
  <c r="Q487" i="1"/>
  <c r="S487" i="1" s="1"/>
  <c r="G487" i="1"/>
  <c r="I487" i="1" s="1"/>
  <c r="BX483" i="1"/>
  <c r="BZ483" i="1" s="1"/>
  <c r="BW483" i="1"/>
  <c r="BY483" i="1" s="1"/>
  <c r="CA483" i="1" s="1"/>
  <c r="AT485" i="1"/>
  <c r="AV485" i="1" s="1"/>
  <c r="AS485" i="1"/>
  <c r="AU485" i="1" s="1"/>
  <c r="AW485" i="1" s="1"/>
  <c r="CM482" i="1"/>
  <c r="CO482" i="1" s="1"/>
  <c r="CL482" i="1"/>
  <c r="CN482" i="1" s="1"/>
  <c r="CP482" i="1" s="1"/>
  <c r="BH484" i="1"/>
  <c r="BJ484" i="1" s="1"/>
  <c r="BL484" i="1" s="1"/>
  <c r="BI484" i="1"/>
  <c r="BK484" i="1" s="1"/>
  <c r="CB483" i="1" l="1"/>
  <c r="CD483" i="1" s="1"/>
  <c r="CF483" i="1" s="1"/>
  <c r="CC483" i="1"/>
  <c r="CE483" i="1" s="1"/>
  <c r="T487" i="1"/>
  <c r="V487" i="1" s="1"/>
  <c r="X487" i="1" s="1"/>
  <c r="U487" i="1"/>
  <c r="W487" i="1" s="1"/>
  <c r="AJ486" i="1"/>
  <c r="AL486" i="1" s="1"/>
  <c r="AI486" i="1"/>
  <c r="AK486" i="1" s="1"/>
  <c r="AM486" i="1" s="1"/>
  <c r="AX485" i="1"/>
  <c r="AZ485" i="1" s="1"/>
  <c r="BB485" i="1" s="1"/>
  <c r="AY485" i="1"/>
  <c r="BA485" i="1" s="1"/>
  <c r="K487" i="1"/>
  <c r="M487" i="1" s="1"/>
  <c r="J487" i="1"/>
  <c r="L487" i="1" s="1"/>
  <c r="N487" i="1" s="1"/>
  <c r="D488" i="1"/>
  <c r="BM484" i="1"/>
  <c r="BO484" i="1" s="1"/>
  <c r="BQ484" i="1" s="1"/>
  <c r="BN484" i="1"/>
  <c r="BP484" i="1" s="1"/>
  <c r="CQ482" i="1"/>
  <c r="CS482" i="1" s="1"/>
  <c r="CU482" i="1" s="1"/>
  <c r="CR482" i="1"/>
  <c r="CT482" i="1" s="1"/>
  <c r="BS484" i="1" l="1"/>
  <c r="BU484" i="1" s="1"/>
  <c r="BR484" i="1"/>
  <c r="BT484" i="1" s="1"/>
  <c r="BV484" i="1" s="1"/>
  <c r="O487" i="1"/>
  <c r="P487" i="1"/>
  <c r="R487" i="1" s="1"/>
  <c r="E488" i="1"/>
  <c r="F488" i="1"/>
  <c r="H488" i="1" s="1"/>
  <c r="BD485" i="1"/>
  <c r="BF485" i="1" s="1"/>
  <c r="BC485" i="1"/>
  <c r="BE485" i="1" s="1"/>
  <c r="BG485" i="1" s="1"/>
  <c r="Z487" i="1"/>
  <c r="AB487" i="1" s="1"/>
  <c r="Y487" i="1"/>
  <c r="AA487" i="1" s="1"/>
  <c r="AC487" i="1" s="1"/>
  <c r="AO486" i="1"/>
  <c r="AQ486" i="1" s="1"/>
  <c r="AN486" i="1"/>
  <c r="AP486" i="1" s="1"/>
  <c r="AR486" i="1" s="1"/>
  <c r="CW482" i="1"/>
  <c r="CY482" i="1" s="1"/>
  <c r="CV482" i="1"/>
  <c r="CX482" i="1" s="1"/>
  <c r="CZ482" i="1" s="1"/>
  <c r="CG483" i="1"/>
  <c r="CI483" i="1" s="1"/>
  <c r="CK483" i="1" s="1"/>
  <c r="CH483" i="1"/>
  <c r="CJ483" i="1" s="1"/>
  <c r="G488" i="1" l="1"/>
  <c r="I488" i="1" s="1"/>
  <c r="Q488" i="1"/>
  <c r="S488" i="1" s="1"/>
  <c r="AD487" i="1"/>
  <c r="AF487" i="1" s="1"/>
  <c r="AH487" i="1" s="1"/>
  <c r="AE487" i="1"/>
  <c r="AG487" i="1" s="1"/>
  <c r="CL483" i="1"/>
  <c r="CN483" i="1" s="1"/>
  <c r="CP483" i="1" s="1"/>
  <c r="CM483" i="1"/>
  <c r="CO483" i="1" s="1"/>
  <c r="BI485" i="1"/>
  <c r="BK485" i="1" s="1"/>
  <c r="BH485" i="1"/>
  <c r="BJ485" i="1" s="1"/>
  <c r="BL485" i="1" s="1"/>
  <c r="DB482" i="1"/>
  <c r="DD482" i="1" s="1"/>
  <c r="DA482" i="1"/>
  <c r="DC482" i="1" s="1"/>
  <c r="BX484" i="1"/>
  <c r="BZ484" i="1" s="1"/>
  <c r="BW484" i="1"/>
  <c r="BY484" i="1" s="1"/>
  <c r="CA484" i="1" s="1"/>
  <c r="AS486" i="1"/>
  <c r="AU486" i="1" s="1"/>
  <c r="AW486" i="1" s="1"/>
  <c r="AT486" i="1"/>
  <c r="AV486" i="1" s="1"/>
  <c r="CQ483" i="1" l="1"/>
  <c r="CS483" i="1" s="1"/>
  <c r="CU483" i="1" s="1"/>
  <c r="CR483" i="1"/>
  <c r="CT483" i="1" s="1"/>
  <c r="BM485" i="1"/>
  <c r="BO485" i="1" s="1"/>
  <c r="BQ485" i="1" s="1"/>
  <c r="BN485" i="1"/>
  <c r="BP485" i="1" s="1"/>
  <c r="AJ487" i="1"/>
  <c r="AL487" i="1" s="1"/>
  <c r="AI487" i="1"/>
  <c r="AK487" i="1" s="1"/>
  <c r="AM487" i="1" s="1"/>
  <c r="T488" i="1"/>
  <c r="V488" i="1" s="1"/>
  <c r="X488" i="1" s="1"/>
  <c r="U488" i="1"/>
  <c r="W488" i="1" s="1"/>
  <c r="AY486" i="1"/>
  <c r="BA486" i="1" s="1"/>
  <c r="AX486" i="1"/>
  <c r="AZ486" i="1" s="1"/>
  <c r="BB486" i="1" s="1"/>
  <c r="CC484" i="1"/>
  <c r="CE484" i="1" s="1"/>
  <c r="CB484" i="1"/>
  <c r="CD484" i="1" s="1"/>
  <c r="CF484" i="1" s="1"/>
  <c r="J488" i="1"/>
  <c r="L488" i="1" s="1"/>
  <c r="N488" i="1" s="1"/>
  <c r="K488" i="1"/>
  <c r="M488" i="1" s="1"/>
  <c r="D489" i="1"/>
  <c r="BC486" i="1" l="1"/>
  <c r="BE486" i="1" s="1"/>
  <c r="BG486" i="1" s="1"/>
  <c r="BD486" i="1"/>
  <c r="BF486" i="1" s="1"/>
  <c r="AN487" i="1"/>
  <c r="AP487" i="1" s="1"/>
  <c r="AR487" i="1" s="1"/>
  <c r="AO487" i="1"/>
  <c r="AQ487" i="1" s="1"/>
  <c r="E489" i="1"/>
  <c r="F489" i="1"/>
  <c r="H489" i="1" s="1"/>
  <c r="Y488" i="1"/>
  <c r="AA488" i="1" s="1"/>
  <c r="AC488" i="1" s="1"/>
  <c r="Z488" i="1"/>
  <c r="AB488" i="1" s="1"/>
  <c r="CG484" i="1"/>
  <c r="CI484" i="1" s="1"/>
  <c r="CK484" i="1" s="1"/>
  <c r="CH484" i="1"/>
  <c r="CJ484" i="1" s="1"/>
  <c r="BS485" i="1"/>
  <c r="BU485" i="1" s="1"/>
  <c r="BR485" i="1"/>
  <c r="BT485" i="1" s="1"/>
  <c r="BV485" i="1" s="1"/>
  <c r="O488" i="1"/>
  <c r="P488" i="1"/>
  <c r="R488" i="1" s="1"/>
  <c r="CV483" i="1"/>
  <c r="CX483" i="1" s="1"/>
  <c r="CZ483" i="1" s="1"/>
  <c r="CW483" i="1"/>
  <c r="CY483" i="1" s="1"/>
  <c r="CL484" i="1" l="1"/>
  <c r="CN484" i="1" s="1"/>
  <c r="CP484" i="1" s="1"/>
  <c r="CM484" i="1"/>
  <c r="CO484" i="1" s="1"/>
  <c r="AD488" i="1"/>
  <c r="AF488" i="1" s="1"/>
  <c r="AH488" i="1" s="1"/>
  <c r="AE488" i="1"/>
  <c r="AG488" i="1" s="1"/>
  <c r="G489" i="1"/>
  <c r="I489" i="1" s="1"/>
  <c r="Q489" i="1"/>
  <c r="S489" i="1" s="1"/>
  <c r="DB483" i="1"/>
  <c r="DD483" i="1" s="1"/>
  <c r="DA483" i="1"/>
  <c r="DC483" i="1" s="1"/>
  <c r="AT487" i="1"/>
  <c r="AV487" i="1" s="1"/>
  <c r="AS487" i="1"/>
  <c r="AU487" i="1" s="1"/>
  <c r="AW487" i="1" s="1"/>
  <c r="BX485" i="1"/>
  <c r="BZ485" i="1" s="1"/>
  <c r="BW485" i="1"/>
  <c r="BY485" i="1" s="1"/>
  <c r="CA485" i="1" s="1"/>
  <c r="BH486" i="1"/>
  <c r="BJ486" i="1" s="1"/>
  <c r="BL486" i="1" s="1"/>
  <c r="BI486" i="1"/>
  <c r="BK486" i="1" s="1"/>
  <c r="AI488" i="1" l="1"/>
  <c r="AK488" i="1" s="1"/>
  <c r="AM488" i="1" s="1"/>
  <c r="AJ488" i="1"/>
  <c r="AL488" i="1" s="1"/>
  <c r="K489" i="1"/>
  <c r="M489" i="1" s="1"/>
  <c r="J489" i="1"/>
  <c r="L489" i="1" s="1"/>
  <c r="N489" i="1" s="1"/>
  <c r="D490" i="1"/>
  <c r="BM486" i="1"/>
  <c r="BO486" i="1" s="1"/>
  <c r="BQ486" i="1" s="1"/>
  <c r="BN486" i="1"/>
  <c r="BP486" i="1" s="1"/>
  <c r="AY487" i="1"/>
  <c r="BA487" i="1" s="1"/>
  <c r="AX487" i="1"/>
  <c r="AZ487" i="1" s="1"/>
  <c r="BB487" i="1" s="1"/>
  <c r="T489" i="1"/>
  <c r="V489" i="1" s="1"/>
  <c r="X489" i="1" s="1"/>
  <c r="U489" i="1"/>
  <c r="W489" i="1" s="1"/>
  <c r="CB485" i="1"/>
  <c r="CD485" i="1" s="1"/>
  <c r="CF485" i="1" s="1"/>
  <c r="CC485" i="1"/>
  <c r="CE485" i="1" s="1"/>
  <c r="CQ484" i="1"/>
  <c r="CS484" i="1" s="1"/>
  <c r="CU484" i="1" s="1"/>
  <c r="CR484" i="1"/>
  <c r="CT484" i="1" s="1"/>
  <c r="CG485" i="1" l="1"/>
  <c r="CI485" i="1" s="1"/>
  <c r="CK485" i="1" s="1"/>
  <c r="CH485" i="1"/>
  <c r="CJ485" i="1" s="1"/>
  <c r="BR486" i="1"/>
  <c r="BT486" i="1" s="1"/>
  <c r="BV486" i="1" s="1"/>
  <c r="BS486" i="1"/>
  <c r="BU486" i="1" s="1"/>
  <c r="BD487" i="1"/>
  <c r="BF487" i="1" s="1"/>
  <c r="BC487" i="1"/>
  <c r="BE487" i="1" s="1"/>
  <c r="BG487" i="1" s="1"/>
  <c r="E490" i="1"/>
  <c r="F490" i="1"/>
  <c r="H490" i="1" s="1"/>
  <c r="CW484" i="1"/>
  <c r="CY484" i="1" s="1"/>
  <c r="CV484" i="1"/>
  <c r="CX484" i="1" s="1"/>
  <c r="CZ484" i="1" s="1"/>
  <c r="Y489" i="1"/>
  <c r="AA489" i="1" s="1"/>
  <c r="AC489" i="1" s="1"/>
  <c r="Z489" i="1"/>
  <c r="AB489" i="1" s="1"/>
  <c r="P489" i="1"/>
  <c r="R489" i="1" s="1"/>
  <c r="O489" i="1"/>
  <c r="AN488" i="1"/>
  <c r="AP488" i="1" s="1"/>
  <c r="AR488" i="1" s="1"/>
  <c r="AO488" i="1"/>
  <c r="AQ488" i="1" s="1"/>
  <c r="DA484" i="1" l="1"/>
  <c r="DC484" i="1" s="1"/>
  <c r="DB484" i="1"/>
  <c r="DD484" i="1" s="1"/>
  <c r="AE489" i="1"/>
  <c r="AG489" i="1" s="1"/>
  <c r="AD489" i="1"/>
  <c r="AF489" i="1" s="1"/>
  <c r="AH489" i="1" s="1"/>
  <c r="BH487" i="1"/>
  <c r="BJ487" i="1" s="1"/>
  <c r="BL487" i="1" s="1"/>
  <c r="BI487" i="1"/>
  <c r="BK487" i="1" s="1"/>
  <c r="BW486" i="1"/>
  <c r="BY486" i="1" s="1"/>
  <c r="CA486" i="1" s="1"/>
  <c r="BX486" i="1"/>
  <c r="BZ486" i="1" s="1"/>
  <c r="Q490" i="1"/>
  <c r="S490" i="1" s="1"/>
  <c r="G490" i="1"/>
  <c r="I490" i="1" s="1"/>
  <c r="AS488" i="1"/>
  <c r="AU488" i="1" s="1"/>
  <c r="AW488" i="1" s="1"/>
  <c r="AT488" i="1"/>
  <c r="AV488" i="1" s="1"/>
  <c r="CM485" i="1"/>
  <c r="CO485" i="1" s="1"/>
  <c r="CL485" i="1"/>
  <c r="CN485" i="1" s="1"/>
  <c r="CP485" i="1" s="1"/>
  <c r="AY488" i="1" l="1"/>
  <c r="BA488" i="1" s="1"/>
  <c r="AX488" i="1"/>
  <c r="AZ488" i="1" s="1"/>
  <c r="BB488" i="1" s="1"/>
  <c r="U490" i="1"/>
  <c r="W490" i="1" s="1"/>
  <c r="T490" i="1"/>
  <c r="V490" i="1" s="1"/>
  <c r="X490" i="1" s="1"/>
  <c r="AI489" i="1"/>
  <c r="AK489" i="1" s="1"/>
  <c r="AM489" i="1" s="1"/>
  <c r="AJ489" i="1"/>
  <c r="AL489" i="1" s="1"/>
  <c r="K490" i="1"/>
  <c r="M490" i="1" s="1"/>
  <c r="J490" i="1"/>
  <c r="L490" i="1" s="1"/>
  <c r="N490" i="1" s="1"/>
  <c r="D491" i="1"/>
  <c r="BM487" i="1"/>
  <c r="BO487" i="1" s="1"/>
  <c r="BQ487" i="1" s="1"/>
  <c r="BN487" i="1"/>
  <c r="BP487" i="1" s="1"/>
  <c r="CC486" i="1"/>
  <c r="CE486" i="1" s="1"/>
  <c r="CB486" i="1"/>
  <c r="CD486" i="1" s="1"/>
  <c r="CF486" i="1" s="1"/>
  <c r="CR485" i="1"/>
  <c r="CT485" i="1" s="1"/>
  <c r="CQ485" i="1"/>
  <c r="CS485" i="1" s="1"/>
  <c r="CU485" i="1" s="1"/>
  <c r="P490" i="1" l="1"/>
  <c r="R490" i="1" s="1"/>
  <c r="O490" i="1"/>
  <c r="CV485" i="1"/>
  <c r="CX485" i="1" s="1"/>
  <c r="CW485" i="1"/>
  <c r="CY485" i="1" s="1"/>
  <c r="BR487" i="1"/>
  <c r="BT487" i="1" s="1"/>
  <c r="BV487" i="1" s="1"/>
  <c r="BS487" i="1"/>
  <c r="BU487" i="1" s="1"/>
  <c r="AN489" i="1"/>
  <c r="AP489" i="1" s="1"/>
  <c r="AR489" i="1" s="1"/>
  <c r="AO489" i="1"/>
  <c r="AQ489" i="1" s="1"/>
  <c r="BD488" i="1"/>
  <c r="BF488" i="1" s="1"/>
  <c r="BC488" i="1"/>
  <c r="BE488" i="1" s="1"/>
  <c r="BG488" i="1" s="1"/>
  <c r="F491" i="1"/>
  <c r="H491" i="1" s="1"/>
  <c r="E491" i="1"/>
  <c r="Z490" i="1"/>
  <c r="AB490" i="1" s="1"/>
  <c r="Y490" i="1"/>
  <c r="AA490" i="1" s="1"/>
  <c r="AC490" i="1" s="1"/>
  <c r="CH486" i="1"/>
  <c r="CJ486" i="1" s="1"/>
  <c r="CG486" i="1"/>
  <c r="CI486" i="1" s="1"/>
  <c r="CK486" i="1" s="1"/>
  <c r="Q491" i="1" l="1"/>
  <c r="S491" i="1" s="1"/>
  <c r="G491" i="1"/>
  <c r="I491" i="1" s="1"/>
  <c r="AS489" i="1"/>
  <c r="AU489" i="1" s="1"/>
  <c r="AW489" i="1" s="1"/>
  <c r="AT489" i="1"/>
  <c r="AV489" i="1" s="1"/>
  <c r="AE490" i="1"/>
  <c r="AG490" i="1" s="1"/>
  <c r="AD490" i="1"/>
  <c r="AF490" i="1" s="1"/>
  <c r="AH490" i="1" s="1"/>
  <c r="CM486" i="1"/>
  <c r="CO486" i="1" s="1"/>
  <c r="CL486" i="1"/>
  <c r="CN486" i="1" s="1"/>
  <c r="CP486" i="1" s="1"/>
  <c r="BI488" i="1"/>
  <c r="BK488" i="1" s="1"/>
  <c r="BH488" i="1"/>
  <c r="BJ488" i="1" s="1"/>
  <c r="BL488" i="1" s="1"/>
  <c r="BX487" i="1"/>
  <c r="BZ487" i="1" s="1"/>
  <c r="BW487" i="1"/>
  <c r="BY487" i="1" s="1"/>
  <c r="CA487" i="1" s="1"/>
  <c r="CZ485" i="1"/>
  <c r="BM488" i="1" l="1"/>
  <c r="BO488" i="1" s="1"/>
  <c r="BQ488" i="1" s="1"/>
  <c r="BN488" i="1"/>
  <c r="BP488" i="1" s="1"/>
  <c r="CC487" i="1"/>
  <c r="CE487" i="1" s="1"/>
  <c r="CB487" i="1"/>
  <c r="CD487" i="1" s="1"/>
  <c r="CF487" i="1" s="1"/>
  <c r="AJ490" i="1"/>
  <c r="AL490" i="1" s="1"/>
  <c r="AI490" i="1"/>
  <c r="AK490" i="1" s="1"/>
  <c r="AM490" i="1" s="1"/>
  <c r="K491" i="1"/>
  <c r="M491" i="1" s="1"/>
  <c r="J491" i="1"/>
  <c r="L491" i="1" s="1"/>
  <c r="N491" i="1" s="1"/>
  <c r="D492" i="1"/>
  <c r="CR486" i="1"/>
  <c r="CT486" i="1" s="1"/>
  <c r="CQ486" i="1"/>
  <c r="CS486" i="1" s="1"/>
  <c r="CU486" i="1" s="1"/>
  <c r="AY489" i="1"/>
  <c r="BA489" i="1" s="1"/>
  <c r="AX489" i="1"/>
  <c r="AZ489" i="1" s="1"/>
  <c r="BB489" i="1" s="1"/>
  <c r="DB485" i="1"/>
  <c r="DD485" i="1" s="1"/>
  <c r="DA485" i="1"/>
  <c r="DC485" i="1" s="1"/>
  <c r="U491" i="1"/>
  <c r="W491" i="1" s="1"/>
  <c r="T491" i="1"/>
  <c r="V491" i="1" s="1"/>
  <c r="X491" i="1" s="1"/>
  <c r="AO490" i="1" l="1"/>
  <c r="AQ490" i="1" s="1"/>
  <c r="AN490" i="1"/>
  <c r="AP490" i="1" s="1"/>
  <c r="AR490" i="1" s="1"/>
  <c r="E492" i="1"/>
  <c r="F492" i="1"/>
  <c r="H492" i="1" s="1"/>
  <c r="CG487" i="1"/>
  <c r="CI487" i="1" s="1"/>
  <c r="CK487" i="1" s="1"/>
  <c r="CH487" i="1"/>
  <c r="CJ487" i="1" s="1"/>
  <c r="CW486" i="1"/>
  <c r="CY486" i="1" s="1"/>
  <c r="CV486" i="1"/>
  <c r="CX486" i="1" s="1"/>
  <c r="CZ486" i="1" s="1"/>
  <c r="Y491" i="1"/>
  <c r="AA491" i="1" s="1"/>
  <c r="AC491" i="1" s="1"/>
  <c r="Z491" i="1"/>
  <c r="AB491" i="1" s="1"/>
  <c r="P491" i="1"/>
  <c r="R491" i="1" s="1"/>
  <c r="O491" i="1"/>
  <c r="BD489" i="1"/>
  <c r="BF489" i="1" s="1"/>
  <c r="BC489" i="1"/>
  <c r="BE489" i="1" s="1"/>
  <c r="BG489" i="1" s="1"/>
  <c r="BR488" i="1"/>
  <c r="BT488" i="1" s="1"/>
  <c r="BV488" i="1" s="1"/>
  <c r="BS488" i="1"/>
  <c r="BU488" i="1" s="1"/>
  <c r="CM487" i="1" l="1"/>
  <c r="CO487" i="1" s="1"/>
  <c r="CL487" i="1"/>
  <c r="CN487" i="1" s="1"/>
  <c r="CP487" i="1" s="1"/>
  <c r="DB486" i="1"/>
  <c r="DD486" i="1" s="1"/>
  <c r="DA486" i="1"/>
  <c r="DC486" i="1" s="1"/>
  <c r="BX488" i="1"/>
  <c r="BZ488" i="1" s="1"/>
  <c r="BW488" i="1"/>
  <c r="BY488" i="1" s="1"/>
  <c r="CA488" i="1" s="1"/>
  <c r="AT490" i="1"/>
  <c r="AV490" i="1" s="1"/>
  <c r="AS490" i="1"/>
  <c r="AU490" i="1" s="1"/>
  <c r="AW490" i="1" s="1"/>
  <c r="AD491" i="1"/>
  <c r="AF491" i="1" s="1"/>
  <c r="AH491" i="1" s="1"/>
  <c r="AE491" i="1"/>
  <c r="AG491" i="1" s="1"/>
  <c r="BH489" i="1"/>
  <c r="BJ489" i="1" s="1"/>
  <c r="BL489" i="1" s="1"/>
  <c r="BI489" i="1"/>
  <c r="BK489" i="1" s="1"/>
  <c r="G492" i="1"/>
  <c r="I492" i="1" s="1"/>
  <c r="Q492" i="1"/>
  <c r="S492" i="1" s="1"/>
  <c r="AX490" i="1" l="1"/>
  <c r="AZ490" i="1" s="1"/>
  <c r="BB490" i="1" s="1"/>
  <c r="AY490" i="1"/>
  <c r="BA490" i="1" s="1"/>
  <c r="BM489" i="1"/>
  <c r="BO489" i="1" s="1"/>
  <c r="BQ489" i="1" s="1"/>
  <c r="BN489" i="1"/>
  <c r="BP489" i="1" s="1"/>
  <c r="CC488" i="1"/>
  <c r="CE488" i="1" s="1"/>
  <c r="CB488" i="1"/>
  <c r="CD488" i="1" s="1"/>
  <c r="CF488" i="1" s="1"/>
  <c r="AJ491" i="1"/>
  <c r="AL491" i="1" s="1"/>
  <c r="AI491" i="1"/>
  <c r="AK491" i="1" s="1"/>
  <c r="AM491" i="1" s="1"/>
  <c r="CQ487" i="1"/>
  <c r="CS487" i="1" s="1"/>
  <c r="CU487" i="1" s="1"/>
  <c r="CR487" i="1"/>
  <c r="CT487" i="1" s="1"/>
  <c r="T492" i="1"/>
  <c r="V492" i="1" s="1"/>
  <c r="X492" i="1" s="1"/>
  <c r="U492" i="1"/>
  <c r="W492" i="1" s="1"/>
  <c r="K492" i="1"/>
  <c r="M492" i="1" s="1"/>
  <c r="J492" i="1"/>
  <c r="L492" i="1" s="1"/>
  <c r="N492" i="1" s="1"/>
  <c r="D493" i="1"/>
  <c r="AO491" i="1" l="1"/>
  <c r="AQ491" i="1" s="1"/>
  <c r="AN491" i="1"/>
  <c r="AP491" i="1" s="1"/>
  <c r="AR491" i="1" s="1"/>
  <c r="Y492" i="1"/>
  <c r="AA492" i="1" s="1"/>
  <c r="AC492" i="1" s="1"/>
  <c r="Z492" i="1"/>
  <c r="AB492" i="1" s="1"/>
  <c r="CG488" i="1"/>
  <c r="CI488" i="1" s="1"/>
  <c r="CK488" i="1" s="1"/>
  <c r="CH488" i="1"/>
  <c r="CJ488" i="1" s="1"/>
  <c r="E493" i="1"/>
  <c r="F493" i="1"/>
  <c r="H493" i="1" s="1"/>
  <c r="BS489" i="1"/>
  <c r="BU489" i="1" s="1"/>
  <c r="BR489" i="1"/>
  <c r="BT489" i="1" s="1"/>
  <c r="BV489" i="1" s="1"/>
  <c r="CW487" i="1"/>
  <c r="CY487" i="1" s="1"/>
  <c r="CV487" i="1"/>
  <c r="CX487" i="1" s="1"/>
  <c r="O492" i="1"/>
  <c r="P492" i="1"/>
  <c r="R492" i="1" s="1"/>
  <c r="BC490" i="1"/>
  <c r="BE490" i="1" s="1"/>
  <c r="BG490" i="1" s="1"/>
  <c r="BD490" i="1"/>
  <c r="BF490" i="1" s="1"/>
  <c r="BW489" i="1" l="1"/>
  <c r="BY489" i="1" s="1"/>
  <c r="CA489" i="1" s="1"/>
  <c r="BX489" i="1"/>
  <c r="BZ489" i="1" s="1"/>
  <c r="CM488" i="1"/>
  <c r="CO488" i="1" s="1"/>
  <c r="CL488" i="1"/>
  <c r="CN488" i="1" s="1"/>
  <c r="CP488" i="1" s="1"/>
  <c r="AT491" i="1"/>
  <c r="AV491" i="1" s="1"/>
  <c r="AS491" i="1"/>
  <c r="AU491" i="1" s="1"/>
  <c r="AW491" i="1" s="1"/>
  <c r="Q493" i="1"/>
  <c r="S493" i="1" s="1"/>
  <c r="G493" i="1"/>
  <c r="I493" i="1" s="1"/>
  <c r="BH490" i="1"/>
  <c r="BJ490" i="1" s="1"/>
  <c r="BL490" i="1" s="1"/>
  <c r="BI490" i="1"/>
  <c r="BK490" i="1" s="1"/>
  <c r="AE492" i="1"/>
  <c r="AG492" i="1" s="1"/>
  <c r="AD492" i="1"/>
  <c r="AF492" i="1" s="1"/>
  <c r="AH492" i="1" s="1"/>
  <c r="CZ487" i="1"/>
  <c r="AJ492" i="1" l="1"/>
  <c r="AL492" i="1" s="1"/>
  <c r="AI492" i="1"/>
  <c r="AK492" i="1" s="1"/>
  <c r="AM492" i="1" s="1"/>
  <c r="J493" i="1"/>
  <c r="L493" i="1" s="1"/>
  <c r="N493" i="1" s="1"/>
  <c r="K493" i="1"/>
  <c r="M493" i="1" s="1"/>
  <c r="D494" i="1"/>
  <c r="T493" i="1"/>
  <c r="V493" i="1" s="1"/>
  <c r="X493" i="1" s="1"/>
  <c r="U493" i="1"/>
  <c r="W493" i="1" s="1"/>
  <c r="CR488" i="1"/>
  <c r="CT488" i="1" s="1"/>
  <c r="CQ488" i="1"/>
  <c r="CS488" i="1" s="1"/>
  <c r="CU488" i="1" s="1"/>
  <c r="BM490" i="1"/>
  <c r="BO490" i="1" s="1"/>
  <c r="BQ490" i="1" s="1"/>
  <c r="BN490" i="1"/>
  <c r="BP490" i="1" s="1"/>
  <c r="AY491" i="1"/>
  <c r="BA491" i="1" s="1"/>
  <c r="AX491" i="1"/>
  <c r="AZ491" i="1" s="1"/>
  <c r="BB491" i="1" s="1"/>
  <c r="DA487" i="1"/>
  <c r="DC487" i="1" s="1"/>
  <c r="DB487" i="1"/>
  <c r="DD487" i="1" s="1"/>
  <c r="CB489" i="1"/>
  <c r="CD489" i="1" s="1"/>
  <c r="CF489" i="1" s="1"/>
  <c r="CC489" i="1"/>
  <c r="CE489" i="1" s="1"/>
  <c r="CG489" i="1" l="1"/>
  <c r="CI489" i="1" s="1"/>
  <c r="CK489" i="1" s="1"/>
  <c r="CH489" i="1"/>
  <c r="CJ489" i="1" s="1"/>
  <c r="BR490" i="1"/>
  <c r="BT490" i="1" s="1"/>
  <c r="BV490" i="1" s="1"/>
  <c r="BS490" i="1"/>
  <c r="BU490" i="1" s="1"/>
  <c r="Z493" i="1"/>
  <c r="AB493" i="1" s="1"/>
  <c r="Y493" i="1"/>
  <c r="AA493" i="1" s="1"/>
  <c r="AC493" i="1" s="1"/>
  <c r="O493" i="1"/>
  <c r="P493" i="1"/>
  <c r="R493" i="1" s="1"/>
  <c r="AO492" i="1"/>
  <c r="AQ492" i="1" s="1"/>
  <c r="AN492" i="1"/>
  <c r="AP492" i="1" s="1"/>
  <c r="AR492" i="1" s="1"/>
  <c r="CW488" i="1"/>
  <c r="CY488" i="1" s="1"/>
  <c r="CV488" i="1"/>
  <c r="CX488" i="1" s="1"/>
  <c r="CZ488" i="1" s="1"/>
  <c r="E494" i="1"/>
  <c r="F494" i="1"/>
  <c r="H494" i="1" s="1"/>
  <c r="BD491" i="1"/>
  <c r="BF491" i="1" s="1"/>
  <c r="BC491" i="1"/>
  <c r="BE491" i="1" s="1"/>
  <c r="BG491" i="1" s="1"/>
  <c r="AS492" i="1" l="1"/>
  <c r="AU492" i="1" s="1"/>
  <c r="AW492" i="1" s="1"/>
  <c r="AT492" i="1"/>
  <c r="AV492" i="1" s="1"/>
  <c r="AE493" i="1"/>
  <c r="AG493" i="1" s="1"/>
  <c r="AD493" i="1"/>
  <c r="AF493" i="1" s="1"/>
  <c r="AH493" i="1" s="1"/>
  <c r="BI491" i="1"/>
  <c r="BK491" i="1" s="1"/>
  <c r="BH491" i="1"/>
  <c r="BJ491" i="1" s="1"/>
  <c r="BL491" i="1" s="1"/>
  <c r="DB488" i="1"/>
  <c r="DD488" i="1" s="1"/>
  <c r="DA488" i="1"/>
  <c r="DC488" i="1" s="1"/>
  <c r="BW490" i="1"/>
  <c r="BY490" i="1" s="1"/>
  <c r="CA490" i="1" s="1"/>
  <c r="BX490" i="1"/>
  <c r="BZ490" i="1" s="1"/>
  <c r="Q494" i="1"/>
  <c r="S494" i="1" s="1"/>
  <c r="G494" i="1"/>
  <c r="I494" i="1" s="1"/>
  <c r="CM489" i="1"/>
  <c r="CO489" i="1" s="1"/>
  <c r="CL489" i="1"/>
  <c r="CN489" i="1" s="1"/>
  <c r="CP489" i="1" s="1"/>
  <c r="BM491" i="1" l="1"/>
  <c r="BO491" i="1" s="1"/>
  <c r="BQ491" i="1" s="1"/>
  <c r="BN491" i="1"/>
  <c r="BP491" i="1" s="1"/>
  <c r="CC490" i="1"/>
  <c r="CE490" i="1" s="1"/>
  <c r="CB490" i="1"/>
  <c r="CD490" i="1" s="1"/>
  <c r="CF490" i="1" s="1"/>
  <c r="CQ489" i="1"/>
  <c r="CS489" i="1" s="1"/>
  <c r="CU489" i="1" s="1"/>
  <c r="CR489" i="1"/>
  <c r="CT489" i="1" s="1"/>
  <c r="T494" i="1"/>
  <c r="V494" i="1" s="1"/>
  <c r="X494" i="1" s="1"/>
  <c r="U494" i="1"/>
  <c r="W494" i="1" s="1"/>
  <c r="AJ493" i="1"/>
  <c r="AL493" i="1" s="1"/>
  <c r="AI493" i="1"/>
  <c r="AK493" i="1" s="1"/>
  <c r="AM493" i="1" s="1"/>
  <c r="J494" i="1"/>
  <c r="L494" i="1" s="1"/>
  <c r="N494" i="1" s="1"/>
  <c r="K494" i="1"/>
  <c r="M494" i="1" s="1"/>
  <c r="AX492" i="1"/>
  <c r="AZ492" i="1" s="1"/>
  <c r="BB492" i="1" s="1"/>
  <c r="AY492" i="1"/>
  <c r="BA492" i="1" s="1"/>
  <c r="AO493" i="1" l="1"/>
  <c r="AQ493" i="1" s="1"/>
  <c r="AN493" i="1"/>
  <c r="AP493" i="1" s="1"/>
  <c r="AR493" i="1" s="1"/>
  <c r="CV489" i="1"/>
  <c r="CX489" i="1" s="1"/>
  <c r="CZ489" i="1" s="1"/>
  <c r="CW489" i="1"/>
  <c r="CY489" i="1" s="1"/>
  <c r="CG490" i="1"/>
  <c r="CI490" i="1" s="1"/>
  <c r="CK490" i="1" s="1"/>
  <c r="CH490" i="1"/>
  <c r="CJ490" i="1" s="1"/>
  <c r="O494" i="1"/>
  <c r="P494" i="1"/>
  <c r="R494" i="1" s="1"/>
  <c r="Y494" i="1"/>
  <c r="AA494" i="1" s="1"/>
  <c r="AC494" i="1" s="1"/>
  <c r="Z494" i="1"/>
  <c r="AB494" i="1" s="1"/>
  <c r="BC492" i="1"/>
  <c r="BE492" i="1" s="1"/>
  <c r="BG492" i="1" s="1"/>
  <c r="BD492" i="1"/>
  <c r="BF492" i="1" s="1"/>
  <c r="BR491" i="1"/>
  <c r="BT491" i="1" s="1"/>
  <c r="BV491" i="1" s="1"/>
  <c r="BS491" i="1"/>
  <c r="BU491" i="1" s="1"/>
  <c r="BH492" i="1" l="1"/>
  <c r="BJ492" i="1" s="1"/>
  <c r="BL492" i="1" s="1"/>
  <c r="BI492" i="1"/>
  <c r="BK492" i="1" s="1"/>
  <c r="CM490" i="1"/>
  <c r="CO490" i="1" s="1"/>
  <c r="CL490" i="1"/>
  <c r="CN490" i="1" s="1"/>
  <c r="CP490" i="1" s="1"/>
  <c r="AD494" i="1"/>
  <c r="AF494" i="1" s="1"/>
  <c r="AH494" i="1" s="1"/>
  <c r="AE494" i="1"/>
  <c r="AG494" i="1" s="1"/>
  <c r="AS493" i="1"/>
  <c r="AU493" i="1" s="1"/>
  <c r="AW493" i="1" s="1"/>
  <c r="AT493" i="1"/>
  <c r="AV493" i="1" s="1"/>
  <c r="DB489" i="1"/>
  <c r="DD489" i="1" s="1"/>
  <c r="DA489" i="1"/>
  <c r="DC489" i="1" s="1"/>
  <c r="BW491" i="1"/>
  <c r="BY491" i="1" s="1"/>
  <c r="CA491" i="1" s="1"/>
  <c r="BX491" i="1"/>
  <c r="BZ491" i="1" s="1"/>
  <c r="AX493" i="1" l="1"/>
  <c r="AZ493" i="1" s="1"/>
  <c r="BB493" i="1" s="1"/>
  <c r="AY493" i="1"/>
  <c r="BA493" i="1" s="1"/>
  <c r="CR490" i="1"/>
  <c r="CT490" i="1" s="1"/>
  <c r="CQ490" i="1"/>
  <c r="CS490" i="1" s="1"/>
  <c r="CU490" i="1" s="1"/>
  <c r="CB491" i="1"/>
  <c r="CD491" i="1" s="1"/>
  <c r="CF491" i="1" s="1"/>
  <c r="CC491" i="1"/>
  <c r="CE491" i="1" s="1"/>
  <c r="AJ494" i="1"/>
  <c r="AL494" i="1" s="1"/>
  <c r="AI494" i="1"/>
  <c r="AK494" i="1" s="1"/>
  <c r="AM494" i="1" s="1"/>
  <c r="BM492" i="1"/>
  <c r="BO492" i="1" s="1"/>
  <c r="BQ492" i="1" s="1"/>
  <c r="BN492" i="1"/>
  <c r="BP492" i="1" s="1"/>
  <c r="AN494" i="1" l="1"/>
  <c r="AP494" i="1" s="1"/>
  <c r="AR494" i="1" s="1"/>
  <c r="AO494" i="1"/>
  <c r="AQ494" i="1" s="1"/>
  <c r="BR492" i="1"/>
  <c r="BT492" i="1" s="1"/>
  <c r="BV492" i="1" s="1"/>
  <c r="BS492" i="1"/>
  <c r="BU492" i="1" s="1"/>
  <c r="CV490" i="1"/>
  <c r="CX490" i="1" s="1"/>
  <c r="CZ490" i="1" s="1"/>
  <c r="CW490" i="1"/>
  <c r="CY490" i="1" s="1"/>
  <c r="CG491" i="1"/>
  <c r="CI491" i="1" s="1"/>
  <c r="CK491" i="1" s="1"/>
  <c r="CH491" i="1"/>
  <c r="CJ491" i="1" s="1"/>
  <c r="BD493" i="1"/>
  <c r="BF493" i="1" s="1"/>
  <c r="BC493" i="1"/>
  <c r="BE493" i="1" s="1"/>
  <c r="BG493" i="1" s="1"/>
  <c r="BI493" i="1" l="1"/>
  <c r="BK493" i="1" s="1"/>
  <c r="BH493" i="1"/>
  <c r="BJ493" i="1" s="1"/>
  <c r="BL493" i="1" s="1"/>
  <c r="CL491" i="1"/>
  <c r="CN491" i="1" s="1"/>
  <c r="CP491" i="1" s="1"/>
  <c r="CM491" i="1"/>
  <c r="CO491" i="1" s="1"/>
  <c r="DB490" i="1"/>
  <c r="DD490" i="1" s="1"/>
  <c r="DA490" i="1"/>
  <c r="DC490" i="1" s="1"/>
  <c r="BX492" i="1"/>
  <c r="BZ492" i="1" s="1"/>
  <c r="BW492" i="1"/>
  <c r="BY492" i="1" s="1"/>
  <c r="CA492" i="1" s="1"/>
  <c r="AS494" i="1"/>
  <c r="AU494" i="1" s="1"/>
  <c r="AW494" i="1" s="1"/>
  <c r="AT494" i="1"/>
  <c r="AV494" i="1" s="1"/>
  <c r="CB492" i="1" l="1"/>
  <c r="CD492" i="1" s="1"/>
  <c r="CF492" i="1" s="1"/>
  <c r="CC492" i="1"/>
  <c r="CE492" i="1" s="1"/>
  <c r="AY494" i="1"/>
  <c r="BA494" i="1" s="1"/>
  <c r="AX494" i="1"/>
  <c r="AZ494" i="1" s="1"/>
  <c r="BB494" i="1" s="1"/>
  <c r="CQ491" i="1"/>
  <c r="CS491" i="1" s="1"/>
  <c r="CU491" i="1" s="1"/>
  <c r="CR491" i="1"/>
  <c r="CT491" i="1" s="1"/>
  <c r="BN493" i="1"/>
  <c r="BP493" i="1" s="1"/>
  <c r="BM493" i="1"/>
  <c r="BO493" i="1" s="1"/>
  <c r="BQ493" i="1" s="1"/>
  <c r="BR493" i="1" l="1"/>
  <c r="BT493" i="1" s="1"/>
  <c r="BV493" i="1" s="1"/>
  <c r="BS493" i="1"/>
  <c r="BU493" i="1" s="1"/>
  <c r="CV491" i="1"/>
  <c r="CX491" i="1" s="1"/>
  <c r="CW491" i="1"/>
  <c r="CY491" i="1" s="1"/>
  <c r="BD494" i="1"/>
  <c r="BF494" i="1" s="1"/>
  <c r="BC494" i="1"/>
  <c r="BE494" i="1" s="1"/>
  <c r="BG494" i="1" s="1"/>
  <c r="CH492" i="1"/>
  <c r="CJ492" i="1" s="1"/>
  <c r="CG492" i="1"/>
  <c r="CI492" i="1" s="1"/>
  <c r="CK492" i="1" s="1"/>
  <c r="CL492" i="1" l="1"/>
  <c r="CN492" i="1" s="1"/>
  <c r="CP492" i="1" s="1"/>
  <c r="CM492" i="1"/>
  <c r="CO492" i="1" s="1"/>
  <c r="BI494" i="1"/>
  <c r="BK494" i="1" s="1"/>
  <c r="BH494" i="1"/>
  <c r="BJ494" i="1" s="1"/>
  <c r="BL494" i="1" s="1"/>
  <c r="CZ491" i="1"/>
  <c r="BX493" i="1"/>
  <c r="BZ493" i="1" s="1"/>
  <c r="BW493" i="1"/>
  <c r="BY493" i="1" s="1"/>
  <c r="CA493" i="1" s="1"/>
  <c r="CB493" i="1" l="1"/>
  <c r="CD493" i="1" s="1"/>
  <c r="CF493" i="1" s="1"/>
  <c r="CC493" i="1"/>
  <c r="CE493" i="1" s="1"/>
  <c r="BM494" i="1"/>
  <c r="BO494" i="1" s="1"/>
  <c r="BQ494" i="1" s="1"/>
  <c r="BN494" i="1"/>
  <c r="BP494" i="1" s="1"/>
  <c r="DA491" i="1"/>
  <c r="DC491" i="1" s="1"/>
  <c r="DB491" i="1"/>
  <c r="DD491" i="1" s="1"/>
  <c r="CR492" i="1"/>
  <c r="CT492" i="1" s="1"/>
  <c r="CQ492" i="1"/>
  <c r="CS492" i="1" s="1"/>
  <c r="CU492" i="1" s="1"/>
  <c r="CV492" i="1" l="1"/>
  <c r="CX492" i="1" s="1"/>
  <c r="CW492" i="1"/>
  <c r="CY492" i="1" s="1"/>
  <c r="BR494" i="1"/>
  <c r="BT494" i="1" s="1"/>
  <c r="BV494" i="1" s="1"/>
  <c r="BS494" i="1"/>
  <c r="BU494" i="1" s="1"/>
  <c r="CH493" i="1"/>
  <c r="CJ493" i="1" s="1"/>
  <c r="CG493" i="1"/>
  <c r="CI493" i="1" s="1"/>
  <c r="CK493" i="1" s="1"/>
  <c r="CM493" i="1" l="1"/>
  <c r="CO493" i="1" s="1"/>
  <c r="CL493" i="1"/>
  <c r="CN493" i="1" s="1"/>
  <c r="CP493" i="1" s="1"/>
  <c r="BW494" i="1"/>
  <c r="BY494" i="1" s="1"/>
  <c r="CA494" i="1" s="1"/>
  <c r="BX494" i="1"/>
  <c r="BZ494" i="1" s="1"/>
  <c r="CZ492" i="1"/>
  <c r="DB492" i="1" l="1"/>
  <c r="DD492" i="1" s="1"/>
  <c r="DA492" i="1"/>
  <c r="DC492" i="1" s="1"/>
  <c r="CB494" i="1"/>
  <c r="CD494" i="1" s="1"/>
  <c r="CF494" i="1" s="1"/>
  <c r="CC494" i="1"/>
  <c r="CE494" i="1" s="1"/>
  <c r="CR493" i="1"/>
  <c r="CT493" i="1" s="1"/>
  <c r="CQ493" i="1"/>
  <c r="CS493" i="1" s="1"/>
  <c r="CU493" i="1" s="1"/>
  <c r="CV493" i="1" l="1"/>
  <c r="CX493" i="1" s="1"/>
  <c r="CW493" i="1"/>
  <c r="CY493" i="1" s="1"/>
  <c r="CH494" i="1"/>
  <c r="CJ494" i="1" s="1"/>
  <c r="CG494" i="1"/>
  <c r="CI494" i="1" s="1"/>
  <c r="CK494" i="1" s="1"/>
  <c r="CL494" i="1" l="1"/>
  <c r="CN494" i="1" s="1"/>
  <c r="CP494" i="1" s="1"/>
  <c r="CM494" i="1"/>
  <c r="CO494" i="1" s="1"/>
  <c r="CZ493" i="1"/>
  <c r="DB493" i="1" l="1"/>
  <c r="DD493" i="1" s="1"/>
  <c r="DA493" i="1"/>
  <c r="DC493" i="1" s="1"/>
  <c r="CR494" i="1"/>
  <c r="CT494" i="1" s="1"/>
  <c r="CQ494" i="1"/>
  <c r="CS494" i="1" s="1"/>
  <c r="CU494" i="1" s="1"/>
  <c r="CV494" i="1" l="1"/>
  <c r="CX494" i="1" s="1"/>
  <c r="CW494" i="1"/>
  <c r="CY494" i="1" s="1"/>
  <c r="CZ494" i="1" l="1"/>
  <c r="DB494" i="1" l="1"/>
  <c r="DD494" i="1" s="1"/>
  <c r="DA494" i="1"/>
  <c r="DC494" i="1" s="1"/>
</calcChain>
</file>

<file path=xl/sharedStrings.xml><?xml version="1.0" encoding="utf-8"?>
<sst xmlns="http://schemas.openxmlformats.org/spreadsheetml/2006/main" count="366" uniqueCount="111">
  <si>
    <t>Given:</t>
  </si>
  <si>
    <t>Total Nodes: M =</t>
  </si>
  <si>
    <t>Delta x: x =</t>
  </si>
  <si>
    <t>in mm</t>
  </si>
  <si>
    <t>in m</t>
  </si>
  <si>
    <t>Convec. Heat transfer: h =</t>
  </si>
  <si>
    <t>Conduc. Heat Transfer: K =</t>
  </si>
  <si>
    <t>W/m^2K</t>
  </si>
  <si>
    <t>W/m K</t>
  </si>
  <si>
    <t>m^2/s</t>
  </si>
  <si>
    <t>Surround. Temp. T surr.:</t>
  </si>
  <si>
    <t>° C</t>
  </si>
  <si>
    <t>Radius: R =</t>
  </si>
  <si>
    <t>Diameter: D =</t>
  </si>
  <si>
    <t>Iteration no.: n =</t>
  </si>
  <si>
    <t>Iteration Time: t =</t>
  </si>
  <si>
    <t>T0</t>
  </si>
  <si>
    <t>T1</t>
  </si>
  <si>
    <t>T2</t>
  </si>
  <si>
    <t>T3</t>
  </si>
  <si>
    <t>T4</t>
  </si>
  <si>
    <t>T5</t>
  </si>
  <si>
    <t>Surface Temp.: Tsurf.: Tm @ n=m</t>
  </si>
  <si>
    <t>Core temp. T core: T0 @ n=0</t>
  </si>
  <si>
    <t>r2</t>
  </si>
  <si>
    <t>r3</t>
  </si>
  <si>
    <t>r4</t>
  </si>
  <si>
    <t>r5</t>
  </si>
  <si>
    <t>r1</t>
  </si>
  <si>
    <t>Acc. Stbilility criterion:</t>
  </si>
  <si>
    <t xml:space="preserve">Delta Tou: t = </t>
  </si>
  <si>
    <t>seconds</t>
  </si>
  <si>
    <t>Fourier No.: F0 =</t>
  </si>
  <si>
    <t>Biot no.: Bi =</t>
  </si>
  <si>
    <t>α</t>
  </si>
  <si>
    <t>K</t>
  </si>
  <si>
    <t>F0</t>
  </si>
  <si>
    <t>Bi</t>
  </si>
  <si>
    <t>Density:  Steel</t>
  </si>
  <si>
    <r>
      <t>Kg/m</t>
    </r>
    <r>
      <rPr>
        <sz val="11"/>
        <color theme="1"/>
        <rFont val="Calibri"/>
        <family val="2"/>
      </rPr>
      <t>³</t>
    </r>
  </si>
  <si>
    <t>Cp =</t>
  </si>
  <si>
    <t>J/Kg K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</si>
  <si>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</si>
  <si>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</si>
  <si>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</si>
  <si>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</si>
  <si>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</si>
  <si>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</si>
  <si>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</si>
  <si>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</si>
  <si>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</si>
  <si>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</si>
  <si>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</si>
  <si>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</si>
  <si>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</si>
  <si>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</si>
  <si>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</si>
  <si>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</si>
  <si>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</si>
  <si>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</si>
  <si>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</si>
  <si>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</si>
  <si>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</si>
  <si>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</si>
  <si>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</si>
  <si>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</si>
  <si>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</si>
  <si>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</si>
  <si>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</si>
  <si>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</si>
  <si>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</si>
  <si>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</si>
  <si>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NODE no. =</t>
  </si>
  <si>
    <t>Stephen Boltzman constant:</t>
  </si>
  <si>
    <t>h radiation:</t>
  </si>
  <si>
    <t>Ɛ emmisivity:</t>
  </si>
  <si>
    <t>h final:</t>
  </si>
  <si>
    <t>water outlet temp.:</t>
  </si>
  <si>
    <t>Bar velocity =</t>
  </si>
  <si>
    <t>m/s</t>
  </si>
  <si>
    <t>Quench Pipe Dia =</t>
  </si>
  <si>
    <t>m</t>
  </si>
  <si>
    <t>Quench length =</t>
  </si>
  <si>
    <t>Self tempe. Length =</t>
  </si>
  <si>
    <t>Water inlet temp. =</t>
  </si>
  <si>
    <t>Water Outlet temp =</t>
  </si>
  <si>
    <t>Flow rate =</t>
  </si>
  <si>
    <r>
      <t>m</t>
    </r>
    <r>
      <rPr>
        <sz val="11"/>
        <color theme="1"/>
        <rFont val="Times New Roman"/>
        <family val="1"/>
      </rPr>
      <t>³</t>
    </r>
    <r>
      <rPr>
        <sz val="9.35"/>
        <color theme="1"/>
        <rFont val="Calibri"/>
        <family val="2"/>
      </rPr>
      <t>/ hr</t>
    </r>
  </si>
  <si>
    <t>Air Inlet:</t>
  </si>
  <si>
    <t>Air outlet:</t>
  </si>
  <si>
    <t>Pressure:</t>
  </si>
  <si>
    <t>Re reynolds no:</t>
  </si>
  <si>
    <t>Pr no.:</t>
  </si>
  <si>
    <r>
      <t xml:space="preserve">Thermal Diffus.: </t>
    </r>
    <r>
      <rPr>
        <b/>
        <sz val="12"/>
        <color theme="1"/>
        <rFont val="Times New Roman"/>
        <family val="1"/>
      </rPr>
      <t>α</t>
    </r>
    <r>
      <rPr>
        <b/>
        <sz val="12"/>
        <color theme="1"/>
        <rFont val="Calibri"/>
        <family val="2"/>
      </rPr>
      <t xml:space="preserve"> =</t>
    </r>
  </si>
  <si>
    <r>
      <rPr>
        <b/>
        <sz val="12"/>
        <color theme="1"/>
        <rFont val="Times New Roman"/>
        <family val="1"/>
      </rPr>
      <t>ρ</t>
    </r>
    <r>
      <rPr>
        <b/>
        <sz val="12"/>
        <color theme="1"/>
        <rFont val="Calibri"/>
        <family val="2"/>
      </rPr>
      <t xml:space="preserve">  Water:</t>
    </r>
  </si>
  <si>
    <t>K water =</t>
  </si>
  <si>
    <r>
      <t>W/m</t>
    </r>
    <r>
      <rPr>
        <sz val="11"/>
        <color theme="1"/>
        <rFont val="Times New Roman"/>
        <family val="1"/>
      </rPr>
      <t>²</t>
    </r>
    <r>
      <rPr>
        <sz val="11"/>
        <color theme="1"/>
        <rFont val="Calibri"/>
        <family val="2"/>
        <scheme val="minor"/>
      </rPr>
      <t>K^4</t>
    </r>
  </si>
  <si>
    <t>Dh =</t>
  </si>
  <si>
    <r>
      <t>Ns/m</t>
    </r>
    <r>
      <rPr>
        <sz val="11"/>
        <color theme="1"/>
        <rFont val="Times New Roman"/>
        <family val="1"/>
      </rPr>
      <t>²</t>
    </r>
  </si>
  <si>
    <t>Area eff. =</t>
  </si>
  <si>
    <t>Wetted Perimeter =</t>
  </si>
  <si>
    <t>Water velocity =</t>
  </si>
  <si>
    <t>Discharge =</t>
  </si>
  <si>
    <r>
      <t>m</t>
    </r>
    <r>
      <rPr>
        <sz val="11"/>
        <color theme="1"/>
        <rFont val="Times New Roman"/>
        <family val="1"/>
      </rPr>
      <t>³/hr</t>
    </r>
  </si>
  <si>
    <t>m/sec</t>
  </si>
  <si>
    <r>
      <t>m</t>
    </r>
    <r>
      <rPr>
        <sz val="11"/>
        <color theme="1"/>
        <rFont val="Times New Roman"/>
        <family val="1"/>
      </rPr>
      <t>²</t>
    </r>
  </si>
  <si>
    <t>Cp water =</t>
  </si>
  <si>
    <t xml:space="preserve">V relative: </t>
  </si>
  <si>
    <r>
      <rPr>
        <b/>
        <sz val="12"/>
        <color theme="1"/>
        <rFont val="Times New Roman"/>
        <family val="1"/>
      </rPr>
      <t>μ</t>
    </r>
    <r>
      <rPr>
        <b/>
        <sz val="12"/>
        <color theme="1"/>
        <rFont val="Calibri"/>
        <family val="2"/>
      </rPr>
      <t xml:space="preserve"> Dynamic viscosity:</t>
    </r>
  </si>
  <si>
    <r>
      <t xml:space="preserve">Thermal Diffus.: </t>
    </r>
    <r>
      <rPr>
        <b/>
        <sz val="11"/>
        <color theme="1"/>
        <rFont val="Times New Roman"/>
        <family val="1"/>
      </rPr>
      <t>α</t>
    </r>
    <r>
      <rPr>
        <b/>
        <sz val="11"/>
        <color theme="1"/>
        <rFont val="Calibri"/>
        <family val="2"/>
      </rPr>
      <t xml:space="preserve"> =</t>
    </r>
  </si>
  <si>
    <r>
      <rPr>
        <b/>
        <sz val="11"/>
        <color theme="1"/>
        <rFont val="Times New Roman"/>
        <family val="1"/>
      </rPr>
      <t>ρ</t>
    </r>
    <r>
      <rPr>
        <b/>
        <sz val="6.6"/>
        <color theme="1"/>
        <rFont val="Calibri"/>
        <family val="2"/>
      </rPr>
      <t xml:space="preserve">  </t>
    </r>
    <r>
      <rPr>
        <b/>
        <sz val="11"/>
        <color theme="1"/>
        <rFont val="Calibri"/>
        <family val="2"/>
      </rPr>
      <t>Water: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</si>
</sst>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24"/>
      <color theme="1"/>
      <name val="Calibri"/>
      <family val="2"/>
      <scheme val="minor"/>
    </font>
    <font>
      <sz val="9.35"/>
      <color theme="1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color theme="1"/>
      <name val="Calibri"/>
      <family val="2"/>
    </font>
    <font>
      <b/>
      <sz val="11"/>
      <color theme="1"/>
      <name val="Calibri"/>
      <family val="2"/>
    </font>
    <font>
      <b/>
      <sz val="6.6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EC2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0" fillId="0" borderId="0" xfId="0" applyAlignment="1"/>
    <xf numFmtId="0" fontId="0" fillId="0" borderId="0" xfId="0" applyFill="1"/>
    <xf numFmtId="0" fontId="0" fillId="2" borderId="0" xfId="0" applyFill="1"/>
    <xf numFmtId="0" fontId="0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3" fillId="0" borderId="0" xfId="0" applyFont="1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3" fillId="0" borderId="0" xfId="0" applyFont="1"/>
    <xf numFmtId="0" fontId="7" fillId="0" borderId="0" xfId="0" applyFont="1"/>
    <xf numFmtId="0" fontId="8" fillId="0" borderId="0" xfId="0" applyFont="1"/>
    <xf numFmtId="0" fontId="10" fillId="0" borderId="0" xfId="0" applyFont="1"/>
    <xf numFmtId="0" fontId="8" fillId="0" borderId="0" xfId="0" applyFont="1" applyAlignment="1">
      <alignment horizontal="center" vertical="center" wrapText="1"/>
    </xf>
    <xf numFmtId="0" fontId="9" fillId="0" borderId="0" xfId="0" applyFont="1"/>
    <xf numFmtId="0" fontId="8" fillId="0" borderId="0" xfId="0" applyFont="1" applyFill="1"/>
    <xf numFmtId="0" fontId="10" fillId="0" borderId="0" xfId="0" applyFont="1" applyFill="1"/>
    <xf numFmtId="0" fontId="8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/>
    <xf numFmtId="0" fontId="1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EC2EA"/>
      <color rgb="FFEDCE11"/>
      <color rgb="FFFF4343"/>
      <color rgb="FFFF3F3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D494"/>
  <sheetViews>
    <sheetView tabSelected="1" topLeftCell="A237" zoomScale="90" zoomScaleNormal="90" workbookViewId="0">
      <selection activeCell="B265" sqref="B265"/>
    </sheetView>
  </sheetViews>
  <sheetFormatPr defaultRowHeight="15" x14ac:dyDescent="0.25"/>
  <cols>
    <col min="2" max="2" width="40.28515625" customWidth="1"/>
    <col min="3" max="3" width="23.42578125" customWidth="1"/>
    <col min="5" max="5" width="14.7109375" bestFit="1" customWidth="1"/>
    <col min="7" max="7" width="12.5703125" customWidth="1"/>
    <col min="10" max="10" width="14.7109375" bestFit="1" customWidth="1"/>
    <col min="11" max="11" width="14.85546875" customWidth="1"/>
    <col min="12" max="12" width="11.85546875" bestFit="1" customWidth="1"/>
    <col min="13" max="13" width="10.5703125" bestFit="1" customWidth="1"/>
    <col min="15" max="15" width="22.28515625" customWidth="1"/>
    <col min="20" max="20" width="18.5703125" customWidth="1"/>
    <col min="25" max="25" width="14.7109375" bestFit="1" customWidth="1"/>
    <col min="30" max="30" width="16" bestFit="1" customWidth="1"/>
    <col min="104" max="104" width="11" customWidth="1"/>
  </cols>
  <sheetData>
    <row r="2" spans="1:43" x14ac:dyDescent="0.25">
      <c r="C2" s="17" t="s">
        <v>3</v>
      </c>
      <c r="D2" s="17" t="s">
        <v>4</v>
      </c>
      <c r="G2" s="17" t="s">
        <v>28</v>
      </c>
      <c r="H2" s="17" t="s">
        <v>24</v>
      </c>
      <c r="I2" s="17" t="s">
        <v>25</v>
      </c>
      <c r="J2" s="17" t="s">
        <v>26</v>
      </c>
      <c r="K2" s="17" t="s">
        <v>27</v>
      </c>
      <c r="L2" s="17" t="s">
        <v>42</v>
      </c>
      <c r="M2" s="17" t="s">
        <v>43</v>
      </c>
      <c r="N2" s="17" t="s">
        <v>44</v>
      </c>
      <c r="O2" s="17" t="s">
        <v>45</v>
      </c>
      <c r="P2" s="17" t="s">
        <v>46</v>
      </c>
      <c r="Q2" s="17" t="s">
        <v>47</v>
      </c>
      <c r="R2" s="17" t="s">
        <v>48</v>
      </c>
      <c r="S2" s="17" t="s">
        <v>49</v>
      </c>
      <c r="T2" s="17" t="s">
        <v>50</v>
      </c>
      <c r="U2" s="17" t="s">
        <v>51</v>
      </c>
      <c r="V2" s="17" t="s">
        <v>52</v>
      </c>
      <c r="W2" s="17" t="s">
        <v>53</v>
      </c>
      <c r="X2" s="17" t="s">
        <v>54</v>
      </c>
      <c r="Y2" s="17" t="s">
        <v>55</v>
      </c>
      <c r="Z2" s="17" t="s">
        <v>56</v>
      </c>
    </row>
    <row r="3" spans="1:43" x14ac:dyDescent="0.25">
      <c r="A3" s="17" t="s">
        <v>0</v>
      </c>
      <c r="B3" s="17" t="s">
        <v>13</v>
      </c>
      <c r="C3">
        <v>25</v>
      </c>
      <c r="D3">
        <f>C3/1000</f>
        <v>2.5000000000000001E-2</v>
      </c>
      <c r="F3" s="17" t="s">
        <v>3</v>
      </c>
      <c r="G3">
        <f>$C$6*1</f>
        <v>0.625</v>
      </c>
      <c r="H3">
        <f>$C$6*2</f>
        <v>1.25</v>
      </c>
      <c r="I3">
        <f>$C$6*3</f>
        <v>1.875</v>
      </c>
      <c r="J3">
        <f>$C$6*4</f>
        <v>2.5</v>
      </c>
      <c r="K3">
        <f>$C$6*5</f>
        <v>3.125</v>
      </c>
      <c r="L3">
        <f>$C$6*6</f>
        <v>3.75</v>
      </c>
      <c r="M3">
        <f>$C$6*7</f>
        <v>4.375</v>
      </c>
      <c r="N3">
        <f>$C$6*8</f>
        <v>5</v>
      </c>
      <c r="O3">
        <f>$C$6*9</f>
        <v>5.625</v>
      </c>
      <c r="P3">
        <f>$C$6*10</f>
        <v>6.25</v>
      </c>
      <c r="Q3">
        <f>$C$6*11</f>
        <v>6.875</v>
      </c>
      <c r="R3">
        <f>$C$6*12</f>
        <v>7.5</v>
      </c>
      <c r="S3">
        <f>$C$6*13</f>
        <v>8.125</v>
      </c>
      <c r="T3">
        <f>$C$6*14</f>
        <v>8.75</v>
      </c>
      <c r="U3">
        <f>$C$6*15</f>
        <v>9.375</v>
      </c>
      <c r="V3">
        <f>$C$6*16</f>
        <v>10</v>
      </c>
      <c r="W3">
        <f>$C$6*17</f>
        <v>10.625</v>
      </c>
      <c r="X3">
        <f>$C$6*18</f>
        <v>11.25</v>
      </c>
      <c r="Y3">
        <f>$C$6*19</f>
        <v>11.875</v>
      </c>
      <c r="Z3">
        <f>$C$6*20</f>
        <v>12.5</v>
      </c>
    </row>
    <row r="4" spans="1:43" x14ac:dyDescent="0.25">
      <c r="B4" s="17" t="s">
        <v>12</v>
      </c>
      <c r="C4">
        <f>C3/2</f>
        <v>12.5</v>
      </c>
      <c r="D4">
        <f>C4/1000</f>
        <v>1.2500000000000001E-2</v>
      </c>
      <c r="F4" s="17" t="s">
        <v>4</v>
      </c>
      <c r="G4">
        <f>G3/1000</f>
        <v>6.2500000000000001E-4</v>
      </c>
      <c r="H4">
        <f t="shared" ref="H4:Z4" si="0">H3/1000</f>
        <v>1.25E-3</v>
      </c>
      <c r="I4">
        <f t="shared" si="0"/>
        <v>1.8749999999999999E-3</v>
      </c>
      <c r="J4">
        <f t="shared" si="0"/>
        <v>2.5000000000000001E-3</v>
      </c>
      <c r="K4">
        <f t="shared" si="0"/>
        <v>3.1250000000000002E-3</v>
      </c>
      <c r="L4">
        <f t="shared" si="0"/>
        <v>3.7499999999999999E-3</v>
      </c>
      <c r="M4">
        <f t="shared" si="0"/>
        <v>4.3750000000000004E-3</v>
      </c>
      <c r="N4">
        <f t="shared" si="0"/>
        <v>5.0000000000000001E-3</v>
      </c>
      <c r="O4">
        <f t="shared" si="0"/>
        <v>5.6249999999999998E-3</v>
      </c>
      <c r="P4">
        <f t="shared" si="0"/>
        <v>6.2500000000000003E-3</v>
      </c>
      <c r="Q4">
        <f t="shared" si="0"/>
        <v>6.875E-3</v>
      </c>
      <c r="R4">
        <f t="shared" si="0"/>
        <v>7.4999999999999997E-3</v>
      </c>
      <c r="S4">
        <f t="shared" si="0"/>
        <v>8.1250000000000003E-3</v>
      </c>
      <c r="T4">
        <f t="shared" si="0"/>
        <v>8.7500000000000008E-3</v>
      </c>
      <c r="U4">
        <f t="shared" si="0"/>
        <v>9.3749999999999997E-3</v>
      </c>
      <c r="V4">
        <f t="shared" si="0"/>
        <v>0.01</v>
      </c>
      <c r="W4">
        <f t="shared" si="0"/>
        <v>1.0625000000000001E-2</v>
      </c>
      <c r="X4">
        <f t="shared" si="0"/>
        <v>1.125E-2</v>
      </c>
      <c r="Y4">
        <f t="shared" si="0"/>
        <v>1.1875E-2</v>
      </c>
      <c r="Z4">
        <f t="shared" si="0"/>
        <v>1.2500000000000001E-2</v>
      </c>
    </row>
    <row r="5" spans="1:43" x14ac:dyDescent="0.25">
      <c r="B5" s="17" t="s">
        <v>1</v>
      </c>
      <c r="C5">
        <v>20</v>
      </c>
      <c r="S5" s="3"/>
      <c r="T5" s="3"/>
      <c r="AQ5">
        <f>3^3*5+4/2</f>
        <v>137</v>
      </c>
    </row>
    <row r="6" spans="1:43" x14ac:dyDescent="0.25">
      <c r="B6" s="17" t="s">
        <v>2</v>
      </c>
      <c r="C6">
        <f>C4/C5</f>
        <v>0.625</v>
      </c>
      <c r="D6">
        <f>C6/1000</f>
        <v>6.2500000000000001E-4</v>
      </c>
      <c r="S6" s="3"/>
      <c r="T6" s="3"/>
    </row>
    <row r="7" spans="1:43" x14ac:dyDescent="0.25">
      <c r="B7" s="17"/>
      <c r="F7" s="26" t="s">
        <v>32</v>
      </c>
      <c r="G7" s="26"/>
      <c r="H7">
        <f>(C10*M8)/(D6^2)</f>
        <v>1.2763737083803602E-2</v>
      </c>
      <c r="K7" s="27" t="s">
        <v>29</v>
      </c>
      <c r="L7" s="2"/>
      <c r="S7" s="3"/>
      <c r="T7" s="3"/>
      <c r="U7" s="3"/>
      <c r="V7" s="3"/>
      <c r="W7" s="3"/>
      <c r="X7" s="3"/>
      <c r="Y7" s="3"/>
    </row>
    <row r="8" spans="1:43" x14ac:dyDescent="0.25">
      <c r="B8" s="17" t="s">
        <v>5</v>
      </c>
      <c r="C8">
        <v>8825</v>
      </c>
      <c r="D8" t="s">
        <v>7</v>
      </c>
      <c r="F8" s="26" t="s">
        <v>33</v>
      </c>
      <c r="G8" s="26"/>
      <c r="H8">
        <f>$C$8*$D$6/AE19</f>
        <v>0.20032960746747056</v>
      </c>
      <c r="K8" s="17" t="s">
        <v>30</v>
      </c>
      <c r="M8">
        <f>(0.1*(D6^2))/(AD19*(1+AG19+(AG19/(2*C5))))/6</f>
        <v>9.7761466634525146E-4</v>
      </c>
      <c r="N8" t="s">
        <v>31</v>
      </c>
      <c r="T8" s="3"/>
      <c r="U8" s="3"/>
      <c r="V8" s="3"/>
      <c r="W8" s="3"/>
      <c r="X8" s="3"/>
      <c r="Y8" s="3"/>
    </row>
    <row r="9" spans="1:43" x14ac:dyDescent="0.25">
      <c r="B9" s="17" t="s">
        <v>6</v>
      </c>
      <c r="C9">
        <v>27.12</v>
      </c>
      <c r="D9" t="s">
        <v>8</v>
      </c>
      <c r="T9" s="3"/>
      <c r="U9" s="3"/>
      <c r="V9" s="3"/>
      <c r="W9" s="3"/>
      <c r="X9" s="3"/>
      <c r="Y9" s="3"/>
    </row>
    <row r="10" spans="1:43" x14ac:dyDescent="0.25">
      <c r="B10" s="17" t="s">
        <v>109</v>
      </c>
      <c r="C10">
        <f>5.1 * (10^(-6))</f>
        <v>5.0999999999999995E-6</v>
      </c>
      <c r="D10" t="s">
        <v>9</v>
      </c>
      <c r="T10" s="3"/>
      <c r="U10" s="3"/>
      <c r="V10" s="3"/>
      <c r="W10" s="3"/>
      <c r="X10" s="3"/>
      <c r="Y10" s="3"/>
    </row>
    <row r="11" spans="1:43" x14ac:dyDescent="0.25">
      <c r="B11" s="17" t="s">
        <v>38</v>
      </c>
      <c r="C11">
        <v>7850</v>
      </c>
      <c r="D11" t="s">
        <v>39</v>
      </c>
      <c r="F11" s="28" t="s">
        <v>110</v>
      </c>
      <c r="G11">
        <v>1000</v>
      </c>
      <c r="H11" t="s">
        <v>39</v>
      </c>
      <c r="T11" s="3"/>
      <c r="U11" s="3"/>
      <c r="V11" s="3"/>
      <c r="W11" s="3"/>
      <c r="X11" s="3"/>
      <c r="Y11" s="3"/>
    </row>
    <row r="12" spans="1:43" x14ac:dyDescent="0.25">
      <c r="B12" s="17" t="s">
        <v>22</v>
      </c>
      <c r="C12">
        <v>900</v>
      </c>
      <c r="D12" s="1" t="s">
        <v>11</v>
      </c>
      <c r="E12" s="1"/>
      <c r="F12" s="28" t="s">
        <v>40</v>
      </c>
      <c r="G12" s="1">
        <v>600</v>
      </c>
      <c r="H12" s="1" t="s">
        <v>41</v>
      </c>
      <c r="T12" s="3"/>
      <c r="U12" s="3"/>
      <c r="V12" s="3"/>
      <c r="W12" s="3"/>
      <c r="X12" s="3"/>
      <c r="Y12" s="3"/>
    </row>
    <row r="13" spans="1:43" x14ac:dyDescent="0.25">
      <c r="B13" s="17" t="s">
        <v>23</v>
      </c>
      <c r="C13">
        <v>1020</v>
      </c>
      <c r="D13" s="1" t="s">
        <v>11</v>
      </c>
      <c r="E13" s="1"/>
      <c r="F13" s="1"/>
      <c r="G13" s="1"/>
      <c r="H13" s="1"/>
      <c r="T13" s="3"/>
      <c r="U13" s="3"/>
      <c r="V13" s="3"/>
      <c r="W13" s="3"/>
      <c r="X13" s="3"/>
      <c r="Y13" s="3"/>
    </row>
    <row r="14" spans="1:43" x14ac:dyDescent="0.25">
      <c r="B14" s="17" t="s">
        <v>10</v>
      </c>
      <c r="C14">
        <v>25</v>
      </c>
      <c r="D14" s="1" t="s">
        <v>11</v>
      </c>
      <c r="E14" s="1"/>
      <c r="F14" s="1"/>
      <c r="G14" s="1"/>
      <c r="H14" s="1"/>
    </row>
    <row r="17" spans="2:108" ht="31.5" x14ac:dyDescent="0.25">
      <c r="B17" s="10" t="s">
        <v>14</v>
      </c>
      <c r="C17" s="10" t="s">
        <v>15</v>
      </c>
      <c r="D17" s="15" t="s">
        <v>16</v>
      </c>
      <c r="E17" s="11" t="s">
        <v>34</v>
      </c>
      <c r="F17" s="12" t="s">
        <v>35</v>
      </c>
      <c r="G17" s="13" t="s">
        <v>36</v>
      </c>
      <c r="H17" s="14" t="s">
        <v>37</v>
      </c>
      <c r="I17" s="15" t="s">
        <v>17</v>
      </c>
      <c r="J17" s="11" t="s">
        <v>34</v>
      </c>
      <c r="K17" s="12" t="s">
        <v>35</v>
      </c>
      <c r="L17" s="13" t="s">
        <v>36</v>
      </c>
      <c r="M17" s="14" t="s">
        <v>37</v>
      </c>
      <c r="N17" s="15" t="s">
        <v>18</v>
      </c>
      <c r="O17" s="11" t="s">
        <v>34</v>
      </c>
      <c r="P17" s="12" t="s">
        <v>35</v>
      </c>
      <c r="Q17" s="13" t="s">
        <v>36</v>
      </c>
      <c r="R17" s="14" t="s">
        <v>37</v>
      </c>
      <c r="S17" s="15" t="s">
        <v>19</v>
      </c>
      <c r="T17" s="11" t="s">
        <v>34</v>
      </c>
      <c r="U17" s="12" t="s">
        <v>35</v>
      </c>
      <c r="V17" s="13" t="s">
        <v>36</v>
      </c>
      <c r="W17" s="14" t="s">
        <v>37</v>
      </c>
      <c r="X17" s="15" t="s">
        <v>20</v>
      </c>
      <c r="Y17" s="11" t="s">
        <v>34</v>
      </c>
      <c r="Z17" s="12" t="s">
        <v>35</v>
      </c>
      <c r="AA17" s="13" t="s">
        <v>36</v>
      </c>
      <c r="AB17" s="14" t="s">
        <v>37</v>
      </c>
      <c r="AC17" s="15" t="s">
        <v>21</v>
      </c>
      <c r="AD17" s="11" t="s">
        <v>34</v>
      </c>
      <c r="AE17" s="12" t="s">
        <v>35</v>
      </c>
      <c r="AF17" s="13" t="s">
        <v>36</v>
      </c>
      <c r="AG17" s="14" t="s">
        <v>37</v>
      </c>
      <c r="AH17" s="15" t="s">
        <v>57</v>
      </c>
      <c r="AI17" s="11" t="s">
        <v>34</v>
      </c>
      <c r="AJ17" s="12" t="s">
        <v>35</v>
      </c>
      <c r="AK17" s="13" t="s">
        <v>36</v>
      </c>
      <c r="AL17" s="14" t="s">
        <v>37</v>
      </c>
      <c r="AM17" s="15" t="s">
        <v>58</v>
      </c>
      <c r="AN17" s="11" t="s">
        <v>34</v>
      </c>
      <c r="AO17" s="12" t="s">
        <v>35</v>
      </c>
      <c r="AP17" s="13" t="s">
        <v>36</v>
      </c>
      <c r="AQ17" s="14" t="s">
        <v>37</v>
      </c>
      <c r="AR17" s="15" t="s">
        <v>59</v>
      </c>
      <c r="AS17" s="11" t="s">
        <v>34</v>
      </c>
      <c r="AT17" s="12" t="s">
        <v>35</v>
      </c>
      <c r="AU17" s="13" t="s">
        <v>36</v>
      </c>
      <c r="AV17" s="14" t="s">
        <v>37</v>
      </c>
      <c r="AW17" s="15" t="s">
        <v>60</v>
      </c>
      <c r="AX17" s="11" t="s">
        <v>34</v>
      </c>
      <c r="AY17" s="12" t="s">
        <v>35</v>
      </c>
      <c r="AZ17" s="13" t="s">
        <v>36</v>
      </c>
      <c r="BA17" s="14" t="s">
        <v>37</v>
      </c>
      <c r="BB17" s="15" t="s">
        <v>61</v>
      </c>
      <c r="BC17" s="11" t="s">
        <v>34</v>
      </c>
      <c r="BD17" s="12" t="s">
        <v>35</v>
      </c>
      <c r="BE17" s="13" t="s">
        <v>36</v>
      </c>
      <c r="BF17" s="14" t="s">
        <v>37</v>
      </c>
      <c r="BG17" s="15" t="s">
        <v>62</v>
      </c>
      <c r="BH17" s="11" t="s">
        <v>34</v>
      </c>
      <c r="BI17" s="12" t="s">
        <v>35</v>
      </c>
      <c r="BJ17" s="13" t="s">
        <v>36</v>
      </c>
      <c r="BK17" s="14" t="s">
        <v>37</v>
      </c>
      <c r="BL17" s="15" t="s">
        <v>63</v>
      </c>
      <c r="BM17" s="11" t="s">
        <v>34</v>
      </c>
      <c r="BN17" s="12" t="s">
        <v>35</v>
      </c>
      <c r="BO17" s="13" t="s">
        <v>36</v>
      </c>
      <c r="BP17" s="14" t="s">
        <v>37</v>
      </c>
      <c r="BQ17" s="15" t="s">
        <v>64</v>
      </c>
      <c r="BR17" s="11" t="s">
        <v>34</v>
      </c>
      <c r="BS17" s="12" t="s">
        <v>35</v>
      </c>
      <c r="BT17" s="13" t="s">
        <v>36</v>
      </c>
      <c r="BU17" s="14" t="s">
        <v>37</v>
      </c>
      <c r="BV17" s="15" t="s">
        <v>65</v>
      </c>
      <c r="BW17" s="11" t="s">
        <v>34</v>
      </c>
      <c r="BX17" s="12" t="s">
        <v>35</v>
      </c>
      <c r="BY17" s="13" t="s">
        <v>36</v>
      </c>
      <c r="BZ17" s="14" t="s">
        <v>37</v>
      </c>
      <c r="CA17" s="15" t="s">
        <v>66</v>
      </c>
      <c r="CB17" s="11" t="s">
        <v>34</v>
      </c>
      <c r="CC17" s="12" t="s">
        <v>35</v>
      </c>
      <c r="CD17" s="13" t="s">
        <v>36</v>
      </c>
      <c r="CE17" s="14" t="s">
        <v>37</v>
      </c>
      <c r="CF17" s="15" t="s">
        <v>67</v>
      </c>
      <c r="CG17" s="11" t="s">
        <v>34</v>
      </c>
      <c r="CH17" s="12" t="s">
        <v>35</v>
      </c>
      <c r="CI17" s="13" t="s">
        <v>36</v>
      </c>
      <c r="CJ17" s="14" t="s">
        <v>37</v>
      </c>
      <c r="CK17" s="15" t="s">
        <v>68</v>
      </c>
      <c r="CL17" s="11" t="s">
        <v>34</v>
      </c>
      <c r="CM17" s="12" t="s">
        <v>35</v>
      </c>
      <c r="CN17" s="13" t="s">
        <v>36</v>
      </c>
      <c r="CO17" s="14" t="s">
        <v>37</v>
      </c>
      <c r="CP17" s="15" t="s">
        <v>69</v>
      </c>
      <c r="CQ17" s="11" t="s">
        <v>34</v>
      </c>
      <c r="CR17" s="12" t="s">
        <v>35</v>
      </c>
      <c r="CS17" s="13" t="s">
        <v>36</v>
      </c>
      <c r="CT17" s="14" t="s">
        <v>37</v>
      </c>
      <c r="CU17" s="15" t="s">
        <v>70</v>
      </c>
      <c r="CV17" s="11" t="s">
        <v>34</v>
      </c>
      <c r="CW17" s="12" t="s">
        <v>35</v>
      </c>
      <c r="CX17" s="13" t="s">
        <v>36</v>
      </c>
      <c r="CY17" s="14" t="s">
        <v>37</v>
      </c>
      <c r="CZ17" s="15" t="s">
        <v>71</v>
      </c>
      <c r="DA17" s="11" t="s">
        <v>34</v>
      </c>
      <c r="DB17" s="12" t="s">
        <v>35</v>
      </c>
      <c r="DC17" s="13" t="s">
        <v>36</v>
      </c>
      <c r="DD17" s="14" t="s">
        <v>37</v>
      </c>
    </row>
    <row r="18" spans="2:108" ht="31.5" x14ac:dyDescent="0.25">
      <c r="B18" s="17" t="s">
        <v>72</v>
      </c>
      <c r="D18" s="16">
        <v>0</v>
      </c>
      <c r="E18" s="6"/>
      <c r="F18" s="8"/>
      <c r="G18" s="7"/>
      <c r="H18" s="9"/>
      <c r="I18" s="16">
        <v>1</v>
      </c>
      <c r="J18" s="6"/>
      <c r="K18" s="8"/>
      <c r="L18" s="7"/>
      <c r="M18" s="9"/>
      <c r="N18" s="16">
        <v>2</v>
      </c>
      <c r="O18" s="6"/>
      <c r="P18" s="8"/>
      <c r="Q18" s="7"/>
      <c r="R18" s="9"/>
      <c r="S18" s="16">
        <v>3</v>
      </c>
      <c r="T18" s="6"/>
      <c r="U18" s="8"/>
      <c r="V18" s="7"/>
      <c r="W18" s="9"/>
      <c r="X18" s="16">
        <v>4</v>
      </c>
      <c r="Y18" s="6"/>
      <c r="Z18" s="8"/>
      <c r="AA18" s="7"/>
      <c r="AB18" s="9"/>
      <c r="AC18" s="16">
        <v>5</v>
      </c>
      <c r="AD18" s="6"/>
      <c r="AE18" s="8"/>
      <c r="AF18" s="7"/>
      <c r="AG18" s="9"/>
      <c r="AH18" s="16">
        <v>6</v>
      </c>
      <c r="AI18" s="6"/>
      <c r="AJ18" s="8"/>
      <c r="AK18" s="7"/>
      <c r="AL18" s="9"/>
      <c r="AM18" s="16">
        <v>7</v>
      </c>
      <c r="AN18" s="6"/>
      <c r="AO18" s="8"/>
      <c r="AP18" s="7"/>
      <c r="AQ18" s="9"/>
      <c r="AR18" s="16">
        <v>8</v>
      </c>
      <c r="AS18" s="6"/>
      <c r="AT18" s="8"/>
      <c r="AU18" s="7"/>
      <c r="AV18" s="9"/>
      <c r="AW18" s="16">
        <v>9</v>
      </c>
      <c r="AX18" s="6"/>
      <c r="AY18" s="8"/>
      <c r="AZ18" s="7"/>
      <c r="BA18" s="9"/>
      <c r="BB18" s="16">
        <v>10</v>
      </c>
      <c r="BC18" s="6"/>
      <c r="BD18" s="8"/>
      <c r="BE18" s="7"/>
      <c r="BF18" s="9"/>
      <c r="BG18" s="16">
        <v>11</v>
      </c>
      <c r="BH18" s="6"/>
      <c r="BI18" s="8"/>
      <c r="BJ18" s="7"/>
      <c r="BK18" s="9"/>
      <c r="BL18" s="16">
        <v>12</v>
      </c>
      <c r="BM18" s="6"/>
      <c r="BN18" s="8"/>
      <c r="BO18" s="7"/>
      <c r="BP18" s="9"/>
      <c r="BQ18" s="16">
        <v>13</v>
      </c>
      <c r="BR18" s="6"/>
      <c r="BS18" s="8"/>
      <c r="BT18" s="7"/>
      <c r="BU18" s="9"/>
      <c r="BV18" s="16">
        <v>14</v>
      </c>
      <c r="BW18" s="6"/>
      <c r="BX18" s="8"/>
      <c r="BY18" s="7"/>
      <c r="BZ18" s="9"/>
      <c r="CA18" s="16">
        <v>15</v>
      </c>
      <c r="CB18" s="6"/>
      <c r="CC18" s="8"/>
      <c r="CD18" s="7"/>
      <c r="CE18" s="9"/>
      <c r="CF18" s="16">
        <v>16</v>
      </c>
      <c r="CG18" s="6"/>
      <c r="CH18" s="8"/>
      <c r="CI18" s="7"/>
      <c r="CJ18" s="9"/>
      <c r="CK18" s="16">
        <v>17</v>
      </c>
      <c r="CL18" s="6"/>
      <c r="CM18" s="8"/>
      <c r="CN18" s="7"/>
      <c r="CO18" s="9"/>
      <c r="CP18" s="16">
        <v>18</v>
      </c>
      <c r="CQ18" s="6"/>
      <c r="CR18" s="8"/>
      <c r="CS18" s="7"/>
      <c r="CT18" s="9"/>
      <c r="CU18" s="16">
        <v>19</v>
      </c>
      <c r="CV18" s="6"/>
      <c r="CW18" s="8"/>
      <c r="CX18" s="7"/>
      <c r="CY18" s="9"/>
      <c r="CZ18" s="16">
        <v>20</v>
      </c>
      <c r="DA18" s="6"/>
      <c r="DB18" s="8"/>
      <c r="DC18" s="7"/>
      <c r="DD18" s="9"/>
    </row>
    <row r="19" spans="2:108" x14ac:dyDescent="0.25">
      <c r="B19">
        <v>0</v>
      </c>
      <c r="C19">
        <f>$B19*0.27</f>
        <v>0</v>
      </c>
      <c r="D19" s="4">
        <f>C13</f>
        <v>1020</v>
      </c>
      <c r="E19" s="6">
        <f>IF($D19&gt;=650,((0.00002*$D19)+0.035)/10000,IF($D19&lt;650,((-0.0000000000003*($D19^4))+(0.0000000004*($D19^3))-(0.0000002*($D19^2))-(0.0001*$D19)+0.1409)/10000))</f>
        <v>5.5400000000000003E-6</v>
      </c>
      <c r="F19" s="8">
        <f>IF($D19&lt;650,(53.495-(0.029*D19)),IF(D19&lt;700,((0.00000000000000006*(D19^2))-(0.2008*D19) + 164.43),IF(D19&lt;1250,((0.0115*D19)+ 15.889))))</f>
        <v>27.619</v>
      </c>
      <c r="G19" s="7">
        <f t="shared" ref="G19:G82" si="1">($E19*$M$8)/($D$6^2)</f>
        <v>1.3864922243974894E-2</v>
      </c>
      <c r="H19" s="9">
        <f>($C$8*$D$6)/F19</f>
        <v>0.19970400811035882</v>
      </c>
      <c r="I19" s="4">
        <f>(($C$13-$C$12)*(1-((G$4/$D$4)^2)))+($C$12)</f>
        <v>1019.7</v>
      </c>
      <c r="J19" s="6">
        <f>IF($I19&gt;=650,((0.00002*$I19)+0.035)/10000,IF($I19&lt;650,((-0.0000000000003*($I19^4))+(0.0000000004*($I19^3))-(0.0000002*($I19^2))-(0.0001*$I19)+0.1409)/10000))</f>
        <v>5.5394000000000007E-6</v>
      </c>
      <c r="K19" s="8">
        <f>IF($I19&lt;650,(53.495-(0.029*I19)),IF(I19&lt;700,((0.00000000000000006*(I19^2))-(0.2008*I19) + 164.43),IF(I19&lt;1250,((0.0115*I19)+ 15.889))))</f>
        <v>27.615549999999999</v>
      </c>
      <c r="L19" s="7">
        <f>($J19*$M$8)/($D$6^2)</f>
        <v>1.386342062784739E-2</v>
      </c>
      <c r="M19" s="9">
        <f>($C$8*$D$6)/K19</f>
        <v>0.19972895705499258</v>
      </c>
      <c r="N19" s="4">
        <f>(($C$13-$C$12)*(1-((H$4/$D$4)^2)))+($C$12)</f>
        <v>1018.8</v>
      </c>
      <c r="O19" s="6">
        <f>IF($N19&gt;=650,((0.00002*$N19)+0.035)/10000,IF($N19&lt;650,((-0.0000000000003*($N19^4))+(0.0000000004*($N19^3))-(0.0000002*($N19^2))-(0.0001*$N19)+0.1409)/10000))</f>
        <v>5.537600000000001E-6</v>
      </c>
      <c r="P19" s="8">
        <f>IF($N19&lt;650,(53.495-(0.029*$N19)),IF($N19&lt;700,((0.00000000000000006*($N19^2))-(0.2008*$N19) + 164.43),IF($N19&lt;1250,((0.0115*$N19)+ 15.889))))</f>
        <v>27.605199999999996</v>
      </c>
      <c r="Q19" s="7">
        <f t="shared" ref="Q19:Q82" si="2">($E19*$M$8)/($D$6^2)</f>
        <v>1.3864922243974894E-2</v>
      </c>
      <c r="R19" s="9">
        <f>($C$8*$D$6)/P19</f>
        <v>0.19980384130526135</v>
      </c>
      <c r="S19" s="4">
        <f>(($C$13-$C$12)*(1-((I$4/$D$4)^2)))+($C$12)</f>
        <v>1017.3</v>
      </c>
      <c r="T19" s="6">
        <f>IF($S19&gt;=650,((0.00002*$S19)+0.035)/10000,IF($S19&lt;650,((-0.0000000000003*($S19^4))+(0.0000000004*($S19^3))-(0.0000002*($S19^2))-(0.0001*$S19)+0.1409)/10000))</f>
        <v>5.5346000000000003E-6</v>
      </c>
      <c r="U19" s="8">
        <f>IF($S19&lt;650,(53.495-(0.029*$S19)),IF($S19&lt;700,((0.00000000000000006*($S19^2))-(0.2008*$S19) + 164.43),IF($S19&lt;1250,((0.0115*$S19)+ 15.889))))</f>
        <v>27.587949999999999</v>
      </c>
      <c r="V19" s="7">
        <f>($T19*$M$8)/($D$6^2)</f>
        <v>1.3851407698827338E-2</v>
      </c>
      <c r="W19" s="9">
        <f>($C$8*$D$6)/U19</f>
        <v>0.19992877325064023</v>
      </c>
      <c r="X19" s="5">
        <f>(($C$13-$C$12)*(1-((J$4/$D$4)^2)))+($C$12)</f>
        <v>1015.2</v>
      </c>
      <c r="Y19" s="6">
        <f>IF($X19&gt;=650,((0.00002*$X19)+0.035)/10000,IF($X19&lt;650,((-0.0000000000003*($X19^4))+(0.0000000004*($X19^3))-(0.0000002*($X19^2))-(0.0001*$X19)+0.1409)/10000))</f>
        <v>5.5304000000000004E-6</v>
      </c>
      <c r="Z19" s="8">
        <f>IF($X19&lt;650,(53.495-(0.029*$X19)),IF($X19&lt;700,((0.00000000000000006*($X19^2))-(0.2008*$X19) + 164.43),IF($X19&lt;1250,((0.0115*$X19)+ 15.889))))</f>
        <v>27.563800000000001</v>
      </c>
      <c r="AA19" s="7">
        <f>($Y19*$M$8)/($D$6^2)</f>
        <v>1.3840896385934795E-2</v>
      </c>
      <c r="AB19" s="9">
        <f>($C$8*$D$6)/Z19</f>
        <v>0.20010394067581391</v>
      </c>
      <c r="AC19" s="4">
        <f>(($C$13-$C$12)*(1-((K$4/$D$4)^2)))+($C$12)</f>
        <v>1012.5</v>
      </c>
      <c r="AD19" s="6">
        <f>IF(AC19&gt;=650,((0.00002*AC19)+0.035)/10000,IF(AC19&lt;650,((-0.0000000000003*(AC19^4))+(0.0000000004*(AC19^3))-(0.0000002*(AC19^2))-(0.0001*AC19)+0.1409)/10000))</f>
        <v>5.5250000000000005E-6</v>
      </c>
      <c r="AE19" s="8">
        <f>IF(AC19&lt;650,(53.495-(0.029*AC19)),IF(AC19&lt;700,((0.00000000000000006*(AC19^2))-(0.2008*AC19) + 164.43),IF(AC19&lt;1250,((0.0115*AC19)+ 15.889))))</f>
        <v>27.53275</v>
      </c>
      <c r="AF19" s="7">
        <f>(AD19*$M$8)/($D$6^2)</f>
        <v>1.3827381840787238E-2</v>
      </c>
      <c r="AG19" s="9">
        <f>($C$8*$D$6)/AE19</f>
        <v>0.20032960746747056</v>
      </c>
      <c r="AH19" s="4">
        <f>(($C$13-$C$12)*(1-((L$4/$D$4)^2)))+($C$12)</f>
        <v>1009.2</v>
      </c>
      <c r="AI19" s="6">
        <f>IF(AH19&gt;=650,((0.00002*AH19)+0.035)/10000,IF(AH19&lt;650,((-0.0000000000003*(AH19^4))+(0.0000000004*(AH19^3))-(0.0000002*(AH19^2))-(0.0001*AH19)+0.1409)/10000))</f>
        <v>5.5184000000000012E-6</v>
      </c>
      <c r="AJ19" s="8">
        <f>IF(AH19&lt;650,(53.495-(0.029*AH19)),IF(AH19&lt;700,((0.00000000000000006*(AH19^2))-(0.2008*AH19) + 164.43),IF(AH19&lt;1250,((0.0115*AH19)+ 15.889))))</f>
        <v>27.494799999999998</v>
      </c>
      <c r="AK19" s="7">
        <f>(AI19*$M$8)/($D$6^2)</f>
        <v>1.381086406338467E-2</v>
      </c>
      <c r="AL19" s="9">
        <f>($C$8*$D$6)/AJ19</f>
        <v>0.20060611461076278</v>
      </c>
      <c r="AM19" s="4">
        <f>(($C$13-$C$12)*(1-((M$4/$D$4)^2)))+($C$12)</f>
        <v>1005.3</v>
      </c>
      <c r="AN19" s="6">
        <f>IF(AM19&gt;=650,((0.00002*AM19)+0.035)/10000,IF(AM19&lt;650,((-0.0000000000003*(AM19^4))+(0.0000000004*(AM19^3))-(0.0000002*(AM19^2))-(0.0001*AM19)+0.1409)/10000))</f>
        <v>5.5106000000000002E-6</v>
      </c>
      <c r="AO19" s="8">
        <f>IF(AM19&lt;650,(53.495-(0.029*AM19)),IF(AM19&lt;700,((0.00000000000000006*(AM19^2))-(0.2008*AM19) + 164.43),IF(AM19&lt;1250,((0.0115*AM19)+ 15.889))))</f>
        <v>27.449950000000001</v>
      </c>
      <c r="AP19" s="7">
        <f>(AN19*$M$8)/($D$6^2)</f>
        <v>1.3791343053727085E-2</v>
      </c>
      <c r="AQ19" s="9">
        <f>($C$8*$D$6)/AO19</f>
        <v>0.20093388148247993</v>
      </c>
      <c r="AR19" s="4">
        <f>(($C$13-$C$12)*(1-((N$4/$D$4)^2)))+($C$12)</f>
        <v>1000.8</v>
      </c>
      <c r="AS19" s="6">
        <f>IF(AR19&gt;=650,((0.00002*AR19)+0.035)/10000,IF(AR19&lt;650,((-0.0000000000003*(AR19^4))+(0.0000000004*(AR19^3))-(0.0000002*(AR19^2))-(0.0001*AR19)+0.1409)/10000))</f>
        <v>5.5016E-6</v>
      </c>
      <c r="AT19" s="8">
        <f>IF(AR19&lt;650,(53.495-(0.029*AR19)),IF(AR19&lt;700,((0.00000000000000006*(AR19^2))-(0.2008*AR19) + 164.43),IF(AR19&lt;1250,((0.0115*AR19)+ 15.889))))</f>
        <v>27.398199999999999</v>
      </c>
      <c r="AU19" s="7">
        <f>(AS19*$M$8)/($D$6^2)</f>
        <v>1.3768818811814489E-2</v>
      </c>
      <c r="AV19" s="9">
        <f>($C$8*$D$6)/AT19</f>
        <v>0.20131340745012447</v>
      </c>
      <c r="AW19" s="4">
        <f>(($C$13-$C$12)*(1-((O$4/$D$4)^2)))+($C$12)</f>
        <v>995.7</v>
      </c>
      <c r="AX19" s="6">
        <f>IF(AW19&gt;=650,((0.00002*AW19)+0.035)/10000,IF(AW19&lt;650,((-0.0000000000003*(AW19^4))+(0.0000000004*(AW19^3))-(0.0000002*(AW19^2))-(0.0001*AW19)+0.1409)/10000))</f>
        <v>5.4914000000000005E-6</v>
      </c>
      <c r="AY19" s="8">
        <f>IF(AW19&lt;650,(53.495-(0.029*AW19)),IF(AW19&lt;700,((0.00000000000000006*(AW19^2))-(0.2008*AW19) + 164.43),IF(AW19&lt;1250,((0.0115*AW19)+ 15.889))))</f>
        <v>27.339549999999999</v>
      </c>
      <c r="AZ19" s="7">
        <f>(AX19*$M$8)/($D$6^2)</f>
        <v>1.3743291337646884E-2</v>
      </c>
      <c r="BA19" s="9">
        <f>($C$8*$D$6)/AY19</f>
        <v>0.20174527378833962</v>
      </c>
      <c r="BB19" s="4">
        <f>(($C$13-$C$12)*(1-((P$4/$D$4)^2)))+($C$12)</f>
        <v>990</v>
      </c>
      <c r="BC19" s="6">
        <f>IF(BB19&gt;=650,((0.00002*BB19)+0.035)/10000,IF(BB19&lt;650,((-0.0000000000003*(BB19^4))+(0.0000000004*(BB19^3))-(0.0000002*(BB19^2))-(0.0001*BB19)+0.1409)/10000))</f>
        <v>5.48E-6</v>
      </c>
      <c r="BD19" s="8">
        <f>IF(BB19&lt;650,(53.495-(0.029*BB19)),IF(BB19&lt;700,((0.00000000000000006*(BB19^2))-(0.2008*BB19) + 164.43),IF(BB19&lt;1250,((0.0115*BB19)+ 15.889))))</f>
        <v>27.274000000000001</v>
      </c>
      <c r="BE19" s="7">
        <f>(BC19*$M$8)/($D$6^2)</f>
        <v>1.3714760631224263E-2</v>
      </c>
      <c r="BF19" s="9">
        <f>($C$8*$D$6)/BD19</f>
        <v>0.20223014592652341</v>
      </c>
      <c r="BG19" s="4">
        <f>(($C$13-$C$12)*(1-((Q$4/$D$4)^2)))+($C$12)</f>
        <v>983.7</v>
      </c>
      <c r="BH19" s="6">
        <f>IF(BG19&gt;=650,((0.00002*BG19)+0.035)/10000,IF(BG19&lt;650,((-0.0000000000003*(BG19^4))+(0.0000000004*(BG19^3))-(0.0000002*(BG19^2))-(0.0001*BG19)+0.1409)/10000))</f>
        <v>5.4674000000000004E-6</v>
      </c>
      <c r="BI19" s="8">
        <f>IF(BG19&lt;650,(53.495-(0.029*BG19)),IF(BG19&lt;700,((0.00000000000000006*(BG19^2))-(0.2008*BG19) + 164.43),IF(BG19&lt;1250,((0.0115*BG19)+ 15.889))))</f>
        <v>27.201549999999997</v>
      </c>
      <c r="BJ19" s="7">
        <f>(BH19*$M$8)/($D$6^2)</f>
        <v>1.3683226692546633E-2</v>
      </c>
      <c r="BK19" s="9">
        <f>($C$8*$D$6)/BI19</f>
        <v>0.20276877604401222</v>
      </c>
      <c r="BL19" s="4">
        <f>(($C$13-$C$12)*(1-((R$4/$D$4)^2)))+($C$12)</f>
        <v>976.8</v>
      </c>
      <c r="BM19" s="6">
        <f>IF(BL19&gt;=650,((0.00002*BL19)+0.035)/10000,IF(BL19&lt;650,((-0.0000000000003*(BL19^4))+(0.0000000004*(BL19^3))-(0.0000002*(BL19^2))-(0.0001*BL19)+0.1409)/10000))</f>
        <v>5.4535999999999998E-6</v>
      </c>
      <c r="BN19" s="8">
        <f>IF(BL19&lt;650,(53.495-(0.029*BL19)),IF(BL19&lt;700,((0.00000000000000006*(BL19^2))-(0.2008*BL19) + 164.43),IF(BL19&lt;1250,((0.0115*BL19)+ 15.889))))</f>
        <v>27.122199999999999</v>
      </c>
      <c r="BO19" s="7">
        <f>(BM19*$M$8)/($D$6^2)</f>
        <v>1.3648689521613985E-2</v>
      </c>
      <c r="BP19" s="9">
        <f>($C$8*$D$6)/BN19</f>
        <v>0.20336200603195906</v>
      </c>
      <c r="BQ19" s="4">
        <f>(($C$13-$C$12)*(1-((S$4/$D$4)^2)))+($C$12)</f>
        <v>969.3</v>
      </c>
      <c r="BR19" s="6">
        <f>IF(BQ19&gt;=650,((0.00002*BQ19)+0.035)/10000,IF(BQ19&lt;650,((-0.0000000000003*(BQ19^4))+(0.0000000004*(BQ19^3))-(0.0000002*(BQ19^2))-(0.0001*BQ19)+0.1409)/10000))</f>
        <v>5.4386000000000007E-6</v>
      </c>
      <c r="BS19" s="8">
        <f>IF(BQ19&lt;650,(53.495-(0.029*BQ19)),IF(BQ19&lt;700,((0.00000000000000006*(BQ19^2))-(0.2008*BQ19) + 164.43),IF(BQ19&lt;1250,((0.0115*BQ19)+ 15.889))))</f>
        <v>27.03595</v>
      </c>
      <c r="BT19" s="7">
        <f>(BR19*$M$8)/($D$6^2)</f>
        <v>1.3611149118426329E-2</v>
      </c>
      <c r="BU19" s="9">
        <f>($C$8*$D$6)/BS19</f>
        <v>0.20401077084400585</v>
      </c>
      <c r="BV19" s="4">
        <f>(($C$13-$C$12)*(1-((T$4/$D$4)^2)))+($C$12)</f>
        <v>961.2</v>
      </c>
      <c r="BW19" s="6">
        <f>IF(BV19&gt;=650,((0.00002*BV19)+0.035)/10000,IF(BV19&lt;650,((-0.0000000000003*(BV19^4))+(0.0000000004*(BV19^3))-(0.0000002*(BV19^2))-(0.0001*BV19)+0.1409)/10000))</f>
        <v>5.4224000000000008E-6</v>
      </c>
      <c r="BX19" s="8">
        <f>IF(BV19&lt;650,(53.495-(0.029*BV19)),IF(BV19&lt;700,((0.00000000000000006*(BV19^2))-(0.2008*BV19) + 164.43),IF(BV19&lt;1250,((0.0115*BV19)+ 15.889))))</f>
        <v>26.942799999999998</v>
      </c>
      <c r="BY19" s="7">
        <f>(BW19*$M$8)/($D$6^2)</f>
        <v>1.3570605482983659E-2</v>
      </c>
      <c r="BZ19" s="9">
        <f>($C$8*$D$6)/BX19</f>
        <v>0.20471610226108647</v>
      </c>
      <c r="CA19" s="4">
        <f>(($C$13-$C$12)*(1-((U$4/$D$4)^2)))+($C$12)</f>
        <v>952.5</v>
      </c>
      <c r="CB19" s="6">
        <f>IF(CA19&gt;=650,((0.00002*CA19)+0.035)/10000,IF(CA19&lt;650,((-0.0000000000003*(CA19^4))+(0.0000000004*(CA19^3))-(0.0000002*(CA19^2))-(0.0001*CA19)+0.1409)/10000))</f>
        <v>5.4049999999999999E-6</v>
      </c>
      <c r="CC19" s="8">
        <f>IF(CA19&lt;650,(53.495-(0.029*CA19)),IF(CA19&lt;700,((0.00000000000000006*(CA19^2))-(0.2008*CA19) + 164.43),IF(CA19&lt;1250,((0.0115*CA19)+ 15.889))))</f>
        <v>26.842749999999999</v>
      </c>
      <c r="CD19" s="7">
        <f>(CB19*$M$8)/($D$6^2)</f>
        <v>1.3527058615285973E-2</v>
      </c>
      <c r="CE19" s="9">
        <f>($C$8*$D$6)/CC19</f>
        <v>0.205479133099254</v>
      </c>
      <c r="CF19" s="4">
        <f>(($C$13-$C$12)*(1-((V$4/$D$4)^2)))+($C$12)</f>
        <v>943.2</v>
      </c>
      <c r="CG19" s="6">
        <f>IF(CF19&gt;=650,((0.00002*CF19)+0.035)/10000,IF(CF19&lt;650,((-0.0000000000003*(CF19^4))+(0.0000000004*(CF19^3))-(0.0000002*(CF19^2))-(0.0001*CF19)+0.1409)/10000))</f>
        <v>5.3864000000000006E-6</v>
      </c>
      <c r="CH19" s="8">
        <f>IF(CF19&lt;650,(53.495-(0.029*CF19)),IF(CF19&lt;700,((0.00000000000000006*(CF19^2))-(0.2008*CF19) + 164.43),IF(CF19&lt;1250,((0.0115*CF19)+ 15.889))))</f>
        <v>26.735799999999998</v>
      </c>
      <c r="CI19" s="7">
        <f>(CG19*$M$8)/($D$6^2)</f>
        <v>1.348050851533328E-2</v>
      </c>
      <c r="CJ19" s="9">
        <f>($C$8*$D$6)/CH19</f>
        <v>0.20630110189334153</v>
      </c>
      <c r="CK19" s="4">
        <f>(($C$13-$C$12)*(1-((W$4/$D$4)^2)))+($C$12)</f>
        <v>933.3</v>
      </c>
      <c r="CL19" s="6">
        <f>IF(CK19&gt;=650,((0.00002*CK19)+0.035)/10000,IF(CK19&lt;650,((-0.0000000000003*(CK19^4))+(0.0000000004*(CK19^3))-(0.0000002*(CK19^2))-(0.0001*CK19)+0.1409)/10000))</f>
        <v>5.3666000000000004E-6</v>
      </c>
      <c r="CM19" s="8">
        <f>IF(CK19&lt;650,(53.495-(0.029*CK19)),IF(CK19&lt;700,((0.00000000000000006*(CK19^2))-(0.2008*CK19) + 164.43),IF(CK19&lt;1250,((0.0115*CK19)+ 15.889))))</f>
        <v>26.621949999999998</v>
      </c>
      <c r="CN19" s="7">
        <f>(CL19*$M$8)/($D$6^2)</f>
        <v>1.3430955183125572E-2</v>
      </c>
      <c r="CO19" s="9">
        <f>($C$8*$D$6)/CM19</f>
        <v>0.20718335809360322</v>
      </c>
      <c r="CP19" s="4">
        <f>(($C$13-$C$12)*(1-((X$4/$D$4)^2)))+($C$12)</f>
        <v>922.80000000000007</v>
      </c>
      <c r="CQ19" s="6">
        <f>IF(CP19&gt;=650,((0.00002*CP19)+0.035)/10000,IF(CP19&lt;650,((-0.0000000000003*(CP19^4))+(0.0000000004*(CP19^3))-(0.0000002*(CP19^2))-(0.0001*CP19)+0.1409)/10000))</f>
        <v>5.3456000000000001E-6</v>
      </c>
      <c r="CR19" s="8">
        <f>IF(CP19&lt;650,(53.495-(0.029*CP19)),IF(CP19&lt;700,((0.00000000000000006*(CP19^2))-(0.2008*CP19) + 164.43),IF(CP19&lt;1250,((0.0115*CP19)+ 15.889))))</f>
        <v>26.501200000000001</v>
      </c>
      <c r="CS19" s="7">
        <f>(CQ19*$M$8)/($D$6^2)</f>
        <v>1.3378398618662852E-2</v>
      </c>
      <c r="CT19" s="9">
        <f>($C$8*$D$6)/CR19</f>
        <v>0.20812736781730637</v>
      </c>
      <c r="CU19" s="4">
        <f>(($C$13-$C$12)*(1-((Y$4/$D$4)^2)))+($C$12)</f>
        <v>911.7</v>
      </c>
      <c r="CV19" s="6">
        <f>IF(CU19&gt;=650,((0.00002*CU19)+0.035)/10000,IF(CU19&lt;650,((-0.0000000000003*(CU19^4))+(0.0000000004*(CU19^3))-(0.0000002*(CU19^2))-(0.0001*CU19)+0.1409)/10000))</f>
        <v>5.3234000000000006E-6</v>
      </c>
      <c r="CW19" s="8">
        <f>IF(CU19&lt;650,(53.495-(0.029*CU19)),IF(CU19&lt;700,((0.00000000000000006*(CU19^2))-(0.2008*CU19) + 164.43),IF(CU19&lt;1250,((0.0115*CU19)+ 15.889))))</f>
        <v>26.373550000000002</v>
      </c>
      <c r="CX19" s="7">
        <f>(CV19*$M$8)/($D$6^2)</f>
        <v>1.3322838821945118E-2</v>
      </c>
      <c r="CY19" s="9">
        <f>($C$8*$D$6)/CW19</f>
        <v>0.20913472020262724</v>
      </c>
      <c r="CZ19" s="4">
        <f>(($C$13-$C$12)*(1-((Z$4/$D$4)^2)))+($C$12)</f>
        <v>900</v>
      </c>
      <c r="DA19" s="6">
        <f>IF(CZ19&gt;=650,((0.00002*CZ19)+0.035)/10000,IF(CZ19&lt;650,((-0.0000000000003*(CZ19^4))+(0.0000000004*(CZ19^3))-(0.0000002*(CZ19^2))-(0.0001*CZ19)+0.1409)/10000))</f>
        <v>5.3000000000000009E-6</v>
      </c>
      <c r="DB19" s="8">
        <f>IF(CZ19&lt;650,(53.495-(0.029*CZ19)),IF(CZ19&lt;700,((0.00000000000000006*(CZ19^2))-(0.2008*CZ19) + 164.43),IF(CZ19&lt;1250,((0.0115*CZ19)+ 15.889))))</f>
        <v>26.238999999999997</v>
      </c>
      <c r="DC19" s="7">
        <f>(DA19*$M$8)/($D$6^2)</f>
        <v>1.3264275792972373E-2</v>
      </c>
      <c r="DD19" s="9">
        <f>($C$8*$D$6)/DB19</f>
        <v>0.21020713441823241</v>
      </c>
    </row>
    <row r="20" spans="2:108" x14ac:dyDescent="0.25">
      <c r="B20">
        <v>1</v>
      </c>
      <c r="C20">
        <f>$B20*$M$8</f>
        <v>9.7761466634525146E-4</v>
      </c>
      <c r="D20" s="4">
        <f t="shared" ref="D20:D83" si="3">D19+(4*$H$7*(I19-D19))</f>
        <v>1019.9846835154995</v>
      </c>
      <c r="E20" s="6">
        <f t="shared" ref="E20:E83" si="4">IF($D20&gt;=650,((0.00002*$D20)+0.035)/10000,IF($D20&lt;650,((-0.0000000000003*($D20^4))+(0.0000000004*($D20^3))-(0.0000002*($D20^2))-(0.0001*$D20)+0.1409)/10000))</f>
        <v>5.5399693670309996E-6</v>
      </c>
      <c r="F20" s="8">
        <f t="shared" ref="F20:F83" si="5">IF($D20&lt;650,(53.495-(0.029*D20)),IF(D20&lt;700,((0.00000000000000006*(D20^2))-(0.2008*D20) + 164.43),IF(D20&lt;1250,((0.0115*D20)+ 15.889))))</f>
        <v>27.618823860428243</v>
      </c>
      <c r="G20" s="7">
        <f t="shared" si="1"/>
        <v>1.3864845579041087E-2</v>
      </c>
      <c r="H20" s="9">
        <f t="shared" ref="H20:H83" si="6">($C$8*$D$6)/F20</f>
        <v>0.19970528172644922</v>
      </c>
      <c r="I20" s="4">
        <f>I19+(G20*(D19+N19-(2*I19))+((G20/(2*$I$18))*(N19-D19)))</f>
        <v>1019.6833621853052</v>
      </c>
      <c r="J20" s="6">
        <f t="shared" ref="J20:J83" si="7">IF($I20&gt;=650,((0.00002*$I20)+0.035)/10000,IF($I20&lt;650,((-0.0000000000003*($I20^4))+(0.0000000004*($I20^3))-(0.0000002*($I20^2))-(0.0001*$I20)+0.1409)/10000))</f>
        <v>5.5393667243706106E-6</v>
      </c>
      <c r="K20" s="8">
        <f t="shared" ref="K20:K83" si="8">IF($I20&lt;650,(53.495-(0.029*I20)),IF(I20&lt;700,((0.00000000000000006*(I20^2))-(0.2008*I20) + 164.43),IF(I20&lt;1250,((0.0115*I20)+ 15.889))))</f>
        <v>27.615358665131009</v>
      </c>
      <c r="L20" s="7">
        <f t="shared" ref="L20:L83" si="9">($J20*$M$8)/($D$6^2)</f>
        <v>1.3863337349144482E-2</v>
      </c>
      <c r="M20" s="9">
        <f t="shared" ref="M20:M83" si="10">($C$8*$D$6)/K20</f>
        <v>0.19973034089049857</v>
      </c>
      <c r="N20" s="4">
        <f>N19+(L20*(I19+S19-(2*N19))+((L20/(2*N$18))*(S19-I19)))</f>
        <v>1018.7833639951809</v>
      </c>
      <c r="O20" s="6">
        <f t="shared" ref="O20:O83" si="11">IF($N20&gt;=650,((0.00002*$N20)+0.035)/10000,IF($N20&lt;650,((-0.0000000000003*($N20^4))+(0.0000000004*($N20^3))-(0.0000002*($N20^2))-(0.0001*$N20)+0.1409)/10000))</f>
        <v>5.5375667279903622E-6</v>
      </c>
      <c r="P20" s="8">
        <f t="shared" ref="P20:P83" si="12">IF($N20&lt;650,(53.495-(0.029*$N20)),IF($N20&lt;700,((0.00000000000000006*($N20^2))-(0.2008*$N20) + 164.43),IF($N20&lt;1250,((0.0115*$N20)+ 15.889))))</f>
        <v>27.605008685944579</v>
      </c>
      <c r="Q20" s="7">
        <f t="shared" si="2"/>
        <v>1.3864845579041087E-2</v>
      </c>
      <c r="R20" s="9">
        <f t="shared" ref="R20:R83" si="13">($C$8*$D$6)/P20</f>
        <v>0.19980522602799783</v>
      </c>
      <c r="S20" s="4">
        <f>S19+(Q20*(N19+X19-(2*S19))+((Q20/(2*S$18))*(X19-N19)))</f>
        <v>1017.2833621853051</v>
      </c>
      <c r="T20" s="6">
        <f t="shared" ref="T20:T83" si="14">IF($S20&gt;=650,((0.00002*$S20)+0.035)/10000,IF($S20&lt;650,((-0.0000000000003*($S20^4))+(0.0000000004*($S20^3))-(0.0000002*($S20^2))-(0.0001*$S20)+0.1409)/10000))</f>
        <v>5.5345667243706111E-6</v>
      </c>
      <c r="U20" s="8">
        <f t="shared" ref="U20:U83" si="15">IF($S20&lt;650,(53.495-(0.029*$S20)),IF($S20&lt;700,((0.00000000000000006*($S20^2))-(0.2008*$S20) + 164.43),IF($S20&lt;1250,((0.0115*$S20)+ 15.889))))</f>
        <v>27.587758665131009</v>
      </c>
      <c r="V20" s="7">
        <f t="shared" ref="V20:V83" si="16">($T20*$M$8)/($D$6^2)</f>
        <v>1.3851324420124432E-2</v>
      </c>
      <c r="W20" s="9">
        <f t="shared" ref="W20:W83" si="17">($C$8*$D$6)/U20</f>
        <v>0.19993015985642076</v>
      </c>
      <c r="X20" s="4">
        <f>X19+(V20*(S19+AC19-(2*X19))+((V20/(2*X$18))*(AC19-S19)))</f>
        <v>1015.1833784106959</v>
      </c>
      <c r="Y20" s="6">
        <f t="shared" ref="Y20:Y83" si="18">IF($X20&gt;=650,((0.00002*$X20)+0.035)/10000,IF($X20&lt;650,((-0.0000000000003*($X20^4))+(0.0000000004*($X20^3))-(0.0000002*($X20^2))-(0.0001*$X20)+0.1409)/10000))</f>
        <v>5.5303667568213921E-6</v>
      </c>
      <c r="Z20" s="8">
        <f t="shared" ref="Z20:Z83" si="19">IF($X20&lt;650,(53.495-(0.029*$X20)),IF($X20&lt;700,((0.00000000000000006*($X20^2))-(0.2008*$X20) + 164.43),IF($X20&lt;1250,((0.0115*$X20)+ 15.889))))</f>
        <v>27.563608851723004</v>
      </c>
      <c r="AA20" s="7">
        <f t="shared" ref="AA20:AA83" si="20">($Y20*$M$8)/($D$6^2)</f>
        <v>1.3840813188446247E-2</v>
      </c>
      <c r="AB20" s="9">
        <f t="shared" ref="AB20:AB83" si="21">($C$8*$D$6)/Z20</f>
        <v>0.20010532835780021</v>
      </c>
      <c r="AC20" s="4">
        <f>AC19+(AA20*(X19+AH19-(2*AC19))+((AA20/(2*AC$18))*(AH19-X19)))</f>
        <v>1012.4833910241739</v>
      </c>
      <c r="AD20" s="6">
        <f t="shared" ref="AD20:AD83" si="22">IF(AC20&gt;=650,((0.00002*AC20)+0.035)/10000,IF(AC20&lt;650,((-0.0000000000003*(AC20^4))+(0.0000000004*(AC20^3))-(0.0000002*(AC20^2))-(0.0001*AC20)+0.1409)/10000))</f>
        <v>5.5249667820483483E-6</v>
      </c>
      <c r="AE20" s="8">
        <f t="shared" ref="AE20:AE83" si="23">IF(AC20&lt;650,(53.495-(0.029*AC20)),IF(AC20&lt;700,((0.00000000000000006*(AC20^2))-(0.2008*AC20) + 164.43),IF(AC20&lt;1250,((0.0115*AC20)+ 15.889))))</f>
        <v>27.532558996778</v>
      </c>
      <c r="AF20" s="7">
        <f t="shared" ref="AF20:AF83" si="24">(AD20*$M$8)/($D$6^2)</f>
        <v>1.3827298706434031E-2</v>
      </c>
      <c r="AG20" s="9">
        <f t="shared" ref="AG20:AG83" si="25">($C$8*$D$6)/AE20</f>
        <v>0.20033099722570163</v>
      </c>
      <c r="AH20" s="4">
        <f>AH19+(AF20*(AC19+AM19-(2*AH19))+((AF20/(2*AH$18))*(AM19-AC19)))</f>
        <v>1009.1834072415523</v>
      </c>
      <c r="AI20" s="6">
        <f t="shared" ref="AI20:AI83" si="26">IF(AH20&gt;=650,((0.00002*AH20)+0.035)/10000,IF(AH20&lt;650,((-0.0000000000003*(AH20^4))+(0.0000000004*(AH20^3))-(0.0000002*(AH20^2))-(0.0001*AH20)+0.1409)/10000))</f>
        <v>5.5183668144831057E-6</v>
      </c>
      <c r="AJ20" s="8">
        <f t="shared" ref="AJ20:AJ83" si="27">IF(AH20&lt;650,(53.495-(0.029*AH20)),IF(AH20&lt;700,((0.00000000000000006*(AH20^2))-(0.2008*AH20) + 164.43),IF(AH20&lt;1250,((0.0115*AH20)+ 15.889))))</f>
        <v>27.494609183277852</v>
      </c>
      <c r="AK20" s="7">
        <f t="shared" ref="AK20:AK83" si="28">(AI20*$M$8)/($D$6^2)</f>
        <v>1.3810781010205719E-2</v>
      </c>
      <c r="AL20" s="9">
        <f t="shared" ref="AL20:AL83" si="29">($C$8*$D$6)/AJ20</f>
        <v>0.20060750684736367</v>
      </c>
      <c r="AM20" s="4">
        <f>AM19+(AK20*(AH19+AR19-(2*AM19))+((AK20/(2*AM$18))*(AR19-AH19)))</f>
        <v>1005.2834270627877</v>
      </c>
      <c r="AN20" s="6">
        <f t="shared" ref="AN20:AN83" si="30">IF(AM20&gt;=650,((0.00002*AM20)+0.035)/10000,IF(AM20&lt;650,((-0.0000000000003*(AM20^4))+(0.0000000004*(AM20^3))-(0.0000002*(AM20^2))-(0.0001*AM20)+0.1409)/10000))</f>
        <v>5.5105668541255757E-6</v>
      </c>
      <c r="AO20" s="8">
        <f t="shared" ref="AO20:AO83" si="31">IF(AM20&lt;650,(53.495-(0.029*AM20)),IF(AM20&lt;700,((0.00000000000000006*(AM20^2))-(0.2008*AM20) + 164.43),IF(AM20&lt;1250,((0.0115*AM20)+ 15.889))))</f>
        <v>27.449759411222058</v>
      </c>
      <c r="AP20" s="7">
        <f t="shared" ref="AP20:AP83" si="32">(AN20*$M$8)/($D$6^2)</f>
        <v>1.3791260099761091E-2</v>
      </c>
      <c r="AQ20" s="9">
        <f t="shared" ref="AQ20:AQ83" si="33">($C$8*$D$6)/AO20</f>
        <v>0.2009352766037393</v>
      </c>
      <c r="AR20" s="4">
        <f>AR19+(AP20*(AM19+AW19-(2*AR19))+((AP20/(2*AR$18))*(AW19-AM19)))</f>
        <v>1000.7834504878803</v>
      </c>
      <c r="AS20" s="6">
        <f t="shared" ref="AS20:AS83" si="34">IF(AR20&gt;=650,((0.00002*AR20)+0.035)/10000,IF(AR20&lt;650,((-0.0000000000003*(AR20^4))+(0.0000000004*(AR20^3))-(0.0000002*(AR20^2))-(0.0001*AR20)+0.1409)/10000))</f>
        <v>5.5015669009757614E-6</v>
      </c>
      <c r="AT20" s="8">
        <f t="shared" ref="AT20:AT83" si="35">IF(AR20&lt;650,(53.495-(0.029*AR20)),IF(AR20&lt;700,((0.00000000000000006*(AR20^2))-(0.2008*AR20) + 164.43),IF(AR20&lt;1250,((0.0115*AR20)+ 15.889))))</f>
        <v>27.39800968061062</v>
      </c>
      <c r="AU20" s="7">
        <f t="shared" ref="AU20:AU83" si="36">(AS20*$M$8)/($D$6^2)</f>
        <v>1.3768735975100154E-2</v>
      </c>
      <c r="AV20" s="9">
        <f t="shared" ref="AV20:AV83" si="37">($C$8*$D$6)/AT20</f>
        <v>0.20131480586720754</v>
      </c>
      <c r="AW20" s="4">
        <f>AW19+(AU20*(AR19+BB19-(2*AW19))+((AU20/(2*AW$18))*(BB19-AR19)))</f>
        <v>995.68347751682995</v>
      </c>
      <c r="AX20" s="6">
        <f t="shared" ref="AX20:AX83" si="38">IF(AW20&gt;=650,((0.00002*AW20)+0.035)/10000,IF(AW20&lt;650,((-0.0000000000003*(AW20^4))+(0.0000000004*(AW20^3))-(0.0000002*(AW20^2))-(0.0001*AW20)+0.1409)/10000))</f>
        <v>5.4913669550336604E-6</v>
      </c>
      <c r="AY20" s="8">
        <f t="shared" ref="AY20:AY83" si="39">IF(AW20&lt;650,(53.495-(0.029*AW20)),IF(AW20&lt;700,((0.00000000000000006*(AW20^2))-(0.2008*AW20) + 164.43),IF(AW20&lt;1250,((0.0115*AW20)+ 15.889))))</f>
        <v>27.339359991443544</v>
      </c>
      <c r="AZ20" s="7">
        <f t="shared" ref="AZ20:AZ83" si="40">(AX20*$M$8)/($D$6^2)</f>
        <v>1.3743208636222902E-2</v>
      </c>
      <c r="BA20" s="9">
        <f t="shared" ref="BA20:BA83" si="41">($C$8*$D$6)/AY20</f>
        <v>0.20174667591802575</v>
      </c>
      <c r="BB20" s="4">
        <f>BB19+(AZ20*(AW19+BG19-(2*BB19))+((AZ20/(2*BB$18))*(BG19-AW19)))</f>
        <v>989.98350814963658</v>
      </c>
      <c r="BC20" s="6">
        <f t="shared" ref="BC20:BC83" si="42">IF(BB20&gt;=650,((0.00002*BB20)+0.035)/10000,IF(BB20&lt;650,((-0.0000000000003*(BB20^4))+(0.0000000004*(BB20^3))-(0.0000002*(BB20^2))-(0.0001*BB20)+0.1409)/10000))</f>
        <v>5.4799670162992735E-6</v>
      </c>
      <c r="BD20" s="8">
        <f t="shared" ref="BD20:BD83" si="43">IF(BB20&lt;650,(53.495-(0.029*BB20)),IF(BB20&lt;700,((0.00000000000000006*(BB20^2))-(0.2008*BB20) + 164.43),IF(BB20&lt;1250,((0.0115*BB20)+ 15.889))))</f>
        <v>27.273810343720818</v>
      </c>
      <c r="BE20" s="7">
        <f t="shared" ref="BE20:BE83" si="44">(BC20*$M$8)/($D$6^2)</f>
        <v>1.3714678083129338E-2</v>
      </c>
      <c r="BF20" s="9">
        <f t="shared" ref="BF20:BF83" si="45">($C$8*$D$6)/BD20</f>
        <v>0.20223155219196751</v>
      </c>
      <c r="BG20" s="4">
        <f>BG19+(BE20*(BB19+BL19-(2*BG19))+((BE20/(2*BG$18))*(BL19-BB19)))</f>
        <v>983.68354238630025</v>
      </c>
      <c r="BH20" s="6">
        <f t="shared" ref="BH20:BH83" si="46">IF(BG20&gt;=650,((0.00002*BG20)+0.035)/10000,IF(BG20&lt;650,((-0.0000000000003*(BG20^4))+(0.0000000004*(BG20^3))-(0.0000002*(BG20^2))-(0.0001*BG20)+0.1409)/10000))</f>
        <v>5.4673670847726008E-6</v>
      </c>
      <c r="BI20" s="8">
        <f t="shared" ref="BI20:BI83" si="47">IF(BG20&lt;650,(53.495-(0.029*BG20)),IF(BG20&lt;700,((0.00000000000000006*(BG20^2))-(0.2008*BG20) + 164.43),IF(BG20&lt;1250,((0.0115*BG20)+ 15.889))))</f>
        <v>27.20136073744245</v>
      </c>
      <c r="BJ20" s="7">
        <f t="shared" ref="BJ20:BJ83" si="48">(BH20*$M$8)/($D$6^2)</f>
        <v>1.3683144315819459E-2</v>
      </c>
      <c r="BK20" s="9">
        <f t="shared" ref="BK20:BK83" si="49">($C$8*$D$6)/BI20</f>
        <v>0.2027701868755333</v>
      </c>
      <c r="BL20" s="4">
        <f>BL19+(BJ20*(BG19+BQ19-(2*BL19))+((BJ20/(2*BL$18))*(BQ19-BG19)))</f>
        <v>976.78358022682096</v>
      </c>
      <c r="BM20" s="6">
        <f t="shared" ref="BM20:BM83" si="50">IF(BL20&gt;=650,((0.00002*BL20)+0.035)/10000,IF(BL20&lt;650,((-0.0000000000003*(BL20^4))+(0.0000000004*(BL20^3))-(0.0000002*(BL20^2))-(0.0001*BL20)+0.1409)/10000))</f>
        <v>5.453567160453643E-6</v>
      </c>
      <c r="BN20" s="8">
        <f t="shared" ref="BN20:BN83" si="51">IF(BL20&lt;650,(53.495-(0.029*BL20)),IF(BL20&lt;700,((0.00000000000000006*(BL20^2))-(0.2008*BL20) + 164.43),IF(BL20&lt;1250,((0.0115*BL20)+ 15.889))))</f>
        <v>27.122011172608438</v>
      </c>
      <c r="BO20" s="7">
        <f t="shared" ref="BO20:BO83" si="52">(BM20*$M$8)/($D$6^2)</f>
        <v>1.3648607334293269E-2</v>
      </c>
      <c r="BP20" s="9">
        <f t="shared" ref="BP20:BP83" si="53">($C$8*$D$6)/BN20</f>
        <v>0.20336342186786066</v>
      </c>
      <c r="BQ20" s="4">
        <f>BQ19+(BO20*(BL19+BV19-(2*BQ19))+((BO20/(2*BQ$18))*(BV19-BL19)))</f>
        <v>969.28362167119883</v>
      </c>
      <c r="BR20" s="6">
        <f t="shared" ref="BR20:BR83" si="54">IF(BQ20&gt;=650,((0.00002*BQ20)+0.035)/10000,IF(BQ20&lt;650,((-0.0000000000003*(BQ20^4))+(0.0000000004*(BQ20^3))-(0.0000002*(BQ20^2))-(0.0001*BQ20)+0.1409)/10000))</f>
        <v>5.4385672433423984E-6</v>
      </c>
      <c r="BS20" s="8">
        <f t="shared" ref="BS20:BS83" si="55">IF(BQ20&lt;650,(53.495-(0.029*BQ20)),IF(BQ20&lt;700,((0.00000000000000006*(BQ20^2))-(0.2008*BQ20) + 164.43),IF(BQ20&lt;1250,((0.0115*BQ20)+ 15.889))))</f>
        <v>27.035761649218784</v>
      </c>
      <c r="BT20" s="7">
        <f t="shared" ref="BT20:BT83" si="56">(BR20*$M$8)/($D$6^2)</f>
        <v>1.3611067138550766E-2</v>
      </c>
      <c r="BU20" s="9">
        <f t="shared" ref="BU20:BU83" si="57">($C$8*$D$6)/BS20</f>
        <v>0.20401219213143112</v>
      </c>
      <c r="BV20" s="4">
        <f>BV19+(BT20*(BQ19+CA19-(2*BV19))+((BT20/(2*BV$18))*(CA19-BQ19)))</f>
        <v>961.18366671943375</v>
      </c>
      <c r="BW20" s="6">
        <f t="shared" ref="BW20:BW83" si="58">IF(BV20&gt;=650,((0.00002*BV20)+0.035)/10000,IF(BV20&lt;650,((-0.0000000000003*(BV20^4))+(0.0000000004*(BV20^3))-(0.0000002*(BV20^2))-(0.0001*BV20)+0.1409)/10000))</f>
        <v>5.422367333438868E-6</v>
      </c>
      <c r="BX20" s="8">
        <f t="shared" ref="BX20:BX83" si="59">IF(BV20&lt;650,(53.495-(0.029*BV20)),IF(BV20&lt;700,((0.00000000000000006*(BV20^2))-(0.2008*BV20) + 164.43),IF(BV20&lt;1250,((0.0115*BV20)+ 15.889))))</f>
        <v>26.942612167273488</v>
      </c>
      <c r="BY20" s="7">
        <f t="shared" ref="BY20:BY83" si="60">(BW20*$M$8)/($D$6^2)</f>
        <v>1.3570523728591946E-2</v>
      </c>
      <c r="BZ20" s="9">
        <f t="shared" ref="BZ20:BZ83" si="61">($C$8*$D$6)/BX20</f>
        <v>0.20471752945691327</v>
      </c>
      <c r="CA20" s="4">
        <f>CA19+(BY20*(BV19+CF19-(2*CA19))+((BY20/(2*CA$18))*(CF19-BV19)))</f>
        <v>952.4837153715257</v>
      </c>
      <c r="CB20" s="6">
        <f t="shared" ref="CB20:CB83" si="62">IF(CA20&gt;=650,((0.00002*CA20)+0.035)/10000,IF(CA20&lt;650,((-0.0000000000003*(CA20^4))+(0.0000000004*(CA20^3))-(0.0000002*(CA20^2))-(0.0001*CA20)+0.1409)/10000))</f>
        <v>5.4049674307430518E-6</v>
      </c>
      <c r="CC20" s="8">
        <f t="shared" ref="CC20:CC83" si="63">IF(CA20&lt;650,(53.495-(0.029*CA20)),IF(CA20&lt;700,((0.00000000000000006*(CA20^2))-(0.2008*CA20) + 164.43),IF(CA20&lt;1250,((0.0115*CA20)+ 15.889))))</f>
        <v>26.842562726772545</v>
      </c>
      <c r="CD20" s="7">
        <f t="shared" ref="CD20:CD83" si="64">(CB20*$M$8)/($D$6^2)</f>
        <v>1.3526977104416818E-2</v>
      </c>
      <c r="CE20" s="9">
        <f t="shared" ref="CE20:CE83" si="65">($C$8*$D$6)/CC20</f>
        <v>0.20548056667103407</v>
      </c>
      <c r="CF20" s="4">
        <f>CF19+(CD20*(CA19+CK19-(2*CF19))+((CD20/(2*CF$18))*(CK19-CA19)))</f>
        <v>943.18376762747471</v>
      </c>
      <c r="CG20" s="6">
        <f t="shared" ref="CG20:CG83" si="66">IF(CF20&gt;=650,((0.00002*CF20)+0.035)/10000,IF(CF20&lt;650,((-0.0000000000003*(CF20^4))+(0.0000000004*(CF20^3))-(0.0000002*(CF20^2))-(0.0001*CF20)+0.1409)/10000))</f>
        <v>5.3863675352549504E-6</v>
      </c>
      <c r="CH20" s="8">
        <f t="shared" ref="CH20:CH83" si="67">IF(CF20&lt;650,(53.495-(0.029*CF20)),IF(CF20&lt;700,((0.00000000000000006*(CF20^2))-(0.2008*CF20) + 164.43),IF(CF20&lt;1250,((0.0115*CF20)+ 15.889))))</f>
        <v>26.73561332771596</v>
      </c>
      <c r="CI20" s="7">
        <f t="shared" ref="CI20:CI83" si="68">(CG20*$M$8)/($D$6^2)</f>
        <v>1.3480427266025377E-2</v>
      </c>
      <c r="CJ20" s="9">
        <f t="shared" ref="CJ20:CJ83" si="69">($C$8*$D$6)/CH20</f>
        <v>0.20630254232028883</v>
      </c>
      <c r="CK20" s="4">
        <f>CK19+(CI20*(CF19+CP19-(2*CK19))+((CI20/(2*CK$18))*(CP19-CF19)))</f>
        <v>933.28382348728076</v>
      </c>
      <c r="CL20" s="6">
        <f t="shared" ref="CL20:CL83" si="70">IF(CK20&gt;=650,((0.00002*CK20)+0.035)/10000,IF(CK20&lt;650,((-0.0000000000003*(CK20^4))+(0.0000000004*(CK20^3))-(0.0000002*(CK20^2))-(0.0001*CK20)+0.1409)/10000))</f>
        <v>5.3665676469745624E-6</v>
      </c>
      <c r="CM20" s="8">
        <f t="shared" ref="CM20:CM83" si="71">IF(CK20&lt;650,(53.495-(0.029*CK20)),IF(CK20&lt;700,((0.00000000000000006*(CK20^2))-(0.2008*CK20) + 164.43),IF(CK20&lt;1250,((0.0115*CK20)+ 15.889))))</f>
        <v>26.621763970103729</v>
      </c>
      <c r="CN20" s="7">
        <f t="shared" ref="CN20:CN83" si="72">(CL20*$M$8)/($D$6^2)</f>
        <v>1.3430874213417619E-2</v>
      </c>
      <c r="CO20" s="9">
        <f t="shared" ref="CO20:CO83" si="73">($C$8*$D$6)/CM20</f>
        <v>0.20718480586763721</v>
      </c>
      <c r="CP20" s="4">
        <f>CP19+(CN20*(CK19+CU19-(2*CP19))+((CN20/(2*CP$18))*(CU19-CK19)))</f>
        <v>922.78388295094396</v>
      </c>
      <c r="CQ20" s="6">
        <f t="shared" ref="CQ20:CQ83" si="74">IF(CP20&gt;=650,((0.00002*CP20)+0.035)/10000,IF(CP20&lt;650,((-0.0000000000003*(CP20^4))+(0.0000000004*(CP20^3))-(0.0000002*(CP20^2))-(0.0001*CP20)+0.1409)/10000))</f>
        <v>5.3455677659018885E-6</v>
      </c>
      <c r="CR20" s="8">
        <f t="shared" ref="CR20:CR83" si="75">IF(CP20&lt;650,(53.495-(0.029*CP20)),IF(CP20&lt;700,((0.00000000000000006*(CP20^2))-(0.2008*CP20) + 164.43),IF(CP20&lt;1250,((0.0115*CP20)+ 15.889))))</f>
        <v>26.501014653935854</v>
      </c>
      <c r="CS20" s="7">
        <f t="shared" ref="CS20:CS83" si="76">(CQ20*$M$8)/($D$6^2)</f>
        <v>1.3378317946593551E-2</v>
      </c>
      <c r="CT20" s="9">
        <f t="shared" ref="CT20:CT83" si="77">($C$8*$D$6)/CR20</f>
        <v>0.20812882344415576</v>
      </c>
      <c r="CU20" s="4">
        <f>CU19+(CS20*(CP19+CZ19-(2*CU19))+((CS20/(2*CU$18))*(CZ19-CP19)))</f>
        <v>911.6839460184641</v>
      </c>
      <c r="CV20" s="6">
        <f t="shared" ref="CV20:CV83" si="78">IF(CU20&gt;=650,((0.00002*CU20)+0.035)/10000,IF(CU20&lt;650,((-0.0000000000003*(CU20^4))+(0.0000000004*(CU20^3))-(0.0000002*(CU20^2))-(0.0001*CU20)+0.1409)/10000))</f>
        <v>5.3233678920369287E-6</v>
      </c>
      <c r="CW20" s="8">
        <f t="shared" ref="CW20:CW83" si="79">IF(CU20&lt;650,(53.495-(0.029*CU20)),IF(CU20&lt;700,((0.00000000000000006*(CU20^2))-(0.2008*CU20) + 164.43),IF(CU20&lt;1250,((0.0115*CU20)+ 15.889))))</f>
        <v>26.373365379212338</v>
      </c>
      <c r="CX20" s="7">
        <f t="shared" ref="CX20:CX83" si="80">(CV20*$M$8)/($D$6^2)</f>
        <v>1.3322758465553168E-2</v>
      </c>
      <c r="CY20" s="9">
        <f t="shared" ref="CY20:CY83" si="81">($C$8*$D$6)/CW20</f>
        <v>0.20913618420300098</v>
      </c>
      <c r="CZ20" s="5">
        <f>CZ19+((2*$CX20)*(CU19-CZ19))+((2*$CX20*$CY20)*($C$14-CZ19))+((($CX20*$CY20)/$C$5)*($C$14-CZ19))+(((CZ19-$C$14)*$CX20*($D$6^2))/($CW20*($D$4/(2*$C$8))))</f>
        <v>895.55767787864067</v>
      </c>
      <c r="DA20" s="6">
        <f t="shared" ref="DA20:DA83" si="82">IF(CZ20&gt;=650,((0.00002*CZ20)+0.035)/10000,IF(CZ20&lt;650,((-0.0000000000003*(CZ20^4))+(0.0000000004*(CZ20^3))-(0.0000002*(CZ20^2))-(0.0001*CZ20)+0.1409)/10000))</f>
        <v>5.2911153557572813E-6</v>
      </c>
      <c r="DB20" s="8">
        <f t="shared" ref="DB20:DB83" si="83">IF(CZ20&lt;650,(53.495-(0.029*CZ20)),IF(CZ20&lt;700,((0.00000000000000006*(CZ20^2))-(0.2008*CZ20) + 164.43),IF(CZ20&lt;1250,((0.0115*CZ20)+ 15.889))))</f>
        <v>26.187913295604368</v>
      </c>
      <c r="DC20" s="7">
        <f t="shared" ref="DC20:DC83" si="84">(DA20*$M$8)/($D$6^2)</f>
        <v>1.3242040251169001E-2</v>
      </c>
      <c r="DD20" s="9">
        <f t="shared" ref="DD20:DD83" si="85">($C$8*$D$6)/DB20</f>
        <v>0.21061720106297266</v>
      </c>
    </row>
    <row r="21" spans="2:108" x14ac:dyDescent="0.25">
      <c r="B21">
        <v>2</v>
      </c>
      <c r="C21">
        <f t="shared" ref="C21:C84" si="86">$B21*$M$8</f>
        <v>1.9552293326905029E-3</v>
      </c>
      <c r="D21" s="4">
        <f t="shared" si="3"/>
        <v>1019.9692995705541</v>
      </c>
      <c r="E21" s="6">
        <f t="shared" si="4"/>
        <v>5.539938599141109E-6</v>
      </c>
      <c r="F21" s="8">
        <f t="shared" si="5"/>
        <v>27.618646945061371</v>
      </c>
      <c r="G21" s="7">
        <f t="shared" si="1"/>
        <v>1.3864768576441639E-2</v>
      </c>
      <c r="H21" s="9">
        <f t="shared" si="6"/>
        <v>0.19970656096845021</v>
      </c>
      <c r="I21" s="4">
        <f t="shared" ref="I21:I84" si="87">I20+(G21*(D20+N20-(2*I20))+((G21/(2*$I$18))*(N20-D20)))</f>
        <v>1019.6667336606224</v>
      </c>
      <c r="J21" s="6">
        <f t="shared" si="7"/>
        <v>5.5393334673212457E-6</v>
      </c>
      <c r="K21" s="8">
        <f t="shared" si="8"/>
        <v>27.615167437097156</v>
      </c>
      <c r="L21" s="7">
        <f t="shared" si="9"/>
        <v>1.386325411694168E-2</v>
      </c>
      <c r="M21" s="9">
        <f t="shared" si="10"/>
        <v>0.19973172397247613</v>
      </c>
      <c r="N21" s="4">
        <f t="shared" ref="N21:N84" si="88">N20+(L21*(I20+S20-(2*N20))+((L21/(2*N$18))*(S20-I20)))</f>
        <v>1018.7667280400591</v>
      </c>
      <c r="O21" s="6">
        <f t="shared" si="11"/>
        <v>5.5375334560801185E-6</v>
      </c>
      <c r="P21" s="8">
        <f t="shared" si="12"/>
        <v>27.60481737246068</v>
      </c>
      <c r="Q21" s="7">
        <f t="shared" si="2"/>
        <v>1.3864768576441639E-2</v>
      </c>
      <c r="R21" s="9">
        <f t="shared" si="13"/>
        <v>0.19980661076579112</v>
      </c>
      <c r="S21" s="4">
        <f t="shared" ref="S21:S84" si="89">S20+(Q21*(N20+X20-(2*S20))+((Q21/(2*S$18))*(X20-N20)))</f>
        <v>1017.2667247463795</v>
      </c>
      <c r="T21" s="6">
        <f t="shared" si="14"/>
        <v>5.5345334494927595E-6</v>
      </c>
      <c r="U21" s="8">
        <f t="shared" si="15"/>
        <v>27.587567334583362</v>
      </c>
      <c r="V21" s="7">
        <f t="shared" si="16"/>
        <v>1.3851241143302393E-2</v>
      </c>
      <c r="W21" s="9">
        <f t="shared" si="17"/>
        <v>0.1999315464501176</v>
      </c>
      <c r="X21" s="4">
        <f t="shared" ref="X21:X84" si="90">X20+(V21*(S20+AC20-(2*X20))+((V21/(2*X$18))*(AC20-S20)))</f>
        <v>1015.1667569212262</v>
      </c>
      <c r="Y21" s="6">
        <f t="shared" si="18"/>
        <v>5.5303335138424532E-6</v>
      </c>
      <c r="Z21" s="8">
        <f t="shared" si="19"/>
        <v>27.563417704594102</v>
      </c>
      <c r="AA21" s="7">
        <f t="shared" si="20"/>
        <v>1.3840729991457412E-2</v>
      </c>
      <c r="AB21" s="9">
        <f t="shared" si="21"/>
        <v>0.20010671605069821</v>
      </c>
      <c r="AC21" s="4">
        <f t="shared" ref="AC21:AC84" si="91">AC20+(AA21*(X20+AH20-(2*AC20))+((AA21/(2*AC$18))*(AH20-X20)))</f>
        <v>1012.4667822379688</v>
      </c>
      <c r="AD21" s="6">
        <f t="shared" si="22"/>
        <v>5.5249335644759381E-6</v>
      </c>
      <c r="AE21" s="8">
        <f t="shared" si="23"/>
        <v>27.532367995736642</v>
      </c>
      <c r="AF21" s="7">
        <f t="shared" si="24"/>
        <v>1.3827215573029952E-2</v>
      </c>
      <c r="AG21" s="9">
        <f t="shared" si="25"/>
        <v>0.20033238698734845</v>
      </c>
      <c r="AH21" s="4">
        <f t="shared" ref="AH21:AH84" si="92">AH20+(AF21*(AC20+AM20-(2*AH20))+((AF21/(2*AH$18))*(AM20-AC20)))</f>
        <v>1009.1668146742221</v>
      </c>
      <c r="AI21" s="6">
        <f t="shared" si="26"/>
        <v>5.5183336293484449E-6</v>
      </c>
      <c r="AJ21" s="8">
        <f t="shared" si="27"/>
        <v>27.494418368753553</v>
      </c>
      <c r="AK21" s="7">
        <f t="shared" si="28"/>
        <v>1.3810697957983387E-2</v>
      </c>
      <c r="AL21" s="9">
        <f t="shared" si="29"/>
        <v>0.2006088990872531</v>
      </c>
      <c r="AM21" s="4">
        <f t="shared" ref="AM21:AM84" si="93">AM20+(AK21*(AH20+AR20-(2*AM20))+((AK21/(2*AM$18))*(AR20-AH20)))</f>
        <v>1005.2668543176715</v>
      </c>
      <c r="AN21" s="6">
        <f t="shared" si="30"/>
        <v>5.5105337086353432E-6</v>
      </c>
      <c r="AO21" s="8">
        <f t="shared" si="31"/>
        <v>27.44956882465322</v>
      </c>
      <c r="AP21" s="7">
        <f t="shared" si="32"/>
        <v>1.3791177146756614E-2</v>
      </c>
      <c r="AQ21" s="9">
        <f t="shared" si="33"/>
        <v>0.20093667172820084</v>
      </c>
      <c r="AR21" s="4">
        <f t="shared" ref="AR21:AR84" si="94">AR20+(AP21*(AM20+AW20-(2*AR20))+((AP21/(2*AR$18))*(AW20-AM20)))</f>
        <v>1000.7669011684944</v>
      </c>
      <c r="AS21" s="6">
        <f t="shared" si="34"/>
        <v>5.5015338023369897E-6</v>
      </c>
      <c r="AT21" s="8">
        <f t="shared" si="35"/>
        <v>27.397819363437684</v>
      </c>
      <c r="AU21" s="7">
        <f t="shared" si="36"/>
        <v>1.3768653139350525E-2</v>
      </c>
      <c r="AV21" s="9">
        <f t="shared" si="37"/>
        <v>0.20131620428743269</v>
      </c>
      <c r="AW21" s="4">
        <f t="shared" ref="AW21:AW84" si="95">AW20+(AU21*(AR20+BB20-(2*AW20))+((AU21/(2*AW$18))*(BB20-AR20)))</f>
        <v>995.66695522678992</v>
      </c>
      <c r="AX21" s="6">
        <f t="shared" si="38"/>
        <v>5.49133391045358E-6</v>
      </c>
      <c r="AY21" s="8">
        <f t="shared" si="39"/>
        <v>27.339169985108086</v>
      </c>
      <c r="AZ21" s="7">
        <f t="shared" si="40"/>
        <v>1.3743125935765611E-2</v>
      </c>
      <c r="BA21" s="9">
        <f t="shared" si="41"/>
        <v>0.20174807805081191</v>
      </c>
      <c r="BB21" s="4">
        <f t="shared" ref="BB21:BB84" si="96">BB20+(AZ21*(AW20+BG20-(2*BB20))+((AZ21/(2*BB$18))*(BG20-AW20)))</f>
        <v>989.9670164926174</v>
      </c>
      <c r="BC21" s="6">
        <f t="shared" si="42"/>
        <v>5.4799340329852353E-6</v>
      </c>
      <c r="BD21" s="8">
        <f t="shared" si="43"/>
        <v>27.273620689665101</v>
      </c>
      <c r="BE21" s="7">
        <f t="shared" si="44"/>
        <v>1.3714595536002173E-2</v>
      </c>
      <c r="BF21" s="9">
        <f t="shared" si="45"/>
        <v>0.20223295846048256</v>
      </c>
      <c r="BG21" s="4">
        <f t="shared" ref="BG21:BG84" si="97">BG20+(BE21*(BB20+BL20-(2*BG20))+((BE21/(2*BG$18))*(BL20-BB20)))</f>
        <v>983.66708496601473</v>
      </c>
      <c r="BH21" s="6">
        <f t="shared" si="46"/>
        <v>5.4673341699320292E-6</v>
      </c>
      <c r="BI21" s="8">
        <f t="shared" si="47"/>
        <v>27.20117147710917</v>
      </c>
      <c r="BJ21" s="7">
        <f t="shared" si="48"/>
        <v>1.3683061940060397E-2</v>
      </c>
      <c r="BK21" s="9">
        <f t="shared" si="49"/>
        <v>0.20277159771010636</v>
      </c>
      <c r="BL21" s="4">
        <f t="shared" ref="BL21:BL84" si="98">BL20+(BJ21*(BG20+BQ20-(2*BL20))+((BJ21/(2*BL$18))*(BQ20-BG20)))</f>
        <v>976.76716064700724</v>
      </c>
      <c r="BM21" s="6">
        <f t="shared" si="50"/>
        <v>5.4535343212940151E-6</v>
      </c>
      <c r="BN21" s="8">
        <f t="shared" si="51"/>
        <v>27.121822347440585</v>
      </c>
      <c r="BO21" s="7">
        <f t="shared" si="52"/>
        <v>1.3648525147940418E-2</v>
      </c>
      <c r="BP21" s="9">
        <f t="shared" si="53"/>
        <v>0.20336483770680311</v>
      </c>
      <c r="BQ21" s="4">
        <f t="shared" ref="BQ21:BQ84" si="99">BQ20+(BO21*(BL20+BV20-(2*BQ20))+((BO21/(2*BQ$18))*(BV20-BL20)))</f>
        <v>969.26724353561235</v>
      </c>
      <c r="BR21" s="6">
        <f t="shared" si="54"/>
        <v>5.4385344870712253E-6</v>
      </c>
      <c r="BS21" s="8">
        <f t="shared" si="55"/>
        <v>27.035573300659543</v>
      </c>
      <c r="BT21" s="7">
        <f t="shared" si="56"/>
        <v>1.3610985159642312E-2</v>
      </c>
      <c r="BU21" s="9">
        <f t="shared" si="57"/>
        <v>0.20401361342189273</v>
      </c>
      <c r="BV21" s="4">
        <f t="shared" ref="BV21:BV84" si="100">BV20+(BT21*(BQ20+CA20-(2*BV20))+((BT21/(2*BV$18))*(CA20-BQ20)))</f>
        <v>961.16733363184255</v>
      </c>
      <c r="BW21" s="6">
        <f t="shared" si="58"/>
        <v>5.4223346672636858E-6</v>
      </c>
      <c r="BX21" s="8">
        <f t="shared" si="59"/>
        <v>26.942424336766187</v>
      </c>
      <c r="BY21" s="7">
        <f t="shared" si="60"/>
        <v>1.357044197516615E-2</v>
      </c>
      <c r="BZ21" s="9">
        <f t="shared" si="61"/>
        <v>0.20471895665577744</v>
      </c>
      <c r="CA21" s="4">
        <f t="shared" ref="CA21:CA84" si="101">CA20+(BY21*(BV20+CF20-(2*CA20))+((BY21/(2*CA$18))*(CF20-BV20)))</f>
        <v>952.46743093570694</v>
      </c>
      <c r="CB21" s="6">
        <f t="shared" si="62"/>
        <v>5.4049348618714146E-6</v>
      </c>
      <c r="CC21" s="8">
        <f t="shared" si="63"/>
        <v>26.842375455760632</v>
      </c>
      <c r="CD21" s="7">
        <f t="shared" si="64"/>
        <v>1.3526895594511975E-2</v>
      </c>
      <c r="CE21" s="9">
        <f t="shared" si="65"/>
        <v>0.2054820002458573</v>
      </c>
      <c r="CF21" s="4">
        <f t="shared" ref="CF21:CF84" si="102">CF20+(CD21*(CA20+CK20-(2*CF20))+((CD21/(2*CF$18))*(CK20-CA20)))</f>
        <v>943.16753544721246</v>
      </c>
      <c r="CG21" s="6">
        <f t="shared" si="66"/>
        <v>5.3863350708944252E-6</v>
      </c>
      <c r="CH21" s="8">
        <f t="shared" si="67"/>
        <v>26.735426657642943</v>
      </c>
      <c r="CI21" s="7">
        <f t="shared" si="68"/>
        <v>1.348034601767982E-2</v>
      </c>
      <c r="CJ21" s="9">
        <f t="shared" si="69"/>
        <v>0.20630398275028949</v>
      </c>
      <c r="CK21" s="4">
        <f t="shared" ref="CK21:CK84" si="103">CK20+(CI21*(CF20+CP20-(2*CK20))+((CI21/(2*CK$18))*(CP20-CF20)))</f>
        <v>933.26764716636433</v>
      </c>
      <c r="CL21" s="6">
        <f t="shared" si="70"/>
        <v>5.3665352943327295E-6</v>
      </c>
      <c r="CM21" s="8">
        <f t="shared" si="71"/>
        <v>26.62157794241319</v>
      </c>
      <c r="CN21" s="7">
        <f t="shared" si="72"/>
        <v>1.3430793244669713E-2</v>
      </c>
      <c r="CO21" s="9">
        <f t="shared" si="73"/>
        <v>0.20718625364473869</v>
      </c>
      <c r="CP21" s="4">
        <f t="shared" ref="CP21:CP84" si="104">CP20+(CN21*(CK20+CU20-(2*CP20))+((CN21/(2*CP$18))*(CU20-CK20)))</f>
        <v>922.76776609316664</v>
      </c>
      <c r="CQ21" s="6">
        <f t="shared" si="74"/>
        <v>5.3455355321863342E-6</v>
      </c>
      <c r="CR21" s="8">
        <f t="shared" si="75"/>
        <v>26.500829310071417</v>
      </c>
      <c r="CS21" s="7">
        <f t="shared" si="76"/>
        <v>1.3378237275481673E-2</v>
      </c>
      <c r="CT21" s="9">
        <f t="shared" si="77"/>
        <v>0.20813027907409046</v>
      </c>
      <c r="CU21" s="4">
        <f t="shared" ref="CU21:CU84" si="105">CU20+(CS21*(CP20+CZ20-(2*CU20))+((CS21/(2*CU$18))*(CZ20-CP20)))</f>
        <v>911.60711733980054</v>
      </c>
      <c r="CV21" s="6">
        <f t="shared" si="78"/>
        <v>5.3232142346796015E-6</v>
      </c>
      <c r="CW21" s="8">
        <f t="shared" si="79"/>
        <v>26.372481849407706</v>
      </c>
      <c r="CX21" s="7">
        <f t="shared" si="80"/>
        <v>1.3322373908276714E-2</v>
      </c>
      <c r="CY21" s="9">
        <f t="shared" si="81"/>
        <v>0.20914319067486151</v>
      </c>
      <c r="CZ21" s="5">
        <f t="shared" ref="CZ21:CZ84" si="106">CZ20+((2*$CX21)*(CU20-CZ20))+((2*$CX21*$CY21)*($C$14-CZ20))+((($CX21*$CY21)/$C$5)*($C$14-CZ20))+(((CZ20-$C$14)*$CX21*($D$6^2))/($CW21*($D$4/(2*$C$8))))</f>
        <v>891.25739777736123</v>
      </c>
      <c r="DA21" s="6">
        <f t="shared" si="82"/>
        <v>5.282514795554723E-6</v>
      </c>
      <c r="DB21" s="8">
        <f t="shared" si="83"/>
        <v>26.138460074439653</v>
      </c>
      <c r="DC21" s="7">
        <f t="shared" si="84"/>
        <v>1.3220515684659416E-2</v>
      </c>
      <c r="DD21" s="9">
        <f t="shared" si="85"/>
        <v>0.21101568280197325</v>
      </c>
    </row>
    <row r="22" spans="2:108" x14ac:dyDescent="0.25">
      <c r="B22">
        <v>3</v>
      </c>
      <c r="C22">
        <f t="shared" si="86"/>
        <v>2.9328439990357544E-3</v>
      </c>
      <c r="D22" s="4">
        <f t="shared" si="3"/>
        <v>1019.9538520836545</v>
      </c>
      <c r="E22" s="6">
        <f t="shared" si="4"/>
        <v>5.5399077041673094E-6</v>
      </c>
      <c r="F22" s="8">
        <f t="shared" si="5"/>
        <v>27.618469298962026</v>
      </c>
      <c r="G22" s="7">
        <f t="shared" si="1"/>
        <v>1.386469125579011E-2</v>
      </c>
      <c r="H22" s="9">
        <f t="shared" si="6"/>
        <v>0.1997078455107319</v>
      </c>
      <c r="I22" s="4">
        <f t="shared" si="87"/>
        <v>1019.6501137019989</v>
      </c>
      <c r="J22" s="6">
        <f t="shared" si="7"/>
        <v>5.539300227403998E-6</v>
      </c>
      <c r="K22" s="8">
        <f t="shared" si="8"/>
        <v>27.614976307572988</v>
      </c>
      <c r="L22" s="7">
        <f t="shared" si="9"/>
        <v>1.3863170927615321E-2</v>
      </c>
      <c r="M22" s="9">
        <f t="shared" si="10"/>
        <v>0.19973310636110969</v>
      </c>
      <c r="N22" s="4">
        <f t="shared" si="88"/>
        <v>1018.750092236309</v>
      </c>
      <c r="O22" s="6">
        <f t="shared" si="11"/>
        <v>5.5375001844726187E-6</v>
      </c>
      <c r="P22" s="8">
        <f t="shared" si="12"/>
        <v>27.604626060717553</v>
      </c>
      <c r="Q22" s="7">
        <f t="shared" si="2"/>
        <v>1.386469125579011E-2</v>
      </c>
      <c r="R22" s="9">
        <f t="shared" si="13"/>
        <v>0.19980799551017817</v>
      </c>
      <c r="S22" s="4">
        <f t="shared" si="89"/>
        <v>1017.2500876753708</v>
      </c>
      <c r="T22" s="6">
        <f t="shared" si="14"/>
        <v>5.5345001753507424E-6</v>
      </c>
      <c r="U22" s="8">
        <f t="shared" si="15"/>
        <v>27.587376008266762</v>
      </c>
      <c r="V22" s="7">
        <f t="shared" si="16"/>
        <v>1.3851157868321924E-2</v>
      </c>
      <c r="W22" s="9">
        <f t="shared" si="17"/>
        <v>0.19993293303238416</v>
      </c>
      <c r="X22" s="4">
        <f t="shared" si="90"/>
        <v>1015.1501355363322</v>
      </c>
      <c r="Y22" s="6">
        <f t="shared" si="18"/>
        <v>5.5303002710726645E-6</v>
      </c>
      <c r="Z22" s="8">
        <f t="shared" si="19"/>
        <v>27.563226558667822</v>
      </c>
      <c r="AA22" s="7">
        <f t="shared" si="20"/>
        <v>1.3840646794992017E-2</v>
      </c>
      <c r="AB22" s="9">
        <f t="shared" si="21"/>
        <v>0.20010810375411214</v>
      </c>
      <c r="AC22" s="4">
        <f t="shared" si="91"/>
        <v>1012.4501736402873</v>
      </c>
      <c r="AD22" s="6">
        <f t="shared" si="22"/>
        <v>5.5249003472805753E-6</v>
      </c>
      <c r="AE22" s="8">
        <f t="shared" si="23"/>
        <v>27.532176996863303</v>
      </c>
      <c r="AF22" s="7">
        <f t="shared" si="24"/>
        <v>1.3827132440569507E-2</v>
      </c>
      <c r="AG22" s="9">
        <f t="shared" si="25"/>
        <v>0.20033377675250258</v>
      </c>
      <c r="AH22" s="4">
        <f t="shared" si="92"/>
        <v>1009.1502222980029</v>
      </c>
      <c r="AI22" s="6">
        <f t="shared" si="26"/>
        <v>5.5183004445960059E-6</v>
      </c>
      <c r="AJ22" s="8">
        <f t="shared" si="27"/>
        <v>27.494227556427035</v>
      </c>
      <c r="AK22" s="7">
        <f t="shared" si="28"/>
        <v>1.3810614906717636E-2</v>
      </c>
      <c r="AL22" s="9">
        <f t="shared" si="29"/>
        <v>0.20061029133043132</v>
      </c>
      <c r="AM22" s="4">
        <f t="shared" si="93"/>
        <v>1005.2502817646459</v>
      </c>
      <c r="AN22" s="6">
        <f t="shared" si="30"/>
        <v>5.5105005635292927E-6</v>
      </c>
      <c r="AO22" s="8">
        <f t="shared" si="31"/>
        <v>27.449378240293427</v>
      </c>
      <c r="AP22" s="7">
        <f t="shared" si="32"/>
        <v>1.3791094194713624E-2</v>
      </c>
      <c r="AQ22" s="9">
        <f t="shared" si="33"/>
        <v>0.20093806685586477</v>
      </c>
      <c r="AR22" s="4">
        <f t="shared" si="94"/>
        <v>1000.7503520418377</v>
      </c>
      <c r="AS22" s="6">
        <f t="shared" si="34"/>
        <v>5.5015007040836756E-6</v>
      </c>
      <c r="AT22" s="8">
        <f t="shared" si="35"/>
        <v>27.397629048481132</v>
      </c>
      <c r="AU22" s="7">
        <f t="shared" si="36"/>
        <v>1.3768570304565575E-2</v>
      </c>
      <c r="AV22" s="9">
        <f t="shared" si="37"/>
        <v>0.20131760271080007</v>
      </c>
      <c r="AW22" s="4">
        <f t="shared" si="95"/>
        <v>995.65043312987564</v>
      </c>
      <c r="AX22" s="6">
        <f t="shared" si="38"/>
        <v>5.4913008662597518E-6</v>
      </c>
      <c r="AY22" s="8">
        <f t="shared" si="39"/>
        <v>27.338979980993571</v>
      </c>
      <c r="AZ22" s="7">
        <f t="shared" si="40"/>
        <v>1.3743043236274989E-2</v>
      </c>
      <c r="BA22" s="9">
        <f t="shared" si="41"/>
        <v>0.20174948018669817</v>
      </c>
      <c r="BB22" s="4">
        <f t="shared" si="96"/>
        <v>989.95052502893839</v>
      </c>
      <c r="BC22" s="6">
        <f t="shared" si="42"/>
        <v>5.479901050057877E-6</v>
      </c>
      <c r="BD22" s="8">
        <f t="shared" si="43"/>
        <v>27.27343103783279</v>
      </c>
      <c r="BE22" s="7">
        <f t="shared" si="44"/>
        <v>1.3714512989842749E-2</v>
      </c>
      <c r="BF22" s="9">
        <f t="shared" si="45"/>
        <v>0.20223436473206871</v>
      </c>
      <c r="BG22" s="4">
        <f t="shared" si="97"/>
        <v>983.65062773913951</v>
      </c>
      <c r="BH22" s="6">
        <f t="shared" si="46"/>
        <v>5.4673012554782798E-6</v>
      </c>
      <c r="BI22" s="8">
        <f t="shared" si="47"/>
        <v>27.200982219000103</v>
      </c>
      <c r="BJ22" s="7">
        <f t="shared" si="48"/>
        <v>1.3682979565269435E-2</v>
      </c>
      <c r="BK22" s="9">
        <f t="shared" si="49"/>
        <v>0.20277300854773148</v>
      </c>
      <c r="BL22" s="4">
        <f t="shared" si="98"/>
        <v>976.75074126055495</v>
      </c>
      <c r="BM22" s="6">
        <f t="shared" si="50"/>
        <v>5.4535014825211104E-6</v>
      </c>
      <c r="BN22" s="8">
        <f t="shared" si="51"/>
        <v>27.121633524496382</v>
      </c>
      <c r="BO22" s="7">
        <f t="shared" si="52"/>
        <v>1.3648442962555416E-2</v>
      </c>
      <c r="BP22" s="9">
        <f t="shared" si="53"/>
        <v>0.20336625354878654</v>
      </c>
      <c r="BQ22" s="4">
        <f t="shared" si="99"/>
        <v>969.25086559323677</v>
      </c>
      <c r="BR22" s="6">
        <f t="shared" si="54"/>
        <v>5.4385017311864736E-6</v>
      </c>
      <c r="BS22" s="8">
        <f t="shared" si="55"/>
        <v>27.035384954322222</v>
      </c>
      <c r="BT22" s="7">
        <f t="shared" si="56"/>
        <v>1.3610903181700959E-2</v>
      </c>
      <c r="BU22" s="9">
        <f t="shared" si="57"/>
        <v>0.20401503471539073</v>
      </c>
      <c r="BV22" s="4">
        <f t="shared" si="100"/>
        <v>961.15100073722283</v>
      </c>
      <c r="BW22" s="6">
        <f t="shared" si="58"/>
        <v>5.4223020014744466E-6</v>
      </c>
      <c r="BX22" s="8">
        <f t="shared" si="59"/>
        <v>26.942236508478061</v>
      </c>
      <c r="BY22" s="7">
        <f t="shared" si="60"/>
        <v>1.3570360222706255E-2</v>
      </c>
      <c r="BZ22" s="9">
        <f t="shared" si="61"/>
        <v>0.20472038385767893</v>
      </c>
      <c r="CA22" s="4">
        <f t="shared" si="101"/>
        <v>952.45114669254019</v>
      </c>
      <c r="CB22" s="6">
        <f t="shared" si="62"/>
        <v>5.4049022933850801E-6</v>
      </c>
      <c r="CC22" s="8">
        <f t="shared" si="63"/>
        <v>26.842188186964211</v>
      </c>
      <c r="CD22" s="7">
        <f t="shared" si="64"/>
        <v>1.352681408557143E-2</v>
      </c>
      <c r="CE22" s="9">
        <f t="shared" si="65"/>
        <v>0.20548343382372375</v>
      </c>
      <c r="CF22" s="4">
        <f t="shared" si="102"/>
        <v>943.15130345920977</v>
      </c>
      <c r="CG22" s="6">
        <f t="shared" si="66"/>
        <v>5.38630260691842E-6</v>
      </c>
      <c r="CH22" s="8">
        <f t="shared" si="67"/>
        <v>26.735239989780911</v>
      </c>
      <c r="CI22" s="7">
        <f t="shared" si="68"/>
        <v>1.34802647702966E-2</v>
      </c>
      <c r="CJ22" s="9">
        <f t="shared" si="69"/>
        <v>0.20630542318334352</v>
      </c>
      <c r="CK22" s="4">
        <f t="shared" si="103"/>
        <v>933.25147103724714</v>
      </c>
      <c r="CL22" s="6">
        <f t="shared" si="70"/>
        <v>5.3665029420744949E-6</v>
      </c>
      <c r="CM22" s="8">
        <f t="shared" si="71"/>
        <v>26.621391916928342</v>
      </c>
      <c r="CN22" s="7">
        <f t="shared" si="72"/>
        <v>1.3430712276881838E-2</v>
      </c>
      <c r="CO22" s="9">
        <f t="shared" si="73"/>
        <v>0.20718770142490767</v>
      </c>
      <c r="CP22" s="4">
        <f t="shared" si="104"/>
        <v>922.7508105030206</v>
      </c>
      <c r="CQ22" s="6">
        <f t="shared" si="74"/>
        <v>5.3455016210060425E-6</v>
      </c>
      <c r="CR22" s="8">
        <f t="shared" si="75"/>
        <v>26.500634320784734</v>
      </c>
      <c r="CS22" s="7">
        <f t="shared" si="76"/>
        <v>1.3378152406189626E-2</v>
      </c>
      <c r="CT22" s="9">
        <f t="shared" si="77"/>
        <v>0.20813181047798679</v>
      </c>
      <c r="CU22" s="4">
        <f t="shared" si="105"/>
        <v>911.47309111557956</v>
      </c>
      <c r="CV22" s="6">
        <f t="shared" si="78"/>
        <v>5.3229461822311599E-6</v>
      </c>
      <c r="CW22" s="8">
        <f t="shared" si="79"/>
        <v>26.370940547829164</v>
      </c>
      <c r="CX22" s="7">
        <f t="shared" si="80"/>
        <v>1.3321703055144053E-2</v>
      </c>
      <c r="CY22" s="9">
        <f t="shared" si="81"/>
        <v>0.20915541446071184</v>
      </c>
      <c r="CZ22" s="5">
        <f t="shared" si="106"/>
        <v>887.09294961220007</v>
      </c>
      <c r="DA22" s="6">
        <f t="shared" si="82"/>
        <v>5.2741858992244002E-6</v>
      </c>
      <c r="DB22" s="8">
        <f t="shared" si="83"/>
        <v>26.090568920540299</v>
      </c>
      <c r="DC22" s="7">
        <f t="shared" si="84"/>
        <v>1.3199671009569515E-2</v>
      </c>
      <c r="DD22" s="9">
        <f t="shared" si="85"/>
        <v>0.21140301757305563</v>
      </c>
    </row>
    <row r="23" spans="2:108" x14ac:dyDescent="0.25">
      <c r="B23">
        <v>4</v>
      </c>
      <c r="C23">
        <f t="shared" si="86"/>
        <v>3.9104586653810058E-3</v>
      </c>
      <c r="D23" s="4">
        <f t="shared" si="3"/>
        <v>1019.9383447362717</v>
      </c>
      <c r="E23" s="6">
        <f t="shared" si="4"/>
        <v>5.5398766894725433E-6</v>
      </c>
      <c r="F23" s="8">
        <f t="shared" si="5"/>
        <v>27.618290964467121</v>
      </c>
      <c r="G23" s="7">
        <f t="shared" si="1"/>
        <v>1.3864613635513693E-2</v>
      </c>
      <c r="H23" s="9">
        <f t="shared" si="6"/>
        <v>0.19970913504735829</v>
      </c>
      <c r="I23" s="4">
        <f t="shared" si="87"/>
        <v>1019.6335016348246</v>
      </c>
      <c r="J23" s="6">
        <f t="shared" si="7"/>
        <v>5.5392670032696499E-6</v>
      </c>
      <c r="K23" s="8">
        <f t="shared" si="8"/>
        <v>27.614785268800482</v>
      </c>
      <c r="L23" s="7">
        <f t="shared" si="9"/>
        <v>1.386308777778872E-2</v>
      </c>
      <c r="M23" s="9">
        <f t="shared" si="10"/>
        <v>0.19973448811248298</v>
      </c>
      <c r="N23" s="4">
        <f t="shared" si="88"/>
        <v>1018.7334566751254</v>
      </c>
      <c r="O23" s="6">
        <f t="shared" si="11"/>
        <v>5.537466913350252E-6</v>
      </c>
      <c r="P23" s="8">
        <f t="shared" si="12"/>
        <v>27.604434751763939</v>
      </c>
      <c r="Q23" s="7">
        <f t="shared" si="2"/>
        <v>1.3864613635513693E-2</v>
      </c>
      <c r="R23" s="9">
        <f t="shared" si="13"/>
        <v>0.1998093802535677</v>
      </c>
      <c r="S23" s="4">
        <f t="shared" si="89"/>
        <v>1017.2334509658739</v>
      </c>
      <c r="T23" s="6">
        <f t="shared" si="14"/>
        <v>5.5344669019317483E-6</v>
      </c>
      <c r="U23" s="8">
        <f t="shared" si="15"/>
        <v>27.587184686107548</v>
      </c>
      <c r="V23" s="7">
        <f t="shared" si="16"/>
        <v>1.3851074595150958E-2</v>
      </c>
      <c r="W23" s="9">
        <f t="shared" si="17"/>
        <v>0.19993431960375346</v>
      </c>
      <c r="X23" s="4">
        <f t="shared" si="90"/>
        <v>1015.1335142605113</v>
      </c>
      <c r="Y23" s="6">
        <f t="shared" si="18"/>
        <v>5.5302670285210231E-6</v>
      </c>
      <c r="Z23" s="8">
        <f t="shared" si="19"/>
        <v>27.563035413995877</v>
      </c>
      <c r="AA23" s="7">
        <f t="shared" si="20"/>
        <v>1.3840563599072575E-2</v>
      </c>
      <c r="AB23" s="9">
        <f t="shared" si="21"/>
        <v>0.2001094914676666</v>
      </c>
      <c r="AC23" s="4">
        <f t="shared" si="91"/>
        <v>1012.4335652301214</v>
      </c>
      <c r="AD23" s="6">
        <f t="shared" si="22"/>
        <v>5.5248671304602432E-6</v>
      </c>
      <c r="AE23" s="8">
        <f t="shared" si="23"/>
        <v>27.531986000146397</v>
      </c>
      <c r="AF23" s="7">
        <f t="shared" si="24"/>
        <v>1.3827049309047648E-2</v>
      </c>
      <c r="AG23" s="9">
        <f t="shared" si="25"/>
        <v>0.20033516652124811</v>
      </c>
      <c r="AH23" s="4">
        <f t="shared" si="92"/>
        <v>1009.1336301128744</v>
      </c>
      <c r="AI23" s="6">
        <f t="shared" si="26"/>
        <v>5.5182672602257499E-6</v>
      </c>
      <c r="AJ23" s="8">
        <f t="shared" si="27"/>
        <v>27.494036746298054</v>
      </c>
      <c r="AK23" s="7">
        <f t="shared" si="28"/>
        <v>1.3810531856408374E-2</v>
      </c>
      <c r="AL23" s="9">
        <f t="shared" si="29"/>
        <v>0.20061168357689976</v>
      </c>
      <c r="AM23" s="4">
        <f t="shared" si="93"/>
        <v>1005.2337094037056</v>
      </c>
      <c r="AN23" s="6">
        <f t="shared" si="30"/>
        <v>5.5104674188074115E-6</v>
      </c>
      <c r="AO23" s="8">
        <f t="shared" si="31"/>
        <v>27.449187658142613</v>
      </c>
      <c r="AP23" s="7">
        <f t="shared" si="32"/>
        <v>1.3791011243632093E-2</v>
      </c>
      <c r="AQ23" s="9">
        <f t="shared" si="33"/>
        <v>0.20093946198673124</v>
      </c>
      <c r="AR23" s="4">
        <f t="shared" si="94"/>
        <v>1000.7338031079053</v>
      </c>
      <c r="AS23" s="6">
        <f t="shared" si="34"/>
        <v>5.5014676062158106E-6</v>
      </c>
      <c r="AT23" s="8">
        <f t="shared" si="35"/>
        <v>27.397438735740909</v>
      </c>
      <c r="AU23" s="7">
        <f t="shared" si="36"/>
        <v>1.3768487470745289E-2</v>
      </c>
      <c r="AV23" s="9">
        <f t="shared" si="37"/>
        <v>0.2013190011373098</v>
      </c>
      <c r="AW23" s="4">
        <f t="shared" si="95"/>
        <v>995.63391122608277</v>
      </c>
      <c r="AX23" s="6">
        <f t="shared" si="38"/>
        <v>5.4912678224521655E-6</v>
      </c>
      <c r="AY23" s="8">
        <f t="shared" si="39"/>
        <v>27.33878997909995</v>
      </c>
      <c r="AZ23" s="7">
        <f t="shared" si="40"/>
        <v>1.3742960537751012E-2</v>
      </c>
      <c r="BA23" s="9">
        <f t="shared" si="41"/>
        <v>0.20175088232568464</v>
      </c>
      <c r="BB23" s="4">
        <f t="shared" si="96"/>
        <v>989.93403375859555</v>
      </c>
      <c r="BC23" s="6">
        <f t="shared" si="42"/>
        <v>5.4798680675171917E-6</v>
      </c>
      <c r="BD23" s="8">
        <f t="shared" si="43"/>
        <v>27.273241388223848</v>
      </c>
      <c r="BE23" s="7">
        <f t="shared" si="44"/>
        <v>1.371443044465105E-2</v>
      </c>
      <c r="BF23" s="9">
        <f t="shared" si="45"/>
        <v>0.20223577100672599</v>
      </c>
      <c r="BG23" s="4">
        <f t="shared" si="97"/>
        <v>983.63417070567073</v>
      </c>
      <c r="BH23" s="6">
        <f t="shared" si="46"/>
        <v>5.4672683414113425E-6</v>
      </c>
      <c r="BI23" s="8">
        <f t="shared" si="47"/>
        <v>27.200792963115212</v>
      </c>
      <c r="BJ23" s="7">
        <f t="shared" si="48"/>
        <v>1.3682897191446542E-2</v>
      </c>
      <c r="BK23" s="9">
        <f t="shared" si="49"/>
        <v>0.20277441938840868</v>
      </c>
      <c r="BL23" s="4">
        <f t="shared" si="98"/>
        <v>976.7343220674602</v>
      </c>
      <c r="BM23" s="6">
        <f t="shared" si="50"/>
        <v>5.4534686441349202E-6</v>
      </c>
      <c r="BN23" s="8">
        <f t="shared" si="51"/>
        <v>27.121444703775794</v>
      </c>
      <c r="BO23" s="7">
        <f t="shared" si="52"/>
        <v>1.3648360778138243E-2</v>
      </c>
      <c r="BP23" s="9">
        <f t="shared" si="53"/>
        <v>0.20336766939381093</v>
      </c>
      <c r="BQ23" s="4">
        <f t="shared" si="99"/>
        <v>969.23448784406844</v>
      </c>
      <c r="BR23" s="6">
        <f t="shared" si="54"/>
        <v>5.4384689756881375E-6</v>
      </c>
      <c r="BS23" s="8">
        <f t="shared" si="55"/>
        <v>27.035196610206786</v>
      </c>
      <c r="BT23" s="7">
        <f t="shared" si="56"/>
        <v>1.3610821204726682E-2</v>
      </c>
      <c r="BU23" s="9">
        <f t="shared" si="57"/>
        <v>0.20401645601192514</v>
      </c>
      <c r="BV23" s="4">
        <f t="shared" si="100"/>
        <v>961.13466803557083</v>
      </c>
      <c r="BW23" s="6">
        <f t="shared" si="58"/>
        <v>5.4222693360711418E-6</v>
      </c>
      <c r="BX23" s="8">
        <f t="shared" si="59"/>
        <v>26.942048682409066</v>
      </c>
      <c r="BY23" s="7">
        <f t="shared" si="60"/>
        <v>1.3570278471212231E-2</v>
      </c>
      <c r="BZ23" s="9">
        <f t="shared" si="61"/>
        <v>0.2047218110626178</v>
      </c>
      <c r="CA23" s="4">
        <f t="shared" si="101"/>
        <v>952.43486264202181</v>
      </c>
      <c r="CB23" s="6">
        <f t="shared" si="62"/>
        <v>5.4048697252840439E-6</v>
      </c>
      <c r="CC23" s="8">
        <f t="shared" si="63"/>
        <v>26.842000920383249</v>
      </c>
      <c r="CD23" s="7">
        <f t="shared" si="64"/>
        <v>1.3526732577595164E-2</v>
      </c>
      <c r="CE23" s="9">
        <f t="shared" si="65"/>
        <v>0.20548486740463343</v>
      </c>
      <c r="CF23" s="4">
        <f t="shared" si="102"/>
        <v>943.13507166346301</v>
      </c>
      <c r="CG23" s="6">
        <f t="shared" si="66"/>
        <v>5.386270143326927E-6</v>
      </c>
      <c r="CH23" s="8">
        <f t="shared" si="67"/>
        <v>26.735053324129822</v>
      </c>
      <c r="CI23" s="7">
        <f t="shared" si="68"/>
        <v>1.3480183523875696E-2</v>
      </c>
      <c r="CJ23" s="9">
        <f t="shared" si="69"/>
        <v>0.20630686361945094</v>
      </c>
      <c r="CK23" s="4">
        <f t="shared" si="103"/>
        <v>933.23528345846796</v>
      </c>
      <c r="CL23" s="6">
        <f t="shared" si="70"/>
        <v>5.3664705669169364E-6</v>
      </c>
      <c r="CM23" s="8">
        <f t="shared" si="71"/>
        <v>26.62120575977238</v>
      </c>
      <c r="CN23" s="7">
        <f t="shared" si="72"/>
        <v>1.3430631251783971E-2</v>
      </c>
      <c r="CO23" s="9">
        <f t="shared" si="73"/>
        <v>0.20718915025008847</v>
      </c>
      <c r="CP23" s="4">
        <f t="shared" si="104"/>
        <v>922.73224918460244</v>
      </c>
      <c r="CQ23" s="6">
        <f t="shared" si="74"/>
        <v>5.3454644983692052E-6</v>
      </c>
      <c r="CR23" s="8">
        <f t="shared" si="75"/>
        <v>26.500420865622928</v>
      </c>
      <c r="CS23" s="7">
        <f t="shared" si="76"/>
        <v>1.3378059499606009E-2</v>
      </c>
      <c r="CT23" s="9">
        <f t="shared" si="77"/>
        <v>0.20813348693473091</v>
      </c>
      <c r="CU23" s="4">
        <f t="shared" si="105"/>
        <v>911.28525263332813</v>
      </c>
      <c r="CV23" s="6">
        <f t="shared" si="78"/>
        <v>5.3225705052666567E-6</v>
      </c>
      <c r="CW23" s="8">
        <f t="shared" si="79"/>
        <v>26.368780405283275</v>
      </c>
      <c r="CX23" s="7">
        <f t="shared" si="80"/>
        <v>1.3320762850829667E-2</v>
      </c>
      <c r="CY23" s="9">
        <f t="shared" si="81"/>
        <v>0.20917254856788461</v>
      </c>
      <c r="CZ23" s="5">
        <f t="shared" si="106"/>
        <v>883.05841334979129</v>
      </c>
      <c r="DA23" s="6">
        <f t="shared" si="82"/>
        <v>5.2661168266995833E-6</v>
      </c>
      <c r="DB23" s="8">
        <f t="shared" si="83"/>
        <v>26.044171753522598</v>
      </c>
      <c r="DC23" s="7">
        <f t="shared" si="84"/>
        <v>1.317947659384071E-2</v>
      </c>
      <c r="DD23" s="9">
        <f t="shared" si="85"/>
        <v>0.2117796277877021</v>
      </c>
    </row>
    <row r="24" spans="2:108" x14ac:dyDescent="0.25">
      <c r="B24">
        <v>5</v>
      </c>
      <c r="C24">
        <f t="shared" si="86"/>
        <v>4.8880733317262573E-3</v>
      </c>
      <c r="D24" s="4">
        <f t="shared" si="3"/>
        <v>1019.9227809874769</v>
      </c>
      <c r="E24" s="6">
        <f t="shared" si="4"/>
        <v>5.5398455619749539E-6</v>
      </c>
      <c r="F24" s="8">
        <f t="shared" si="5"/>
        <v>27.618111981355984</v>
      </c>
      <c r="G24" s="7">
        <f t="shared" si="1"/>
        <v>1.3864535732926378E-2</v>
      </c>
      <c r="H24" s="9">
        <f t="shared" si="6"/>
        <v>0.19971042929087277</v>
      </c>
      <c r="I24" s="4">
        <f t="shared" si="87"/>
        <v>1019.6168968306035</v>
      </c>
      <c r="J24" s="6">
        <f t="shared" si="7"/>
        <v>5.5392337936612078E-6</v>
      </c>
      <c r="K24" s="8">
        <f t="shared" si="8"/>
        <v>27.61459431355194</v>
      </c>
      <c r="L24" s="7">
        <f t="shared" si="9"/>
        <v>1.3863004664316014E-2</v>
      </c>
      <c r="M24" s="9">
        <f t="shared" si="10"/>
        <v>0.19973586927884693</v>
      </c>
      <c r="N24" s="4">
        <f t="shared" si="88"/>
        <v>1018.7168214380513</v>
      </c>
      <c r="O24" s="6">
        <f t="shared" si="11"/>
        <v>5.5374336428761027E-6</v>
      </c>
      <c r="P24" s="8">
        <f t="shared" si="12"/>
        <v>27.604243446537588</v>
      </c>
      <c r="Q24" s="7">
        <f t="shared" si="2"/>
        <v>1.3864535732926378E-2</v>
      </c>
      <c r="R24" s="9">
        <f t="shared" si="13"/>
        <v>0.19981076498917152</v>
      </c>
      <c r="S24" s="4">
        <f t="shared" si="89"/>
        <v>1017.2168146127671</v>
      </c>
      <c r="T24" s="6">
        <f t="shared" si="14"/>
        <v>5.5344336292255342E-6</v>
      </c>
      <c r="U24" s="8">
        <f t="shared" si="15"/>
        <v>27.586993368046819</v>
      </c>
      <c r="V24" s="7">
        <f t="shared" si="16"/>
        <v>1.3850991323763863E-2</v>
      </c>
      <c r="W24" s="9">
        <f t="shared" si="17"/>
        <v>0.19993570616465156</v>
      </c>
      <c r="X24" s="4">
        <f t="shared" si="90"/>
        <v>1015.1168930980431</v>
      </c>
      <c r="Y24" s="6">
        <f t="shared" si="18"/>
        <v>5.5302337861960868E-6</v>
      </c>
      <c r="Z24" s="8">
        <f t="shared" si="19"/>
        <v>27.562844270627494</v>
      </c>
      <c r="AA24" s="7">
        <f t="shared" si="20"/>
        <v>1.3840480403720509E-2</v>
      </c>
      <c r="AB24" s="9">
        <f t="shared" si="21"/>
        <v>0.20011087919100418</v>
      </c>
      <c r="AC24" s="4">
        <f t="shared" si="91"/>
        <v>1012.4169570065468</v>
      </c>
      <c r="AD24" s="6">
        <f t="shared" si="22"/>
        <v>5.5248339140130943E-6</v>
      </c>
      <c r="AE24" s="8">
        <f t="shared" si="23"/>
        <v>27.531795005575287</v>
      </c>
      <c r="AF24" s="7">
        <f t="shared" si="24"/>
        <v>1.3826966178459752E-2</v>
      </c>
      <c r="AG24" s="9">
        <f t="shared" si="25"/>
        <v>0.20033655629366215</v>
      </c>
      <c r="AH24" s="4">
        <f t="shared" si="92"/>
        <v>1009.1170381188039</v>
      </c>
      <c r="AI24" s="6">
        <f t="shared" si="26"/>
        <v>5.5182340762376083E-6</v>
      </c>
      <c r="AJ24" s="8">
        <f t="shared" si="27"/>
        <v>27.493845938366242</v>
      </c>
      <c r="AK24" s="7">
        <f t="shared" si="28"/>
        <v>1.3810448807055427E-2</v>
      </c>
      <c r="AL24" s="9">
        <f t="shared" si="29"/>
        <v>0.20061307582666091</v>
      </c>
      <c r="AM24" s="4">
        <f t="shared" si="93"/>
        <v>1005.217137234845</v>
      </c>
      <c r="AN24" s="6">
        <f t="shared" si="30"/>
        <v>5.5104342744696902E-6</v>
      </c>
      <c r="AO24" s="8">
        <f t="shared" si="31"/>
        <v>27.448997078200719</v>
      </c>
      <c r="AP24" s="7">
        <f t="shared" si="32"/>
        <v>1.3790928293511997E-2</v>
      </c>
      <c r="AQ24" s="9">
        <f t="shared" si="33"/>
        <v>0.20094085712080045</v>
      </c>
      <c r="AR24" s="4">
        <f t="shared" si="94"/>
        <v>1000.7172543666926</v>
      </c>
      <c r="AS24" s="6">
        <f t="shared" si="34"/>
        <v>5.5014345087333855E-6</v>
      </c>
      <c r="AT24" s="8">
        <f t="shared" si="35"/>
        <v>27.397248425216965</v>
      </c>
      <c r="AU24" s="7">
        <f t="shared" si="36"/>
        <v>1.3768404637889642E-2</v>
      </c>
      <c r="AV24" s="9">
        <f t="shared" si="37"/>
        <v>0.20132039956696202</v>
      </c>
      <c r="AW24" s="4">
        <f t="shared" si="95"/>
        <v>995.61738951540701</v>
      </c>
      <c r="AX24" s="6">
        <f t="shared" si="38"/>
        <v>5.4912347790308143E-6</v>
      </c>
      <c r="AY24" s="8">
        <f t="shared" si="39"/>
        <v>27.33859997942718</v>
      </c>
      <c r="AZ24" s="7">
        <f t="shared" si="40"/>
        <v>1.3742877840193663E-2</v>
      </c>
      <c r="BA24" s="9">
        <f t="shared" si="41"/>
        <v>0.20175228446777133</v>
      </c>
      <c r="BB24" s="4">
        <f t="shared" si="96"/>
        <v>989.91754268158468</v>
      </c>
      <c r="BC24" s="6">
        <f t="shared" si="42"/>
        <v>5.4798350853631702E-6</v>
      </c>
      <c r="BD24" s="8">
        <f t="shared" si="43"/>
        <v>27.273051740838223</v>
      </c>
      <c r="BE24" s="7">
        <f t="shared" si="44"/>
        <v>1.3714347900427054E-2</v>
      </c>
      <c r="BF24" s="9">
        <f t="shared" si="45"/>
        <v>0.20223717728445451</v>
      </c>
      <c r="BG24" s="4">
        <f t="shared" si="97"/>
        <v>983.6177138656044</v>
      </c>
      <c r="BH24" s="6">
        <f t="shared" si="46"/>
        <v>5.4672354277312095E-6</v>
      </c>
      <c r="BI24" s="8">
        <f t="shared" si="47"/>
        <v>27.200603709454448</v>
      </c>
      <c r="BJ24" s="7">
        <f t="shared" si="48"/>
        <v>1.3682814818591705E-2</v>
      </c>
      <c r="BK24" s="9">
        <f t="shared" si="49"/>
        <v>0.20277583023213805</v>
      </c>
      <c r="BL24" s="4">
        <f t="shared" si="98"/>
        <v>976.71790306771925</v>
      </c>
      <c r="BM24" s="6">
        <f t="shared" si="50"/>
        <v>5.4534358061354387E-6</v>
      </c>
      <c r="BN24" s="8">
        <f t="shared" si="51"/>
        <v>27.121255885278771</v>
      </c>
      <c r="BO24" s="7">
        <f t="shared" si="52"/>
        <v>1.3648278594688881E-2</v>
      </c>
      <c r="BP24" s="9">
        <f t="shared" si="53"/>
        <v>0.20336908524187639</v>
      </c>
      <c r="BQ24" s="4">
        <f t="shared" si="99"/>
        <v>969.21811028810362</v>
      </c>
      <c r="BR24" s="6">
        <f t="shared" si="54"/>
        <v>5.4384362205762077E-6</v>
      </c>
      <c r="BS24" s="8">
        <f t="shared" si="55"/>
        <v>27.035008268313192</v>
      </c>
      <c r="BT24" s="7">
        <f t="shared" si="56"/>
        <v>1.361073922871946E-2</v>
      </c>
      <c r="BU24" s="9">
        <f t="shared" si="57"/>
        <v>0.20401787731149598</v>
      </c>
      <c r="BV24" s="4">
        <f t="shared" si="100"/>
        <v>961.1183355268829</v>
      </c>
      <c r="BW24" s="6">
        <f t="shared" si="58"/>
        <v>5.4222366710537664E-6</v>
      </c>
      <c r="BX24" s="8">
        <f t="shared" si="59"/>
        <v>26.941860858559153</v>
      </c>
      <c r="BY24" s="7">
        <f t="shared" si="60"/>
        <v>1.3570196720684068E-2</v>
      </c>
      <c r="BZ24" s="9">
        <f t="shared" si="61"/>
        <v>0.20472323827059416</v>
      </c>
      <c r="CA24" s="4">
        <f t="shared" si="101"/>
        <v>952.41857878414828</v>
      </c>
      <c r="CB24" s="6">
        <f t="shared" si="62"/>
        <v>5.4048371575682968E-6</v>
      </c>
      <c r="CC24" s="8">
        <f t="shared" si="63"/>
        <v>26.841813656017706</v>
      </c>
      <c r="CD24" s="7">
        <f t="shared" si="64"/>
        <v>1.3526651070583161E-2</v>
      </c>
      <c r="CE24" s="9">
        <f t="shared" si="65"/>
        <v>0.20548630098858628</v>
      </c>
      <c r="CF24" s="4">
        <f t="shared" si="102"/>
        <v>943.1188398975778</v>
      </c>
      <c r="CG24" s="6">
        <f t="shared" si="66"/>
        <v>5.3862376797951566E-6</v>
      </c>
      <c r="CH24" s="8">
        <f t="shared" si="67"/>
        <v>26.734866658822142</v>
      </c>
      <c r="CI24" s="7">
        <f t="shared" si="68"/>
        <v>1.3480102277604258E-2</v>
      </c>
      <c r="CJ24" s="9">
        <f t="shared" si="69"/>
        <v>0.20630830407302289</v>
      </c>
      <c r="CK24" s="4">
        <f t="shared" si="103"/>
        <v>933.21906245935611</v>
      </c>
      <c r="CL24" s="6">
        <f t="shared" si="70"/>
        <v>5.3664381249187129E-6</v>
      </c>
      <c r="CM24" s="8">
        <f t="shared" si="71"/>
        <v>26.621019218282594</v>
      </c>
      <c r="CN24" s="7">
        <f t="shared" si="72"/>
        <v>1.3430550059404401E-2</v>
      </c>
      <c r="CO24" s="9">
        <f t="shared" si="73"/>
        <v>0.20719060208679083</v>
      </c>
      <c r="CP24" s="4">
        <f t="shared" si="104"/>
        <v>922.71138233565364</v>
      </c>
      <c r="CQ24" s="6">
        <f t="shared" si="74"/>
        <v>5.345422764671308E-6</v>
      </c>
      <c r="CR24" s="8">
        <f t="shared" si="75"/>
        <v>26.500180896860016</v>
      </c>
      <c r="CS24" s="7">
        <f t="shared" si="76"/>
        <v>1.3377955052949638E-2</v>
      </c>
      <c r="CT24" s="9">
        <f t="shared" si="77"/>
        <v>0.20813537165904938</v>
      </c>
      <c r="CU24" s="4">
        <f t="shared" si="105"/>
        <v>911.04680542007679</v>
      </c>
      <c r="CV24" s="6">
        <f t="shared" si="78"/>
        <v>5.3220936108401539E-6</v>
      </c>
      <c r="CW24" s="8">
        <f t="shared" si="79"/>
        <v>26.366038262330882</v>
      </c>
      <c r="CX24" s="7">
        <f t="shared" si="80"/>
        <v>1.331956933022641E-2</v>
      </c>
      <c r="CY24" s="9">
        <f t="shared" si="81"/>
        <v>0.20919430310772799</v>
      </c>
      <c r="CZ24" s="5">
        <f t="shared" si="106"/>
        <v>879.14814557864145</v>
      </c>
      <c r="DA24" s="6">
        <f t="shared" si="82"/>
        <v>5.2582962911572833E-6</v>
      </c>
      <c r="DB24" s="8">
        <f t="shared" si="83"/>
        <v>25.999203674154376</v>
      </c>
      <c r="DC24" s="7">
        <f t="shared" si="84"/>
        <v>1.3159904190013953E-2</v>
      </c>
      <c r="DD24" s="9">
        <f t="shared" si="85"/>
        <v>0.21214592066460264</v>
      </c>
    </row>
    <row r="25" spans="2:108" x14ac:dyDescent="0.25">
      <c r="B25">
        <v>6</v>
      </c>
      <c r="C25">
        <f t="shared" si="86"/>
        <v>5.8656879980715088E-3</v>
      </c>
      <c r="D25" s="4">
        <f t="shared" si="3"/>
        <v>1019.9071640876512</v>
      </c>
      <c r="E25" s="6">
        <f t="shared" si="4"/>
        <v>5.539814328175303E-6</v>
      </c>
      <c r="F25" s="8">
        <f t="shared" si="5"/>
        <v>27.61793238700799</v>
      </c>
      <c r="G25" s="7">
        <f t="shared" si="1"/>
        <v>1.3864457564297579E-2</v>
      </c>
      <c r="H25" s="9">
        <f t="shared" si="6"/>
        <v>0.19971172797115894</v>
      </c>
      <c r="I25" s="4">
        <f t="shared" si="87"/>
        <v>1019.6002987039327</v>
      </c>
      <c r="J25" s="6">
        <f t="shared" si="7"/>
        <v>5.5392005974078656E-6</v>
      </c>
      <c r="K25" s="8">
        <f t="shared" si="8"/>
        <v>27.614403435095227</v>
      </c>
      <c r="L25" s="7">
        <f t="shared" si="9"/>
        <v>1.3862921584267029E-2</v>
      </c>
      <c r="M25" s="9">
        <f t="shared" si="10"/>
        <v>0.19973724990887096</v>
      </c>
      <c r="N25" s="4">
        <f t="shared" si="88"/>
        <v>1018.7001865977479</v>
      </c>
      <c r="O25" s="6">
        <f t="shared" si="11"/>
        <v>5.5374003731954962E-6</v>
      </c>
      <c r="P25" s="8">
        <f t="shared" si="12"/>
        <v>27.6040521458741</v>
      </c>
      <c r="Q25" s="7">
        <f t="shared" si="2"/>
        <v>1.3864457564297579E-2</v>
      </c>
      <c r="R25" s="9">
        <f t="shared" si="13"/>
        <v>0.19981214971094036</v>
      </c>
      <c r="S25" s="4">
        <f t="shared" si="89"/>
        <v>1017.2001786120624</v>
      </c>
      <c r="T25" s="6">
        <f t="shared" si="14"/>
        <v>5.534400357224126E-6</v>
      </c>
      <c r="U25" s="8">
        <f t="shared" si="15"/>
        <v>27.586802054038717</v>
      </c>
      <c r="V25" s="7">
        <f t="shared" si="16"/>
        <v>1.3850908054140682E-2</v>
      </c>
      <c r="W25" s="9">
        <f t="shared" si="17"/>
        <v>0.19993709271540994</v>
      </c>
      <c r="X25" s="4">
        <f t="shared" si="90"/>
        <v>1015.100272053012</v>
      </c>
      <c r="Y25" s="6">
        <f t="shared" si="18"/>
        <v>5.5302005441060242E-6</v>
      </c>
      <c r="Z25" s="8">
        <f t="shared" si="19"/>
        <v>27.562653128609636</v>
      </c>
      <c r="AA25" s="7">
        <f t="shared" si="20"/>
        <v>1.3840397208956259E-2</v>
      </c>
      <c r="AB25" s="9">
        <f t="shared" si="21"/>
        <v>0.20011226692378395</v>
      </c>
      <c r="AC25" s="4">
        <f t="shared" si="91"/>
        <v>1012.4003489687174</v>
      </c>
      <c r="AD25" s="6">
        <f t="shared" si="22"/>
        <v>5.5248006979374346E-6</v>
      </c>
      <c r="AE25" s="8">
        <f t="shared" si="23"/>
        <v>27.53160401314025</v>
      </c>
      <c r="AF25" s="7">
        <f t="shared" si="24"/>
        <v>1.3826883048801581E-2</v>
      </c>
      <c r="AG25" s="9">
        <f t="shared" si="25"/>
        <v>0.20033794606981523</v>
      </c>
      <c r="AH25" s="4">
        <f t="shared" si="92"/>
        <v>1009.1004463157478</v>
      </c>
      <c r="AI25" s="6">
        <f t="shared" si="26"/>
        <v>5.5182008926314963E-6</v>
      </c>
      <c r="AJ25" s="8">
        <f t="shared" si="27"/>
        <v>27.493655132631098</v>
      </c>
      <c r="AK25" s="7">
        <f t="shared" si="28"/>
        <v>1.3810365758658582E-2</v>
      </c>
      <c r="AL25" s="9">
        <f t="shared" si="29"/>
        <v>0.20061446807971814</v>
      </c>
      <c r="AM25" s="4">
        <f t="shared" si="93"/>
        <v>1005.2005652580583</v>
      </c>
      <c r="AN25" s="6">
        <f t="shared" si="30"/>
        <v>5.5104011305161169E-6</v>
      </c>
      <c r="AO25" s="8">
        <f t="shared" si="31"/>
        <v>27.448806500467668</v>
      </c>
      <c r="AP25" s="7">
        <f t="shared" si="32"/>
        <v>1.3790845344353304E-2</v>
      </c>
      <c r="AQ25" s="9">
        <f t="shared" si="33"/>
        <v>0.20094225225807269</v>
      </c>
      <c r="AR25" s="4">
        <f t="shared" si="94"/>
        <v>1000.7007058181948</v>
      </c>
      <c r="AS25" s="6">
        <f t="shared" si="34"/>
        <v>5.5014014116363908E-6</v>
      </c>
      <c r="AT25" s="8">
        <f t="shared" si="35"/>
        <v>27.397058116909239</v>
      </c>
      <c r="AU25" s="7">
        <f t="shared" si="36"/>
        <v>1.3768321805998606E-2</v>
      </c>
      <c r="AV25" s="9">
        <f t="shared" si="37"/>
        <v>0.20132179799975683</v>
      </c>
      <c r="AW25" s="4">
        <f t="shared" si="95"/>
        <v>995.60086799784403</v>
      </c>
      <c r="AX25" s="6">
        <f t="shared" si="38"/>
        <v>5.4912017359956882E-6</v>
      </c>
      <c r="AY25" s="8">
        <f t="shared" si="39"/>
        <v>27.338409981975204</v>
      </c>
      <c r="AZ25" s="7">
        <f t="shared" si="40"/>
        <v>1.3742795143602918E-2</v>
      </c>
      <c r="BA25" s="9">
        <f t="shared" si="41"/>
        <v>0.20175368661295845</v>
      </c>
      <c r="BB25" s="4">
        <f t="shared" si="96"/>
        <v>989.9010517979018</v>
      </c>
      <c r="BC25" s="6">
        <f t="shared" si="42"/>
        <v>5.4798021035958048E-6</v>
      </c>
      <c r="BD25" s="8">
        <f t="shared" si="43"/>
        <v>27.272862095675869</v>
      </c>
      <c r="BE25" s="7">
        <f t="shared" si="44"/>
        <v>1.3714265357170737E-2</v>
      </c>
      <c r="BF25" s="9">
        <f t="shared" si="45"/>
        <v>0.20223858356525426</v>
      </c>
      <c r="BG25" s="4">
        <f t="shared" si="97"/>
        <v>983.60125721893667</v>
      </c>
      <c r="BH25" s="6">
        <f t="shared" si="46"/>
        <v>5.4672025144378741E-6</v>
      </c>
      <c r="BI25" s="8">
        <f t="shared" si="47"/>
        <v>27.200414458017772</v>
      </c>
      <c r="BJ25" s="7">
        <f t="shared" si="48"/>
        <v>1.36827324467049E-2</v>
      </c>
      <c r="BK25" s="9">
        <f t="shared" si="49"/>
        <v>0.20277724107891962</v>
      </c>
      <c r="BL25" s="4">
        <f t="shared" si="98"/>
        <v>976.70148426132835</v>
      </c>
      <c r="BM25" s="6">
        <f t="shared" si="50"/>
        <v>5.4534029685226565E-6</v>
      </c>
      <c r="BN25" s="8">
        <f t="shared" si="51"/>
        <v>27.121067069005274</v>
      </c>
      <c r="BO25" s="7">
        <f t="shared" si="52"/>
        <v>1.364819641220731E-2</v>
      </c>
      <c r="BP25" s="9">
        <f t="shared" si="53"/>
        <v>0.20337050109298291</v>
      </c>
      <c r="BQ25" s="4">
        <f t="shared" si="99"/>
        <v>969.20173292533866</v>
      </c>
      <c r="BR25" s="6">
        <f t="shared" si="54"/>
        <v>5.4384034658506774E-6</v>
      </c>
      <c r="BS25" s="8">
        <f t="shared" si="55"/>
        <v>27.034819928641394</v>
      </c>
      <c r="BT25" s="7">
        <f t="shared" si="56"/>
        <v>1.3610657253679281E-2</v>
      </c>
      <c r="BU25" s="9">
        <f t="shared" si="57"/>
        <v>0.20401929861410331</v>
      </c>
      <c r="BV25" s="4">
        <f t="shared" si="100"/>
        <v>961.10200321115542</v>
      </c>
      <c r="BW25" s="6">
        <f t="shared" si="58"/>
        <v>5.422204006422311E-6</v>
      </c>
      <c r="BX25" s="8">
        <f t="shared" si="59"/>
        <v>26.941673036928286</v>
      </c>
      <c r="BY25" s="7">
        <f t="shared" si="60"/>
        <v>1.3570114971121748E-2</v>
      </c>
      <c r="BZ25" s="9">
        <f t="shared" si="61"/>
        <v>0.20472466548160795</v>
      </c>
      <c r="CA25" s="4">
        <f t="shared" si="101"/>
        <v>952.4022951166387</v>
      </c>
      <c r="CB25" s="6">
        <f t="shared" si="62"/>
        <v>5.4048045902332782E-6</v>
      </c>
      <c r="CC25" s="8">
        <f t="shared" si="63"/>
        <v>26.841626393841345</v>
      </c>
      <c r="CD25" s="7">
        <f t="shared" si="64"/>
        <v>1.3526569564524006E-2</v>
      </c>
      <c r="CE25" s="9">
        <f t="shared" si="65"/>
        <v>0.20548773457578293</v>
      </c>
      <c r="CF25" s="4">
        <f t="shared" si="102"/>
        <v>943.10260769708088</v>
      </c>
      <c r="CG25" s="6">
        <f t="shared" si="66"/>
        <v>5.3862052153941627E-6</v>
      </c>
      <c r="CH25" s="8">
        <f t="shared" si="67"/>
        <v>26.734679988516429</v>
      </c>
      <c r="CI25" s="7">
        <f t="shared" si="68"/>
        <v>1.3480021029157421E-2</v>
      </c>
      <c r="CJ25" s="9">
        <f t="shared" si="69"/>
        <v>0.2063097445852792</v>
      </c>
      <c r="CK25" s="4">
        <f t="shared" si="103"/>
        <v>933.2027769490461</v>
      </c>
      <c r="CL25" s="6">
        <f t="shared" si="70"/>
        <v>5.3664055538980931E-6</v>
      </c>
      <c r="CM25" s="8">
        <f t="shared" si="71"/>
        <v>26.62083193491403</v>
      </c>
      <c r="CN25" s="7">
        <f t="shared" si="72"/>
        <v>1.3430468544121315E-2</v>
      </c>
      <c r="CO25" s="9">
        <f t="shared" si="73"/>
        <v>0.2071920597179418</v>
      </c>
      <c r="CP25" s="4">
        <f t="shared" si="104"/>
        <v>922.6875728974394</v>
      </c>
      <c r="CQ25" s="6">
        <f t="shared" si="74"/>
        <v>5.3453751457948799E-6</v>
      </c>
      <c r="CR25" s="8">
        <f t="shared" si="75"/>
        <v>26.499907088320555</v>
      </c>
      <c r="CS25" s="7">
        <f t="shared" si="76"/>
        <v>1.3377835877494941E-2</v>
      </c>
      <c r="CT25" s="9">
        <f t="shared" si="77"/>
        <v>0.20813752220402806</v>
      </c>
      <c r="CU25" s="4">
        <f t="shared" si="105"/>
        <v>910.76078081557284</v>
      </c>
      <c r="CV25" s="6">
        <f t="shared" si="78"/>
        <v>5.3215215616311467E-6</v>
      </c>
      <c r="CW25" s="8">
        <f t="shared" si="79"/>
        <v>26.362748979379084</v>
      </c>
      <c r="CX25" s="7">
        <f t="shared" si="80"/>
        <v>1.3318137666363123E-2</v>
      </c>
      <c r="CY25" s="9">
        <f t="shared" si="81"/>
        <v>0.20922040430284097</v>
      </c>
      <c r="CZ25" s="5">
        <f t="shared" si="106"/>
        <v>875.35676664853622</v>
      </c>
      <c r="DA25" s="6">
        <f t="shared" si="82"/>
        <v>5.2507135332970733E-6</v>
      </c>
      <c r="DB25" s="8">
        <f t="shared" si="83"/>
        <v>25.955602816458168</v>
      </c>
      <c r="DC25" s="7">
        <f t="shared" si="84"/>
        <v>1.3140926870857508E-2</v>
      </c>
      <c r="DD25" s="9">
        <f t="shared" si="85"/>
        <v>0.21250228858112291</v>
      </c>
    </row>
    <row r="26" spans="2:108" x14ac:dyDescent="0.25">
      <c r="B26">
        <v>7</v>
      </c>
      <c r="C26">
        <f t="shared" si="86"/>
        <v>6.8433026644167602E-3</v>
      </c>
      <c r="D26" s="4">
        <f t="shared" si="3"/>
        <v>1019.8914970913395</v>
      </c>
      <c r="E26" s="6">
        <f t="shared" si="4"/>
        <v>5.5397829941826794E-6</v>
      </c>
      <c r="F26" s="8">
        <f t="shared" si="5"/>
        <v>27.617752216550404</v>
      </c>
      <c r="G26" s="7">
        <f t="shared" si="1"/>
        <v>1.3864379144916476E-2</v>
      </c>
      <c r="H26" s="9">
        <f t="shared" si="6"/>
        <v>0.19971303083437286</v>
      </c>
      <c r="I26" s="4">
        <f t="shared" si="87"/>
        <v>1019.5837067096762</v>
      </c>
      <c r="J26" s="6">
        <f t="shared" si="7"/>
        <v>5.539167413419353E-6</v>
      </c>
      <c r="K26" s="8">
        <f t="shared" si="8"/>
        <v>27.614212627161276</v>
      </c>
      <c r="L26" s="7">
        <f t="shared" si="9"/>
        <v>1.3862838534913153E-2</v>
      </c>
      <c r="M26" s="9">
        <f t="shared" si="10"/>
        <v>0.19973863004787773</v>
      </c>
      <c r="N26" s="4">
        <f t="shared" si="88"/>
        <v>1018.6835522187081</v>
      </c>
      <c r="O26" s="6">
        <f t="shared" si="11"/>
        <v>5.5373671044374169E-6</v>
      </c>
      <c r="P26" s="8">
        <f t="shared" si="12"/>
        <v>27.60386085051514</v>
      </c>
      <c r="Q26" s="7">
        <f t="shared" si="2"/>
        <v>1.3864379144916476E-2</v>
      </c>
      <c r="R26" s="9">
        <f t="shared" si="13"/>
        <v>0.19981353441350463</v>
      </c>
      <c r="S26" s="4">
        <f t="shared" si="89"/>
        <v>1017.1835429607698</v>
      </c>
      <c r="T26" s="6">
        <f t="shared" si="14"/>
        <v>5.5343670859215403E-6</v>
      </c>
      <c r="U26" s="8">
        <f t="shared" si="15"/>
        <v>27.586610744048855</v>
      </c>
      <c r="V26" s="7">
        <f t="shared" si="16"/>
        <v>1.385082478626644E-2</v>
      </c>
      <c r="W26" s="9">
        <f t="shared" si="17"/>
        <v>0.199938479256277</v>
      </c>
      <c r="X26" s="4">
        <f t="shared" si="90"/>
        <v>1015.0836511293277</v>
      </c>
      <c r="Y26" s="6">
        <f t="shared" si="18"/>
        <v>5.5301673022586561E-6</v>
      </c>
      <c r="Z26" s="8">
        <f t="shared" si="19"/>
        <v>27.56246198798727</v>
      </c>
      <c r="AA26" s="7">
        <f t="shared" si="20"/>
        <v>1.3840314014799399E-2</v>
      </c>
      <c r="AB26" s="9">
        <f t="shared" si="21"/>
        <v>0.2001136546656794</v>
      </c>
      <c r="AC26" s="4">
        <f t="shared" si="91"/>
        <v>1012.3837411158606</v>
      </c>
      <c r="AD26" s="6">
        <f t="shared" si="22"/>
        <v>5.5247674822317215E-6</v>
      </c>
      <c r="AE26" s="8">
        <f t="shared" si="23"/>
        <v>27.531413022832396</v>
      </c>
      <c r="AF26" s="7">
        <f t="shared" si="24"/>
        <v>1.3826799920069271E-2</v>
      </c>
      <c r="AG26" s="9">
        <f t="shared" si="25"/>
        <v>0.20033933584977179</v>
      </c>
      <c r="AH26" s="4">
        <f t="shared" si="92"/>
        <v>1009.0838547036532</v>
      </c>
      <c r="AI26" s="6">
        <f t="shared" si="26"/>
        <v>5.5181677094073064E-6</v>
      </c>
      <c r="AJ26" s="8">
        <f t="shared" si="27"/>
        <v>27.49346432909201</v>
      </c>
      <c r="AK26" s="7">
        <f t="shared" si="28"/>
        <v>1.3810282711217573E-2</v>
      </c>
      <c r="AL26" s="9">
        <f t="shared" si="29"/>
        <v>0.20061586033607562</v>
      </c>
      <c r="AM26" s="4">
        <f t="shared" si="93"/>
        <v>1005.183993473339</v>
      </c>
      <c r="AN26" s="6">
        <f t="shared" si="30"/>
        <v>5.5103679869466782E-6</v>
      </c>
      <c r="AO26" s="8">
        <f t="shared" si="31"/>
        <v>27.448615924943397</v>
      </c>
      <c r="AP26" s="7">
        <f t="shared" si="32"/>
        <v>1.3790762396155985E-2</v>
      </c>
      <c r="AQ26" s="9">
        <f t="shared" si="33"/>
        <v>0.20094364739854817</v>
      </c>
      <c r="AR26" s="4">
        <f t="shared" si="94"/>
        <v>1000.6841574624073</v>
      </c>
      <c r="AS26" s="6">
        <f t="shared" si="34"/>
        <v>5.5013683149248147E-6</v>
      </c>
      <c r="AT26" s="8">
        <f t="shared" si="35"/>
        <v>27.396867810817682</v>
      </c>
      <c r="AU26" s="7">
        <f t="shared" si="36"/>
        <v>1.3768238975072155E-2</v>
      </c>
      <c r="AV26" s="9">
        <f t="shared" si="37"/>
        <v>0.20132319643569438</v>
      </c>
      <c r="AW26" s="4">
        <f t="shared" si="95"/>
        <v>995.58434667338952</v>
      </c>
      <c r="AX26" s="6">
        <f t="shared" si="38"/>
        <v>5.4911686933467794E-6</v>
      </c>
      <c r="AY26" s="8">
        <f t="shared" si="39"/>
        <v>27.338219986743979</v>
      </c>
      <c r="AZ26" s="7">
        <f t="shared" si="40"/>
        <v>1.3742712447978757E-2</v>
      </c>
      <c r="BA26" s="9">
        <f t="shared" si="41"/>
        <v>0.20175508876124595</v>
      </c>
      <c r="BB26" s="4">
        <f t="shared" si="96"/>
        <v>989.88456110754282</v>
      </c>
      <c r="BC26" s="6">
        <f t="shared" si="42"/>
        <v>5.4797691222150863E-6</v>
      </c>
      <c r="BD26" s="8">
        <f t="shared" si="43"/>
        <v>27.272672452736742</v>
      </c>
      <c r="BE26" s="7">
        <f t="shared" si="44"/>
        <v>1.3714182814882082E-2</v>
      </c>
      <c r="BF26" s="9">
        <f t="shared" si="45"/>
        <v>0.20223998984912536</v>
      </c>
      <c r="BG26" s="4">
        <f t="shared" si="97"/>
        <v>983.58480076566366</v>
      </c>
      <c r="BH26" s="6">
        <f t="shared" si="46"/>
        <v>5.4671696015313278E-6</v>
      </c>
      <c r="BI26" s="8">
        <f t="shared" si="47"/>
        <v>27.200225208805129</v>
      </c>
      <c r="BJ26" s="7">
        <f t="shared" si="48"/>
        <v>1.3682650075786113E-2</v>
      </c>
      <c r="BK26" s="9">
        <f t="shared" si="49"/>
        <v>0.20277865192875344</v>
      </c>
      <c r="BL26" s="4">
        <f t="shared" si="98"/>
        <v>976.68506564828363</v>
      </c>
      <c r="BM26" s="6">
        <f t="shared" si="50"/>
        <v>5.4533701312965678E-6</v>
      </c>
      <c r="BN26" s="8">
        <f t="shared" si="51"/>
        <v>27.120878254955262</v>
      </c>
      <c r="BO26" s="7">
        <f t="shared" si="52"/>
        <v>1.3648114230693514E-2</v>
      </c>
      <c r="BP26" s="9">
        <f t="shared" si="53"/>
        <v>0.20337191694713053</v>
      </c>
      <c r="BQ26" s="4">
        <f t="shared" si="99"/>
        <v>969.18535575576971</v>
      </c>
      <c r="BR26" s="6">
        <f t="shared" si="54"/>
        <v>5.4383707115115398E-6</v>
      </c>
      <c r="BS26" s="8">
        <f t="shared" si="55"/>
        <v>27.034631591191349</v>
      </c>
      <c r="BT26" s="7">
        <f t="shared" si="56"/>
        <v>1.3610575279606121E-2</v>
      </c>
      <c r="BU26" s="9">
        <f t="shared" si="57"/>
        <v>0.20402071991974721</v>
      </c>
      <c r="BV26" s="4">
        <f t="shared" si="100"/>
        <v>961.08567108835268</v>
      </c>
      <c r="BW26" s="6">
        <f t="shared" si="58"/>
        <v>5.4221713421767054E-6</v>
      </c>
      <c r="BX26" s="8">
        <f t="shared" si="59"/>
        <v>26.941485217516053</v>
      </c>
      <c r="BY26" s="7">
        <f t="shared" si="60"/>
        <v>1.3570033222525093E-2</v>
      </c>
      <c r="BZ26" s="9">
        <f t="shared" si="61"/>
        <v>0.20472609269566203</v>
      </c>
      <c r="CA26" s="4">
        <f t="shared" si="101"/>
        <v>952.38601163076135</v>
      </c>
      <c r="CB26" s="6">
        <f t="shared" si="62"/>
        <v>5.4047720232615233E-6</v>
      </c>
      <c r="CC26" s="8">
        <f t="shared" si="63"/>
        <v>26.841439133753752</v>
      </c>
      <c r="CD26" s="7">
        <f t="shared" si="64"/>
        <v>1.3526488059373986E-2</v>
      </c>
      <c r="CE26" s="9">
        <f t="shared" si="65"/>
        <v>0.20548916816699181</v>
      </c>
      <c r="CF26" s="4">
        <f t="shared" si="102"/>
        <v>943.08637417635055</v>
      </c>
      <c r="CG26" s="6">
        <f t="shared" si="66"/>
        <v>5.3861727483527012E-6</v>
      </c>
      <c r="CH26" s="8">
        <f t="shared" si="67"/>
        <v>26.734493303028032</v>
      </c>
      <c r="CI26" s="7">
        <f t="shared" si="68"/>
        <v>1.3479939774102301E-2</v>
      </c>
      <c r="CJ26" s="9">
        <f t="shared" si="69"/>
        <v>0.20631118523481734</v>
      </c>
      <c r="CK26" s="4">
        <f t="shared" si="103"/>
        <v>933.18638782928167</v>
      </c>
      <c r="CL26" s="6">
        <f t="shared" si="70"/>
        <v>5.3663727756585639E-6</v>
      </c>
      <c r="CM26" s="8">
        <f t="shared" si="71"/>
        <v>26.620643460036739</v>
      </c>
      <c r="CN26" s="7">
        <f t="shared" si="72"/>
        <v>1.3430386510232799E-2</v>
      </c>
      <c r="CO26" s="9">
        <f t="shared" si="73"/>
        <v>0.20719352664334087</v>
      </c>
      <c r="CP26" s="4">
        <f t="shared" si="104"/>
        <v>922.66024237231829</v>
      </c>
      <c r="CQ26" s="6">
        <f t="shared" si="74"/>
        <v>5.3453204847446365E-6</v>
      </c>
      <c r="CR26" s="8">
        <f t="shared" si="75"/>
        <v>26.49959278728166</v>
      </c>
      <c r="CS26" s="7">
        <f t="shared" si="76"/>
        <v>1.3377699077637289E-2</v>
      </c>
      <c r="CT26" s="9">
        <f t="shared" si="77"/>
        <v>0.20813999083967794</v>
      </c>
      <c r="CU26" s="4">
        <f t="shared" si="105"/>
        <v>910.43004704325699</v>
      </c>
      <c r="CV26" s="6">
        <f t="shared" si="78"/>
        <v>5.3208600940865147E-6</v>
      </c>
      <c r="CW26" s="8">
        <f t="shared" si="79"/>
        <v>26.358945540997453</v>
      </c>
      <c r="CX26" s="7">
        <f t="shared" si="80"/>
        <v>1.3316482215808386E-2</v>
      </c>
      <c r="CY26" s="9">
        <f t="shared" si="81"/>
        <v>0.20925059355736589</v>
      </c>
      <c r="CZ26" s="5">
        <f t="shared" si="106"/>
        <v>871.67914836086845</v>
      </c>
      <c r="DA26" s="6">
        <f t="shared" si="82"/>
        <v>5.2433582967217373E-6</v>
      </c>
      <c r="DB26" s="8">
        <f t="shared" si="83"/>
        <v>25.913310206149987</v>
      </c>
      <c r="DC26" s="7">
        <f t="shared" si="84"/>
        <v>1.312251896775226E-2</v>
      </c>
      <c r="DD26" s="9">
        <f t="shared" si="85"/>
        <v>0.21284910943917079</v>
      </c>
    </row>
    <row r="27" spans="2:108" x14ac:dyDescent="0.25">
      <c r="B27">
        <v>8</v>
      </c>
      <c r="C27">
        <f t="shared" si="86"/>
        <v>7.8209173307620117E-3</v>
      </c>
      <c r="D27" s="4">
        <f t="shared" si="3"/>
        <v>1019.8757828693056</v>
      </c>
      <c r="E27" s="6">
        <f t="shared" si="4"/>
        <v>5.5397515657386113E-6</v>
      </c>
      <c r="F27" s="8">
        <f t="shared" si="5"/>
        <v>27.617571502997013</v>
      </c>
      <c r="G27" s="7">
        <f t="shared" si="1"/>
        <v>1.386430048915235E-2</v>
      </c>
      <c r="H27" s="9">
        <f t="shared" si="6"/>
        <v>0.19971433764194124</v>
      </c>
      <c r="I27" s="4">
        <f t="shared" si="87"/>
        <v>1019.5671203403216</v>
      </c>
      <c r="J27" s="6">
        <f t="shared" si="7"/>
        <v>5.5391342406806432E-6</v>
      </c>
      <c r="K27" s="8">
        <f t="shared" si="8"/>
        <v>27.614021883913697</v>
      </c>
      <c r="L27" s="7">
        <f t="shared" si="9"/>
        <v>1.3862755513714086E-2</v>
      </c>
      <c r="M27" s="9">
        <f t="shared" si="10"/>
        <v>0.19974000973806275</v>
      </c>
      <c r="N27" s="4">
        <f t="shared" si="88"/>
        <v>1018.6669183579188</v>
      </c>
      <c r="O27" s="6">
        <f t="shared" si="11"/>
        <v>5.5373338367158384E-6</v>
      </c>
      <c r="P27" s="8">
        <f t="shared" si="12"/>
        <v>27.603669561116064</v>
      </c>
      <c r="Q27" s="7">
        <f t="shared" si="2"/>
        <v>1.386430048915235E-2</v>
      </c>
      <c r="R27" s="9">
        <f t="shared" si="13"/>
        <v>0.19981491909211921</v>
      </c>
      <c r="S27" s="4">
        <f t="shared" si="89"/>
        <v>1017.1669076567736</v>
      </c>
      <c r="T27" s="6">
        <f t="shared" si="14"/>
        <v>5.5343338153135479E-6</v>
      </c>
      <c r="U27" s="8">
        <f t="shared" si="15"/>
        <v>27.586419438052893</v>
      </c>
      <c r="V27" s="7">
        <f t="shared" si="16"/>
        <v>1.3850741520130551E-2</v>
      </c>
      <c r="W27" s="9">
        <f t="shared" si="17"/>
        <v>0.19993986578742834</v>
      </c>
      <c r="X27" s="4">
        <f t="shared" si="90"/>
        <v>1015.0670303307434</v>
      </c>
      <c r="Y27" s="6">
        <f t="shared" si="18"/>
        <v>5.5301340606614871E-6</v>
      </c>
      <c r="Z27" s="8">
        <f t="shared" si="19"/>
        <v>27.56227084880355</v>
      </c>
      <c r="AA27" s="7">
        <f t="shared" si="20"/>
        <v>1.384023082126871E-2</v>
      </c>
      <c r="AB27" s="9">
        <f t="shared" si="21"/>
        <v>0.20011504241637723</v>
      </c>
      <c r="AC27" s="4">
        <f t="shared" si="91"/>
        <v>1012.3671334472735</v>
      </c>
      <c r="AD27" s="6">
        <f t="shared" si="22"/>
        <v>5.5247342668945475E-6</v>
      </c>
      <c r="AE27" s="8">
        <f t="shared" si="23"/>
        <v>27.531222034643644</v>
      </c>
      <c r="AF27" s="7">
        <f t="shared" si="24"/>
        <v>1.3826716792259303E-2</v>
      </c>
      <c r="AG27" s="9">
        <f t="shared" si="25"/>
        <v>0.20034072563359037</v>
      </c>
      <c r="AH27" s="4">
        <f t="shared" si="92"/>
        <v>1009.0672632824583</v>
      </c>
      <c r="AI27" s="6">
        <f t="shared" si="26"/>
        <v>5.5181345265649166E-6</v>
      </c>
      <c r="AJ27" s="8">
        <f t="shared" si="27"/>
        <v>27.493273527748268</v>
      </c>
      <c r="AK27" s="7">
        <f t="shared" si="28"/>
        <v>1.3810199664732091E-2</v>
      </c>
      <c r="AL27" s="9">
        <f t="shared" si="29"/>
        <v>0.20061725259573832</v>
      </c>
      <c r="AM27" s="4">
        <f t="shared" si="93"/>
        <v>1005.1674218806802</v>
      </c>
      <c r="AN27" s="6">
        <f t="shared" si="30"/>
        <v>5.5103348437613605E-6</v>
      </c>
      <c r="AO27" s="8">
        <f t="shared" si="31"/>
        <v>27.448425351627822</v>
      </c>
      <c r="AP27" s="7">
        <f t="shared" si="32"/>
        <v>1.3790679448920002E-2</v>
      </c>
      <c r="AQ27" s="9">
        <f t="shared" si="33"/>
        <v>0.2009450425422272</v>
      </c>
      <c r="AR27" s="4">
        <f t="shared" si="94"/>
        <v>1000.6676092993251</v>
      </c>
      <c r="AS27" s="6">
        <f t="shared" si="34"/>
        <v>5.5013352185986505E-6</v>
      </c>
      <c r="AT27" s="8">
        <f t="shared" si="35"/>
        <v>27.39667750694224</v>
      </c>
      <c r="AU27" s="7">
        <f t="shared" si="36"/>
        <v>1.3768156145110275E-2</v>
      </c>
      <c r="AV27" s="9">
        <f t="shared" si="37"/>
        <v>0.20132459487477475</v>
      </c>
      <c r="AW27" s="4">
        <f t="shared" si="95"/>
        <v>995.56782554203915</v>
      </c>
      <c r="AX27" s="6">
        <f t="shared" si="38"/>
        <v>5.4911356510840787E-6</v>
      </c>
      <c r="AY27" s="8">
        <f t="shared" si="39"/>
        <v>27.33802999373345</v>
      </c>
      <c r="AZ27" s="7">
        <f t="shared" si="40"/>
        <v>1.3742629753321156E-2</v>
      </c>
      <c r="BA27" s="9">
        <f t="shared" si="41"/>
        <v>0.20175649091263406</v>
      </c>
      <c r="BB27" s="4">
        <f t="shared" si="96"/>
        <v>989.86807061050354</v>
      </c>
      <c r="BC27" s="6">
        <f t="shared" si="42"/>
        <v>5.4797361412210078E-6</v>
      </c>
      <c r="BD27" s="8">
        <f t="shared" si="43"/>
        <v>27.27248281202079</v>
      </c>
      <c r="BE27" s="7">
        <f t="shared" si="44"/>
        <v>1.3714100273561066E-2</v>
      </c>
      <c r="BF27" s="9">
        <f t="shared" si="45"/>
        <v>0.20224139613606792</v>
      </c>
      <c r="BG27" s="4">
        <f t="shared" si="97"/>
        <v>983.5683445057814</v>
      </c>
      <c r="BH27" s="6">
        <f t="shared" si="46"/>
        <v>5.467136689011563E-6</v>
      </c>
      <c r="BI27" s="8">
        <f t="shared" si="47"/>
        <v>27.200035961816486</v>
      </c>
      <c r="BJ27" s="7">
        <f t="shared" si="48"/>
        <v>1.3682567705835319E-2</v>
      </c>
      <c r="BK27" s="9">
        <f t="shared" si="49"/>
        <v>0.20278006278163954</v>
      </c>
      <c r="BL27" s="4">
        <f t="shared" si="98"/>
        <v>976.66864722858134</v>
      </c>
      <c r="BM27" s="6">
        <f t="shared" si="50"/>
        <v>5.4533372944571631E-6</v>
      </c>
      <c r="BN27" s="8">
        <f t="shared" si="51"/>
        <v>27.120689443128683</v>
      </c>
      <c r="BO27" s="7">
        <f t="shared" si="52"/>
        <v>1.364803205014747E-2</v>
      </c>
      <c r="BP27" s="9">
        <f t="shared" si="53"/>
        <v>0.20337333280431935</v>
      </c>
      <c r="BQ27" s="4">
        <f t="shared" si="99"/>
        <v>969.16897877939266</v>
      </c>
      <c r="BR27" s="6">
        <f t="shared" si="54"/>
        <v>5.4383379575587855E-6</v>
      </c>
      <c r="BS27" s="8">
        <f t="shared" si="55"/>
        <v>27.034443255963012</v>
      </c>
      <c r="BT27" s="7">
        <f t="shared" si="56"/>
        <v>1.3610493306499962E-2</v>
      </c>
      <c r="BU27" s="9">
        <f t="shared" si="57"/>
        <v>0.20402214122842768</v>
      </c>
      <c r="BV27" s="4">
        <f t="shared" si="100"/>
        <v>961.06933915831667</v>
      </c>
      <c r="BW27" s="6">
        <f t="shared" si="58"/>
        <v>5.4221386783166337E-6</v>
      </c>
      <c r="BX27" s="8">
        <f t="shared" si="59"/>
        <v>26.941297400320643</v>
      </c>
      <c r="BY27" s="7">
        <f t="shared" si="60"/>
        <v>1.3569951474893309E-2</v>
      </c>
      <c r="BZ27" s="9">
        <f t="shared" si="61"/>
        <v>0.20472751991276988</v>
      </c>
      <c r="CA27" s="4">
        <f t="shared" si="101"/>
        <v>952.36972830560262</v>
      </c>
      <c r="CB27" s="6">
        <f t="shared" si="62"/>
        <v>5.4047394566112055E-6</v>
      </c>
      <c r="CC27" s="8">
        <f t="shared" si="63"/>
        <v>26.84125187551443</v>
      </c>
      <c r="CD27" s="7">
        <f t="shared" si="64"/>
        <v>1.3526406555028427E-2</v>
      </c>
      <c r="CE27" s="9">
        <f t="shared" si="65"/>
        <v>0.20549060176405387</v>
      </c>
      <c r="CF27" s="4">
        <f t="shared" si="102"/>
        <v>943.07013792823977</v>
      </c>
      <c r="CG27" s="6">
        <f t="shared" si="66"/>
        <v>5.3861402758564796E-6</v>
      </c>
      <c r="CH27" s="8">
        <f t="shared" si="67"/>
        <v>26.734306586174757</v>
      </c>
      <c r="CI27" s="7">
        <f t="shared" si="68"/>
        <v>1.3479858505395591E-2</v>
      </c>
      <c r="CJ27" s="9">
        <f t="shared" si="69"/>
        <v>0.20631262614652299</v>
      </c>
      <c r="CK27" s="4">
        <f t="shared" si="103"/>
        <v>933.16984901759224</v>
      </c>
      <c r="CL27" s="6">
        <f t="shared" si="70"/>
        <v>5.3663396980351853E-6</v>
      </c>
      <c r="CM27" s="8">
        <f t="shared" si="71"/>
        <v>26.620453263702309</v>
      </c>
      <c r="CN27" s="7">
        <f t="shared" si="72"/>
        <v>1.343030372707826E-2</v>
      </c>
      <c r="CO27" s="9">
        <f t="shared" si="73"/>
        <v>0.20719500698813045</v>
      </c>
      <c r="CP27" s="4">
        <f t="shared" si="104"/>
        <v>922.62886689362347</v>
      </c>
      <c r="CQ27" s="6">
        <f t="shared" si="74"/>
        <v>5.345257733787247E-6</v>
      </c>
      <c r="CR27" s="8">
        <f t="shared" si="75"/>
        <v>26.499231969276671</v>
      </c>
      <c r="CS27" s="7">
        <f t="shared" si="76"/>
        <v>1.3377542031221233E-2</v>
      </c>
      <c r="CT27" s="9">
        <f t="shared" si="77"/>
        <v>0.20814282490884417</v>
      </c>
      <c r="CU27" s="4">
        <f t="shared" si="105"/>
        <v>910.0573178055572</v>
      </c>
      <c r="CV27" s="6">
        <f t="shared" si="78"/>
        <v>5.3201146356111147E-6</v>
      </c>
      <c r="CW27" s="8">
        <f t="shared" si="79"/>
        <v>26.354659154763908</v>
      </c>
      <c r="CX27" s="7">
        <f t="shared" si="80"/>
        <v>1.3314616561693308E-2</v>
      </c>
      <c r="CY27" s="9">
        <f t="shared" si="81"/>
        <v>0.20928462658576966</v>
      </c>
      <c r="CZ27" s="5">
        <f t="shared" si="106"/>
        <v>868.1104021923561</v>
      </c>
      <c r="DA27" s="6">
        <f t="shared" si="82"/>
        <v>5.2362208043847126E-6</v>
      </c>
      <c r="DB27" s="8">
        <f t="shared" si="83"/>
        <v>25.872269625212095</v>
      </c>
      <c r="DC27" s="7">
        <f t="shared" si="84"/>
        <v>1.310465601174688E-2</v>
      </c>
      <c r="DD27" s="9">
        <f t="shared" si="85"/>
        <v>0.21318674704228946</v>
      </c>
    </row>
    <row r="28" spans="2:108" x14ac:dyDescent="0.25">
      <c r="B28">
        <v>9</v>
      </c>
      <c r="C28">
        <f t="shared" si="86"/>
        <v>8.7985319971072631E-3</v>
      </c>
      <c r="D28" s="4">
        <f t="shared" si="3"/>
        <v>1019.8600241198353</v>
      </c>
      <c r="E28" s="6">
        <f t="shared" si="4"/>
        <v>5.5397200482396717E-6</v>
      </c>
      <c r="F28" s="8">
        <f t="shared" si="5"/>
        <v>27.617390277378107</v>
      </c>
      <c r="G28" s="7">
        <f t="shared" si="1"/>
        <v>1.3864221610511172E-2</v>
      </c>
      <c r="H28" s="9">
        <f t="shared" si="6"/>
        <v>0.19971564816962253</v>
      </c>
      <c r="I28" s="4">
        <f t="shared" si="87"/>
        <v>1019.5505391235066</v>
      </c>
      <c r="J28" s="6">
        <f t="shared" si="7"/>
        <v>5.5391010782470134E-6</v>
      </c>
      <c r="K28" s="8">
        <f t="shared" si="8"/>
        <v>27.613831199920327</v>
      </c>
      <c r="L28" s="7">
        <f t="shared" si="9"/>
        <v>1.3862672518305476E-2</v>
      </c>
      <c r="M28" s="9">
        <f t="shared" si="10"/>
        <v>0.19974138901869995</v>
      </c>
      <c r="N28" s="4">
        <f t="shared" si="88"/>
        <v>1018.6502850654757</v>
      </c>
      <c r="O28" s="6">
        <f t="shared" si="11"/>
        <v>5.5373005701309518E-6</v>
      </c>
      <c r="P28" s="8">
        <f t="shared" si="12"/>
        <v>27.603478278252972</v>
      </c>
      <c r="Q28" s="7">
        <f t="shared" si="2"/>
        <v>1.3864221610511172E-2</v>
      </c>
      <c r="R28" s="9">
        <f t="shared" si="13"/>
        <v>0.19981630374261242</v>
      </c>
      <c r="S28" s="4">
        <f t="shared" si="89"/>
        <v>1017.1502726987192</v>
      </c>
      <c r="T28" s="6">
        <f t="shared" si="14"/>
        <v>5.5343005453974383E-6</v>
      </c>
      <c r="U28" s="8">
        <f t="shared" si="15"/>
        <v>27.58622813603527</v>
      </c>
      <c r="V28" s="7">
        <f t="shared" si="16"/>
        <v>1.3850658255726234E-2</v>
      </c>
      <c r="W28" s="9">
        <f t="shared" si="17"/>
        <v>0.19994125230897597</v>
      </c>
      <c r="X28" s="4">
        <f t="shared" si="90"/>
        <v>1015.0504096608714</v>
      </c>
      <c r="Y28" s="6">
        <f t="shared" si="18"/>
        <v>5.5301008193217432E-6</v>
      </c>
      <c r="Z28" s="8">
        <f t="shared" si="19"/>
        <v>27.562079711100019</v>
      </c>
      <c r="AA28" s="7">
        <f t="shared" si="20"/>
        <v>1.3840147628382277E-2</v>
      </c>
      <c r="AB28" s="9">
        <f t="shared" si="21"/>
        <v>0.20011643017557576</v>
      </c>
      <c r="AC28" s="4">
        <f t="shared" si="91"/>
        <v>1012.3505259623182</v>
      </c>
      <c r="AD28" s="6">
        <f t="shared" si="22"/>
        <v>5.5247010519246367E-6</v>
      </c>
      <c r="AE28" s="8">
        <f t="shared" si="23"/>
        <v>27.531031048566661</v>
      </c>
      <c r="AF28" s="7">
        <f t="shared" si="24"/>
        <v>1.3826633665368482E-2</v>
      </c>
      <c r="AG28" s="9">
        <f t="shared" si="25"/>
        <v>0.20034211542132413</v>
      </c>
      <c r="AH28" s="4">
        <f t="shared" si="92"/>
        <v>1009.0506720520943</v>
      </c>
      <c r="AI28" s="6">
        <f t="shared" si="26"/>
        <v>5.5181013441041888E-6</v>
      </c>
      <c r="AJ28" s="8">
        <f t="shared" si="27"/>
        <v>27.493082728599084</v>
      </c>
      <c r="AK28" s="7">
        <f t="shared" si="28"/>
        <v>1.3810116619201791E-2</v>
      </c>
      <c r="AL28" s="9">
        <f t="shared" si="29"/>
        <v>0.2006186448587117</v>
      </c>
      <c r="AM28" s="4">
        <f t="shared" si="93"/>
        <v>1005.1508504800744</v>
      </c>
      <c r="AN28" s="6">
        <f t="shared" si="30"/>
        <v>5.5103017009601493E-6</v>
      </c>
      <c r="AO28" s="8">
        <f t="shared" si="31"/>
        <v>27.448234780520856</v>
      </c>
      <c r="AP28" s="7">
        <f t="shared" si="32"/>
        <v>1.379059650264532E-2</v>
      </c>
      <c r="AQ28" s="9">
        <f t="shared" si="33"/>
        <v>0.20094643768911014</v>
      </c>
      <c r="AR28" s="4">
        <f t="shared" si="94"/>
        <v>1000.6510613289438</v>
      </c>
      <c r="AS28" s="6">
        <f t="shared" si="34"/>
        <v>5.501302122657888E-6</v>
      </c>
      <c r="AT28" s="8">
        <f t="shared" si="35"/>
        <v>27.396487205282853</v>
      </c>
      <c r="AU28" s="7">
        <f t="shared" si="36"/>
        <v>1.3768073316112933E-2</v>
      </c>
      <c r="AV28" s="9">
        <f t="shared" si="37"/>
        <v>0.20132599331699813</v>
      </c>
      <c r="AW28" s="4">
        <f t="shared" si="95"/>
        <v>995.55130460378848</v>
      </c>
      <c r="AX28" s="6">
        <f t="shared" si="38"/>
        <v>5.4911026092075776E-6</v>
      </c>
      <c r="AY28" s="8">
        <f t="shared" si="39"/>
        <v>27.337840002943565</v>
      </c>
      <c r="AZ28" s="7">
        <f t="shared" si="40"/>
        <v>1.3742547059630093E-2</v>
      </c>
      <c r="BA28" s="9">
        <f t="shared" si="41"/>
        <v>0.2017578930671228</v>
      </c>
      <c r="BB28" s="4">
        <f t="shared" si="96"/>
        <v>989.85158030677997</v>
      </c>
      <c r="BC28" s="6">
        <f t="shared" si="42"/>
        <v>5.47970316061356E-6</v>
      </c>
      <c r="BD28" s="8">
        <f t="shared" si="43"/>
        <v>27.27229317352797</v>
      </c>
      <c r="BE28" s="7">
        <f t="shared" si="44"/>
        <v>1.3714017733207667E-2</v>
      </c>
      <c r="BF28" s="9">
        <f t="shared" si="45"/>
        <v>0.20224280242608192</v>
      </c>
      <c r="BG28" s="4">
        <f t="shared" si="97"/>
        <v>983.5518884392859</v>
      </c>
      <c r="BH28" s="6">
        <f t="shared" si="46"/>
        <v>5.4671037768785721E-6</v>
      </c>
      <c r="BI28" s="8">
        <f t="shared" si="47"/>
        <v>27.199846717051788</v>
      </c>
      <c r="BJ28" s="7">
        <f t="shared" si="48"/>
        <v>1.3682485336852504E-2</v>
      </c>
      <c r="BK28" s="9">
        <f t="shared" si="49"/>
        <v>0.20278147363757801</v>
      </c>
      <c r="BL28" s="4">
        <f t="shared" si="98"/>
        <v>976.65222900221761</v>
      </c>
      <c r="BM28" s="6">
        <f t="shared" si="50"/>
        <v>5.4533044580044357E-6</v>
      </c>
      <c r="BN28" s="8">
        <f t="shared" si="51"/>
        <v>27.120500633525502</v>
      </c>
      <c r="BO28" s="7">
        <f t="shared" si="52"/>
        <v>1.3647949870569161E-2</v>
      </c>
      <c r="BP28" s="9">
        <f t="shared" si="53"/>
        <v>0.20337474866454933</v>
      </c>
      <c r="BQ28" s="4">
        <f t="shared" si="99"/>
        <v>969.15260199620116</v>
      </c>
      <c r="BR28" s="6">
        <f t="shared" si="54"/>
        <v>5.438305203992402E-6</v>
      </c>
      <c r="BS28" s="8">
        <f t="shared" si="55"/>
        <v>27.034254922956315</v>
      </c>
      <c r="BT28" s="7">
        <f t="shared" si="56"/>
        <v>1.3610411334360773E-2</v>
      </c>
      <c r="BU28" s="9">
        <f t="shared" si="57"/>
        <v>0.20402356254014498</v>
      </c>
      <c r="BV28" s="4">
        <f t="shared" si="100"/>
        <v>961.05300742059899</v>
      </c>
      <c r="BW28" s="6">
        <f t="shared" si="58"/>
        <v>5.4221060148411987E-6</v>
      </c>
      <c r="BX28" s="8">
        <f t="shared" si="59"/>
        <v>26.941109585336889</v>
      </c>
      <c r="BY28" s="7">
        <f t="shared" si="60"/>
        <v>1.3569869728224151E-2</v>
      </c>
      <c r="BZ28" s="9">
        <f t="shared" si="61"/>
        <v>0.20472894713297046</v>
      </c>
      <c r="CA28" s="4">
        <f t="shared" si="101"/>
        <v>952.35344510108337</v>
      </c>
      <c r="CB28" s="6">
        <f t="shared" si="62"/>
        <v>5.4047068902021668E-6</v>
      </c>
      <c r="CC28" s="8">
        <f t="shared" si="63"/>
        <v>26.841064618662458</v>
      </c>
      <c r="CD28" s="7">
        <f t="shared" si="64"/>
        <v>1.3526325051286715E-2</v>
      </c>
      <c r="CE28" s="9">
        <f t="shared" si="65"/>
        <v>0.20549203537049771</v>
      </c>
      <c r="CF28" s="4">
        <f t="shared" si="102"/>
        <v>943.05389694061466</v>
      </c>
      <c r="CG28" s="6">
        <f t="shared" si="66"/>
        <v>5.38610779388123E-6</v>
      </c>
      <c r="CH28" s="8">
        <f t="shared" si="67"/>
        <v>26.73411981481707</v>
      </c>
      <c r="CI28" s="7">
        <f t="shared" si="68"/>
        <v>1.3479777212965777E-2</v>
      </c>
      <c r="CJ28" s="9">
        <f t="shared" si="69"/>
        <v>0.20631406749898046</v>
      </c>
      <c r="CK28" s="4">
        <f t="shared" si="103"/>
        <v>933.15310838700611</v>
      </c>
      <c r="CL28" s="6">
        <f t="shared" si="70"/>
        <v>5.3663062167740122E-6</v>
      </c>
      <c r="CM28" s="8">
        <f t="shared" si="71"/>
        <v>26.620260746450569</v>
      </c>
      <c r="CN28" s="7">
        <f t="shared" si="72"/>
        <v>1.3430219933742014E-2</v>
      </c>
      <c r="CO28" s="9">
        <f t="shared" si="73"/>
        <v>0.20719650541873186</v>
      </c>
      <c r="CP28" s="4">
        <f t="shared" si="104"/>
        <v>922.59297353333318</v>
      </c>
      <c r="CQ28" s="6">
        <f t="shared" si="74"/>
        <v>5.3451859470666666E-6</v>
      </c>
      <c r="CR28" s="8">
        <f t="shared" si="75"/>
        <v>26.498819195633331</v>
      </c>
      <c r="CS28" s="7">
        <f t="shared" si="76"/>
        <v>1.337736237105896E-2</v>
      </c>
      <c r="CT28" s="9">
        <f t="shared" si="77"/>
        <v>0.20814606716169848</v>
      </c>
      <c r="CU28" s="4">
        <f t="shared" si="105"/>
        <v>909.64516042860407</v>
      </c>
      <c r="CV28" s="6">
        <f t="shared" si="78"/>
        <v>5.3192903208572089E-6</v>
      </c>
      <c r="CW28" s="8">
        <f t="shared" si="79"/>
        <v>26.349919344928946</v>
      </c>
      <c r="CX28" s="7">
        <f t="shared" si="80"/>
        <v>1.3312553554478966E-2</v>
      </c>
      <c r="CY28" s="9">
        <f t="shared" si="81"/>
        <v>0.20932227259593053</v>
      </c>
      <c r="CZ28" s="5">
        <f t="shared" si="106"/>
        <v>864.64586803443024</v>
      </c>
      <c r="DA28" s="6">
        <f t="shared" si="82"/>
        <v>5.229291736068861E-6</v>
      </c>
      <c r="DB28" s="8">
        <f t="shared" si="83"/>
        <v>25.832427482395946</v>
      </c>
      <c r="DC28" s="7">
        <f t="shared" si="84"/>
        <v>1.3087314677194086E-2</v>
      </c>
      <c r="DD28" s="9">
        <f t="shared" si="85"/>
        <v>0.21351555148112733</v>
      </c>
    </row>
    <row r="29" spans="2:108" x14ac:dyDescent="0.25">
      <c r="B29">
        <v>10</v>
      </c>
      <c r="C29">
        <f t="shared" si="86"/>
        <v>9.7761466634525146E-3</v>
      </c>
      <c r="D29" s="4">
        <f t="shared" si="3"/>
        <v>1019.8442233793372</v>
      </c>
      <c r="E29" s="6">
        <f t="shared" si="4"/>
        <v>5.5396884467586759E-6</v>
      </c>
      <c r="F29" s="8">
        <f t="shared" si="5"/>
        <v>27.617208568862377</v>
      </c>
      <c r="G29" s="7">
        <f t="shared" si="1"/>
        <v>1.3864142521688645E-2</v>
      </c>
      <c r="H29" s="9">
        <f t="shared" si="6"/>
        <v>0.19971696220662619</v>
      </c>
      <c r="I29" s="4">
        <f t="shared" si="87"/>
        <v>1019.5339626197059</v>
      </c>
      <c r="J29" s="6">
        <f t="shared" si="7"/>
        <v>5.5390679252394126E-6</v>
      </c>
      <c r="K29" s="8">
        <f t="shared" si="8"/>
        <v>27.613640570126616</v>
      </c>
      <c r="L29" s="7">
        <f t="shared" si="9"/>
        <v>1.3862589546487329E-2</v>
      </c>
      <c r="M29" s="9">
        <f t="shared" si="10"/>
        <v>0.19974276792633391</v>
      </c>
      <c r="N29" s="4">
        <f t="shared" si="88"/>
        <v>1018.6336523851525</v>
      </c>
      <c r="O29" s="6">
        <f t="shared" si="11"/>
        <v>5.5372673047703056E-6</v>
      </c>
      <c r="P29" s="8">
        <f t="shared" si="12"/>
        <v>27.603287002429255</v>
      </c>
      <c r="Q29" s="7">
        <f t="shared" si="2"/>
        <v>1.3864142521688645E-2</v>
      </c>
      <c r="R29" s="9">
        <f t="shared" si="13"/>
        <v>0.1998176883613387</v>
      </c>
      <c r="S29" s="4">
        <f t="shared" si="89"/>
        <v>1017.1336380859118</v>
      </c>
      <c r="T29" s="6">
        <f t="shared" si="14"/>
        <v>5.534267276171824E-6</v>
      </c>
      <c r="U29" s="8">
        <f t="shared" si="15"/>
        <v>27.586036837987983</v>
      </c>
      <c r="V29" s="7">
        <f t="shared" si="16"/>
        <v>1.3850574993050013E-2</v>
      </c>
      <c r="W29" s="9">
        <f t="shared" si="17"/>
        <v>0.19994263882097707</v>
      </c>
      <c r="X29" s="4">
        <f t="shared" si="90"/>
        <v>1015.0337891231979</v>
      </c>
      <c r="Y29" s="6">
        <f t="shared" si="18"/>
        <v>5.5300675782463965E-6</v>
      </c>
      <c r="Z29" s="8">
        <f t="shared" si="19"/>
        <v>27.561888574916775</v>
      </c>
      <c r="AA29" s="7">
        <f t="shared" si="20"/>
        <v>1.3840064436157552E-2</v>
      </c>
      <c r="AB29" s="9">
        <f t="shared" si="21"/>
        <v>0.20011781794298378</v>
      </c>
      <c r="AC29" s="4">
        <f t="shared" si="91"/>
        <v>1012.3339186604184</v>
      </c>
      <c r="AD29" s="6">
        <f t="shared" si="22"/>
        <v>5.5246678373208374E-6</v>
      </c>
      <c r="AE29" s="8">
        <f t="shared" si="23"/>
        <v>27.530840064594813</v>
      </c>
      <c r="AF29" s="7">
        <f t="shared" si="24"/>
        <v>1.3826550539393925E-2</v>
      </c>
      <c r="AG29" s="9">
        <f t="shared" si="25"/>
        <v>0.20034350521302105</v>
      </c>
      <c r="AH29" s="4">
        <f t="shared" si="92"/>
        <v>1009.0340810124864</v>
      </c>
      <c r="AI29" s="6">
        <f t="shared" si="26"/>
        <v>5.518068162024974E-6</v>
      </c>
      <c r="AJ29" s="8">
        <f t="shared" si="27"/>
        <v>27.492891931643591</v>
      </c>
      <c r="AK29" s="7">
        <f t="shared" si="28"/>
        <v>1.3810033574626302E-2</v>
      </c>
      <c r="AL29" s="9">
        <f t="shared" si="29"/>
        <v>0.20062003712500182</v>
      </c>
      <c r="AM29" s="4">
        <f t="shared" si="93"/>
        <v>1005.1342792715132</v>
      </c>
      <c r="AN29" s="6">
        <f t="shared" si="30"/>
        <v>5.510268558543027E-6</v>
      </c>
      <c r="AO29" s="8">
        <f t="shared" si="31"/>
        <v>27.448044211622403</v>
      </c>
      <c r="AP29" s="7">
        <f t="shared" si="32"/>
        <v>1.3790513557331891E-2</v>
      </c>
      <c r="AQ29" s="9">
        <f t="shared" si="33"/>
        <v>0.20094783283919745</v>
      </c>
      <c r="AR29" s="4">
        <f t="shared" si="94"/>
        <v>1000.6345135512584</v>
      </c>
      <c r="AS29" s="6">
        <f t="shared" si="34"/>
        <v>5.501269027102517E-6</v>
      </c>
      <c r="AT29" s="8">
        <f t="shared" si="35"/>
        <v>27.396296905839471</v>
      </c>
      <c r="AU29" s="7">
        <f t="shared" si="36"/>
        <v>1.376799048808011E-2</v>
      </c>
      <c r="AV29" s="9">
        <f t="shared" si="37"/>
        <v>0.20132739176236458</v>
      </c>
      <c r="AW29" s="4">
        <f t="shared" si="95"/>
        <v>995.53478385863332</v>
      </c>
      <c r="AX29" s="6">
        <f t="shared" si="38"/>
        <v>5.4910695677172676E-6</v>
      </c>
      <c r="AY29" s="8">
        <f t="shared" si="39"/>
        <v>27.337650014374283</v>
      </c>
      <c r="AZ29" s="7">
        <f t="shared" si="40"/>
        <v>1.374246436690555E-2</v>
      </c>
      <c r="BA29" s="9">
        <f t="shared" si="41"/>
        <v>0.20175929522471225</v>
      </c>
      <c r="BB29" s="4">
        <f t="shared" si="96"/>
        <v>989.83509019636801</v>
      </c>
      <c r="BC29" s="6">
        <f t="shared" si="42"/>
        <v>5.4796701803927362E-6</v>
      </c>
      <c r="BD29" s="8">
        <f t="shared" si="43"/>
        <v>27.272103537258232</v>
      </c>
      <c r="BE29" s="7">
        <f t="shared" si="44"/>
        <v>1.3713935193821872E-2</v>
      </c>
      <c r="BF29" s="9">
        <f t="shared" si="45"/>
        <v>0.20224420871916748</v>
      </c>
      <c r="BG29" s="4">
        <f t="shared" si="97"/>
        <v>983.53543256617331</v>
      </c>
      <c r="BH29" s="6">
        <f t="shared" si="46"/>
        <v>5.4670708651323474E-6</v>
      </c>
      <c r="BI29" s="8">
        <f t="shared" si="47"/>
        <v>27.199657474510992</v>
      </c>
      <c r="BJ29" s="7">
        <f t="shared" si="48"/>
        <v>1.3682402968837644E-2</v>
      </c>
      <c r="BK29" s="9">
        <f t="shared" si="49"/>
        <v>0.20278288449656892</v>
      </c>
      <c r="BL29" s="4">
        <f t="shared" si="98"/>
        <v>976.63581096918858</v>
      </c>
      <c r="BM29" s="6">
        <f t="shared" si="50"/>
        <v>5.4532716219383781E-6</v>
      </c>
      <c r="BN29" s="8">
        <f t="shared" si="51"/>
        <v>27.120311826145667</v>
      </c>
      <c r="BO29" s="7">
        <f t="shared" si="52"/>
        <v>1.3647867691958568E-2</v>
      </c>
      <c r="BP29" s="9">
        <f t="shared" si="53"/>
        <v>0.20337616452782062</v>
      </c>
      <c r="BQ29" s="4">
        <f t="shared" si="99"/>
        <v>969.13622540618258</v>
      </c>
      <c r="BR29" s="6">
        <f t="shared" si="54"/>
        <v>5.4382724508123663E-6</v>
      </c>
      <c r="BS29" s="8">
        <f t="shared" si="55"/>
        <v>27.034066592171101</v>
      </c>
      <c r="BT29" s="7">
        <f t="shared" si="56"/>
        <v>1.3610329363188491E-2</v>
      </c>
      <c r="BU29" s="9">
        <f t="shared" si="57"/>
        <v>0.20402498385489998</v>
      </c>
      <c r="BV29" s="4">
        <f t="shared" si="100"/>
        <v>961.03667587419818</v>
      </c>
      <c r="BW29" s="6">
        <f t="shared" si="58"/>
        <v>5.4220733517483965E-6</v>
      </c>
      <c r="BX29" s="8">
        <f t="shared" si="59"/>
        <v>26.940921772553278</v>
      </c>
      <c r="BY29" s="7">
        <f t="shared" si="60"/>
        <v>1.3569787982512609E-2</v>
      </c>
      <c r="BZ29" s="9">
        <f t="shared" si="61"/>
        <v>0.204730374356351</v>
      </c>
      <c r="CA29" s="4">
        <f t="shared" si="101"/>
        <v>952.33716194999283</v>
      </c>
      <c r="CB29" s="6">
        <f t="shared" si="62"/>
        <v>5.4046743238999863E-6</v>
      </c>
      <c r="CC29" s="8">
        <f t="shared" si="63"/>
        <v>26.840877362424919</v>
      </c>
      <c r="CD29" s="7">
        <f t="shared" si="64"/>
        <v>1.3526243547812435E-2</v>
      </c>
      <c r="CE29" s="9">
        <f t="shared" si="65"/>
        <v>0.20549346899224069</v>
      </c>
      <c r="CF29" s="4">
        <f t="shared" si="102"/>
        <v>943.03764852817017</v>
      </c>
      <c r="CG29" s="6">
        <f t="shared" si="66"/>
        <v>5.3860752970563409E-6</v>
      </c>
      <c r="CH29" s="8">
        <f t="shared" si="67"/>
        <v>26.733932958073957</v>
      </c>
      <c r="CI29" s="7">
        <f t="shared" si="68"/>
        <v>1.3479695883371867E-2</v>
      </c>
      <c r="CJ29" s="9">
        <f t="shared" si="69"/>
        <v>0.20631550953052785</v>
      </c>
      <c r="CK29" s="4">
        <f t="shared" si="103"/>
        <v>933.13610862807525</v>
      </c>
      <c r="CL29" s="6">
        <f t="shared" si="70"/>
        <v>5.3662722172561513E-6</v>
      </c>
      <c r="CM29" s="8">
        <f t="shared" si="71"/>
        <v>26.620065249222865</v>
      </c>
      <c r="CN29" s="7">
        <f t="shared" si="72"/>
        <v>1.3430134843368103E-2</v>
      </c>
      <c r="CO29" s="9">
        <f t="shared" si="73"/>
        <v>0.20719802706573084</v>
      </c>
      <c r="CP29" s="4">
        <f t="shared" si="104"/>
        <v>922.55213683382078</v>
      </c>
      <c r="CQ29" s="6">
        <f t="shared" si="74"/>
        <v>5.345104273667642E-6</v>
      </c>
      <c r="CR29" s="8">
        <f t="shared" si="75"/>
        <v>26.498349573588939</v>
      </c>
      <c r="CS29" s="7">
        <f t="shared" si="76"/>
        <v>1.3377157967570353E-2</v>
      </c>
      <c r="CT29" s="9">
        <f t="shared" si="77"/>
        <v>0.20814975606999525</v>
      </c>
      <c r="CU29" s="4">
        <f t="shared" si="105"/>
        <v>909.19600358010689</v>
      </c>
      <c r="CV29" s="6">
        <f t="shared" si="78"/>
        <v>5.3183920071602147E-6</v>
      </c>
      <c r="CW29" s="8">
        <f t="shared" si="79"/>
        <v>26.344754041171228</v>
      </c>
      <c r="CX29" s="7">
        <f t="shared" si="80"/>
        <v>1.3310305350587356E-2</v>
      </c>
      <c r="CY29" s="9">
        <f t="shared" si="81"/>
        <v>0.20936331352269433</v>
      </c>
      <c r="CZ29" s="5">
        <f t="shared" si="106"/>
        <v>861.28110343050378</v>
      </c>
      <c r="DA29" s="6">
        <f t="shared" si="82"/>
        <v>5.2225622068610074E-6</v>
      </c>
      <c r="DB29" s="8">
        <f t="shared" si="83"/>
        <v>25.793732689450792</v>
      </c>
      <c r="DC29" s="7">
        <f t="shared" si="84"/>
        <v>1.3070472727879024E-2</v>
      </c>
      <c r="DD29" s="9">
        <f t="shared" si="85"/>
        <v>0.21383585952473638</v>
      </c>
    </row>
    <row r="30" spans="2:108" x14ac:dyDescent="0.25">
      <c r="B30">
        <v>11</v>
      </c>
      <c r="C30">
        <f t="shared" si="86"/>
        <v>1.0753761329797766E-2</v>
      </c>
      <c r="D30" s="4">
        <f t="shared" si="3"/>
        <v>1019.8283830322838</v>
      </c>
      <c r="E30" s="6">
        <f t="shared" si="4"/>
        <v>5.5396567660645682E-6</v>
      </c>
      <c r="F30" s="8">
        <f t="shared" si="5"/>
        <v>27.617026404871261</v>
      </c>
      <c r="G30" s="7">
        <f t="shared" si="1"/>
        <v>1.3864063234619974E-2</v>
      </c>
      <c r="H30" s="9">
        <f t="shared" si="6"/>
        <v>0.19971827955478655</v>
      </c>
      <c r="I30" s="4">
        <f t="shared" si="87"/>
        <v>1019.5173904200674</v>
      </c>
      <c r="J30" s="6">
        <f t="shared" si="7"/>
        <v>5.5390347808401349E-6</v>
      </c>
      <c r="K30" s="8">
        <f t="shared" si="8"/>
        <v>27.613449989830777</v>
      </c>
      <c r="L30" s="7">
        <f t="shared" si="9"/>
        <v>1.3862506596213174E-2</v>
      </c>
      <c r="M30" s="9">
        <f t="shared" si="10"/>
        <v>0.19974414649495961</v>
      </c>
      <c r="N30" s="4">
        <f t="shared" si="88"/>
        <v>1018.6170203549293</v>
      </c>
      <c r="O30" s="6">
        <f t="shared" si="11"/>
        <v>5.5372340407098593E-6</v>
      </c>
      <c r="P30" s="8">
        <f t="shared" si="12"/>
        <v>27.603095734081684</v>
      </c>
      <c r="Q30" s="7">
        <f t="shared" si="2"/>
        <v>1.3864063234619974E-2</v>
      </c>
      <c r="R30" s="9">
        <f t="shared" si="13"/>
        <v>0.19981907294513454</v>
      </c>
      <c r="S30" s="4">
        <f t="shared" si="89"/>
        <v>1017.1170038182238</v>
      </c>
      <c r="T30" s="6">
        <f t="shared" si="14"/>
        <v>5.5342340076364484E-6</v>
      </c>
      <c r="U30" s="8">
        <f t="shared" si="15"/>
        <v>27.585845543909571</v>
      </c>
      <c r="V30" s="7">
        <f t="shared" si="16"/>
        <v>1.3850491732101247E-2</v>
      </c>
      <c r="W30" s="9">
        <f t="shared" si="17"/>
        <v>0.19994402532344147</v>
      </c>
      <c r="X30" s="4">
        <f t="shared" si="90"/>
        <v>1015.0171687210948</v>
      </c>
      <c r="Y30" s="6">
        <f t="shared" si="18"/>
        <v>5.5300343374421901E-6</v>
      </c>
      <c r="Z30" s="8">
        <f t="shared" si="19"/>
        <v>27.56169744029259</v>
      </c>
      <c r="AA30" s="7">
        <f t="shared" si="20"/>
        <v>1.3839981244611405E-2</v>
      </c>
      <c r="AB30" s="9">
        <f t="shared" si="21"/>
        <v>0.20011920571831976</v>
      </c>
      <c r="AC30" s="4">
        <f t="shared" si="91"/>
        <v>1012.3173115410559</v>
      </c>
      <c r="AD30" s="6">
        <f t="shared" si="22"/>
        <v>5.5246346230821126E-6</v>
      </c>
      <c r="AE30" s="8">
        <f t="shared" si="23"/>
        <v>27.530649082722142</v>
      </c>
      <c r="AF30" s="7">
        <f t="shared" si="24"/>
        <v>1.3826467414333039E-2</v>
      </c>
      <c r="AG30" s="9">
        <f t="shared" si="25"/>
        <v>0.20034489500872432</v>
      </c>
      <c r="AH30" s="4">
        <f t="shared" si="92"/>
        <v>1009.0174901635537</v>
      </c>
      <c r="AI30" s="6">
        <f t="shared" si="26"/>
        <v>5.5180349803271078E-6</v>
      </c>
      <c r="AJ30" s="8">
        <f t="shared" si="27"/>
        <v>27.492701136880868</v>
      </c>
      <c r="AK30" s="7">
        <f t="shared" si="28"/>
        <v>1.3809950531005213E-2</v>
      </c>
      <c r="AL30" s="9">
        <f t="shared" si="29"/>
        <v>0.20062142939461514</v>
      </c>
      <c r="AM30" s="4">
        <f t="shared" si="93"/>
        <v>1005.1177082549874</v>
      </c>
      <c r="AN30" s="6">
        <f t="shared" si="30"/>
        <v>5.5102354165099756E-6</v>
      </c>
      <c r="AO30" s="8">
        <f t="shared" si="31"/>
        <v>27.447853644932355</v>
      </c>
      <c r="AP30" s="7">
        <f t="shared" si="32"/>
        <v>1.379043061297968E-2</v>
      </c>
      <c r="AQ30" s="9">
        <f t="shared" si="33"/>
        <v>0.20094922799248965</v>
      </c>
      <c r="AR30" s="4">
        <f t="shared" si="94"/>
        <v>1000.6179659662639</v>
      </c>
      <c r="AS30" s="6">
        <f t="shared" si="34"/>
        <v>5.5012359319325282E-6</v>
      </c>
      <c r="AT30" s="8">
        <f t="shared" si="35"/>
        <v>27.396106608612033</v>
      </c>
      <c r="AU30" s="7">
        <f t="shared" si="36"/>
        <v>1.3767907661011781E-2</v>
      </c>
      <c r="AV30" s="9">
        <f t="shared" si="37"/>
        <v>0.20132879021087433</v>
      </c>
      <c r="AW30" s="4">
        <f t="shared" si="95"/>
        <v>995.51826330656922</v>
      </c>
      <c r="AX30" s="6">
        <f t="shared" si="38"/>
        <v>5.4910365266131394E-6</v>
      </c>
      <c r="AY30" s="8">
        <f t="shared" si="39"/>
        <v>27.337460028025546</v>
      </c>
      <c r="AZ30" s="7">
        <f t="shared" si="40"/>
        <v>1.37423816751475E-2</v>
      </c>
      <c r="BA30" s="9">
        <f t="shared" si="41"/>
        <v>0.20176069738540253</v>
      </c>
      <c r="BB30" s="4">
        <f t="shared" si="96"/>
        <v>989.81860027926359</v>
      </c>
      <c r="BC30" s="6">
        <f t="shared" si="42"/>
        <v>5.4796372005585279E-6</v>
      </c>
      <c r="BD30" s="8">
        <f t="shared" si="43"/>
        <v>27.27191390321153</v>
      </c>
      <c r="BE30" s="7">
        <f t="shared" si="44"/>
        <v>1.3713852655403655E-2</v>
      </c>
      <c r="BF30" s="9">
        <f t="shared" si="45"/>
        <v>0.2022456150153247</v>
      </c>
      <c r="BG30" s="4">
        <f t="shared" si="97"/>
        <v>983.51897688643965</v>
      </c>
      <c r="BH30" s="6">
        <f t="shared" si="46"/>
        <v>5.4670379537728797E-6</v>
      </c>
      <c r="BI30" s="8">
        <f t="shared" si="47"/>
        <v>27.199468234194057</v>
      </c>
      <c r="BJ30" s="7">
        <f t="shared" si="48"/>
        <v>1.3682320601790719E-2</v>
      </c>
      <c r="BK30" s="9">
        <f t="shared" si="49"/>
        <v>0.20278429535861228</v>
      </c>
      <c r="BL30" s="4">
        <f t="shared" si="98"/>
        <v>976.61939312949039</v>
      </c>
      <c r="BM30" s="6">
        <f t="shared" si="50"/>
        <v>5.4532387862589816E-6</v>
      </c>
      <c r="BN30" s="8">
        <f t="shared" si="51"/>
        <v>27.120123020989141</v>
      </c>
      <c r="BO30" s="7">
        <f t="shared" si="52"/>
        <v>1.3647785514315669E-2</v>
      </c>
      <c r="BP30" s="9">
        <f t="shared" si="53"/>
        <v>0.20337758039413315</v>
      </c>
      <c r="BQ30" s="4">
        <f t="shared" si="99"/>
        <v>969.11984900931054</v>
      </c>
      <c r="BR30" s="6">
        <f t="shared" si="54"/>
        <v>5.4382396980186217E-6</v>
      </c>
      <c r="BS30" s="8">
        <f t="shared" si="55"/>
        <v>27.033878263607072</v>
      </c>
      <c r="BT30" s="7">
        <f t="shared" si="56"/>
        <v>1.3610247392982978E-2</v>
      </c>
      <c r="BU30" s="9">
        <f t="shared" si="57"/>
        <v>0.20402640517269469</v>
      </c>
      <c r="BV30" s="4">
        <f t="shared" si="100"/>
        <v>961.02034451719271</v>
      </c>
      <c r="BW30" s="6">
        <f t="shared" si="58"/>
        <v>5.4220406890343858E-6</v>
      </c>
      <c r="BX30" s="8">
        <f t="shared" si="59"/>
        <v>26.940733961947714</v>
      </c>
      <c r="BY30" s="7">
        <f t="shared" si="60"/>
        <v>1.3569706237749064E-2</v>
      </c>
      <c r="BZ30" s="9">
        <f t="shared" si="61"/>
        <v>0.2047318015830791</v>
      </c>
      <c r="CA30" s="4">
        <f t="shared" si="101"/>
        <v>952.32087874927902</v>
      </c>
      <c r="CB30" s="6">
        <f t="shared" si="62"/>
        <v>5.404641757498559E-6</v>
      </c>
      <c r="CC30" s="8">
        <f t="shared" si="63"/>
        <v>26.840690105616709</v>
      </c>
      <c r="CD30" s="7">
        <f t="shared" si="64"/>
        <v>1.3526162044089771E-2</v>
      </c>
      <c r="CE30" s="9">
        <f t="shared" si="65"/>
        <v>0.20549490263835635</v>
      </c>
      <c r="CF30" s="4">
        <f t="shared" si="102"/>
        <v>943.02138927801241</v>
      </c>
      <c r="CG30" s="6">
        <f t="shared" si="66"/>
        <v>5.386042778556026E-6</v>
      </c>
      <c r="CH30" s="8">
        <f t="shared" si="67"/>
        <v>26.733745976697143</v>
      </c>
      <c r="CI30" s="7">
        <f t="shared" si="68"/>
        <v>1.3479614499531008E-2</v>
      </c>
      <c r="CJ30" s="9">
        <f t="shared" si="69"/>
        <v>0.20631695254409069</v>
      </c>
      <c r="CK30" s="4">
        <f t="shared" si="103"/>
        <v>933.11878803861782</v>
      </c>
      <c r="CL30" s="6">
        <f t="shared" si="70"/>
        <v>5.3662375760772362E-6</v>
      </c>
      <c r="CM30" s="8">
        <f t="shared" si="71"/>
        <v>26.619866062444103</v>
      </c>
      <c r="CN30" s="7">
        <f t="shared" si="72"/>
        <v>1.343004814711321E-2</v>
      </c>
      <c r="CO30" s="9">
        <f t="shared" si="73"/>
        <v>0.20719957745323017</v>
      </c>
      <c r="CP30" s="4">
        <f t="shared" si="104"/>
        <v>922.50597555074194</v>
      </c>
      <c r="CQ30" s="6">
        <f t="shared" si="74"/>
        <v>5.3450119511014842E-6</v>
      </c>
      <c r="CR30" s="8">
        <f t="shared" si="75"/>
        <v>26.497818718833532</v>
      </c>
      <c r="CS30" s="7">
        <f t="shared" si="76"/>
        <v>1.3376926912479893E-2</v>
      </c>
      <c r="CT30" s="9">
        <f t="shared" si="77"/>
        <v>0.208153926122218</v>
      </c>
      <c r="CU30" s="4">
        <f t="shared" si="105"/>
        <v>908.7121445828476</v>
      </c>
      <c r="CV30" s="6">
        <f t="shared" si="78"/>
        <v>5.3174242891656953E-6</v>
      </c>
      <c r="CW30" s="8">
        <f t="shared" si="79"/>
        <v>26.339189662702747</v>
      </c>
      <c r="CX30" s="7">
        <f t="shared" si="80"/>
        <v>1.3307883449008275E-2</v>
      </c>
      <c r="CY30" s="9">
        <f t="shared" si="81"/>
        <v>0.20940754330837771</v>
      </c>
      <c r="CZ30" s="5">
        <f t="shared" si="106"/>
        <v>858.0118732933646</v>
      </c>
      <c r="DA30" s="6">
        <f t="shared" si="82"/>
        <v>5.2160237465867305E-6</v>
      </c>
      <c r="DB30" s="8">
        <f t="shared" si="83"/>
        <v>25.756136542873691</v>
      </c>
      <c r="DC30" s="7">
        <f t="shared" si="84"/>
        <v>1.3054108965550834E-2</v>
      </c>
      <c r="DD30" s="9">
        <f t="shared" si="85"/>
        <v>0.21414799501542808</v>
      </c>
    </row>
    <row r="31" spans="2:108" x14ac:dyDescent="0.25">
      <c r="B31">
        <v>12</v>
      </c>
      <c r="C31">
        <f t="shared" si="86"/>
        <v>1.1731375996143018E-2</v>
      </c>
      <c r="D31" s="4">
        <f t="shared" si="3"/>
        <v>1019.8125053205345</v>
      </c>
      <c r="E31" s="6">
        <f t="shared" si="4"/>
        <v>5.5396250106410694E-6</v>
      </c>
      <c r="F31" s="8">
        <f t="shared" si="5"/>
        <v>27.616843811186143</v>
      </c>
      <c r="G31" s="7">
        <f t="shared" si="1"/>
        <v>1.3863983760526539E-2</v>
      </c>
      <c r="H31" s="9">
        <f t="shared" si="6"/>
        <v>0.19971960002778841</v>
      </c>
      <c r="I31" s="4">
        <f t="shared" si="87"/>
        <v>1019.5008221443878</v>
      </c>
      <c r="J31" s="6">
        <f t="shared" si="7"/>
        <v>5.5390016442887758E-6</v>
      </c>
      <c r="K31" s="8">
        <f t="shared" si="8"/>
        <v>27.613259454660458</v>
      </c>
      <c r="L31" s="7">
        <f t="shared" si="9"/>
        <v>1.3862423665579958E-2</v>
      </c>
      <c r="M31" s="9">
        <f t="shared" si="10"/>
        <v>0.19974552475619078</v>
      </c>
      <c r="N31" s="4">
        <f t="shared" si="88"/>
        <v>1018.6003890074819</v>
      </c>
      <c r="O31" s="6">
        <f t="shared" si="11"/>
        <v>5.5372007780149639E-6</v>
      </c>
      <c r="P31" s="8">
        <f t="shared" si="12"/>
        <v>27.60290447358604</v>
      </c>
      <c r="Q31" s="7">
        <f t="shared" si="2"/>
        <v>1.3863983760526539E-2</v>
      </c>
      <c r="R31" s="9">
        <f t="shared" si="13"/>
        <v>0.19982045749127775</v>
      </c>
      <c r="S31" s="4">
        <f t="shared" si="89"/>
        <v>1017.1003698960109</v>
      </c>
      <c r="T31" s="6">
        <f t="shared" si="14"/>
        <v>5.5342007397920221E-6</v>
      </c>
      <c r="U31" s="8">
        <f t="shared" si="15"/>
        <v>27.585654253804123</v>
      </c>
      <c r="V31" s="7">
        <f t="shared" si="16"/>
        <v>1.385040847288172E-2</v>
      </c>
      <c r="W31" s="9">
        <f t="shared" si="17"/>
        <v>0.19994541181633868</v>
      </c>
      <c r="X31" s="4">
        <f t="shared" si="90"/>
        <v>1015.0005484578309</v>
      </c>
      <c r="Y31" s="6">
        <f t="shared" si="18"/>
        <v>5.5300010969156623E-6</v>
      </c>
      <c r="Z31" s="8">
        <f t="shared" si="19"/>
        <v>27.561506307265056</v>
      </c>
      <c r="AA31" s="7">
        <f t="shared" si="20"/>
        <v>1.3839898053760203E-2</v>
      </c>
      <c r="AB31" s="9">
        <f t="shared" si="21"/>
        <v>0.20012059350131065</v>
      </c>
      <c r="AC31" s="4">
        <f t="shared" si="91"/>
        <v>1012.3007046037679</v>
      </c>
      <c r="AD31" s="6">
        <f t="shared" si="22"/>
        <v>5.5246014092075366E-6</v>
      </c>
      <c r="AE31" s="8">
        <f t="shared" si="23"/>
        <v>27.530458102943328</v>
      </c>
      <c r="AF31" s="7">
        <f t="shared" si="24"/>
        <v>1.3826384290183506E-2</v>
      </c>
      <c r="AG31" s="9">
        <f t="shared" si="25"/>
        <v>0.20034628480847239</v>
      </c>
      <c r="AH31" s="4">
        <f t="shared" si="92"/>
        <v>1009.0008995052115</v>
      </c>
      <c r="AI31" s="6">
        <f t="shared" si="26"/>
        <v>5.5180017990104234E-6</v>
      </c>
      <c r="AJ31" s="8">
        <f t="shared" si="27"/>
        <v>27.492510344309931</v>
      </c>
      <c r="AK31" s="7">
        <f t="shared" si="28"/>
        <v>1.3809867488338104E-2</v>
      </c>
      <c r="AL31" s="9">
        <f t="shared" si="29"/>
        <v>0.20062282166755854</v>
      </c>
      <c r="AM31" s="4">
        <f t="shared" si="93"/>
        <v>1005.101137430487</v>
      </c>
      <c r="AN31" s="6">
        <f t="shared" si="30"/>
        <v>5.510202274860974E-6</v>
      </c>
      <c r="AO31" s="8">
        <f t="shared" si="31"/>
        <v>27.447663080450599</v>
      </c>
      <c r="AP31" s="7">
        <f t="shared" si="32"/>
        <v>1.3790347669588624E-2</v>
      </c>
      <c r="AQ31" s="9">
        <f t="shared" si="33"/>
        <v>0.20095062314898729</v>
      </c>
      <c r="AR31" s="4">
        <f t="shared" si="94"/>
        <v>1000.6014185739556</v>
      </c>
      <c r="AS31" s="6">
        <f t="shared" si="34"/>
        <v>5.5012028371479114E-6</v>
      </c>
      <c r="AT31" s="8">
        <f t="shared" si="35"/>
        <v>27.395916313600488</v>
      </c>
      <c r="AU31" s="7">
        <f t="shared" si="36"/>
        <v>1.376782483490792E-2</v>
      </c>
      <c r="AV31" s="9">
        <f t="shared" si="37"/>
        <v>0.20133018866252747</v>
      </c>
      <c r="AW31" s="4">
        <f t="shared" si="95"/>
        <v>995.50174294759188</v>
      </c>
      <c r="AX31" s="6">
        <f t="shared" si="38"/>
        <v>5.4910034858951845E-6</v>
      </c>
      <c r="AY31" s="8">
        <f t="shared" si="39"/>
        <v>27.337270043897306</v>
      </c>
      <c r="AZ31" s="7">
        <f t="shared" si="40"/>
        <v>1.3742298984355925E-2</v>
      </c>
      <c r="BA31" s="9">
        <f t="shared" si="41"/>
        <v>0.20176209954919375</v>
      </c>
      <c r="BB31" s="4">
        <f t="shared" si="96"/>
        <v>989.8021105554626</v>
      </c>
      <c r="BC31" s="6">
        <f t="shared" si="42"/>
        <v>5.4796042211109257E-6</v>
      </c>
      <c r="BD31" s="8">
        <f t="shared" si="43"/>
        <v>27.271724271387818</v>
      </c>
      <c r="BE31" s="7">
        <f t="shared" si="44"/>
        <v>1.3713770117952995E-2</v>
      </c>
      <c r="BF31" s="9">
        <f t="shared" si="45"/>
        <v>0.20224702131455358</v>
      </c>
      <c r="BG31" s="4">
        <f t="shared" si="97"/>
        <v>983.50252140008104</v>
      </c>
      <c r="BH31" s="6">
        <f t="shared" si="46"/>
        <v>5.4670050428001622E-6</v>
      </c>
      <c r="BI31" s="8">
        <f t="shared" si="47"/>
        <v>27.199278996100929</v>
      </c>
      <c r="BJ31" s="7">
        <f t="shared" si="48"/>
        <v>1.3682238235711712E-2</v>
      </c>
      <c r="BK31" s="9">
        <f t="shared" si="49"/>
        <v>0.2027857062237082</v>
      </c>
      <c r="BL31" s="4">
        <f t="shared" si="98"/>
        <v>976.6029754831186</v>
      </c>
      <c r="BM31" s="6">
        <f t="shared" si="50"/>
        <v>5.4532059509662379E-6</v>
      </c>
      <c r="BN31" s="8">
        <f t="shared" si="51"/>
        <v>27.119934218055864</v>
      </c>
      <c r="BO31" s="7">
        <f t="shared" si="52"/>
        <v>1.3647703337640442E-2</v>
      </c>
      <c r="BP31" s="9">
        <f t="shared" si="53"/>
        <v>0.20337899626348713</v>
      </c>
      <c r="BQ31" s="4">
        <f t="shared" si="99"/>
        <v>969.10347280553196</v>
      </c>
      <c r="BR31" s="6">
        <f t="shared" si="54"/>
        <v>5.4382069456110639E-6</v>
      </c>
      <c r="BS31" s="8">
        <f t="shared" si="55"/>
        <v>27.033689937263617</v>
      </c>
      <c r="BT31" s="7">
        <f t="shared" si="56"/>
        <v>1.3610165423743973E-2</v>
      </c>
      <c r="BU31" s="9">
        <f t="shared" si="57"/>
        <v>0.20402782649353335</v>
      </c>
      <c r="BV31" s="4">
        <f t="shared" si="100"/>
        <v>961.00401334626031</v>
      </c>
      <c r="BW31" s="6">
        <f t="shared" si="58"/>
        <v>5.4220080266925206E-6</v>
      </c>
      <c r="BX31" s="8">
        <f t="shared" si="59"/>
        <v>26.940546153481993</v>
      </c>
      <c r="BY31" s="7">
        <f t="shared" si="60"/>
        <v>1.3569624493916887E-2</v>
      </c>
      <c r="BZ31" s="9">
        <f t="shared" si="61"/>
        <v>0.20473322881344483</v>
      </c>
      <c r="CA31" s="4">
        <f t="shared" si="101"/>
        <v>952.30459535080774</v>
      </c>
      <c r="CB31" s="6">
        <f t="shared" si="62"/>
        <v>5.4046091907016164E-6</v>
      </c>
      <c r="CC31" s="8">
        <f t="shared" si="63"/>
        <v>26.840502846534289</v>
      </c>
      <c r="CD31" s="7">
        <f t="shared" si="64"/>
        <v>1.3526080539377254E-2</v>
      </c>
      <c r="CE31" s="9">
        <f t="shared" si="65"/>
        <v>0.20549633632188791</v>
      </c>
      <c r="CF31" s="4">
        <f t="shared" si="102"/>
        <v>943.00511500761627</v>
      </c>
      <c r="CG31" s="6">
        <f t="shared" si="66"/>
        <v>5.3860102300152329E-6</v>
      </c>
      <c r="CH31" s="8">
        <f t="shared" si="67"/>
        <v>26.733558822587586</v>
      </c>
      <c r="CI31" s="7">
        <f t="shared" si="68"/>
        <v>1.347953304050804E-2</v>
      </c>
      <c r="CJ31" s="9">
        <f t="shared" si="69"/>
        <v>0.20631839691091802</v>
      </c>
      <c r="CK31" s="4">
        <f t="shared" si="103"/>
        <v>933.1010812462406</v>
      </c>
      <c r="CL31" s="6">
        <f t="shared" si="70"/>
        <v>5.3662021624924814E-6</v>
      </c>
      <c r="CM31" s="8">
        <f t="shared" si="71"/>
        <v>26.619662434331765</v>
      </c>
      <c r="CN31" s="7">
        <f t="shared" si="72"/>
        <v>1.3429959517763211E-2</v>
      </c>
      <c r="CO31" s="9">
        <f t="shared" si="73"/>
        <v>0.20720116243421699</v>
      </c>
      <c r="CP31" s="4">
        <f t="shared" si="104"/>
        <v>922.45414959484185</v>
      </c>
      <c r="CQ31" s="6">
        <f t="shared" si="74"/>
        <v>5.3449082991896837E-6</v>
      </c>
      <c r="CR31" s="8">
        <f t="shared" si="75"/>
        <v>26.49722272034068</v>
      </c>
      <c r="CS31" s="7">
        <f t="shared" si="76"/>
        <v>1.3376667503509217E-2</v>
      </c>
      <c r="CT31" s="9">
        <f t="shared" si="77"/>
        <v>0.20815860810068643</v>
      </c>
      <c r="CU31" s="4">
        <f t="shared" si="105"/>
        <v>908.19575634503724</v>
      </c>
      <c r="CV31" s="6">
        <f t="shared" si="78"/>
        <v>5.3163915126900745E-6</v>
      </c>
      <c r="CW31" s="8">
        <f t="shared" si="79"/>
        <v>26.333251197967925</v>
      </c>
      <c r="CX31" s="7">
        <f t="shared" si="80"/>
        <v>1.3305298725988438E-2</v>
      </c>
      <c r="CY31" s="9">
        <f t="shared" si="81"/>
        <v>0.20945476722698136</v>
      </c>
      <c r="CZ31" s="5">
        <f t="shared" si="106"/>
        <v>854.83414008505599</v>
      </c>
      <c r="DA31" s="6">
        <f t="shared" si="82"/>
        <v>5.2096682801701126E-6</v>
      </c>
      <c r="DB31" s="8">
        <f t="shared" si="83"/>
        <v>25.719592610978143</v>
      </c>
      <c r="DC31" s="7">
        <f t="shared" si="84"/>
        <v>1.3038203180769139E-2</v>
      </c>
      <c r="DD31" s="9">
        <f t="shared" si="85"/>
        <v>0.2144522692651715</v>
      </c>
    </row>
    <row r="32" spans="2:108" x14ac:dyDescent="0.25">
      <c r="B32">
        <v>13</v>
      </c>
      <c r="C32">
        <f t="shared" si="86"/>
        <v>1.2708990662488269E-2</v>
      </c>
      <c r="D32" s="4">
        <f t="shared" si="3"/>
        <v>1019.7965923520793</v>
      </c>
      <c r="E32" s="6">
        <f t="shared" si="4"/>
        <v>5.5395931847041589E-6</v>
      </c>
      <c r="F32" s="8">
        <f t="shared" si="5"/>
        <v>27.616660812048913</v>
      </c>
      <c r="G32" s="7">
        <f t="shared" si="1"/>
        <v>1.3863904109959642E-2</v>
      </c>
      <c r="H32" s="9">
        <f t="shared" si="6"/>
        <v>0.19972092345044046</v>
      </c>
      <c r="I32" s="4">
        <f t="shared" si="87"/>
        <v>1019.48425743922</v>
      </c>
      <c r="J32" s="6">
        <f t="shared" si="7"/>
        <v>5.5389685148784398E-6</v>
      </c>
      <c r="K32" s="8">
        <f t="shared" si="8"/>
        <v>27.613068960551029</v>
      </c>
      <c r="L32" s="7">
        <f t="shared" si="9"/>
        <v>1.3862340752818531E-2</v>
      </c>
      <c r="M32" s="9">
        <f t="shared" si="10"/>
        <v>0.19974690273941698</v>
      </c>
      <c r="N32" s="4">
        <f t="shared" si="88"/>
        <v>1018.5837583706349</v>
      </c>
      <c r="O32" s="6">
        <f t="shared" si="11"/>
        <v>5.5371675167412703E-6</v>
      </c>
      <c r="P32" s="8">
        <f t="shared" si="12"/>
        <v>27.602713221262299</v>
      </c>
      <c r="Q32" s="7">
        <f t="shared" si="2"/>
        <v>1.3863904109959642E-2</v>
      </c>
      <c r="R32" s="9">
        <f t="shared" si="13"/>
        <v>0.19982184199745004</v>
      </c>
      <c r="S32" s="4">
        <f t="shared" si="89"/>
        <v>1017.0837363200366</v>
      </c>
      <c r="T32" s="6">
        <f t="shared" si="14"/>
        <v>5.5341674726400741E-6</v>
      </c>
      <c r="U32" s="8">
        <f t="shared" si="15"/>
        <v>27.585462967680421</v>
      </c>
      <c r="V32" s="7">
        <f t="shared" si="16"/>
        <v>1.385032521539525E-2</v>
      </c>
      <c r="W32" s="9">
        <f t="shared" si="17"/>
        <v>0.19994679829960427</v>
      </c>
      <c r="X32" s="4">
        <f t="shared" si="90"/>
        <v>1014.9839283365816</v>
      </c>
      <c r="Y32" s="6">
        <f t="shared" si="18"/>
        <v>5.529967856673164E-6</v>
      </c>
      <c r="Z32" s="8">
        <f t="shared" si="19"/>
        <v>27.561315175870689</v>
      </c>
      <c r="AA32" s="7">
        <f t="shared" si="20"/>
        <v>1.3839814863619841E-2</v>
      </c>
      <c r="AB32" s="9">
        <f t="shared" si="21"/>
        <v>0.20012198129169123</v>
      </c>
      <c r="AC32" s="4">
        <f t="shared" si="91"/>
        <v>1012.2840978481437</v>
      </c>
      <c r="AD32" s="6">
        <f t="shared" si="22"/>
        <v>5.5245681956962877E-6</v>
      </c>
      <c r="AE32" s="8">
        <f t="shared" si="23"/>
        <v>27.530267125253651</v>
      </c>
      <c r="AF32" s="7">
        <f t="shared" si="24"/>
        <v>1.3826301166943267E-2</v>
      </c>
      <c r="AG32" s="9">
        <f t="shared" si="25"/>
        <v>0.20034767461229933</v>
      </c>
      <c r="AH32" s="4">
        <f t="shared" si="92"/>
        <v>1008.984309037371</v>
      </c>
      <c r="AI32" s="6">
        <f t="shared" si="26"/>
        <v>5.517968618074742E-6</v>
      </c>
      <c r="AJ32" s="8">
        <f t="shared" si="27"/>
        <v>27.492319553929764</v>
      </c>
      <c r="AK32" s="7">
        <f t="shared" si="28"/>
        <v>1.3809784446624529E-2</v>
      </c>
      <c r="AL32" s="9">
        <f t="shared" si="29"/>
        <v>0.20062421394383922</v>
      </c>
      <c r="AM32" s="4">
        <f t="shared" si="93"/>
        <v>1005.0845667980012</v>
      </c>
      <c r="AN32" s="6">
        <f t="shared" si="30"/>
        <v>5.5101691335960028E-6</v>
      </c>
      <c r="AO32" s="8">
        <f t="shared" si="31"/>
        <v>27.447472518177015</v>
      </c>
      <c r="AP32" s="7">
        <f t="shared" si="32"/>
        <v>1.379026472715868E-2</v>
      </c>
      <c r="AQ32" s="9">
        <f t="shared" si="33"/>
        <v>0.20095201830869097</v>
      </c>
      <c r="AR32" s="4">
        <f t="shared" si="94"/>
        <v>1000.5848713743285</v>
      </c>
      <c r="AS32" s="6">
        <f t="shared" si="34"/>
        <v>5.5011697427486574E-6</v>
      </c>
      <c r="AT32" s="8">
        <f t="shared" si="35"/>
        <v>27.395726020804776</v>
      </c>
      <c r="AU32" s="7">
        <f t="shared" si="36"/>
        <v>1.3767742009768503E-2</v>
      </c>
      <c r="AV32" s="9">
        <f t="shared" si="37"/>
        <v>0.20133158711732413</v>
      </c>
      <c r="AW32" s="4">
        <f t="shared" si="95"/>
        <v>995.48522278169696</v>
      </c>
      <c r="AX32" s="6">
        <f t="shared" si="38"/>
        <v>5.4909704455633945E-6</v>
      </c>
      <c r="AY32" s="8">
        <f t="shared" si="39"/>
        <v>27.337080061989514</v>
      </c>
      <c r="AZ32" s="7">
        <f t="shared" si="40"/>
        <v>1.3742216294530801E-2</v>
      </c>
      <c r="BA32" s="9">
        <f t="shared" si="41"/>
        <v>0.20176350171608592</v>
      </c>
      <c r="BB32" s="4">
        <f t="shared" si="96"/>
        <v>989.78562102496107</v>
      </c>
      <c r="BC32" s="6">
        <f t="shared" si="42"/>
        <v>5.4795712420499229E-6</v>
      </c>
      <c r="BD32" s="8">
        <f t="shared" si="43"/>
        <v>27.271534641787049</v>
      </c>
      <c r="BE32" s="7">
        <f t="shared" si="44"/>
        <v>1.3713687581469876E-2</v>
      </c>
      <c r="BF32" s="9">
        <f t="shared" si="45"/>
        <v>0.20224842761685421</v>
      </c>
      <c r="BG32" s="4">
        <f t="shared" si="97"/>
        <v>983.48606610709362</v>
      </c>
      <c r="BH32" s="6">
        <f t="shared" si="46"/>
        <v>5.4669721322141872E-6</v>
      </c>
      <c r="BI32" s="8">
        <f t="shared" si="47"/>
        <v>27.199089760231576</v>
      </c>
      <c r="BJ32" s="7">
        <f t="shared" si="48"/>
        <v>1.3682155870600603E-2</v>
      </c>
      <c r="BK32" s="9">
        <f t="shared" si="49"/>
        <v>0.20278711709185665</v>
      </c>
      <c r="BL32" s="4">
        <f t="shared" si="98"/>
        <v>976.58655803006832</v>
      </c>
      <c r="BM32" s="6">
        <f t="shared" si="50"/>
        <v>5.4531731160601368E-6</v>
      </c>
      <c r="BN32" s="8">
        <f t="shared" si="51"/>
        <v>27.119745417345783</v>
      </c>
      <c r="BO32" s="7">
        <f t="shared" si="52"/>
        <v>1.3647621161932865E-2</v>
      </c>
      <c r="BP32" s="9">
        <f t="shared" si="53"/>
        <v>0.20338041213588265</v>
      </c>
      <c r="BQ32" s="4">
        <f t="shared" si="99"/>
        <v>969.08709679474805</v>
      </c>
      <c r="BR32" s="6">
        <f t="shared" si="54"/>
        <v>5.4381741935894974E-6</v>
      </c>
      <c r="BS32" s="8">
        <f t="shared" si="55"/>
        <v>27.033501613139602</v>
      </c>
      <c r="BT32" s="7">
        <f t="shared" si="56"/>
        <v>1.3610083455470984E-2</v>
      </c>
      <c r="BU32" s="9">
        <f t="shared" si="57"/>
        <v>0.20402924781742432</v>
      </c>
      <c r="BV32" s="4">
        <f t="shared" si="100"/>
        <v>960.98768235608031</v>
      </c>
      <c r="BW32" s="6">
        <f t="shared" si="58"/>
        <v>5.4219753647121615E-6</v>
      </c>
      <c r="BX32" s="8">
        <f t="shared" si="59"/>
        <v>26.940358347094921</v>
      </c>
      <c r="BY32" s="7">
        <f t="shared" si="60"/>
        <v>1.3569542750989448E-2</v>
      </c>
      <c r="BZ32" s="9">
        <f t="shared" si="61"/>
        <v>0.20473465604791297</v>
      </c>
      <c r="CA32" s="4">
        <f t="shared" si="101"/>
        <v>952.28831155177761</v>
      </c>
      <c r="CB32" s="6">
        <f t="shared" si="62"/>
        <v>5.404576623103556E-6</v>
      </c>
      <c r="CC32" s="8">
        <f t="shared" si="63"/>
        <v>26.840315582845442</v>
      </c>
      <c r="CD32" s="7">
        <f t="shared" si="64"/>
        <v>1.3525999032659787E-2</v>
      </c>
      <c r="CE32" s="9">
        <f t="shared" si="65"/>
        <v>0.2054977700606927</v>
      </c>
      <c r="CF32" s="4">
        <f t="shared" si="102"/>
        <v>942.98882073387915</v>
      </c>
      <c r="CG32" s="6">
        <f t="shared" si="66"/>
        <v>5.385977641467759E-6</v>
      </c>
      <c r="CH32" s="8">
        <f t="shared" si="67"/>
        <v>26.733371438439612</v>
      </c>
      <c r="CI32" s="7">
        <f t="shared" si="68"/>
        <v>1.3479451481360606E-2</v>
      </c>
      <c r="CJ32" s="9">
        <f t="shared" si="69"/>
        <v>0.20631984307333362</v>
      </c>
      <c r="CK32" s="4">
        <f t="shared" si="103"/>
        <v>933.08291986837708</v>
      </c>
      <c r="CL32" s="6">
        <f t="shared" si="70"/>
        <v>5.3661658397367542E-6</v>
      </c>
      <c r="CM32" s="8">
        <f t="shared" si="71"/>
        <v>26.619453578486336</v>
      </c>
      <c r="CN32" s="7">
        <f t="shared" si="72"/>
        <v>1.3429868613036883E-2</v>
      </c>
      <c r="CO32" s="9">
        <f t="shared" si="73"/>
        <v>0.2072027881315224</v>
      </c>
      <c r="CP32" s="4">
        <f t="shared" si="104"/>
        <v>922.39635716115231</v>
      </c>
      <c r="CQ32" s="6">
        <f t="shared" si="74"/>
        <v>5.344792714322305E-6</v>
      </c>
      <c r="CR32" s="8">
        <f t="shared" si="75"/>
        <v>26.496558107353252</v>
      </c>
      <c r="CS32" s="7">
        <f t="shared" si="76"/>
        <v>1.3376378230007631E-2</v>
      </c>
      <c r="CT32" s="9">
        <f t="shared" si="77"/>
        <v>0.20816382934164263</v>
      </c>
      <c r="CU32" s="4">
        <f t="shared" si="105"/>
        <v>907.64889392764292</v>
      </c>
      <c r="CV32" s="6">
        <f t="shared" si="78"/>
        <v>5.3152977878552859E-6</v>
      </c>
      <c r="CW32" s="8">
        <f t="shared" si="79"/>
        <v>26.326962280167891</v>
      </c>
      <c r="CX32" s="7">
        <f t="shared" si="80"/>
        <v>1.3302561467903483E-2</v>
      </c>
      <c r="CY32" s="9">
        <f t="shared" si="81"/>
        <v>0.20950480124913318</v>
      </c>
      <c r="CZ32" s="5">
        <f t="shared" si="106"/>
        <v>851.74405444179808</v>
      </c>
      <c r="DA32" s="6">
        <f t="shared" si="82"/>
        <v>5.2034881088835975E-6</v>
      </c>
      <c r="DB32" s="8">
        <f t="shared" si="83"/>
        <v>25.684056626080675</v>
      </c>
      <c r="DC32" s="7">
        <f t="shared" si="84"/>
        <v>1.3022736105978167E-2</v>
      </c>
      <c r="DD32" s="9">
        <f t="shared" si="85"/>
        <v>0.21474898145175406</v>
      </c>
    </row>
    <row r="33" spans="2:108" x14ac:dyDescent="0.25">
      <c r="B33">
        <v>14</v>
      </c>
      <c r="C33">
        <f t="shared" si="86"/>
        <v>1.368660532883352E-2</v>
      </c>
      <c r="D33" s="4">
        <f t="shared" si="3"/>
        <v>1019.78064610924</v>
      </c>
      <c r="E33" s="6">
        <f t="shared" si="4"/>
        <v>5.5395612922184804E-6</v>
      </c>
      <c r="F33" s="8">
        <f t="shared" si="5"/>
        <v>27.616477430256261</v>
      </c>
      <c r="G33" s="7">
        <f t="shared" si="1"/>
        <v>1.3863824292841574E-2</v>
      </c>
      <c r="H33" s="9">
        <f t="shared" si="6"/>
        <v>0.19972224965799409</v>
      </c>
      <c r="I33" s="4">
        <f t="shared" si="87"/>
        <v>1019.467695976102</v>
      </c>
      <c r="J33" s="6">
        <f t="shared" si="7"/>
        <v>5.5389353919522046E-6</v>
      </c>
      <c r="K33" s="8">
        <f t="shared" si="8"/>
        <v>27.61287850372517</v>
      </c>
      <c r="L33" s="7">
        <f t="shared" si="9"/>
        <v>1.3862257856284824E-2</v>
      </c>
      <c r="M33" s="9">
        <f t="shared" si="10"/>
        <v>0.19974828047195092</v>
      </c>
      <c r="N33" s="4">
        <f t="shared" si="88"/>
        <v>1018.5671284677816</v>
      </c>
      <c r="O33" s="6">
        <f t="shared" si="11"/>
        <v>5.5371342569355636E-6</v>
      </c>
      <c r="P33" s="8">
        <f t="shared" si="12"/>
        <v>27.602521977379489</v>
      </c>
      <c r="Q33" s="7">
        <f t="shared" si="2"/>
        <v>1.3863824292841574E-2</v>
      </c>
      <c r="R33" s="9">
        <f t="shared" si="13"/>
        <v>0.1998232264617017</v>
      </c>
      <c r="S33" s="4">
        <f t="shared" si="89"/>
        <v>1017.0671030914041</v>
      </c>
      <c r="T33" s="6">
        <f t="shared" si="14"/>
        <v>5.5341342061828082E-6</v>
      </c>
      <c r="U33" s="8">
        <f t="shared" si="15"/>
        <v>27.585271685551145</v>
      </c>
      <c r="V33" s="7">
        <f t="shared" si="16"/>
        <v>1.3850241959647357E-2</v>
      </c>
      <c r="W33" s="9">
        <f t="shared" si="17"/>
        <v>0.19994818477314552</v>
      </c>
      <c r="X33" s="4">
        <f t="shared" si="90"/>
        <v>1014.9673083604371</v>
      </c>
      <c r="Y33" s="6">
        <f t="shared" si="18"/>
        <v>5.5299346167208746E-6</v>
      </c>
      <c r="Z33" s="8">
        <f t="shared" si="19"/>
        <v>27.561124046145025</v>
      </c>
      <c r="AA33" s="7">
        <f t="shared" si="20"/>
        <v>1.3839731674205782E-2</v>
      </c>
      <c r="AB33" s="9">
        <f t="shared" si="21"/>
        <v>0.20012336908920342</v>
      </c>
      <c r="AC33" s="4">
        <f t="shared" si="91"/>
        <v>1012.267491273822</v>
      </c>
      <c r="AD33" s="6">
        <f t="shared" si="22"/>
        <v>5.5245349825476443E-6</v>
      </c>
      <c r="AE33" s="8">
        <f t="shared" si="23"/>
        <v>27.530076149648952</v>
      </c>
      <c r="AF33" s="7">
        <f t="shared" si="24"/>
        <v>1.382621804461052E-2</v>
      </c>
      <c r="AG33" s="9">
        <f t="shared" si="25"/>
        <v>0.20034906442023526</v>
      </c>
      <c r="AH33" s="4">
        <f t="shared" si="92"/>
        <v>1008.9677187599407</v>
      </c>
      <c r="AI33" s="6">
        <f t="shared" si="26"/>
        <v>5.5179354375198816E-6</v>
      </c>
      <c r="AJ33" s="8">
        <f t="shared" si="27"/>
        <v>27.492128765739317</v>
      </c>
      <c r="AK33" s="7">
        <f t="shared" si="28"/>
        <v>1.3809701405864032E-2</v>
      </c>
      <c r="AL33" s="9">
        <f t="shared" si="29"/>
        <v>0.20062560622346459</v>
      </c>
      <c r="AM33" s="4">
        <f t="shared" si="93"/>
        <v>1005.0679963575183</v>
      </c>
      <c r="AN33" s="6">
        <f t="shared" si="30"/>
        <v>5.5101359927150374E-6</v>
      </c>
      <c r="AO33" s="8">
        <f t="shared" si="31"/>
        <v>27.447281958111461</v>
      </c>
      <c r="AP33" s="7">
        <f t="shared" si="32"/>
        <v>1.3790181785689784E-2</v>
      </c>
      <c r="AQ33" s="9">
        <f t="shared" si="33"/>
        <v>0.20095341347160148</v>
      </c>
      <c r="AR33" s="4">
        <f t="shared" si="94"/>
        <v>1000.5683243673776</v>
      </c>
      <c r="AS33" s="6">
        <f t="shared" si="34"/>
        <v>5.5011366487347559E-6</v>
      </c>
      <c r="AT33" s="8">
        <f t="shared" si="35"/>
        <v>27.395535730224843</v>
      </c>
      <c r="AU33" s="7">
        <f t="shared" si="36"/>
        <v>1.3767659185593506E-2</v>
      </c>
      <c r="AV33" s="9">
        <f t="shared" si="37"/>
        <v>0.20133298557526444</v>
      </c>
      <c r="AW33" s="4">
        <f t="shared" si="95"/>
        <v>995.46870280888015</v>
      </c>
      <c r="AX33" s="6">
        <f t="shared" si="38"/>
        <v>5.4909374056177609E-6</v>
      </c>
      <c r="AY33" s="8">
        <f t="shared" si="39"/>
        <v>27.336890082302119</v>
      </c>
      <c r="AZ33" s="7">
        <f t="shared" si="40"/>
        <v>1.374213360567211E-2</v>
      </c>
      <c r="BA33" s="9">
        <f t="shared" si="41"/>
        <v>0.20176490388607923</v>
      </c>
      <c r="BB33" s="4">
        <f t="shared" si="96"/>
        <v>989.76913168775479</v>
      </c>
      <c r="BC33" s="6">
        <f t="shared" si="42"/>
        <v>5.4795382633755102E-6</v>
      </c>
      <c r="BD33" s="8">
        <f t="shared" si="43"/>
        <v>27.271345014409178</v>
      </c>
      <c r="BE33" s="7">
        <f t="shared" si="44"/>
        <v>1.3713605045954272E-2</v>
      </c>
      <c r="BF33" s="9">
        <f t="shared" si="45"/>
        <v>0.20224983392222665</v>
      </c>
      <c r="BG33" s="4">
        <f t="shared" si="97"/>
        <v>983.46961100747342</v>
      </c>
      <c r="BH33" s="6">
        <f t="shared" si="46"/>
        <v>5.4669392220149471E-6</v>
      </c>
      <c r="BI33" s="8">
        <f t="shared" si="47"/>
        <v>27.198900526585945</v>
      </c>
      <c r="BJ33" s="7">
        <f t="shared" si="48"/>
        <v>1.3682073506457372E-2</v>
      </c>
      <c r="BK33" s="9">
        <f t="shared" si="49"/>
        <v>0.20278852796305774</v>
      </c>
      <c r="BL33" s="4">
        <f t="shared" si="98"/>
        <v>976.57014077033318</v>
      </c>
      <c r="BM33" s="6">
        <f t="shared" si="50"/>
        <v>5.4531402815406665E-6</v>
      </c>
      <c r="BN33" s="8">
        <f t="shared" si="51"/>
        <v>27.11955661885883</v>
      </c>
      <c r="BO33" s="7">
        <f t="shared" si="52"/>
        <v>1.3647538987192906E-2</v>
      </c>
      <c r="BP33" s="9">
        <f t="shared" si="53"/>
        <v>0.20338182801131993</v>
      </c>
      <c r="BQ33" s="4">
        <f t="shared" si="99"/>
        <v>969.07072097678724</v>
      </c>
      <c r="BR33" s="6">
        <f t="shared" si="54"/>
        <v>5.4381414419535748E-6</v>
      </c>
      <c r="BS33" s="8">
        <f t="shared" si="55"/>
        <v>27.03331329123305</v>
      </c>
      <c r="BT33" s="7">
        <f t="shared" si="56"/>
        <v>1.3610001488163145E-2</v>
      </c>
      <c r="BU33" s="9">
        <f t="shared" si="57"/>
        <v>0.2040306691443822</v>
      </c>
      <c r="BV33" s="4">
        <f t="shared" si="100"/>
        <v>960.971351538617</v>
      </c>
      <c r="BW33" s="6">
        <f t="shared" si="58"/>
        <v>5.4219427030772343E-6</v>
      </c>
      <c r="BX33" s="8">
        <f t="shared" si="59"/>
        <v>26.940170542694094</v>
      </c>
      <c r="BY33" s="7">
        <f t="shared" si="60"/>
        <v>1.3569461008926517E-2</v>
      </c>
      <c r="BZ33" s="9">
        <f t="shared" si="61"/>
        <v>0.20473608328718551</v>
      </c>
      <c r="CA33" s="4">
        <f t="shared" si="101"/>
        <v>952.27202708495281</v>
      </c>
      <c r="CB33" s="6">
        <f t="shared" si="62"/>
        <v>5.4045440541699059E-6</v>
      </c>
      <c r="CC33" s="8">
        <f t="shared" si="63"/>
        <v>26.840128311476956</v>
      </c>
      <c r="CD33" s="7">
        <f t="shared" si="64"/>
        <v>1.3525917522599743E-2</v>
      </c>
      <c r="CE33" s="9">
        <f t="shared" si="65"/>
        <v>0.20549920387830242</v>
      </c>
      <c r="CF33" s="4">
        <f t="shared" si="102"/>
        <v>942.97250065209357</v>
      </c>
      <c r="CG33" s="6">
        <f t="shared" si="66"/>
        <v>5.3859450013041878E-6</v>
      </c>
      <c r="CH33" s="8">
        <f t="shared" si="67"/>
        <v>26.733183757499077</v>
      </c>
      <c r="CI33" s="7">
        <f t="shared" si="68"/>
        <v>1.3479369793033902E-2</v>
      </c>
      <c r="CJ33" s="9">
        <f t="shared" si="69"/>
        <v>0.20632129154660753</v>
      </c>
      <c r="CK33" s="4">
        <f t="shared" si="103"/>
        <v>933.06423311427488</v>
      </c>
      <c r="CL33" s="6">
        <f t="shared" si="70"/>
        <v>5.3661284662285497E-6</v>
      </c>
      <c r="CM33" s="8">
        <f t="shared" si="71"/>
        <v>26.61923868081416</v>
      </c>
      <c r="CN33" s="7">
        <f t="shared" si="72"/>
        <v>1.3429775078599115E-2</v>
      </c>
      <c r="CO33" s="9">
        <f t="shared" si="73"/>
        <v>0.20720446088397682</v>
      </c>
      <c r="CP33" s="4">
        <f t="shared" si="104"/>
        <v>922.33233203469752</v>
      </c>
      <c r="CQ33" s="6">
        <f t="shared" si="74"/>
        <v>5.3446646640693953E-6</v>
      </c>
      <c r="CR33" s="8">
        <f t="shared" si="75"/>
        <v>26.495821818399023</v>
      </c>
      <c r="CS33" s="7">
        <f t="shared" si="76"/>
        <v>1.3376057759466131E-2</v>
      </c>
      <c r="CT33" s="9">
        <f t="shared" si="77"/>
        <v>0.20816961397928344</v>
      </c>
      <c r="CU33" s="4">
        <f t="shared" si="105"/>
        <v>907.07350076771593</v>
      </c>
      <c r="CV33" s="6">
        <f t="shared" si="78"/>
        <v>5.3141470015354326E-6</v>
      </c>
      <c r="CW33" s="8">
        <f t="shared" si="79"/>
        <v>26.320345258828731</v>
      </c>
      <c r="CX33" s="7">
        <f t="shared" si="80"/>
        <v>1.3299681402408142E-2</v>
      </c>
      <c r="CY33" s="9">
        <f t="shared" si="81"/>
        <v>0.20955747144501738</v>
      </c>
      <c r="CZ33" s="5">
        <f t="shared" si="106"/>
        <v>848.73794622676155</v>
      </c>
      <c r="DA33" s="6">
        <f t="shared" si="82"/>
        <v>5.1974758924535235E-6</v>
      </c>
      <c r="DB33" s="8">
        <f t="shared" si="83"/>
        <v>25.649486381607758</v>
      </c>
      <c r="DC33" s="7">
        <f t="shared" si="84"/>
        <v>1.3007689370722404E-2</v>
      </c>
      <c r="DD33" s="9">
        <f t="shared" si="85"/>
        <v>0.21503841901314011</v>
      </c>
    </row>
    <row r="34" spans="2:108" x14ac:dyDescent="0.25">
      <c r="B34">
        <v>15</v>
      </c>
      <c r="C34">
        <f t="shared" si="86"/>
        <v>1.4664219995178772E-2</v>
      </c>
      <c r="D34" s="4">
        <f t="shared" si="3"/>
        <v>1019.7646684563612</v>
      </c>
      <c r="E34" s="6">
        <f t="shared" si="4"/>
        <v>5.5395293369127227E-6</v>
      </c>
      <c r="F34" s="8">
        <f t="shared" si="5"/>
        <v>27.616293687248152</v>
      </c>
      <c r="G34" s="7">
        <f t="shared" si="1"/>
        <v>1.3863744318504099E-2</v>
      </c>
      <c r="H34" s="9">
        <f t="shared" si="6"/>
        <v>0.19972357849550407</v>
      </c>
      <c r="I34" s="4">
        <f t="shared" si="87"/>
        <v>1019.4511374499018</v>
      </c>
      <c r="J34" s="6">
        <f t="shared" si="7"/>
        <v>5.538902274899804E-6</v>
      </c>
      <c r="K34" s="8">
        <f t="shared" si="8"/>
        <v>27.61268808067387</v>
      </c>
      <c r="L34" s="7">
        <f t="shared" si="9"/>
        <v>1.3862174974451523E-2</v>
      </c>
      <c r="M34" s="9">
        <f t="shared" si="10"/>
        <v>0.19974965797916602</v>
      </c>
      <c r="N34" s="4">
        <f t="shared" si="88"/>
        <v>1018.5504993182723</v>
      </c>
      <c r="O34" s="6">
        <f t="shared" si="11"/>
        <v>5.5371009986365447E-6</v>
      </c>
      <c r="P34" s="8">
        <f t="shared" si="12"/>
        <v>27.602330742160131</v>
      </c>
      <c r="Q34" s="7">
        <f t="shared" si="2"/>
        <v>1.3863744318504099E-2</v>
      </c>
      <c r="R34" s="9">
        <f t="shared" si="13"/>
        <v>0.19982461088241973</v>
      </c>
      <c r="S34" s="4">
        <f t="shared" si="89"/>
        <v>1017.0504702114952</v>
      </c>
      <c r="T34" s="6">
        <f t="shared" si="14"/>
        <v>5.534100940422991E-6</v>
      </c>
      <c r="U34" s="8">
        <f t="shared" si="15"/>
        <v>27.585080407432194</v>
      </c>
      <c r="V34" s="7">
        <f t="shared" si="16"/>
        <v>1.3850158705644964E-2</v>
      </c>
      <c r="W34" s="9">
        <f t="shared" si="17"/>
        <v>0.19994957123684642</v>
      </c>
      <c r="X34" s="4">
        <f t="shared" si="90"/>
        <v>1014.9506885324096</v>
      </c>
      <c r="Y34" s="6">
        <f t="shared" si="18"/>
        <v>5.5299013770648196E-6</v>
      </c>
      <c r="Z34" s="8">
        <f t="shared" si="19"/>
        <v>27.56093291812271</v>
      </c>
      <c r="AA34" s="7">
        <f t="shared" si="20"/>
        <v>1.3839648485533106E-2</v>
      </c>
      <c r="AB34" s="9">
        <f t="shared" si="21"/>
        <v>0.20012475689359546</v>
      </c>
      <c r="AC34" s="4">
        <f t="shared" si="91"/>
        <v>1012.2508848804888</v>
      </c>
      <c r="AD34" s="6">
        <f t="shared" si="22"/>
        <v>5.524501769760978E-6</v>
      </c>
      <c r="AE34" s="8">
        <f t="shared" si="23"/>
        <v>27.529885176125621</v>
      </c>
      <c r="AF34" s="7">
        <f t="shared" si="24"/>
        <v>1.3826134923183691E-2</v>
      </c>
      <c r="AG34" s="9">
        <f t="shared" si="25"/>
        <v>0.20035045423230616</v>
      </c>
      <c r="AH34" s="4">
        <f t="shared" si="92"/>
        <v>1008.9511286728269</v>
      </c>
      <c r="AI34" s="6">
        <f t="shared" si="26"/>
        <v>5.517902257345654E-6</v>
      </c>
      <c r="AJ34" s="8">
        <f t="shared" si="27"/>
        <v>27.491937979737507</v>
      </c>
      <c r="AK34" s="7">
        <f t="shared" si="28"/>
        <v>1.3809618366056143E-2</v>
      </c>
      <c r="AL34" s="9">
        <f t="shared" si="29"/>
        <v>0.20062699850644225</v>
      </c>
      <c r="AM34" s="4">
        <f t="shared" si="93"/>
        <v>1005.0514261090253</v>
      </c>
      <c r="AN34" s="6">
        <f t="shared" si="30"/>
        <v>5.5101028522180514E-6</v>
      </c>
      <c r="AO34" s="8">
        <f t="shared" si="31"/>
        <v>27.44709140025379</v>
      </c>
      <c r="AP34" s="7">
        <f t="shared" si="32"/>
        <v>1.3790098845181871E-2</v>
      </c>
      <c r="AQ34" s="9">
        <f t="shared" si="33"/>
        <v>0.20095480863771961</v>
      </c>
      <c r="AR34" s="4">
        <f t="shared" si="94"/>
        <v>1000.5517775530978</v>
      </c>
      <c r="AS34" s="6">
        <f t="shared" si="34"/>
        <v>5.5011035551061959E-6</v>
      </c>
      <c r="AT34" s="8">
        <f t="shared" si="35"/>
        <v>27.395345441860627</v>
      </c>
      <c r="AU34" s="7">
        <f t="shared" si="36"/>
        <v>1.37675763623829E-2</v>
      </c>
      <c r="AV34" s="9">
        <f t="shared" si="37"/>
        <v>0.20133438403634862</v>
      </c>
      <c r="AW34" s="4">
        <f t="shared" si="95"/>
        <v>995.45218302913702</v>
      </c>
      <c r="AX34" s="6">
        <f t="shared" si="38"/>
        <v>5.4909043660582744E-6</v>
      </c>
      <c r="AY34" s="8">
        <f t="shared" si="39"/>
        <v>27.336700104835074</v>
      </c>
      <c r="AZ34" s="7">
        <f t="shared" si="40"/>
        <v>1.3742050917779827E-2</v>
      </c>
      <c r="BA34" s="9">
        <f t="shared" si="41"/>
        <v>0.20176630605917373</v>
      </c>
      <c r="BB34" s="4">
        <f t="shared" si="96"/>
        <v>989.75264254383967</v>
      </c>
      <c r="BC34" s="6">
        <f t="shared" si="42"/>
        <v>5.47950528508768E-6</v>
      </c>
      <c r="BD34" s="8">
        <f t="shared" si="43"/>
        <v>27.271155389254154</v>
      </c>
      <c r="BE34" s="7">
        <f t="shared" si="44"/>
        <v>1.3713522511406168E-2</v>
      </c>
      <c r="BF34" s="9">
        <f t="shared" si="45"/>
        <v>0.20225124023067101</v>
      </c>
      <c r="BG34" s="4">
        <f t="shared" si="97"/>
        <v>983.45315610121634</v>
      </c>
      <c r="BH34" s="6">
        <f t="shared" si="46"/>
        <v>5.4669063122024334E-6</v>
      </c>
      <c r="BI34" s="8">
        <f t="shared" si="47"/>
        <v>27.198711295163989</v>
      </c>
      <c r="BJ34" s="7">
        <f t="shared" si="48"/>
        <v>1.3681991143281998E-2</v>
      </c>
      <c r="BK34" s="9">
        <f t="shared" si="49"/>
        <v>0.20278993883731156</v>
      </c>
      <c r="BL34" s="4">
        <f t="shared" si="98"/>
        <v>976.55372370390467</v>
      </c>
      <c r="BM34" s="6">
        <f t="shared" si="50"/>
        <v>5.4531074474078099E-6</v>
      </c>
      <c r="BN34" s="8">
        <f t="shared" si="51"/>
        <v>27.119367822594903</v>
      </c>
      <c r="BO34" s="7">
        <f t="shared" si="52"/>
        <v>1.3647456813420522E-2</v>
      </c>
      <c r="BP34" s="9">
        <f t="shared" si="53"/>
        <v>0.2033832438897995</v>
      </c>
      <c r="BQ34" s="4">
        <f t="shared" si="99"/>
        <v>969.05434535136885</v>
      </c>
      <c r="BR34" s="6">
        <f t="shared" si="54"/>
        <v>5.438108690702738E-6</v>
      </c>
      <c r="BS34" s="8">
        <f t="shared" si="55"/>
        <v>27.03312497154074</v>
      </c>
      <c r="BT34" s="7">
        <f t="shared" si="56"/>
        <v>1.3609919521819058E-2</v>
      </c>
      <c r="BU34" s="9">
        <f t="shared" si="57"/>
        <v>0.20403209047443099</v>
      </c>
      <c r="BV34" s="4">
        <f t="shared" si="100"/>
        <v>960.95502088228443</v>
      </c>
      <c r="BW34" s="6">
        <f t="shared" si="58"/>
        <v>5.4219100417645692E-6</v>
      </c>
      <c r="BX34" s="8">
        <f t="shared" si="59"/>
        <v>26.93998274014627</v>
      </c>
      <c r="BY34" s="7">
        <f t="shared" si="60"/>
        <v>1.3569379267670111E-2</v>
      </c>
      <c r="BZ34" s="9">
        <f t="shared" si="61"/>
        <v>0.20473751053227487</v>
      </c>
      <c r="CA34" s="4">
        <f t="shared" si="101"/>
        <v>952.25574160885787</v>
      </c>
      <c r="CB34" s="6">
        <f t="shared" si="62"/>
        <v>5.4045114832177162E-6</v>
      </c>
      <c r="CC34" s="8">
        <f t="shared" si="63"/>
        <v>26.839941028501865</v>
      </c>
      <c r="CD34" s="7">
        <f t="shared" si="64"/>
        <v>1.3525836007487916E-2</v>
      </c>
      <c r="CE34" s="9">
        <f t="shared" si="65"/>
        <v>0.20550063780478683</v>
      </c>
      <c r="CF34" s="4">
        <f t="shared" si="102"/>
        <v>942.95614812375834</v>
      </c>
      <c r="CG34" s="6">
        <f t="shared" si="66"/>
        <v>5.3859122962475175E-6</v>
      </c>
      <c r="CH34" s="8">
        <f t="shared" si="67"/>
        <v>26.732995703423221</v>
      </c>
      <c r="CI34" s="7">
        <f t="shared" si="68"/>
        <v>1.3479287942299656E-2</v>
      </c>
      <c r="CJ34" s="9">
        <f t="shared" si="69"/>
        <v>0.20632274292004288</v>
      </c>
      <c r="CK34" s="4">
        <f t="shared" si="103"/>
        <v>933.04494833307797</v>
      </c>
      <c r="CL34" s="6">
        <f t="shared" si="70"/>
        <v>5.3660898966661566E-6</v>
      </c>
      <c r="CM34" s="8">
        <f t="shared" si="71"/>
        <v>26.619016905830396</v>
      </c>
      <c r="CN34" s="7">
        <f t="shared" si="72"/>
        <v>1.3429678550804246E-2</v>
      </c>
      <c r="CO34" s="9">
        <f t="shared" si="73"/>
        <v>0.20720618719739067</v>
      </c>
      <c r="CP34" s="4">
        <f t="shared" si="104"/>
        <v>922.26184106243886</v>
      </c>
      <c r="CQ34" s="6">
        <f t="shared" si="74"/>
        <v>5.3445236821248785E-6</v>
      </c>
      <c r="CR34" s="8">
        <f t="shared" si="75"/>
        <v>26.495011172218046</v>
      </c>
      <c r="CS34" s="7">
        <f t="shared" si="76"/>
        <v>1.3375704924863507E-2</v>
      </c>
      <c r="CT34" s="9">
        <f t="shared" si="77"/>
        <v>0.20817598317465649</v>
      </c>
      <c r="CU34" s="4">
        <f t="shared" si="105"/>
        <v>906.47141457573923</v>
      </c>
      <c r="CV34" s="6">
        <f t="shared" si="78"/>
        <v>5.312942829151479E-6</v>
      </c>
      <c r="CW34" s="8">
        <f t="shared" si="79"/>
        <v>26.313421267621003</v>
      </c>
      <c r="CX34" s="7">
        <f t="shared" si="80"/>
        <v>1.3296667727954736E-2</v>
      </c>
      <c r="CY34" s="9">
        <f t="shared" si="81"/>
        <v>0.20961261342275725</v>
      </c>
      <c r="CZ34" s="5">
        <f t="shared" si="106"/>
        <v>845.81231599380885</v>
      </c>
      <c r="DA34" s="6">
        <f t="shared" si="82"/>
        <v>5.191624631987618E-6</v>
      </c>
      <c r="DB34" s="8">
        <f t="shared" si="83"/>
        <v>25.615841633928802</v>
      </c>
      <c r="DC34" s="7">
        <f t="shared" si="84"/>
        <v>1.2993045458919331E-2</v>
      </c>
      <c r="DD34" s="9">
        <f t="shared" si="85"/>
        <v>0.21532085803866077</v>
      </c>
    </row>
    <row r="35" spans="2:108" x14ac:dyDescent="0.25">
      <c r="B35">
        <v>16</v>
      </c>
      <c r="C35">
        <f t="shared" si="86"/>
        <v>1.5641834661524023E-2</v>
      </c>
      <c r="D35" s="4">
        <f t="shared" si="3"/>
        <v>1019.7486611470249</v>
      </c>
      <c r="E35" s="6">
        <f t="shared" si="4"/>
        <v>5.5394973222940503E-6</v>
      </c>
      <c r="F35" s="8">
        <f t="shared" si="5"/>
        <v>27.616109603190786</v>
      </c>
      <c r="G35" s="7">
        <f t="shared" si="1"/>
        <v>1.3863664195724575E-2</v>
      </c>
      <c r="H35" s="9">
        <f t="shared" si="6"/>
        <v>0.19972490981722932</v>
      </c>
      <c r="I35" s="4">
        <f t="shared" si="87"/>
        <v>1019.4345815772679</v>
      </c>
      <c r="J35" s="6">
        <f t="shared" si="7"/>
        <v>5.5388691631545357E-6</v>
      </c>
      <c r="K35" s="8">
        <f t="shared" si="8"/>
        <v>27.612497688138582</v>
      </c>
      <c r="L35" s="7">
        <f t="shared" si="9"/>
        <v>1.3862092105900347E-2</v>
      </c>
      <c r="M35" s="9">
        <f t="shared" si="10"/>
        <v>0.19975103528462515</v>
      </c>
      <c r="N35" s="4">
        <f t="shared" si="88"/>
        <v>1018.5338709377737</v>
      </c>
      <c r="O35" s="6">
        <f t="shared" si="11"/>
        <v>5.537067741875548E-6</v>
      </c>
      <c r="P35" s="8">
        <f t="shared" si="12"/>
        <v>27.602139515784398</v>
      </c>
      <c r="Q35" s="7">
        <f t="shared" si="2"/>
        <v>1.3863664195724575E-2</v>
      </c>
      <c r="R35" s="9">
        <f t="shared" si="13"/>
        <v>0.19982599525829753</v>
      </c>
      <c r="S35" s="4">
        <f t="shared" si="89"/>
        <v>1017.033837681915</v>
      </c>
      <c r="T35" s="6">
        <f t="shared" si="14"/>
        <v>5.5340676753638301E-6</v>
      </c>
      <c r="U35" s="8">
        <f t="shared" si="15"/>
        <v>27.584889133342021</v>
      </c>
      <c r="V35" s="7">
        <f t="shared" si="16"/>
        <v>1.38500754533961E-2</v>
      </c>
      <c r="W35" s="9">
        <f t="shared" si="17"/>
        <v>0.19995095769057236</v>
      </c>
      <c r="X35" s="4">
        <f t="shared" si="90"/>
        <v>1014.9340688554397</v>
      </c>
      <c r="Y35" s="6">
        <f t="shared" si="18"/>
        <v>5.5298681377108802E-6</v>
      </c>
      <c r="Z35" s="8">
        <f t="shared" si="19"/>
        <v>27.560741791837557</v>
      </c>
      <c r="AA35" s="7">
        <f t="shared" si="20"/>
        <v>1.3839565297616534E-2</v>
      </c>
      <c r="AB35" s="9">
        <f t="shared" si="21"/>
        <v>0.20012614470462178</v>
      </c>
      <c r="AC35" s="4">
        <f t="shared" si="91"/>
        <v>1012.2342786678748</v>
      </c>
      <c r="AD35" s="6">
        <f t="shared" si="22"/>
        <v>5.5244685573357499E-6</v>
      </c>
      <c r="AE35" s="8">
        <f t="shared" si="23"/>
        <v>27.52969420468056</v>
      </c>
      <c r="AF35" s="7">
        <f t="shared" si="24"/>
        <v>1.3826051802661431E-2</v>
      </c>
      <c r="AG35" s="9">
        <f t="shared" si="25"/>
        <v>0.20035184404853437</v>
      </c>
      <c r="AH35" s="4">
        <f t="shared" si="92"/>
        <v>1008.9345387759344</v>
      </c>
      <c r="AI35" s="6">
        <f t="shared" si="26"/>
        <v>5.5178690775518696E-6</v>
      </c>
      <c r="AJ35" s="8">
        <f t="shared" si="27"/>
        <v>27.491747195923246</v>
      </c>
      <c r="AK35" s="7">
        <f t="shared" si="28"/>
        <v>1.3809535327200388E-2</v>
      </c>
      <c r="AL35" s="9">
        <f t="shared" si="29"/>
        <v>0.20062839079277991</v>
      </c>
      <c r="AM35" s="4">
        <f t="shared" si="93"/>
        <v>1005.0348560525089</v>
      </c>
      <c r="AN35" s="6">
        <f t="shared" si="30"/>
        <v>5.5100697121050179E-6</v>
      </c>
      <c r="AO35" s="8">
        <f t="shared" si="31"/>
        <v>27.446900844603853</v>
      </c>
      <c r="AP35" s="7">
        <f t="shared" si="32"/>
        <v>1.3790015905634874E-2</v>
      </c>
      <c r="AQ35" s="9">
        <f t="shared" si="33"/>
        <v>0.20095620380704618</v>
      </c>
      <c r="AR35" s="4">
        <f t="shared" si="94"/>
        <v>1000.5352309314841</v>
      </c>
      <c r="AS35" s="6">
        <f t="shared" si="34"/>
        <v>5.5010704618629682E-6</v>
      </c>
      <c r="AT35" s="8">
        <f t="shared" si="35"/>
        <v>27.395155155712068</v>
      </c>
      <c r="AU35" s="7">
        <f t="shared" si="36"/>
        <v>1.3767493540136662E-2</v>
      </c>
      <c r="AV35" s="9">
        <f t="shared" si="37"/>
        <v>0.20133578250057679</v>
      </c>
      <c r="AW35" s="4">
        <f t="shared" si="95"/>
        <v>995.43566344246324</v>
      </c>
      <c r="AX35" s="6">
        <f t="shared" si="38"/>
        <v>5.4908713268849273E-6</v>
      </c>
      <c r="AY35" s="8">
        <f t="shared" si="39"/>
        <v>27.336510129588326</v>
      </c>
      <c r="AZ35" s="7">
        <f t="shared" si="40"/>
        <v>1.3741968230853928E-2</v>
      </c>
      <c r="BA35" s="9">
        <f t="shared" si="41"/>
        <v>0.20176770823536949</v>
      </c>
      <c r="BB35" s="4">
        <f t="shared" si="96"/>
        <v>989.73615359321161</v>
      </c>
      <c r="BC35" s="6">
        <f t="shared" si="42"/>
        <v>5.4794723071864237E-6</v>
      </c>
      <c r="BD35" s="8">
        <f t="shared" si="43"/>
        <v>27.270965766321932</v>
      </c>
      <c r="BE35" s="7">
        <f t="shared" si="44"/>
        <v>1.3713439977825537E-2</v>
      </c>
      <c r="BF35" s="9">
        <f t="shared" si="45"/>
        <v>0.2022526465421873</v>
      </c>
      <c r="BG35" s="4">
        <f t="shared" si="97"/>
        <v>983.4367013883184</v>
      </c>
      <c r="BH35" s="6">
        <f t="shared" si="46"/>
        <v>5.4668734027766369E-6</v>
      </c>
      <c r="BI35" s="8">
        <f t="shared" si="47"/>
        <v>27.198522065965662</v>
      </c>
      <c r="BJ35" s="7">
        <f t="shared" si="48"/>
        <v>1.3681908781074462E-2</v>
      </c>
      <c r="BK35" s="9">
        <f t="shared" si="49"/>
        <v>0.2027913497146181</v>
      </c>
      <c r="BL35" s="4">
        <f t="shared" si="98"/>
        <v>976.53730683077026</v>
      </c>
      <c r="BM35" s="6">
        <f t="shared" si="50"/>
        <v>5.4530746136615408E-6</v>
      </c>
      <c r="BN35" s="8">
        <f t="shared" si="51"/>
        <v>27.119179028553859</v>
      </c>
      <c r="BO35" s="7">
        <f t="shared" si="52"/>
        <v>1.3647374640615651E-2</v>
      </c>
      <c r="BP35" s="9">
        <f t="shared" si="53"/>
        <v>0.20338465977132211</v>
      </c>
      <c r="BQ35" s="4">
        <f t="shared" si="99"/>
        <v>969.03796991805541</v>
      </c>
      <c r="BR35" s="6">
        <f t="shared" si="54"/>
        <v>5.438075939836111E-6</v>
      </c>
      <c r="BS35" s="8">
        <f t="shared" si="55"/>
        <v>27.032936654057636</v>
      </c>
      <c r="BT35" s="7">
        <f t="shared" si="56"/>
        <v>1.3609837556436528E-2</v>
      </c>
      <c r="BU35" s="9">
        <f t="shared" si="57"/>
        <v>0.20403351180760845</v>
      </c>
      <c r="BV35" s="4">
        <f t="shared" si="100"/>
        <v>960.938690370995</v>
      </c>
      <c r="BW35" s="6">
        <f t="shared" si="58"/>
        <v>5.4218773807419909E-6</v>
      </c>
      <c r="BX35" s="8">
        <f t="shared" si="59"/>
        <v>26.939794939266442</v>
      </c>
      <c r="BY35" s="7">
        <f t="shared" si="60"/>
        <v>1.3569297527139704E-2</v>
      </c>
      <c r="BZ35" s="9">
        <f t="shared" si="61"/>
        <v>0.20473893778458685</v>
      </c>
      <c r="CA35" s="4">
        <f t="shared" si="101"/>
        <v>952.23945469805608</v>
      </c>
      <c r="CB35" s="6">
        <f t="shared" si="62"/>
        <v>5.4044789093961126E-6</v>
      </c>
      <c r="CC35" s="8">
        <f t="shared" si="63"/>
        <v>26.839753729027642</v>
      </c>
      <c r="CD35" s="7">
        <f t="shared" si="64"/>
        <v>1.3525754485194826E-2</v>
      </c>
      <c r="CE35" s="9">
        <f t="shared" si="65"/>
        <v>0.20550207187761038</v>
      </c>
      <c r="CF35" s="4">
        <f t="shared" si="102"/>
        <v>942.9397556722364</v>
      </c>
      <c r="CG35" s="6">
        <f t="shared" si="66"/>
        <v>5.3858795113444733E-6</v>
      </c>
      <c r="CH35" s="8">
        <f t="shared" si="67"/>
        <v>26.732807190230716</v>
      </c>
      <c r="CI35" s="7">
        <f t="shared" si="68"/>
        <v>1.3479205891734408E-2</v>
      </c>
      <c r="CJ35" s="9">
        <f t="shared" si="69"/>
        <v>0.2063241978573668</v>
      </c>
      <c r="CK35" s="4">
        <f t="shared" si="103"/>
        <v>933.02499151188215</v>
      </c>
      <c r="CL35" s="6">
        <f t="shared" si="70"/>
        <v>5.366049983023764E-6</v>
      </c>
      <c r="CM35" s="8">
        <f t="shared" si="71"/>
        <v>26.618787402386644</v>
      </c>
      <c r="CN35" s="7">
        <f t="shared" si="72"/>
        <v>1.3429578659189041E-2</v>
      </c>
      <c r="CO35" s="9">
        <f t="shared" si="73"/>
        <v>0.20720797370001415</v>
      </c>
      <c r="CP35" s="4">
        <f t="shared" si="104"/>
        <v>922.18468178177045</v>
      </c>
      <c r="CQ35" s="6">
        <f t="shared" si="74"/>
        <v>5.3443693635635411E-6</v>
      </c>
      <c r="CR35" s="8">
        <f t="shared" si="75"/>
        <v>26.49412384049036</v>
      </c>
      <c r="CS35" s="7">
        <f t="shared" si="76"/>
        <v>1.3375318712796045E-2</v>
      </c>
      <c r="CT35" s="9">
        <f t="shared" si="77"/>
        <v>0.20818295533029091</v>
      </c>
      <c r="CU35" s="4">
        <f t="shared" si="105"/>
        <v>905.84437292405516</v>
      </c>
      <c r="CV35" s="6">
        <f t="shared" si="78"/>
        <v>5.3116887458481108E-6</v>
      </c>
      <c r="CW35" s="8">
        <f t="shared" si="79"/>
        <v>26.306210288626634</v>
      </c>
      <c r="CX35" s="7">
        <f t="shared" si="80"/>
        <v>1.3293529141765447E-2</v>
      </c>
      <c r="CY35" s="9">
        <f t="shared" si="81"/>
        <v>0.20967007179991465</v>
      </c>
      <c r="CZ35" s="5">
        <f t="shared" si="106"/>
        <v>842.96382684566561</v>
      </c>
      <c r="DA35" s="6">
        <f t="shared" si="82"/>
        <v>5.1859276536913314E-6</v>
      </c>
      <c r="DB35" s="8">
        <f t="shared" si="83"/>
        <v>25.583084008725152</v>
      </c>
      <c r="DC35" s="7">
        <f t="shared" si="84"/>
        <v>1.2978787668106402E-2</v>
      </c>
      <c r="DD35" s="9">
        <f t="shared" si="85"/>
        <v>0.21559656365584726</v>
      </c>
    </row>
    <row r="36" spans="2:108" x14ac:dyDescent="0.25">
      <c r="B36">
        <v>17</v>
      </c>
      <c r="C36">
        <f t="shared" si="86"/>
        <v>1.6619449327869275E-2</v>
      </c>
      <c r="D36" s="4">
        <f t="shared" si="3"/>
        <v>1019.7326258308178</v>
      </c>
      <c r="E36" s="6">
        <f t="shared" si="4"/>
        <v>5.5394652516616364E-6</v>
      </c>
      <c r="F36" s="8">
        <f t="shared" si="5"/>
        <v>27.615925197054402</v>
      </c>
      <c r="G36" s="7">
        <f t="shared" si="1"/>
        <v>1.386358393275982E-2</v>
      </c>
      <c r="H36" s="9">
        <f t="shared" si="6"/>
        <v>0.1997262434860706</v>
      </c>
      <c r="I36" s="4">
        <f t="shared" si="87"/>
        <v>1019.4180280951816</v>
      </c>
      <c r="J36" s="6">
        <f t="shared" si="7"/>
        <v>5.5388360561903636E-6</v>
      </c>
      <c r="K36" s="8">
        <f t="shared" si="8"/>
        <v>27.612307323094587</v>
      </c>
      <c r="L36" s="7">
        <f t="shared" si="9"/>
        <v>1.3862009249314793E-2</v>
      </c>
      <c r="M36" s="9">
        <f t="shared" si="10"/>
        <v>0.19975241241020089</v>
      </c>
      <c r="N36" s="4">
        <f t="shared" si="88"/>
        <v>1018.5172433386017</v>
      </c>
      <c r="O36" s="6">
        <f t="shared" si="11"/>
        <v>5.5370344866772042E-6</v>
      </c>
      <c r="P36" s="8">
        <f t="shared" si="12"/>
        <v>27.601948298393921</v>
      </c>
      <c r="Q36" s="7">
        <f t="shared" si="2"/>
        <v>1.386358393275982E-2</v>
      </c>
      <c r="R36" s="9">
        <f t="shared" si="13"/>
        <v>0.19982737958830749</v>
      </c>
      <c r="S36" s="4">
        <f t="shared" si="89"/>
        <v>1017.0172055044427</v>
      </c>
      <c r="T36" s="6">
        <f t="shared" si="14"/>
        <v>5.5340344110088857E-6</v>
      </c>
      <c r="U36" s="8">
        <f t="shared" si="15"/>
        <v>27.584697863301088</v>
      </c>
      <c r="V36" s="7">
        <f t="shared" si="16"/>
        <v>1.3849992202909674E-2</v>
      </c>
      <c r="W36" s="9">
        <f t="shared" si="17"/>
        <v>0.19995234413417423</v>
      </c>
      <c r="X36" s="4">
        <f t="shared" si="90"/>
        <v>1014.9174493324018</v>
      </c>
      <c r="Y36" s="6">
        <f t="shared" si="18"/>
        <v>5.5298348986648041E-6</v>
      </c>
      <c r="Z36" s="8">
        <f t="shared" si="19"/>
        <v>27.560550667322619</v>
      </c>
      <c r="AA36" s="7">
        <f t="shared" si="20"/>
        <v>1.3839482110470451E-2</v>
      </c>
      <c r="AB36" s="9">
        <f t="shared" si="21"/>
        <v>0.20012753252204221</v>
      </c>
      <c r="AC36" s="4">
        <f t="shared" si="91"/>
        <v>1012.2176726357533</v>
      </c>
      <c r="AD36" s="6">
        <f t="shared" si="22"/>
        <v>5.5244353452715069E-6</v>
      </c>
      <c r="AE36" s="8">
        <f t="shared" si="23"/>
        <v>27.529503235311161</v>
      </c>
      <c r="AF36" s="7">
        <f t="shared" si="24"/>
        <v>1.3825968683042608E-2</v>
      </c>
      <c r="AG36" s="9">
        <f t="shared" si="25"/>
        <v>0.20035323386893863</v>
      </c>
      <c r="AH36" s="4">
        <f t="shared" si="92"/>
        <v>1008.9179490691666</v>
      </c>
      <c r="AI36" s="6">
        <f t="shared" si="26"/>
        <v>5.5178358981383335E-6</v>
      </c>
      <c r="AJ36" s="8">
        <f t="shared" si="27"/>
        <v>27.491556414295417</v>
      </c>
      <c r="AK36" s="7">
        <f t="shared" si="28"/>
        <v>1.3809452289296276E-2</v>
      </c>
      <c r="AL36" s="9">
        <f t="shared" si="29"/>
        <v>0.20062978308248541</v>
      </c>
      <c r="AM36" s="4">
        <f t="shared" si="93"/>
        <v>1005.0182861879542</v>
      </c>
      <c r="AN36" s="6">
        <f t="shared" si="30"/>
        <v>5.5100365723759089E-6</v>
      </c>
      <c r="AO36" s="8">
        <f t="shared" si="31"/>
        <v>27.446710291161473</v>
      </c>
      <c r="AP36" s="7">
        <f t="shared" si="32"/>
        <v>1.3789932967048722E-2</v>
      </c>
      <c r="AQ36" s="9">
        <f t="shared" si="33"/>
        <v>0.20095759897958224</v>
      </c>
      <c r="AR36" s="4">
        <f t="shared" si="94"/>
        <v>1000.518684502531</v>
      </c>
      <c r="AS36" s="6">
        <f t="shared" si="34"/>
        <v>5.5010373690050626E-6</v>
      </c>
      <c r="AT36" s="8">
        <f t="shared" si="35"/>
        <v>27.394964871779106</v>
      </c>
      <c r="AU36" s="7">
        <f t="shared" si="36"/>
        <v>1.3767410718854768E-2</v>
      </c>
      <c r="AV36" s="9">
        <f t="shared" si="37"/>
        <v>0.20133718096794917</v>
      </c>
      <c r="AW36" s="4">
        <f t="shared" si="95"/>
        <v>995.41914404885449</v>
      </c>
      <c r="AX36" s="6">
        <f t="shared" si="38"/>
        <v>5.4908382880977095E-6</v>
      </c>
      <c r="AY36" s="8">
        <f t="shared" si="39"/>
        <v>27.336320156561825</v>
      </c>
      <c r="AZ36" s="7">
        <f t="shared" si="40"/>
        <v>1.3741885544894396E-2</v>
      </c>
      <c r="BA36" s="9">
        <f t="shared" si="41"/>
        <v>0.20176911041466664</v>
      </c>
      <c r="BB36" s="4">
        <f t="shared" si="96"/>
        <v>989.71966483586652</v>
      </c>
      <c r="BC36" s="6">
        <f t="shared" si="42"/>
        <v>5.4794393296717338E-6</v>
      </c>
      <c r="BD36" s="8">
        <f t="shared" si="43"/>
        <v>27.270776145612466</v>
      </c>
      <c r="BE36" s="7">
        <f t="shared" si="44"/>
        <v>1.3713357445212364E-2</v>
      </c>
      <c r="BF36" s="9">
        <f t="shared" si="45"/>
        <v>0.20225405285677564</v>
      </c>
      <c r="BG36" s="4">
        <f t="shared" si="97"/>
        <v>983.42024686877551</v>
      </c>
      <c r="BH36" s="6">
        <f t="shared" si="46"/>
        <v>5.4668404937375515E-6</v>
      </c>
      <c r="BI36" s="8">
        <f t="shared" si="47"/>
        <v>27.198332838990918</v>
      </c>
      <c r="BJ36" s="7">
        <f t="shared" si="48"/>
        <v>1.3681826419834741E-2</v>
      </c>
      <c r="BK36" s="9">
        <f t="shared" si="49"/>
        <v>0.2027927605949775</v>
      </c>
      <c r="BL36" s="4">
        <f t="shared" si="98"/>
        <v>976.52089015091155</v>
      </c>
      <c r="BM36" s="6">
        <f t="shared" si="50"/>
        <v>5.4530417803018229E-6</v>
      </c>
      <c r="BN36" s="8">
        <f t="shared" si="51"/>
        <v>27.118990236735485</v>
      </c>
      <c r="BO36" s="7">
        <f t="shared" si="52"/>
        <v>1.3647292468778193E-2</v>
      </c>
      <c r="BP36" s="9">
        <f t="shared" si="53"/>
        <v>0.20338607565588906</v>
      </c>
      <c r="BQ36" s="4">
        <f t="shared" si="99"/>
        <v>969.02159467619333</v>
      </c>
      <c r="BR36" s="6">
        <f t="shared" si="54"/>
        <v>5.438043189352387E-6</v>
      </c>
      <c r="BS36" s="8">
        <f t="shared" si="55"/>
        <v>27.032748338776223</v>
      </c>
      <c r="BT36" s="7">
        <f t="shared" si="56"/>
        <v>1.3609755592012291E-2</v>
      </c>
      <c r="BU36" s="9">
        <f t="shared" si="57"/>
        <v>0.204034933143971</v>
      </c>
      <c r="BV36" s="4">
        <f t="shared" si="100"/>
        <v>960.92235998309684</v>
      </c>
      <c r="BW36" s="6">
        <f t="shared" si="58"/>
        <v>5.421844719966194E-6</v>
      </c>
      <c r="BX36" s="8">
        <f t="shared" si="59"/>
        <v>26.939607139805613</v>
      </c>
      <c r="BY36" s="7">
        <f t="shared" si="60"/>
        <v>1.3569215787226916E-2</v>
      </c>
      <c r="BZ36" s="9">
        <f t="shared" si="61"/>
        <v>0.20474036504601376</v>
      </c>
      <c r="CA36" s="4">
        <f t="shared" si="101"/>
        <v>952.22316583361965</v>
      </c>
      <c r="CB36" s="6">
        <f t="shared" si="62"/>
        <v>5.4044463316672399E-6</v>
      </c>
      <c r="CC36" s="8">
        <f t="shared" si="63"/>
        <v>26.839566407086625</v>
      </c>
      <c r="CD36" s="7">
        <f t="shared" si="64"/>
        <v>1.3525672953123038E-2</v>
      </c>
      <c r="CE36" s="9">
        <f t="shared" si="65"/>
        <v>0.20550350614247156</v>
      </c>
      <c r="CF36" s="4">
        <f t="shared" si="102"/>
        <v>942.92331498534975</v>
      </c>
      <c r="CG36" s="6">
        <f t="shared" si="66"/>
        <v>5.3858466299707004E-6</v>
      </c>
      <c r="CH36" s="8">
        <f t="shared" si="67"/>
        <v>26.732618122331523</v>
      </c>
      <c r="CI36" s="7">
        <f t="shared" si="68"/>
        <v>1.3479123599732487E-2</v>
      </c>
      <c r="CJ36" s="9">
        <f t="shared" si="69"/>
        <v>0.20632565709650541</v>
      </c>
      <c r="CK36" s="4">
        <f t="shared" si="103"/>
        <v>933.00428772738871</v>
      </c>
      <c r="CL36" s="6">
        <f t="shared" si="70"/>
        <v>5.3660085754547782E-6</v>
      </c>
      <c r="CM36" s="8">
        <f t="shared" si="71"/>
        <v>26.618549308864971</v>
      </c>
      <c r="CN36" s="7">
        <f t="shared" si="72"/>
        <v>1.342947502873339E-2</v>
      </c>
      <c r="CO36" s="9">
        <f t="shared" si="73"/>
        <v>0.20720982710215133</v>
      </c>
      <c r="CP36" s="4">
        <f t="shared" si="104"/>
        <v>922.1006801964229</v>
      </c>
      <c r="CQ36" s="6">
        <f t="shared" si="74"/>
        <v>5.3442013603928457E-6</v>
      </c>
      <c r="CR36" s="8">
        <f t="shared" si="75"/>
        <v>26.493157822258862</v>
      </c>
      <c r="CS36" s="7">
        <f t="shared" si="76"/>
        <v>1.3374898252345065E-2</v>
      </c>
      <c r="CT36" s="9">
        <f t="shared" si="77"/>
        <v>0.20819054629138681</v>
      </c>
      <c r="CU36" s="4">
        <f t="shared" si="105"/>
        <v>905.19401854252988</v>
      </c>
      <c r="CV36" s="6">
        <f t="shared" si="78"/>
        <v>5.3103880370850605E-6</v>
      </c>
      <c r="CW36" s="8">
        <f t="shared" si="79"/>
        <v>26.298731213239094</v>
      </c>
      <c r="CX36" s="7">
        <f t="shared" si="80"/>
        <v>1.3290273866339138E-2</v>
      </c>
      <c r="CY36" s="9">
        <f t="shared" si="81"/>
        <v>0.20972969970594507</v>
      </c>
      <c r="CZ36" s="5">
        <f t="shared" si="106"/>
        <v>840.18929667037389</v>
      </c>
      <c r="DA36" s="6">
        <f t="shared" si="82"/>
        <v>5.180378593340748E-6</v>
      </c>
      <c r="DB36" s="8">
        <f t="shared" si="83"/>
        <v>25.551176911709298</v>
      </c>
      <c r="DC36" s="7">
        <f t="shared" si="84"/>
        <v>1.2964900070581499E-2</v>
      </c>
      <c r="DD36" s="9">
        <f t="shared" si="85"/>
        <v>0.21586579041188364</v>
      </c>
    </row>
    <row r="37" spans="2:108" x14ac:dyDescent="0.25">
      <c r="B37">
        <v>18</v>
      </c>
      <c r="C37">
        <f t="shared" si="86"/>
        <v>1.7597063994214526E-2</v>
      </c>
      <c r="D37" s="4">
        <f t="shared" si="3"/>
        <v>1019.7165640596785</v>
      </c>
      <c r="E37" s="6">
        <f t="shared" si="4"/>
        <v>5.5394331281193577E-6</v>
      </c>
      <c r="F37" s="8">
        <f t="shared" si="5"/>
        <v>27.615740486686303</v>
      </c>
      <c r="G37" s="7">
        <f t="shared" si="1"/>
        <v>1.386350353737789E-2</v>
      </c>
      <c r="H37" s="9">
        <f t="shared" si="6"/>
        <v>0.19972757937304317</v>
      </c>
      <c r="I37" s="4">
        <f t="shared" si="87"/>
        <v>1019.4014767596032</v>
      </c>
      <c r="J37" s="6">
        <f t="shared" si="7"/>
        <v>5.5388029535192069E-6</v>
      </c>
      <c r="K37" s="8">
        <f t="shared" si="8"/>
        <v>27.612116982735436</v>
      </c>
      <c r="L37" s="7">
        <f t="shared" si="9"/>
        <v>1.3861926403473338E-2</v>
      </c>
      <c r="M37" s="9">
        <f t="shared" si="10"/>
        <v>0.19975378937618807</v>
      </c>
      <c r="N37" s="4">
        <f t="shared" si="88"/>
        <v>1018.5006165300281</v>
      </c>
      <c r="O37" s="6">
        <f t="shared" si="11"/>
        <v>5.5370012330600574E-6</v>
      </c>
      <c r="P37" s="8">
        <f t="shared" si="12"/>
        <v>27.601757090095322</v>
      </c>
      <c r="Q37" s="7">
        <f t="shared" si="2"/>
        <v>1.386350353737789E-2</v>
      </c>
      <c r="R37" s="9">
        <f t="shared" si="13"/>
        <v>0.19982876387167539</v>
      </c>
      <c r="S37" s="4">
        <f t="shared" si="89"/>
        <v>1017.0005736809876</v>
      </c>
      <c r="T37" s="6">
        <f t="shared" si="14"/>
        <v>5.5340011473619752E-6</v>
      </c>
      <c r="U37" s="8">
        <f t="shared" si="15"/>
        <v>27.584506597331355</v>
      </c>
      <c r="V37" s="7">
        <f t="shared" si="16"/>
        <v>1.3849908954195241E-2</v>
      </c>
      <c r="W37" s="9">
        <f t="shared" si="17"/>
        <v>0.19995373056749202</v>
      </c>
      <c r="X37" s="4">
        <f t="shared" si="90"/>
        <v>1014.9008299661086</v>
      </c>
      <c r="Y37" s="6">
        <f t="shared" si="18"/>
        <v>5.5298016599322184E-6</v>
      </c>
      <c r="Z37" s="8">
        <f t="shared" si="19"/>
        <v>27.56035954461025</v>
      </c>
      <c r="AA37" s="7">
        <f t="shared" si="20"/>
        <v>1.3839398924108936E-2</v>
      </c>
      <c r="AB37" s="9">
        <f t="shared" si="21"/>
        <v>0.20012892034562171</v>
      </c>
      <c r="AC37" s="4">
        <f t="shared" si="91"/>
        <v>1012.2010667839381</v>
      </c>
      <c r="AD37" s="6">
        <f t="shared" si="22"/>
        <v>5.5244021335678763E-6</v>
      </c>
      <c r="AE37" s="8">
        <f t="shared" si="23"/>
        <v>27.529312268015289</v>
      </c>
      <c r="AF37" s="7">
        <f t="shared" si="24"/>
        <v>1.3825885564326283E-2</v>
      </c>
      <c r="AG37" s="9">
        <f t="shared" si="25"/>
        <v>0.2003546236935343</v>
      </c>
      <c r="AH37" s="4">
        <f t="shared" si="92"/>
        <v>1008.901359552427</v>
      </c>
      <c r="AI37" s="6">
        <f t="shared" si="26"/>
        <v>5.5178027191048544E-6</v>
      </c>
      <c r="AJ37" s="8">
        <f t="shared" si="27"/>
        <v>27.491365634852912</v>
      </c>
      <c r="AK37" s="7">
        <f t="shared" si="28"/>
        <v>1.380936925234333E-2</v>
      </c>
      <c r="AL37" s="9">
        <f t="shared" si="29"/>
        <v>0.20063117537556663</v>
      </c>
      <c r="AM37" s="4">
        <f t="shared" si="93"/>
        <v>1005.0017165153461</v>
      </c>
      <c r="AN37" s="6">
        <f t="shared" si="30"/>
        <v>5.5100034330306929E-6</v>
      </c>
      <c r="AO37" s="8">
        <f t="shared" si="31"/>
        <v>27.44651973992648</v>
      </c>
      <c r="AP37" s="7">
        <f t="shared" si="32"/>
        <v>1.3789850029423336E-2</v>
      </c>
      <c r="AQ37" s="9">
        <f t="shared" si="33"/>
        <v>0.20095899415532872</v>
      </c>
      <c r="AR37" s="4">
        <f t="shared" si="94"/>
        <v>1000.502138266233</v>
      </c>
      <c r="AS37" s="6">
        <f t="shared" si="34"/>
        <v>5.5010042765324663E-6</v>
      </c>
      <c r="AT37" s="8">
        <f t="shared" si="35"/>
        <v>27.394774590061679</v>
      </c>
      <c r="AU37" s="7">
        <f t="shared" si="36"/>
        <v>1.3767327898537187E-2</v>
      </c>
      <c r="AV37" s="9">
        <f t="shared" si="37"/>
        <v>0.20133857943846589</v>
      </c>
      <c r="AW37" s="4">
        <f t="shared" si="95"/>
        <v>995.40262484830635</v>
      </c>
      <c r="AX37" s="6">
        <f t="shared" si="38"/>
        <v>5.4908052496966133E-6</v>
      </c>
      <c r="AY37" s="8">
        <f t="shared" si="39"/>
        <v>27.336130185755522</v>
      </c>
      <c r="AZ37" s="7">
        <f t="shared" si="40"/>
        <v>1.3741802859901207E-2</v>
      </c>
      <c r="BA37" s="9">
        <f t="shared" si="41"/>
        <v>0.20177051259706524</v>
      </c>
      <c r="BB37" s="4">
        <f t="shared" si="96"/>
        <v>989.70317627180043</v>
      </c>
      <c r="BC37" s="6">
        <f t="shared" si="42"/>
        <v>5.4794063525436018E-6</v>
      </c>
      <c r="BD37" s="8">
        <f t="shared" si="43"/>
        <v>27.270586527125705</v>
      </c>
      <c r="BE37" s="7">
        <f t="shared" si="44"/>
        <v>1.3713274913566628E-2</v>
      </c>
      <c r="BF37" s="9">
        <f t="shared" si="45"/>
        <v>0.2022554591744361</v>
      </c>
      <c r="BG37" s="4">
        <f t="shared" si="97"/>
        <v>983.40379254258312</v>
      </c>
      <c r="BH37" s="6">
        <f t="shared" si="46"/>
        <v>5.4668075850851664E-6</v>
      </c>
      <c r="BI37" s="8">
        <f t="shared" si="47"/>
        <v>27.198143614239704</v>
      </c>
      <c r="BJ37" s="7">
        <f t="shared" si="48"/>
        <v>1.3681744059562816E-2</v>
      </c>
      <c r="BK37" s="9">
        <f t="shared" si="49"/>
        <v>0.20279417147838982</v>
      </c>
      <c r="BL37" s="4">
        <f t="shared" si="98"/>
        <v>976.50447366430126</v>
      </c>
      <c r="BM37" s="6">
        <f t="shared" si="50"/>
        <v>5.4530089473286027E-6</v>
      </c>
      <c r="BN37" s="8">
        <f t="shared" si="51"/>
        <v>27.118801447139464</v>
      </c>
      <c r="BO37" s="7">
        <f t="shared" si="52"/>
        <v>1.3647210297908026E-2</v>
      </c>
      <c r="BP37" s="9">
        <f t="shared" si="53"/>
        <v>0.20338749154350247</v>
      </c>
      <c r="BQ37" s="4">
        <f t="shared" si="99"/>
        <v>969.00521962483958</v>
      </c>
      <c r="BR37" s="6">
        <f t="shared" si="54"/>
        <v>5.4380104392496796E-6</v>
      </c>
      <c r="BS37" s="8">
        <f t="shared" si="55"/>
        <v>27.032560025685655</v>
      </c>
      <c r="BT37" s="7">
        <f t="shared" si="56"/>
        <v>1.3609673628541619E-2</v>
      </c>
      <c r="BU37" s="9">
        <f t="shared" si="57"/>
        <v>0.20403635448360025</v>
      </c>
      <c r="BV37" s="4">
        <f t="shared" si="100"/>
        <v>960.90602969020449</v>
      </c>
      <c r="BW37" s="6">
        <f t="shared" si="58"/>
        <v>5.4218120593804094E-6</v>
      </c>
      <c r="BX37" s="8">
        <f t="shared" si="59"/>
        <v>26.93941934143735</v>
      </c>
      <c r="BY37" s="7">
        <f t="shared" si="60"/>
        <v>1.3569134047789668E-2</v>
      </c>
      <c r="BZ37" s="9">
        <f t="shared" si="61"/>
        <v>0.20474179231903647</v>
      </c>
      <c r="CA37" s="4">
        <f t="shared" si="101"/>
        <v>952.20687439388018</v>
      </c>
      <c r="CB37" s="6">
        <f t="shared" si="62"/>
        <v>5.4044137487877607E-6</v>
      </c>
      <c r="CC37" s="8">
        <f t="shared" si="63"/>
        <v>26.839379055529619</v>
      </c>
      <c r="CD37" s="7">
        <f t="shared" si="64"/>
        <v>1.3525591408160861E-2</v>
      </c>
      <c r="CE37" s="9">
        <f t="shared" si="65"/>
        <v>0.20550494065411828</v>
      </c>
      <c r="CF37" s="4">
        <f t="shared" si="102"/>
        <v>942.90681692407929</v>
      </c>
      <c r="CG37" s="6">
        <f t="shared" si="66"/>
        <v>5.3858136338481595E-6</v>
      </c>
      <c r="CH37" s="8">
        <f t="shared" si="67"/>
        <v>26.732428394626911</v>
      </c>
      <c r="CI37" s="7">
        <f t="shared" si="68"/>
        <v>1.3479041020549566E-2</v>
      </c>
      <c r="CJ37" s="9">
        <f t="shared" si="69"/>
        <v>0.20632712144881735</v>
      </c>
      <c r="CK37" s="4">
        <f t="shared" si="103"/>
        <v>932.98276155454573</v>
      </c>
      <c r="CL37" s="6">
        <f t="shared" si="70"/>
        <v>5.3659655231090914E-6</v>
      </c>
      <c r="CM37" s="8">
        <f t="shared" si="71"/>
        <v>26.618301757877276</v>
      </c>
      <c r="CN37" s="7">
        <f t="shared" si="72"/>
        <v>1.3429367281905706E-2</v>
      </c>
      <c r="CO37" s="9">
        <f t="shared" si="73"/>
        <v>0.20721175415962576</v>
      </c>
      <c r="CP37" s="4">
        <f t="shared" si="104"/>
        <v>922.0096886911515</v>
      </c>
      <c r="CQ37" s="6">
        <f t="shared" si="74"/>
        <v>5.3440193773823027E-6</v>
      </c>
      <c r="CR37" s="8">
        <f t="shared" si="75"/>
        <v>26.492111419948241</v>
      </c>
      <c r="CS37" s="7">
        <f t="shared" si="76"/>
        <v>1.3374442804639125E-2</v>
      </c>
      <c r="CT37" s="9">
        <f t="shared" si="77"/>
        <v>0.20819876953434527</v>
      </c>
      <c r="CU37" s="4">
        <f t="shared" si="105"/>
        <v>904.52190433675776</v>
      </c>
      <c r="CV37" s="6">
        <f t="shared" si="78"/>
        <v>5.3090438086735166E-6</v>
      </c>
      <c r="CW37" s="8">
        <f t="shared" si="79"/>
        <v>26.291001899872711</v>
      </c>
      <c r="CX37" s="7">
        <f t="shared" si="80"/>
        <v>1.3286909674569428E-2</v>
      </c>
      <c r="CY37" s="9">
        <f t="shared" si="81"/>
        <v>0.20979135831361009</v>
      </c>
      <c r="CZ37" s="5">
        <f t="shared" si="106"/>
        <v>837.48569074028308</v>
      </c>
      <c r="DA37" s="6">
        <f t="shared" si="82"/>
        <v>5.1749713814805674E-6</v>
      </c>
      <c r="DB37" s="8">
        <f t="shared" si="83"/>
        <v>25.520085443513253</v>
      </c>
      <c r="DC37" s="7">
        <f t="shared" si="84"/>
        <v>1.2951367476358016E-2</v>
      </c>
      <c r="DD37" s="9">
        <f t="shared" si="85"/>
        <v>0.21612878264880467</v>
      </c>
    </row>
    <row r="38" spans="2:108" x14ac:dyDescent="0.25">
      <c r="B38">
        <v>19</v>
      </c>
      <c r="C38">
        <f t="shared" si="86"/>
        <v>1.8574678660559778E-2</v>
      </c>
      <c r="D38" s="4">
        <f t="shared" si="3"/>
        <v>1019.700477293852</v>
      </c>
      <c r="E38" s="6">
        <f t="shared" si="4"/>
        <v>5.5394009545877042E-6</v>
      </c>
      <c r="F38" s="8">
        <f t="shared" si="5"/>
        <v>27.615555488879295</v>
      </c>
      <c r="G38" s="7">
        <f t="shared" si="1"/>
        <v>1.3863423016887874E-2</v>
      </c>
      <c r="H38" s="9">
        <f t="shared" si="6"/>
        <v>0.199728917356782</v>
      </c>
      <c r="I38" s="4">
        <f t="shared" si="87"/>
        <v>1019.3849273442047</v>
      </c>
      <c r="J38" s="6">
        <f t="shared" si="7"/>
        <v>5.5387698546884103E-6</v>
      </c>
      <c r="K38" s="8">
        <f t="shared" si="8"/>
        <v>27.611926664458352</v>
      </c>
      <c r="L38" s="7">
        <f t="shared" si="9"/>
        <v>1.3861843567243128E-2</v>
      </c>
      <c r="M38" s="9">
        <f t="shared" si="10"/>
        <v>0.19975516620140918</v>
      </c>
      <c r="N38" s="4">
        <f t="shared" si="88"/>
        <v>1018.4839905185648</v>
      </c>
      <c r="O38" s="6">
        <f t="shared" si="11"/>
        <v>5.53696798103713E-6</v>
      </c>
      <c r="P38" s="8">
        <f t="shared" si="12"/>
        <v>27.601565890963492</v>
      </c>
      <c r="Q38" s="7">
        <f t="shared" si="2"/>
        <v>1.3863423016887874E-2</v>
      </c>
      <c r="R38" s="9">
        <f t="shared" si="13"/>
        <v>0.19983014810785668</v>
      </c>
      <c r="S38" s="4">
        <f t="shared" si="89"/>
        <v>1016.9839422135499</v>
      </c>
      <c r="T38" s="6">
        <f t="shared" si="14"/>
        <v>5.5339678844271001E-6</v>
      </c>
      <c r="U38" s="8">
        <f t="shared" si="15"/>
        <v>27.584315335455823</v>
      </c>
      <c r="V38" s="7">
        <f t="shared" si="16"/>
        <v>1.3849825707262812E-2</v>
      </c>
      <c r="W38" s="9">
        <f t="shared" si="17"/>
        <v>0.19995511699035817</v>
      </c>
      <c r="X38" s="4">
        <f t="shared" si="90"/>
        <v>1014.884210759315</v>
      </c>
      <c r="Y38" s="6">
        <f t="shared" si="18"/>
        <v>5.5297684215186303E-6</v>
      </c>
      <c r="Z38" s="8">
        <f t="shared" si="19"/>
        <v>27.560168423732122</v>
      </c>
      <c r="AA38" s="7">
        <f t="shared" si="20"/>
        <v>1.3839315738545774E-2</v>
      </c>
      <c r="AB38" s="9">
        <f t="shared" si="21"/>
        <v>0.20013030817513014</v>
      </c>
      <c r="AC38" s="4">
        <f t="shared" si="91"/>
        <v>1012.184461112282</v>
      </c>
      <c r="AD38" s="6">
        <f t="shared" si="22"/>
        <v>5.5243689222245642E-6</v>
      </c>
      <c r="AE38" s="8">
        <f t="shared" si="23"/>
        <v>27.529121302791239</v>
      </c>
      <c r="AF38" s="7">
        <f t="shared" si="24"/>
        <v>1.3825802446511729E-2</v>
      </c>
      <c r="AG38" s="9">
        <f t="shared" si="25"/>
        <v>0.20035601352233348</v>
      </c>
      <c r="AH38" s="4">
        <f t="shared" si="92"/>
        <v>1008.8847702256189</v>
      </c>
      <c r="AI38" s="6">
        <f t="shared" si="26"/>
        <v>5.5177695404512381E-6</v>
      </c>
      <c r="AJ38" s="8">
        <f t="shared" si="27"/>
        <v>27.491174857594615</v>
      </c>
      <c r="AK38" s="7">
        <f t="shared" si="28"/>
        <v>1.3809286216341065E-2</v>
      </c>
      <c r="AL38" s="9">
        <f t="shared" si="29"/>
        <v>0.20063256767203141</v>
      </c>
      <c r="AM38" s="4">
        <f t="shared" si="93"/>
        <v>1004.9851470346679</v>
      </c>
      <c r="AN38" s="6">
        <f t="shared" si="30"/>
        <v>5.5099702940693362E-6</v>
      </c>
      <c r="AO38" s="8">
        <f t="shared" si="31"/>
        <v>27.44632919089868</v>
      </c>
      <c r="AP38" s="7">
        <f t="shared" si="32"/>
        <v>1.3789767092758632E-2</v>
      </c>
      <c r="AQ38" s="9">
        <f t="shared" si="33"/>
        <v>0.20096038933428681</v>
      </c>
      <c r="AR38" s="4">
        <f t="shared" si="94"/>
        <v>1000.485592222585</v>
      </c>
      <c r="AS38" s="6">
        <f t="shared" si="34"/>
        <v>5.5009711844451709E-6</v>
      </c>
      <c r="AT38" s="8">
        <f t="shared" si="35"/>
        <v>27.394584310559726</v>
      </c>
      <c r="AU38" s="7">
        <f t="shared" si="36"/>
        <v>1.3767245079183893E-2</v>
      </c>
      <c r="AV38" s="9">
        <f t="shared" si="37"/>
        <v>0.20133997791212715</v>
      </c>
      <c r="AW38" s="4">
        <f t="shared" si="95"/>
        <v>995.38610584081448</v>
      </c>
      <c r="AX38" s="6">
        <f t="shared" si="38"/>
        <v>5.4907722116816295E-6</v>
      </c>
      <c r="AY38" s="8">
        <f t="shared" si="39"/>
        <v>27.335940217169366</v>
      </c>
      <c r="AZ38" s="7">
        <f t="shared" si="40"/>
        <v>1.3741720175874342E-2</v>
      </c>
      <c r="BA38" s="9">
        <f t="shared" si="41"/>
        <v>0.20177191478256543</v>
      </c>
      <c r="BB38" s="4">
        <f t="shared" si="96"/>
        <v>989.68668790100912</v>
      </c>
      <c r="BC38" s="6">
        <f t="shared" si="42"/>
        <v>5.4793733758020183E-6</v>
      </c>
      <c r="BD38" s="8">
        <f t="shared" si="43"/>
        <v>27.270396910861606</v>
      </c>
      <c r="BE38" s="7">
        <f t="shared" si="44"/>
        <v>1.3713192382888305E-2</v>
      </c>
      <c r="BF38" s="9">
        <f t="shared" si="45"/>
        <v>0.20225686549516869</v>
      </c>
      <c r="BG38" s="4">
        <f t="shared" si="97"/>
        <v>983.38733840973669</v>
      </c>
      <c r="BH38" s="6">
        <f t="shared" si="46"/>
        <v>5.4667746768194738E-6</v>
      </c>
      <c r="BI38" s="8">
        <f t="shared" si="47"/>
        <v>27.197954391711971</v>
      </c>
      <c r="BJ38" s="7">
        <f t="shared" si="48"/>
        <v>1.3681661700258661E-2</v>
      </c>
      <c r="BK38" s="9">
        <f t="shared" si="49"/>
        <v>0.2027955823648552</v>
      </c>
      <c r="BL38" s="4">
        <f t="shared" si="98"/>
        <v>976.48805737089947</v>
      </c>
      <c r="BM38" s="6">
        <f t="shared" si="50"/>
        <v>5.4529761147417989E-6</v>
      </c>
      <c r="BN38" s="8">
        <f t="shared" si="51"/>
        <v>27.118612659765343</v>
      </c>
      <c r="BO38" s="7">
        <f t="shared" si="52"/>
        <v>1.3647128128004938E-2</v>
      </c>
      <c r="BP38" s="9">
        <f t="shared" si="53"/>
        <v>0.20338890743416543</v>
      </c>
      <c r="BQ38" s="4">
        <f t="shared" si="99"/>
        <v>968.98884476267449</v>
      </c>
      <c r="BR38" s="6">
        <f t="shared" si="54"/>
        <v>5.4379776895253494E-6</v>
      </c>
      <c r="BS38" s="8">
        <f t="shared" si="55"/>
        <v>27.032371714770754</v>
      </c>
      <c r="BT38" s="7">
        <f t="shared" si="56"/>
        <v>1.3609591666017908E-2</v>
      </c>
      <c r="BU38" s="9">
        <f t="shared" si="57"/>
        <v>0.20403777582661045</v>
      </c>
      <c r="BV38" s="4">
        <f t="shared" si="100"/>
        <v>960.88969945593033</v>
      </c>
      <c r="BW38" s="6">
        <f t="shared" si="58"/>
        <v>5.421779398911861E-6</v>
      </c>
      <c r="BX38" s="8">
        <f t="shared" si="59"/>
        <v>26.939231543743198</v>
      </c>
      <c r="BY38" s="7">
        <f t="shared" si="60"/>
        <v>1.3569052308645827E-2</v>
      </c>
      <c r="BZ38" s="9">
        <f t="shared" si="61"/>
        <v>0.20474321960683536</v>
      </c>
      <c r="CA38" s="4">
        <f t="shared" si="101"/>
        <v>952.19057964553792</v>
      </c>
      <c r="CB38" s="6">
        <f t="shared" si="62"/>
        <v>5.4043811592910763E-6</v>
      </c>
      <c r="CC38" s="8">
        <f t="shared" si="63"/>
        <v>26.839191665923686</v>
      </c>
      <c r="CD38" s="7">
        <f t="shared" si="64"/>
        <v>1.3525509846637845E-2</v>
      </c>
      <c r="CE38" s="9">
        <f t="shared" si="65"/>
        <v>0.20550637547713108</v>
      </c>
      <c r="CF38" s="4">
        <f t="shared" si="102"/>
        <v>942.89025153660771</v>
      </c>
      <c r="CG38" s="6">
        <f t="shared" si="66"/>
        <v>5.3857805030732161E-6</v>
      </c>
      <c r="CH38" s="8">
        <f t="shared" si="67"/>
        <v>26.732237892670987</v>
      </c>
      <c r="CI38" s="7">
        <f t="shared" si="68"/>
        <v>1.3478958104372947E-2</v>
      </c>
      <c r="CJ38" s="9">
        <f t="shared" si="69"/>
        <v>0.20632859179785262</v>
      </c>
      <c r="CK38" s="4">
        <f t="shared" si="103"/>
        <v>932.96033743534372</v>
      </c>
      <c r="CL38" s="6">
        <f t="shared" si="70"/>
        <v>5.3659206748706872E-6</v>
      </c>
      <c r="CM38" s="8">
        <f t="shared" si="71"/>
        <v>26.618043880506452</v>
      </c>
      <c r="CN38" s="7">
        <f t="shared" si="72"/>
        <v>1.342925504050891E-2</v>
      </c>
      <c r="CO38" s="9">
        <f t="shared" si="73"/>
        <v>0.20721376164081431</v>
      </c>
      <c r="CP38" s="4">
        <f t="shared" si="104"/>
        <v>921.91158407707212</v>
      </c>
      <c r="CQ38" s="6">
        <f t="shared" si="74"/>
        <v>5.3438231681541453E-6</v>
      </c>
      <c r="CR38" s="8">
        <f t="shared" si="75"/>
        <v>26.490983216886328</v>
      </c>
      <c r="CS38" s="7">
        <f t="shared" si="76"/>
        <v>1.3373951753070181E-2</v>
      </c>
      <c r="CT38" s="9">
        <f t="shared" si="77"/>
        <v>0.20820763634337805</v>
      </c>
      <c r="CU38" s="4">
        <f t="shared" si="105"/>
        <v>903.82949814330289</v>
      </c>
      <c r="CV38" s="6">
        <f t="shared" si="78"/>
        <v>5.3076589962866054E-6</v>
      </c>
      <c r="CW38" s="8">
        <f t="shared" si="79"/>
        <v>26.283039228647983</v>
      </c>
      <c r="CX38" s="7">
        <f t="shared" si="80"/>
        <v>1.3283443913546501E-2</v>
      </c>
      <c r="CY38" s="9">
        <f t="shared" si="81"/>
        <v>0.20985491639749485</v>
      </c>
      <c r="CZ38" s="5">
        <f t="shared" si="106"/>
        <v>834.85011465827233</v>
      </c>
      <c r="DA38" s="6">
        <f t="shared" si="82"/>
        <v>5.1697002293165452E-6</v>
      </c>
      <c r="DB38" s="8">
        <f t="shared" si="83"/>
        <v>25.489776318570129</v>
      </c>
      <c r="DC38" s="7">
        <f t="shared" si="84"/>
        <v>1.2938175397857956E-2</v>
      </c>
      <c r="DD38" s="9">
        <f t="shared" si="85"/>
        <v>0.21638577487169583</v>
      </c>
    </row>
    <row r="39" spans="2:108" x14ac:dyDescent="0.25">
      <c r="B39">
        <v>20</v>
      </c>
      <c r="C39">
        <f t="shared" si="86"/>
        <v>1.9552293326905029E-2</v>
      </c>
      <c r="D39" s="4">
        <f t="shared" si="3"/>
        <v>1019.6843669074756</v>
      </c>
      <c r="E39" s="6">
        <f t="shared" si="4"/>
        <v>5.5393687338149522E-6</v>
      </c>
      <c r="F39" s="8">
        <f t="shared" si="5"/>
        <v>27.615370219435967</v>
      </c>
      <c r="G39" s="7">
        <f t="shared" si="1"/>
        <v>1.3863342378167866E-2</v>
      </c>
      <c r="H39" s="9">
        <f t="shared" si="6"/>
        <v>0.19973025732307761</v>
      </c>
      <c r="I39" s="4">
        <f t="shared" si="87"/>
        <v>1019.368379639187</v>
      </c>
      <c r="J39" s="6">
        <f t="shared" si="7"/>
        <v>5.5387367592783749E-6</v>
      </c>
      <c r="K39" s="8">
        <f t="shared" si="8"/>
        <v>27.61173636585065</v>
      </c>
      <c r="L39" s="7">
        <f t="shared" si="9"/>
        <v>1.3861760739574035E-2</v>
      </c>
      <c r="M39" s="9">
        <f t="shared" si="10"/>
        <v>0.19975654290331252</v>
      </c>
      <c r="N39" s="4">
        <f t="shared" si="88"/>
        <v>1018.4673653082262</v>
      </c>
      <c r="O39" s="6">
        <f t="shared" si="11"/>
        <v>5.5369347306164527E-6</v>
      </c>
      <c r="P39" s="8">
        <f t="shared" si="12"/>
        <v>27.601374701044602</v>
      </c>
      <c r="Q39" s="7">
        <f t="shared" si="2"/>
        <v>1.3863342378167866E-2</v>
      </c>
      <c r="R39" s="9">
        <f t="shared" si="13"/>
        <v>0.19983153229651476</v>
      </c>
      <c r="S39" s="4">
        <f t="shared" si="89"/>
        <v>1016.9673111041858</v>
      </c>
      <c r="T39" s="6">
        <f t="shared" si="14"/>
        <v>5.5339346222083727E-6</v>
      </c>
      <c r="U39" s="8">
        <f t="shared" si="15"/>
        <v>27.584124077698135</v>
      </c>
      <c r="V39" s="7">
        <f t="shared" si="16"/>
        <v>1.3849742462122684E-2</v>
      </c>
      <c r="W39" s="9">
        <f t="shared" si="17"/>
        <v>0.19995650340260043</v>
      </c>
      <c r="X39" s="4">
        <f t="shared" si="90"/>
        <v>1014.8675917147216</v>
      </c>
      <c r="Y39" s="6">
        <f t="shared" si="18"/>
        <v>5.5297351834294432E-6</v>
      </c>
      <c r="Z39" s="8">
        <f t="shared" si="19"/>
        <v>27.559977304719297</v>
      </c>
      <c r="AA39" s="7">
        <f t="shared" si="20"/>
        <v>1.3839232553794491E-2</v>
      </c>
      <c r="AB39" s="9">
        <f t="shared" si="21"/>
        <v>0.20013169601034175</v>
      </c>
      <c r="AC39" s="4">
        <f t="shared" si="91"/>
        <v>1012.1678556206742</v>
      </c>
      <c r="AD39" s="6">
        <f t="shared" si="22"/>
        <v>5.5243357112413487E-6</v>
      </c>
      <c r="AE39" s="8">
        <f t="shared" si="23"/>
        <v>27.528930339637753</v>
      </c>
      <c r="AF39" s="7">
        <f t="shared" si="24"/>
        <v>1.3825719329598384E-2</v>
      </c>
      <c r="AG39" s="9">
        <f t="shared" si="25"/>
        <v>0.20035740335534516</v>
      </c>
      <c r="AH39" s="4">
        <f t="shared" si="92"/>
        <v>1008.8681810886462</v>
      </c>
      <c r="AI39" s="6">
        <f t="shared" si="26"/>
        <v>5.5177363621772934E-6</v>
      </c>
      <c r="AJ39" s="8">
        <f t="shared" si="27"/>
        <v>27.490984082519432</v>
      </c>
      <c r="AK39" s="7">
        <f t="shared" si="28"/>
        <v>1.3809203181289002E-2</v>
      </c>
      <c r="AL39" s="9">
        <f t="shared" si="29"/>
        <v>0.20063395997188749</v>
      </c>
      <c r="AM39" s="4">
        <f t="shared" si="93"/>
        <v>1004.9685777459025</v>
      </c>
      <c r="AN39" s="6">
        <f t="shared" si="30"/>
        <v>5.5099371554918049E-6</v>
      </c>
      <c r="AO39" s="8">
        <f t="shared" si="31"/>
        <v>27.446138644077877</v>
      </c>
      <c r="AP39" s="7">
        <f t="shared" si="32"/>
        <v>1.3789684157054527E-2</v>
      </c>
      <c r="AQ39" s="9">
        <f t="shared" si="33"/>
        <v>0.20096178451645766</v>
      </c>
      <c r="AR39" s="4">
        <f t="shared" si="94"/>
        <v>1000.469046371581</v>
      </c>
      <c r="AS39" s="6">
        <f t="shared" si="34"/>
        <v>5.5009380927431628E-6</v>
      </c>
      <c r="AT39" s="8">
        <f t="shared" si="35"/>
        <v>27.39439403327318</v>
      </c>
      <c r="AU39" s="7">
        <f t="shared" si="36"/>
        <v>1.3767162260794856E-2</v>
      </c>
      <c r="AV39" s="9">
        <f t="shared" si="37"/>
        <v>0.20134137638893315</v>
      </c>
      <c r="AW39" s="4">
        <f t="shared" si="95"/>
        <v>995.36958702637446</v>
      </c>
      <c r="AX39" s="6">
        <f t="shared" si="38"/>
        <v>5.4907391740527496E-6</v>
      </c>
      <c r="AY39" s="8">
        <f t="shared" si="39"/>
        <v>27.335750250803308</v>
      </c>
      <c r="AZ39" s="7">
        <f t="shared" si="40"/>
        <v>1.3741637492813773E-2</v>
      </c>
      <c r="BA39" s="9">
        <f t="shared" si="41"/>
        <v>0.20177331697116724</v>
      </c>
      <c r="BB39" s="4">
        <f t="shared" si="96"/>
        <v>989.67019972348839</v>
      </c>
      <c r="BC39" s="6">
        <f t="shared" si="42"/>
        <v>5.4793403994469775E-6</v>
      </c>
      <c r="BD39" s="8">
        <f t="shared" si="43"/>
        <v>27.270207296820118</v>
      </c>
      <c r="BE39" s="7">
        <f t="shared" si="44"/>
        <v>1.3713109853177379E-2</v>
      </c>
      <c r="BF39" s="9">
        <f t="shared" si="45"/>
        <v>0.20225827181897357</v>
      </c>
      <c r="BG39" s="4">
        <f t="shared" si="97"/>
        <v>983.37088447023098</v>
      </c>
      <c r="BH39" s="6">
        <f t="shared" si="46"/>
        <v>5.4667417689404628E-6</v>
      </c>
      <c r="BI39" s="8">
        <f t="shared" si="47"/>
        <v>27.197765171407653</v>
      </c>
      <c r="BJ39" s="7">
        <f t="shared" si="48"/>
        <v>1.3681579341922254E-2</v>
      </c>
      <c r="BK39" s="9">
        <f t="shared" si="49"/>
        <v>0.20279699325437378</v>
      </c>
      <c r="BL39" s="4">
        <f t="shared" si="98"/>
        <v>976.47164127064832</v>
      </c>
      <c r="BM39" s="6">
        <f t="shared" si="50"/>
        <v>5.4529432825412973E-6</v>
      </c>
      <c r="BN39" s="8">
        <f t="shared" si="51"/>
        <v>27.118423874612454</v>
      </c>
      <c r="BO39" s="7">
        <f t="shared" si="52"/>
        <v>1.3647045959068646E-2</v>
      </c>
      <c r="BP39" s="9">
        <f t="shared" si="53"/>
        <v>0.20339032332788268</v>
      </c>
      <c r="BQ39" s="4">
        <f t="shared" si="99"/>
        <v>968.97247008789805</v>
      </c>
      <c r="BR39" s="6">
        <f t="shared" si="54"/>
        <v>5.4379449401757966E-6</v>
      </c>
      <c r="BS39" s="8">
        <f t="shared" si="55"/>
        <v>27.032183406010827</v>
      </c>
      <c r="BT39" s="7">
        <f t="shared" si="56"/>
        <v>1.3609509704432152E-2</v>
      </c>
      <c r="BU39" s="9">
        <f t="shared" si="57"/>
        <v>0.20403919717315752</v>
      </c>
      <c r="BV39" s="4">
        <f t="shared" si="100"/>
        <v>960.87336923452449</v>
      </c>
      <c r="BW39" s="6">
        <f t="shared" si="58"/>
        <v>5.4217467384690496E-6</v>
      </c>
      <c r="BX39" s="8">
        <f t="shared" si="59"/>
        <v>26.939043746197029</v>
      </c>
      <c r="BY39" s="7">
        <f t="shared" si="60"/>
        <v>1.3568970569566401E-2</v>
      </c>
      <c r="BZ39" s="9">
        <f t="shared" si="61"/>
        <v>0.20474464691340938</v>
      </c>
      <c r="CA39" s="4">
        <f t="shared" si="101"/>
        <v>952.17428073519272</v>
      </c>
      <c r="CB39" s="6">
        <f t="shared" si="62"/>
        <v>5.4043485614703857E-6</v>
      </c>
      <c r="CC39" s="8">
        <f t="shared" si="63"/>
        <v>26.839004228454716</v>
      </c>
      <c r="CD39" s="7">
        <f t="shared" si="64"/>
        <v>1.3525428264282395E-2</v>
      </c>
      <c r="CE39" s="9">
        <f t="shared" si="65"/>
        <v>0.20550781068666973</v>
      </c>
      <c r="CF39" s="4">
        <f t="shared" si="102"/>
        <v>942.87360807700975</v>
      </c>
      <c r="CG39" s="6">
        <f t="shared" si="66"/>
        <v>5.3857472161540204E-6</v>
      </c>
      <c r="CH39" s="8">
        <f t="shared" si="67"/>
        <v>26.732046492885612</v>
      </c>
      <c r="CI39" s="7">
        <f t="shared" si="68"/>
        <v>1.3478874797415115E-2</v>
      </c>
      <c r="CJ39" s="9">
        <f t="shared" si="69"/>
        <v>0.20633006909769935</v>
      </c>
      <c r="CK39" s="4">
        <f t="shared" si="103"/>
        <v>932.93694001072413</v>
      </c>
      <c r="CL39" s="6">
        <f t="shared" si="70"/>
        <v>5.3658738800214493E-6</v>
      </c>
      <c r="CM39" s="8">
        <f t="shared" si="71"/>
        <v>26.617774810123329</v>
      </c>
      <c r="CN39" s="7">
        <f t="shared" si="72"/>
        <v>1.3429137927341744E-2</v>
      </c>
      <c r="CO39" s="9">
        <f t="shared" si="73"/>
        <v>0.20721585629698414</v>
      </c>
      <c r="CP39" s="4">
        <f t="shared" si="104"/>
        <v>921.80626575997155</v>
      </c>
      <c r="CQ39" s="6">
        <f t="shared" si="74"/>
        <v>5.3436125315199433E-6</v>
      </c>
      <c r="CR39" s="8">
        <f t="shared" si="75"/>
        <v>26.489772056239673</v>
      </c>
      <c r="CS39" s="7">
        <f t="shared" si="76"/>
        <v>1.3373424594125246E-2</v>
      </c>
      <c r="CT39" s="9">
        <f t="shared" si="77"/>
        <v>0.20821715597589649</v>
      </c>
      <c r="CU39" s="4">
        <f t="shared" si="105"/>
        <v>903.11818723571093</v>
      </c>
      <c r="CV39" s="6">
        <f t="shared" si="78"/>
        <v>5.3062363744714223E-6</v>
      </c>
      <c r="CW39" s="8">
        <f t="shared" si="79"/>
        <v>26.274859153210677</v>
      </c>
      <c r="CX39" s="7">
        <f t="shared" si="80"/>
        <v>1.3279883527111465E-2</v>
      </c>
      <c r="CY39" s="9">
        <f t="shared" si="81"/>
        <v>0.20992024991791494</v>
      </c>
      <c r="CZ39" s="5">
        <f t="shared" si="106"/>
        <v>832.27980763634309</v>
      </c>
      <c r="DA39" s="6">
        <f t="shared" si="82"/>
        <v>5.1645596152726864E-6</v>
      </c>
      <c r="DB39" s="8">
        <f t="shared" si="83"/>
        <v>25.460217787817946</v>
      </c>
      <c r="DC39" s="7">
        <f t="shared" si="84"/>
        <v>1.2925310016268716E-2</v>
      </c>
      <c r="DD39" s="9">
        <f t="shared" si="85"/>
        <v>0.21663699210927739</v>
      </c>
    </row>
    <row r="40" spans="2:108" x14ac:dyDescent="0.25">
      <c r="B40">
        <v>21</v>
      </c>
      <c r="C40">
        <f t="shared" si="86"/>
        <v>2.0529907993250281E-2</v>
      </c>
      <c r="D40" s="4">
        <f t="shared" si="3"/>
        <v>1019.6682341938185</v>
      </c>
      <c r="E40" s="6">
        <f t="shared" si="4"/>
        <v>5.5393364683876372E-6</v>
      </c>
      <c r="F40" s="8">
        <f t="shared" si="5"/>
        <v>27.615184693228912</v>
      </c>
      <c r="G40" s="7">
        <f t="shared" si="1"/>
        <v>1.3863261627691172E-2</v>
      </c>
      <c r="H40" s="9">
        <f t="shared" si="6"/>
        <v>0.19973159916444086</v>
      </c>
      <c r="I40" s="4">
        <f t="shared" si="87"/>
        <v>1019.351833450172</v>
      </c>
      <c r="J40" s="6">
        <f t="shared" si="7"/>
        <v>5.5387036669003447E-6</v>
      </c>
      <c r="K40" s="8">
        <f t="shared" si="8"/>
        <v>27.611546084676977</v>
      </c>
      <c r="L40" s="7">
        <f t="shared" si="9"/>
        <v>1.3861677919493122E-2</v>
      </c>
      <c r="M40" s="9">
        <f t="shared" si="10"/>
        <v>0.19975791949806443</v>
      </c>
      <c r="N40" s="4">
        <f t="shared" si="88"/>
        <v>1018.4507409007709</v>
      </c>
      <c r="O40" s="6">
        <f t="shared" si="11"/>
        <v>5.5369014818015431E-6</v>
      </c>
      <c r="P40" s="8">
        <f t="shared" si="12"/>
        <v>27.601183520358866</v>
      </c>
      <c r="Q40" s="7">
        <f t="shared" si="2"/>
        <v>1.3863261627691172E-2</v>
      </c>
      <c r="R40" s="9">
        <f t="shared" si="13"/>
        <v>0.1998329164375009</v>
      </c>
      <c r="S40" s="4">
        <f t="shared" si="89"/>
        <v>1016.9506803549767</v>
      </c>
      <c r="T40" s="6">
        <f t="shared" si="14"/>
        <v>5.5339013607099546E-6</v>
      </c>
      <c r="U40" s="8">
        <f t="shared" si="15"/>
        <v>27.583932824082233</v>
      </c>
      <c r="V40" s="7">
        <f t="shared" si="16"/>
        <v>1.3849659218785266E-2</v>
      </c>
      <c r="W40" s="9">
        <f t="shared" si="17"/>
        <v>0.19995788980404447</v>
      </c>
      <c r="X40" s="4">
        <f t="shared" si="90"/>
        <v>1014.8509728349773</v>
      </c>
      <c r="Y40" s="6">
        <f t="shared" si="18"/>
        <v>5.5297019456699551E-6</v>
      </c>
      <c r="Z40" s="8">
        <f t="shared" si="19"/>
        <v>27.559786187602235</v>
      </c>
      <c r="AA40" s="7">
        <f t="shared" si="20"/>
        <v>1.3839149369868341E-2</v>
      </c>
      <c r="AB40" s="9">
        <f t="shared" si="21"/>
        <v>0.2001330838510352</v>
      </c>
      <c r="AC40" s="4">
        <f t="shared" si="91"/>
        <v>1012.1512503090397</v>
      </c>
      <c r="AD40" s="6">
        <f t="shared" si="22"/>
        <v>5.5243025006180799E-6</v>
      </c>
      <c r="AE40" s="8">
        <f t="shared" si="23"/>
        <v>27.528739378553958</v>
      </c>
      <c r="AF40" s="7">
        <f t="shared" si="24"/>
        <v>1.3825636213585875E-2</v>
      </c>
      <c r="AG40" s="9">
        <f t="shared" si="25"/>
        <v>0.20035879319257544</v>
      </c>
      <c r="AH40" s="4">
        <f t="shared" si="92"/>
        <v>1008.8515921414138</v>
      </c>
      <c r="AI40" s="6">
        <f t="shared" si="26"/>
        <v>5.5177031842828279E-6</v>
      </c>
      <c r="AJ40" s="8">
        <f t="shared" si="27"/>
        <v>27.490793309626255</v>
      </c>
      <c r="AK40" s="7">
        <f t="shared" si="28"/>
        <v>1.3809120147186658E-2</v>
      </c>
      <c r="AL40" s="9">
        <f t="shared" si="29"/>
        <v>0.2006353522751427</v>
      </c>
      <c r="AM40" s="4">
        <f t="shared" si="93"/>
        <v>1004.9520086490319</v>
      </c>
      <c r="AN40" s="6">
        <f t="shared" si="30"/>
        <v>5.5099040172980641E-6</v>
      </c>
      <c r="AO40" s="8">
        <f t="shared" si="31"/>
        <v>27.445948099463866</v>
      </c>
      <c r="AP40" s="7">
        <f t="shared" si="32"/>
        <v>1.378960122231093E-2</v>
      </c>
      <c r="AQ40" s="9">
        <f t="shared" si="33"/>
        <v>0.20096317970184252</v>
      </c>
      <c r="AR40" s="4">
        <f t="shared" si="94"/>
        <v>1000.4525007132155</v>
      </c>
      <c r="AS40" s="6">
        <f t="shared" si="34"/>
        <v>5.5009050014264319E-6</v>
      </c>
      <c r="AT40" s="8">
        <f t="shared" si="35"/>
        <v>27.394203758201975</v>
      </c>
      <c r="AU40" s="7">
        <f t="shared" si="36"/>
        <v>1.3767079443370051E-2</v>
      </c>
      <c r="AV40" s="9">
        <f t="shared" si="37"/>
        <v>0.20134277486888413</v>
      </c>
      <c r="AW40" s="4">
        <f t="shared" si="95"/>
        <v>995.35306840498185</v>
      </c>
      <c r="AX40" s="6">
        <f t="shared" si="38"/>
        <v>5.4907061368099643E-6</v>
      </c>
      <c r="AY40" s="8">
        <f t="shared" si="39"/>
        <v>27.335560286657291</v>
      </c>
      <c r="AZ40" s="7">
        <f t="shared" si="40"/>
        <v>1.3741554810719482E-2</v>
      </c>
      <c r="BA40" s="9">
        <f t="shared" si="41"/>
        <v>0.20177471916287085</v>
      </c>
      <c r="BB40" s="4">
        <f t="shared" si="96"/>
        <v>989.65371173923427</v>
      </c>
      <c r="BC40" s="6">
        <f t="shared" si="42"/>
        <v>5.4793074234784691E-6</v>
      </c>
      <c r="BD40" s="8">
        <f t="shared" si="43"/>
        <v>27.270017685001193</v>
      </c>
      <c r="BE40" s="7">
        <f t="shared" si="44"/>
        <v>1.3713027324433826E-2</v>
      </c>
      <c r="BF40" s="9">
        <f t="shared" si="45"/>
        <v>0.20225967814585077</v>
      </c>
      <c r="BG40" s="4">
        <f t="shared" si="97"/>
        <v>983.35443072405997</v>
      </c>
      <c r="BH40" s="6">
        <f t="shared" si="46"/>
        <v>5.4667088614481206E-6</v>
      </c>
      <c r="BI40" s="8">
        <f t="shared" si="47"/>
        <v>27.197575953326691</v>
      </c>
      <c r="BJ40" s="7">
        <f t="shared" si="48"/>
        <v>1.368149698455356E-2</v>
      </c>
      <c r="BK40" s="9">
        <f t="shared" si="49"/>
        <v>0.20279840414694578</v>
      </c>
      <c r="BL40" s="4">
        <f t="shared" si="98"/>
        <v>976.45522536346596</v>
      </c>
      <c r="BM40" s="6">
        <f t="shared" si="50"/>
        <v>5.4529104507269325E-6</v>
      </c>
      <c r="BN40" s="8">
        <f t="shared" si="51"/>
        <v>27.118235091679857</v>
      </c>
      <c r="BO40" s="7">
        <f t="shared" si="52"/>
        <v>1.3646963791098738E-2</v>
      </c>
      <c r="BP40" s="9">
        <f t="shared" si="53"/>
        <v>0.203391739224661</v>
      </c>
      <c r="BQ40" s="4">
        <f t="shared" si="99"/>
        <v>968.95609559811044</v>
      </c>
      <c r="BR40" s="6">
        <f t="shared" si="54"/>
        <v>5.4379121911962219E-6</v>
      </c>
      <c r="BS40" s="8">
        <f t="shared" si="55"/>
        <v>27.031995099378271</v>
      </c>
      <c r="BT40" s="7">
        <f t="shared" si="56"/>
        <v>1.3609427743772337E-2</v>
      </c>
      <c r="BU40" s="9">
        <f t="shared" si="57"/>
        <v>0.20404061852344957</v>
      </c>
      <c r="BV40" s="4">
        <f t="shared" si="100"/>
        <v>960.85703896943028</v>
      </c>
      <c r="BW40" s="6">
        <f t="shared" si="58"/>
        <v>5.4217140779388609E-6</v>
      </c>
      <c r="BX40" s="8">
        <f t="shared" si="59"/>
        <v>26.938855948148447</v>
      </c>
      <c r="BY40" s="7">
        <f t="shared" si="60"/>
        <v>1.3568888830268295E-2</v>
      </c>
      <c r="BZ40" s="9">
        <f t="shared" si="61"/>
        <v>0.20474607424370217</v>
      </c>
      <c r="CA40" s="4">
        <f t="shared" si="101"/>
        <v>952.1579766813486</v>
      </c>
      <c r="CB40" s="6">
        <f t="shared" si="62"/>
        <v>5.4043159533626976E-6</v>
      </c>
      <c r="CC40" s="8">
        <f t="shared" si="63"/>
        <v>26.838816731835507</v>
      </c>
      <c r="CD40" s="7">
        <f t="shared" si="64"/>
        <v>1.3525346656181741E-2</v>
      </c>
      <c r="CE40" s="9">
        <f t="shared" si="65"/>
        <v>0.205509246369178</v>
      </c>
      <c r="CF40" s="4">
        <f t="shared" si="102"/>
        <v>942.85687502795463</v>
      </c>
      <c r="CG40" s="6">
        <f t="shared" si="66"/>
        <v>5.3857137500559093E-6</v>
      </c>
      <c r="CH40" s="8">
        <f t="shared" si="67"/>
        <v>26.731854062821476</v>
      </c>
      <c r="CI40" s="7">
        <f t="shared" si="68"/>
        <v>1.3478791042027366E-2</v>
      </c>
      <c r="CJ40" s="9">
        <f t="shared" si="69"/>
        <v>0.20633155437097431</v>
      </c>
      <c r="CK40" s="4">
        <f t="shared" si="103"/>
        <v>932.91249441836374</v>
      </c>
      <c r="CL40" s="6">
        <f t="shared" si="70"/>
        <v>5.3658249888367279E-6</v>
      </c>
      <c r="CM40" s="8">
        <f t="shared" si="71"/>
        <v>26.617493685811183</v>
      </c>
      <c r="CN40" s="7">
        <f t="shared" si="72"/>
        <v>1.3429015567689292E-2</v>
      </c>
      <c r="CO40" s="9">
        <f t="shared" si="73"/>
        <v>0.20721804483568559</v>
      </c>
      <c r="CP40" s="4">
        <f t="shared" si="104"/>
        <v>921.69365402435278</v>
      </c>
      <c r="CQ40" s="6">
        <f t="shared" si="74"/>
        <v>5.3433873080487057E-6</v>
      </c>
      <c r="CR40" s="8">
        <f t="shared" si="75"/>
        <v>26.488477021280055</v>
      </c>
      <c r="CS40" s="7">
        <f t="shared" si="76"/>
        <v>1.3372860928797404E-2</v>
      </c>
      <c r="CT40" s="9">
        <f t="shared" si="77"/>
        <v>0.2082273358173409</v>
      </c>
      <c r="CU40" s="4">
        <f t="shared" si="105"/>
        <v>902.38928259430349</v>
      </c>
      <c r="CV40" s="6">
        <f t="shared" si="78"/>
        <v>5.3047785651886076E-6</v>
      </c>
      <c r="CW40" s="8">
        <f t="shared" si="79"/>
        <v>26.266476749834489</v>
      </c>
      <c r="CX40" s="7">
        <f t="shared" si="80"/>
        <v>1.3276235077228292E-2</v>
      </c>
      <c r="CY40" s="9">
        <f t="shared" si="81"/>
        <v>0.20998724162861909</v>
      </c>
      <c r="CZ40" s="5">
        <f t="shared" si="106"/>
        <v>829.77213609218461</v>
      </c>
      <c r="DA40" s="6">
        <f t="shared" si="82"/>
        <v>5.1595442721843703E-6</v>
      </c>
      <c r="DB40" s="8">
        <f t="shared" si="83"/>
        <v>25.431379565060123</v>
      </c>
      <c r="DC40" s="7">
        <f t="shared" si="84"/>
        <v>1.2912758149491395E-2</v>
      </c>
      <c r="DD40" s="9">
        <f t="shared" si="85"/>
        <v>0.21688265026636042</v>
      </c>
    </row>
    <row r="41" spans="2:108" x14ac:dyDescent="0.25">
      <c r="B41">
        <v>22</v>
      </c>
      <c r="C41">
        <f t="shared" si="86"/>
        <v>2.1507522659595532E-2</v>
      </c>
      <c r="D41" s="4">
        <f t="shared" si="3"/>
        <v>1019.6520803701984</v>
      </c>
      <c r="E41" s="6">
        <f t="shared" si="4"/>
        <v>5.5393041607403969E-6</v>
      </c>
      <c r="F41" s="8">
        <f t="shared" si="5"/>
        <v>27.614998924257279</v>
      </c>
      <c r="G41" s="7">
        <f t="shared" si="1"/>
        <v>1.386318077155094E-2</v>
      </c>
      <c r="H41" s="9">
        <f t="shared" si="6"/>
        <v>0.19973294277969436</v>
      </c>
      <c r="I41" s="4">
        <f t="shared" si="87"/>
        <v>1019.3352885971683</v>
      </c>
      <c r="J41" s="6">
        <f t="shared" si="7"/>
        <v>5.5386705771943368E-6</v>
      </c>
      <c r="K41" s="8">
        <f t="shared" si="8"/>
        <v>27.611355818867434</v>
      </c>
      <c r="L41" s="7">
        <f t="shared" si="9"/>
        <v>1.3861595106099463E-2</v>
      </c>
      <c r="M41" s="9">
        <f t="shared" si="10"/>
        <v>0.19975929600063516</v>
      </c>
      <c r="N41" s="4">
        <f t="shared" si="88"/>
        <v>1018.434117295925</v>
      </c>
      <c r="O41" s="6">
        <f t="shared" si="11"/>
        <v>5.5368682345918508E-6</v>
      </c>
      <c r="P41" s="8">
        <f t="shared" si="12"/>
        <v>27.600992348903137</v>
      </c>
      <c r="Q41" s="7">
        <f t="shared" si="2"/>
        <v>1.386318077155094E-2</v>
      </c>
      <c r="R41" s="9">
        <f t="shared" si="13"/>
        <v>0.19983430053083548</v>
      </c>
      <c r="S41" s="4">
        <f t="shared" si="89"/>
        <v>1016.9340499680022</v>
      </c>
      <c r="T41" s="6">
        <f t="shared" si="14"/>
        <v>5.5338680999360054E-6</v>
      </c>
      <c r="U41" s="8">
        <f t="shared" si="15"/>
        <v>27.583741574632025</v>
      </c>
      <c r="V41" s="7">
        <f t="shared" si="16"/>
        <v>1.3849575977260975E-2</v>
      </c>
      <c r="W41" s="9">
        <f t="shared" si="17"/>
        <v>0.19995927619451603</v>
      </c>
      <c r="X41" s="4">
        <f t="shared" si="90"/>
        <v>1014.8343541226815</v>
      </c>
      <c r="Y41" s="6">
        <f t="shared" si="18"/>
        <v>5.5296687082453636E-6</v>
      </c>
      <c r="Z41" s="8">
        <f t="shared" si="19"/>
        <v>27.559595072410836</v>
      </c>
      <c r="AA41" s="7">
        <f t="shared" si="20"/>
        <v>1.3839066186780337E-2</v>
      </c>
      <c r="AB41" s="9">
        <f t="shared" si="21"/>
        <v>0.20013447169699322</v>
      </c>
      <c r="AC41" s="4">
        <f t="shared" si="91"/>
        <v>1012.1346451773368</v>
      </c>
      <c r="AD41" s="6">
        <f t="shared" si="22"/>
        <v>5.5242692903546738E-6</v>
      </c>
      <c r="AE41" s="8">
        <f t="shared" si="23"/>
        <v>27.528548419539373</v>
      </c>
      <c r="AF41" s="7">
        <f t="shared" si="24"/>
        <v>1.3825553098473994E-2</v>
      </c>
      <c r="AG41" s="9">
        <f t="shared" si="25"/>
        <v>0.20036018303402761</v>
      </c>
      <c r="AH41" s="4">
        <f t="shared" si="92"/>
        <v>1008.8350033838279</v>
      </c>
      <c r="AI41" s="6">
        <f t="shared" si="26"/>
        <v>5.517670006767657E-6</v>
      </c>
      <c r="AJ41" s="8">
        <f t="shared" si="27"/>
        <v>27.490602538914018</v>
      </c>
      <c r="AK41" s="7">
        <f t="shared" si="28"/>
        <v>1.3809037114033572E-2</v>
      </c>
      <c r="AL41" s="9">
        <f t="shared" si="29"/>
        <v>0.20063674458180455</v>
      </c>
      <c r="AM41" s="4">
        <f t="shared" si="93"/>
        <v>1004.9354397440371</v>
      </c>
      <c r="AN41" s="6">
        <f t="shared" si="30"/>
        <v>5.5098708794880751E-6</v>
      </c>
      <c r="AO41" s="8">
        <f t="shared" si="31"/>
        <v>27.445757557056425</v>
      </c>
      <c r="AP41" s="7">
        <f t="shared" si="32"/>
        <v>1.3789518288527747E-2</v>
      </c>
      <c r="AQ41" s="9">
        <f t="shared" si="33"/>
        <v>0.20096457489044273</v>
      </c>
      <c r="AR41" s="4">
        <f t="shared" si="94"/>
        <v>1000.4359552474824</v>
      </c>
      <c r="AS41" s="6">
        <f t="shared" si="34"/>
        <v>5.5008719104949655E-6</v>
      </c>
      <c r="AT41" s="8">
        <f t="shared" si="35"/>
        <v>27.394013485346047</v>
      </c>
      <c r="AU41" s="7">
        <f t="shared" si="36"/>
        <v>1.3766996626909443E-2</v>
      </c>
      <c r="AV41" s="9">
        <f t="shared" si="37"/>
        <v>0.20134417335198029</v>
      </c>
      <c r="AW41" s="4">
        <f t="shared" si="95"/>
        <v>995.33654997663223</v>
      </c>
      <c r="AX41" s="6">
        <f t="shared" si="38"/>
        <v>5.490673099953265E-6</v>
      </c>
      <c r="AY41" s="8">
        <f t="shared" si="39"/>
        <v>27.335370324731272</v>
      </c>
      <c r="AZ41" s="7">
        <f t="shared" si="40"/>
        <v>1.3741472129591445E-2</v>
      </c>
      <c r="BA41" s="9">
        <f t="shared" si="41"/>
        <v>0.20177612135767628</v>
      </c>
      <c r="BB41" s="4">
        <f t="shared" si="96"/>
        <v>989.63722394824254</v>
      </c>
      <c r="BC41" s="6">
        <f t="shared" si="42"/>
        <v>5.4792744478964856E-6</v>
      </c>
      <c r="BD41" s="8">
        <f t="shared" si="43"/>
        <v>27.269828075404789</v>
      </c>
      <c r="BE41" s="7">
        <f t="shared" si="44"/>
        <v>1.3712944796657625E-2</v>
      </c>
      <c r="BF41" s="9">
        <f t="shared" si="45"/>
        <v>0.20226108447580035</v>
      </c>
      <c r="BG41" s="4">
        <f t="shared" si="97"/>
        <v>983.33797717121672</v>
      </c>
      <c r="BH41" s="6">
        <f t="shared" si="46"/>
        <v>5.4666759543424346E-6</v>
      </c>
      <c r="BI41" s="8">
        <f t="shared" si="47"/>
        <v>27.197386737468989</v>
      </c>
      <c r="BJ41" s="7">
        <f t="shared" si="48"/>
        <v>1.3681414628152545E-2</v>
      </c>
      <c r="BK41" s="9">
        <f t="shared" si="49"/>
        <v>0.20279981504257158</v>
      </c>
      <c r="BL41" s="4">
        <f t="shared" si="98"/>
        <v>976.43880964923835</v>
      </c>
      <c r="BM41" s="6">
        <f t="shared" si="50"/>
        <v>5.4528776192984768E-6</v>
      </c>
      <c r="BN41" s="8">
        <f t="shared" si="51"/>
        <v>27.118046310966243</v>
      </c>
      <c r="BO41" s="7">
        <f t="shared" si="52"/>
        <v>1.3646881624094642E-2</v>
      </c>
      <c r="BP41" s="9">
        <f t="shared" si="53"/>
        <v>0.20339315512450989</v>
      </c>
      <c r="BQ41" s="4">
        <f t="shared" si="99"/>
        <v>968.9397212901747</v>
      </c>
      <c r="BR41" s="6">
        <f t="shared" si="54"/>
        <v>5.4378794425803495E-6</v>
      </c>
      <c r="BS41" s="8">
        <f t="shared" si="55"/>
        <v>27.03180679483701</v>
      </c>
      <c r="BT41" s="7">
        <f t="shared" si="56"/>
        <v>1.3609345784022758E-2</v>
      </c>
      <c r="BU41" s="9">
        <f t="shared" si="57"/>
        <v>0.20404203987775862</v>
      </c>
      <c r="BV41" s="4">
        <f t="shared" si="100"/>
        <v>960.84070859176552</v>
      </c>
      <c r="BW41" s="6">
        <f t="shared" si="58"/>
        <v>5.4216814171835308E-6</v>
      </c>
      <c r="BX41" s="8">
        <f t="shared" si="59"/>
        <v>26.938668148805302</v>
      </c>
      <c r="BY41" s="7">
        <f t="shared" si="60"/>
        <v>1.3568807090406726E-2</v>
      </c>
      <c r="BZ41" s="9">
        <f t="shared" si="61"/>
        <v>0.20474750160373506</v>
      </c>
      <c r="CA41" s="4">
        <f t="shared" si="101"/>
        <v>952.14166636693597</v>
      </c>
      <c r="CB41" s="6">
        <f t="shared" si="62"/>
        <v>5.4042833327338721E-6</v>
      </c>
      <c r="CC41" s="8">
        <f t="shared" si="63"/>
        <v>26.838629163219764</v>
      </c>
      <c r="CD41" s="7">
        <f t="shared" si="64"/>
        <v>1.3525265016744519E-2</v>
      </c>
      <c r="CE41" s="9">
        <f t="shared" si="65"/>
        <v>0.2055106826230429</v>
      </c>
      <c r="CF41" s="4">
        <f t="shared" si="102"/>
        <v>942.84004012684295</v>
      </c>
      <c r="CG41" s="6">
        <f t="shared" si="66"/>
        <v>5.3856800802536869E-6</v>
      </c>
      <c r="CH41" s="8">
        <f t="shared" si="67"/>
        <v>26.731660461458695</v>
      </c>
      <c r="CI41" s="7">
        <f t="shared" si="68"/>
        <v>1.3478706776830655E-2</v>
      </c>
      <c r="CJ41" s="9">
        <f t="shared" si="69"/>
        <v>0.20633304870650834</v>
      </c>
      <c r="CK41" s="4">
        <f t="shared" si="103"/>
        <v>932.88692655891418</v>
      </c>
      <c r="CL41" s="6">
        <f t="shared" si="70"/>
        <v>5.3657738531178293E-6</v>
      </c>
      <c r="CM41" s="8">
        <f t="shared" si="71"/>
        <v>26.617199655427513</v>
      </c>
      <c r="CN41" s="7">
        <f t="shared" si="72"/>
        <v>1.3428887590655645E-2</v>
      </c>
      <c r="CO41" s="9">
        <f t="shared" si="73"/>
        <v>0.20722033389696984</v>
      </c>
      <c r="CP41" s="4">
        <f t="shared" si="104"/>
        <v>921.57368842638982</v>
      </c>
      <c r="CQ41" s="6">
        <f t="shared" si="74"/>
        <v>5.3431473768527805E-6</v>
      </c>
      <c r="CR41" s="8">
        <f t="shared" si="75"/>
        <v>26.487097416903481</v>
      </c>
      <c r="CS41" s="7">
        <f t="shared" si="76"/>
        <v>1.3372260454541917E-2</v>
      </c>
      <c r="CT41" s="9">
        <f t="shared" si="77"/>
        <v>0.20823818152607579</v>
      </c>
      <c r="CU41" s="4">
        <f t="shared" si="105"/>
        <v>901.64402295208629</v>
      </c>
      <c r="CV41" s="6">
        <f t="shared" si="78"/>
        <v>5.3032880459041724E-6</v>
      </c>
      <c r="CW41" s="8">
        <f t="shared" si="79"/>
        <v>26.257906263948989</v>
      </c>
      <c r="CX41" s="7">
        <f t="shared" si="80"/>
        <v>1.3272504764235183E-2</v>
      </c>
      <c r="CY41" s="9">
        <f t="shared" si="81"/>
        <v>0.21005578070680841</v>
      </c>
      <c r="CZ41" s="5">
        <f t="shared" si="106"/>
        <v>827.32458754977824</v>
      </c>
      <c r="DA41" s="6">
        <f t="shared" si="82"/>
        <v>5.1546491750995568E-6</v>
      </c>
      <c r="DB41" s="8">
        <f t="shared" si="83"/>
        <v>25.403232756822447</v>
      </c>
      <c r="DC41" s="7">
        <f t="shared" si="84"/>
        <v>1.2900507221610954E-2</v>
      </c>
      <c r="DD41" s="9">
        <f t="shared" si="85"/>
        <v>0.21712295646776256</v>
      </c>
    </row>
    <row r="42" spans="2:108" x14ac:dyDescent="0.25">
      <c r="B42">
        <v>23</v>
      </c>
      <c r="C42">
        <f t="shared" si="86"/>
        <v>2.2485137325940784E-2</v>
      </c>
      <c r="D42" s="4">
        <f t="shared" si="3"/>
        <v>1019.6359065825933</v>
      </c>
      <c r="E42" s="6">
        <f t="shared" si="4"/>
        <v>5.5392718131651873E-6</v>
      </c>
      <c r="F42" s="8">
        <f t="shared" si="5"/>
        <v>27.614812925699823</v>
      </c>
      <c r="G42" s="7">
        <f t="shared" si="1"/>
        <v>1.386309981548324E-2</v>
      </c>
      <c r="H42" s="9">
        <f t="shared" si="6"/>
        <v>0.19973428807358909</v>
      </c>
      <c r="I42" s="4">
        <f t="shared" si="87"/>
        <v>1019.3187449136035</v>
      </c>
      <c r="J42" s="6">
        <f t="shared" si="7"/>
        <v>5.538637489827207E-6</v>
      </c>
      <c r="K42" s="8">
        <f t="shared" si="8"/>
        <v>27.61116556650644</v>
      </c>
      <c r="L42" s="7">
        <f t="shared" si="9"/>
        <v>1.3861512298559298E-2</v>
      </c>
      <c r="M42" s="9">
        <f t="shared" si="10"/>
        <v>0.1997606724248793</v>
      </c>
      <c r="N42" s="4">
        <f t="shared" si="88"/>
        <v>1018.4174944915882</v>
      </c>
      <c r="O42" s="6">
        <f t="shared" si="11"/>
        <v>5.5368349889831769E-6</v>
      </c>
      <c r="P42" s="8">
        <f t="shared" si="12"/>
        <v>27.600801186653264</v>
      </c>
      <c r="Q42" s="7">
        <f t="shared" si="2"/>
        <v>1.386309981548324E-2</v>
      </c>
      <c r="R42" s="9">
        <f t="shared" si="13"/>
        <v>0.19983568457669099</v>
      </c>
      <c r="S42" s="4">
        <f t="shared" si="89"/>
        <v>1016.9174199453162</v>
      </c>
      <c r="T42" s="6">
        <f t="shared" si="14"/>
        <v>5.5338348398906324E-6</v>
      </c>
      <c r="U42" s="8">
        <f t="shared" si="15"/>
        <v>27.583550329371135</v>
      </c>
      <c r="V42" s="7">
        <f t="shared" si="16"/>
        <v>1.3849492737560086E-2</v>
      </c>
      <c r="W42" s="9">
        <f t="shared" si="17"/>
        <v>0.1999606625738431</v>
      </c>
      <c r="X42" s="4">
        <f t="shared" si="90"/>
        <v>1014.8177355803862</v>
      </c>
      <c r="Y42" s="6">
        <f t="shared" si="18"/>
        <v>5.5296354711607728E-6</v>
      </c>
      <c r="Z42" s="8">
        <f t="shared" si="19"/>
        <v>27.559403959174439</v>
      </c>
      <c r="AA42" s="7">
        <f t="shared" si="20"/>
        <v>1.3838983004543247E-2</v>
      </c>
      <c r="AB42" s="9">
        <f t="shared" si="21"/>
        <v>0.2001358595480025</v>
      </c>
      <c r="AC42" s="4">
        <f t="shared" si="91"/>
        <v>1012.1180402255559</v>
      </c>
      <c r="AD42" s="6">
        <f t="shared" si="22"/>
        <v>5.524236080451112E-6</v>
      </c>
      <c r="AE42" s="8">
        <f t="shared" si="23"/>
        <v>27.528357462593892</v>
      </c>
      <c r="AF42" s="7">
        <f t="shared" si="24"/>
        <v>1.382546998426269E-2</v>
      </c>
      <c r="AG42" s="9">
        <f t="shared" si="25"/>
        <v>0.20036157287970219</v>
      </c>
      <c r="AH42" s="4">
        <f t="shared" si="92"/>
        <v>1008.8184148157969</v>
      </c>
      <c r="AI42" s="6">
        <f t="shared" si="26"/>
        <v>5.5176368296315943E-6</v>
      </c>
      <c r="AJ42" s="8">
        <f t="shared" si="27"/>
        <v>27.490411770381662</v>
      </c>
      <c r="AK42" s="7">
        <f t="shared" si="28"/>
        <v>1.3808954081829278E-2</v>
      </c>
      <c r="AL42" s="9">
        <f t="shared" si="29"/>
        <v>0.20063813689188054</v>
      </c>
      <c r="AM42" s="4">
        <f t="shared" si="93"/>
        <v>1004.9188710308987</v>
      </c>
      <c r="AN42" s="6">
        <f t="shared" si="30"/>
        <v>5.5098377420617979E-6</v>
      </c>
      <c r="AO42" s="8">
        <f t="shared" si="31"/>
        <v>27.445567016855335</v>
      </c>
      <c r="AP42" s="7">
        <f t="shared" si="32"/>
        <v>1.3789435355704878E-2</v>
      </c>
      <c r="AQ42" s="9">
        <f t="shared" si="33"/>
        <v>0.20096597008225958</v>
      </c>
      <c r="AR42" s="4">
        <f t="shared" si="94"/>
        <v>1000.4194099743759</v>
      </c>
      <c r="AS42" s="6">
        <f t="shared" si="34"/>
        <v>5.5008388199487525E-6</v>
      </c>
      <c r="AT42" s="8">
        <f t="shared" si="35"/>
        <v>27.393823214705321</v>
      </c>
      <c r="AU42" s="7">
        <f t="shared" si="36"/>
        <v>1.3766913811413008E-2</v>
      </c>
      <c r="AV42" s="9">
        <f t="shared" si="37"/>
        <v>0.20134557183822185</v>
      </c>
      <c r="AW42" s="4">
        <f t="shared" si="95"/>
        <v>995.32003174132126</v>
      </c>
      <c r="AX42" s="6">
        <f t="shared" si="38"/>
        <v>5.4906400634826425E-6</v>
      </c>
      <c r="AY42" s="8">
        <f t="shared" si="39"/>
        <v>27.335180365025195</v>
      </c>
      <c r="AZ42" s="7">
        <f t="shared" si="40"/>
        <v>1.3741389449429641E-2</v>
      </c>
      <c r="BA42" s="9">
        <f t="shared" si="41"/>
        <v>0.20177752355558368</v>
      </c>
      <c r="BB42" s="4">
        <f t="shared" si="96"/>
        <v>989.62073635050888</v>
      </c>
      <c r="BC42" s="6">
        <f t="shared" si="42"/>
        <v>5.4792414727010185E-6</v>
      </c>
      <c r="BD42" s="8">
        <f t="shared" si="43"/>
        <v>27.269638468030852</v>
      </c>
      <c r="BE42" s="7">
        <f t="shared" si="44"/>
        <v>1.3712862269848755E-2</v>
      </c>
      <c r="BF42" s="9">
        <f t="shared" si="45"/>
        <v>0.20226249080882241</v>
      </c>
      <c r="BG42" s="4">
        <f t="shared" si="97"/>
        <v>983.32152381169283</v>
      </c>
      <c r="BH42" s="6">
        <f t="shared" si="46"/>
        <v>5.466643047623386E-6</v>
      </c>
      <c r="BI42" s="8">
        <f t="shared" si="47"/>
        <v>27.197197523834468</v>
      </c>
      <c r="BJ42" s="7">
        <f t="shared" si="48"/>
        <v>1.3681332272719168E-2</v>
      </c>
      <c r="BK42" s="9">
        <f t="shared" si="49"/>
        <v>0.2028012259412515</v>
      </c>
      <c r="BL42" s="4">
        <f t="shared" si="98"/>
        <v>976.42239412780987</v>
      </c>
      <c r="BM42" s="6">
        <f t="shared" si="50"/>
        <v>5.4528447882556201E-6</v>
      </c>
      <c r="BN42" s="8">
        <f t="shared" si="51"/>
        <v>27.117857532469813</v>
      </c>
      <c r="BO42" s="7">
        <f t="shared" si="52"/>
        <v>1.3646799458055581E-2</v>
      </c>
      <c r="BP42" s="9">
        <f t="shared" si="53"/>
        <v>0.20339457102744257</v>
      </c>
      <c r="BQ42" s="4">
        <f t="shared" si="99"/>
        <v>968.92334716006189</v>
      </c>
      <c r="BR42" s="6">
        <f t="shared" si="54"/>
        <v>5.4378466943201243E-6</v>
      </c>
      <c r="BS42" s="8">
        <f t="shared" si="55"/>
        <v>27.031618492340712</v>
      </c>
      <c r="BT42" s="7">
        <f t="shared" si="56"/>
        <v>1.3609263825163255E-2</v>
      </c>
      <c r="BU42" s="9">
        <f t="shared" si="57"/>
        <v>0.20404346123643419</v>
      </c>
      <c r="BV42" s="4">
        <f t="shared" si="100"/>
        <v>960.82437801873755</v>
      </c>
      <c r="BW42" s="6">
        <f t="shared" si="58"/>
        <v>5.4216487560374754E-6</v>
      </c>
      <c r="BX42" s="8">
        <f t="shared" si="59"/>
        <v>26.938480347215481</v>
      </c>
      <c r="BY42" s="7">
        <f t="shared" si="60"/>
        <v>1.3568725349567294E-2</v>
      </c>
      <c r="BZ42" s="9">
        <f t="shared" si="61"/>
        <v>0.20474892900074548</v>
      </c>
      <c r="CA42" s="4">
        <f t="shared" si="101"/>
        <v>952.12534853238253</v>
      </c>
      <c r="CB42" s="6">
        <f t="shared" si="62"/>
        <v>5.4042506970647653E-6</v>
      </c>
      <c r="CC42" s="8">
        <f t="shared" si="63"/>
        <v>26.838441508122401</v>
      </c>
      <c r="CD42" s="7">
        <f t="shared" si="64"/>
        <v>1.3525183339666081E-2</v>
      </c>
      <c r="CE42" s="9">
        <f t="shared" si="65"/>
        <v>0.2055121195592057</v>
      </c>
      <c r="CF42" s="4">
        <f t="shared" si="102"/>
        <v>942.82309039485108</v>
      </c>
      <c r="CG42" s="6">
        <f t="shared" si="66"/>
        <v>5.3856461807897023E-6</v>
      </c>
      <c r="CH42" s="8">
        <f t="shared" si="67"/>
        <v>26.731465539540785</v>
      </c>
      <c r="CI42" s="7">
        <f t="shared" si="68"/>
        <v>1.3478621936860934E-2</v>
      </c>
      <c r="CJ42" s="9">
        <f t="shared" si="69"/>
        <v>0.20633455325677411</v>
      </c>
      <c r="CK42" s="4">
        <f t="shared" si="103"/>
        <v>932.86016333310488</v>
      </c>
      <c r="CL42" s="6">
        <f t="shared" si="70"/>
        <v>5.3657203266662104E-6</v>
      </c>
      <c r="CM42" s="8">
        <f t="shared" si="71"/>
        <v>26.616891878330705</v>
      </c>
      <c r="CN42" s="7">
        <f t="shared" si="72"/>
        <v>1.3428753630350645E-2</v>
      </c>
      <c r="CO42" s="9">
        <f t="shared" si="73"/>
        <v>0.20722273003221575</v>
      </c>
      <c r="CP42" s="4">
        <f t="shared" si="104"/>
        <v>921.44632628935346</v>
      </c>
      <c r="CQ42" s="6">
        <f t="shared" si="74"/>
        <v>5.3428926525787075E-6</v>
      </c>
      <c r="CR42" s="8">
        <f t="shared" si="75"/>
        <v>26.485632752327565</v>
      </c>
      <c r="CS42" s="7">
        <f t="shared" si="76"/>
        <v>1.3371622957745225E-2</v>
      </c>
      <c r="CT42" s="9">
        <f t="shared" si="77"/>
        <v>0.20824969716894098</v>
      </c>
      <c r="CU42" s="4">
        <f t="shared" si="105"/>
        <v>900.88357862845498</v>
      </c>
      <c r="CV42" s="6">
        <f t="shared" si="78"/>
        <v>5.3017671572569102E-6</v>
      </c>
      <c r="CW42" s="8">
        <f t="shared" si="79"/>
        <v>26.249161154227231</v>
      </c>
      <c r="CX42" s="7">
        <f t="shared" si="80"/>
        <v>1.3268698446033731E-2</v>
      </c>
      <c r="CY42" s="9">
        <f t="shared" si="81"/>
        <v>0.21012576240409686</v>
      </c>
      <c r="CZ42" s="5">
        <f t="shared" si="106"/>
        <v>824.93476483058203</v>
      </c>
      <c r="DA42" s="6">
        <f t="shared" si="82"/>
        <v>5.1498695296611646E-6</v>
      </c>
      <c r="DB42" s="8">
        <f t="shared" si="83"/>
        <v>25.375749795551691</v>
      </c>
      <c r="DC42" s="7">
        <f t="shared" si="84"/>
        <v>1.2888545233820867E-2</v>
      </c>
      <c r="DD42" s="9">
        <f t="shared" si="85"/>
        <v>0.21735810939335776</v>
      </c>
    </row>
    <row r="43" spans="2:108" x14ac:dyDescent="0.25">
      <c r="B43">
        <v>24</v>
      </c>
      <c r="C43">
        <f t="shared" si="86"/>
        <v>2.3462751992286035E-2</v>
      </c>
      <c r="D43" s="4">
        <f t="shared" si="3"/>
        <v>1019.6197139099692</v>
      </c>
      <c r="E43" s="6">
        <f t="shared" si="4"/>
        <v>5.5392394278199391E-6</v>
      </c>
      <c r="F43" s="8">
        <f t="shared" si="5"/>
        <v>27.614626709964647</v>
      </c>
      <c r="G43" s="7">
        <f t="shared" si="1"/>
        <v>1.3863018764888707E-2</v>
      </c>
      <c r="H43" s="9">
        <f t="shared" si="6"/>
        <v>0.1997356349564452</v>
      </c>
      <c r="I43" s="4">
        <f t="shared" si="87"/>
        <v>1019.3022022454195</v>
      </c>
      <c r="J43" s="6">
        <f t="shared" si="7"/>
        <v>5.5386044044908396E-6</v>
      </c>
      <c r="K43" s="8">
        <f t="shared" si="8"/>
        <v>27.610975325822324</v>
      </c>
      <c r="L43" s="7">
        <f t="shared" si="9"/>
        <v>1.386142949610151E-2</v>
      </c>
      <c r="M43" s="9">
        <f t="shared" si="10"/>
        <v>0.19976204878361106</v>
      </c>
      <c r="N43" s="4">
        <f t="shared" si="88"/>
        <v>1018.4008724840229</v>
      </c>
      <c r="O43" s="6">
        <f t="shared" si="11"/>
        <v>5.5368017449680465E-6</v>
      </c>
      <c r="P43" s="8">
        <f t="shared" si="12"/>
        <v>27.600610033566262</v>
      </c>
      <c r="Q43" s="7">
        <f t="shared" si="2"/>
        <v>1.3863018764888707E-2</v>
      </c>
      <c r="R43" s="9">
        <f t="shared" si="13"/>
        <v>0.19983706857537628</v>
      </c>
      <c r="S43" s="4">
        <f t="shared" si="89"/>
        <v>1016.900790288926</v>
      </c>
      <c r="T43" s="6">
        <f t="shared" si="14"/>
        <v>5.5338015805778523E-6</v>
      </c>
      <c r="U43" s="8">
        <f t="shared" si="15"/>
        <v>27.583359088322648</v>
      </c>
      <c r="V43" s="7">
        <f t="shared" si="16"/>
        <v>1.384940949969265E-2</v>
      </c>
      <c r="W43" s="9">
        <f t="shared" si="17"/>
        <v>0.19996204894185737</v>
      </c>
      <c r="X43" s="4">
        <f t="shared" si="90"/>
        <v>1014.8011172105973</v>
      </c>
      <c r="Y43" s="6">
        <f t="shared" si="18"/>
        <v>5.5296022344211954E-6</v>
      </c>
      <c r="Z43" s="8">
        <f t="shared" si="19"/>
        <v>27.55921284792187</v>
      </c>
      <c r="AA43" s="7">
        <f t="shared" si="20"/>
        <v>1.3838899823169623E-2</v>
      </c>
      <c r="AB43" s="9">
        <f t="shared" si="21"/>
        <v>0.20013724740385361</v>
      </c>
      <c r="AC43" s="4">
        <f t="shared" si="91"/>
        <v>1012.101435453718</v>
      </c>
      <c r="AD43" s="6">
        <f t="shared" si="22"/>
        <v>5.5242028709074366E-6</v>
      </c>
      <c r="AE43" s="8">
        <f t="shared" si="23"/>
        <v>27.528166507717756</v>
      </c>
      <c r="AF43" s="7">
        <f t="shared" si="24"/>
        <v>1.3825386870952073E-2</v>
      </c>
      <c r="AG43" s="9">
        <f t="shared" si="25"/>
        <v>0.20036296272959725</v>
      </c>
      <c r="AH43" s="4">
        <f t="shared" si="92"/>
        <v>1008.8018264372308</v>
      </c>
      <c r="AI43" s="6">
        <f t="shared" si="26"/>
        <v>5.517603652874462E-6</v>
      </c>
      <c r="AJ43" s="8">
        <f t="shared" si="27"/>
        <v>27.490221004028154</v>
      </c>
      <c r="AK43" s="7">
        <f t="shared" si="28"/>
        <v>1.3808871050573332E-2</v>
      </c>
      <c r="AL43" s="9">
        <f t="shared" si="29"/>
        <v>0.20063952920537792</v>
      </c>
      <c r="AM43" s="4">
        <f t="shared" si="93"/>
        <v>1004.9023025095961</v>
      </c>
      <c r="AN43" s="6">
        <f t="shared" si="30"/>
        <v>5.5098046050191927E-6</v>
      </c>
      <c r="AO43" s="8">
        <f t="shared" si="31"/>
        <v>27.445376478860354</v>
      </c>
      <c r="AP43" s="7">
        <f t="shared" si="32"/>
        <v>1.3789352423842221E-2</v>
      </c>
      <c r="AQ43" s="9">
        <f t="shared" si="33"/>
        <v>0.20096736527729467</v>
      </c>
      <c r="AR43" s="4">
        <f t="shared" si="94"/>
        <v>1000.4028648938896</v>
      </c>
      <c r="AS43" s="6">
        <f t="shared" si="34"/>
        <v>5.5008057297877794E-6</v>
      </c>
      <c r="AT43" s="8">
        <f t="shared" si="35"/>
        <v>27.39363294627973</v>
      </c>
      <c r="AU43" s="7">
        <f t="shared" si="36"/>
        <v>1.3766830996880709E-2</v>
      </c>
      <c r="AV43" s="9">
        <f t="shared" si="37"/>
        <v>0.20134697032760909</v>
      </c>
      <c r="AW43" s="4">
        <f t="shared" si="95"/>
        <v>995.3035136990444</v>
      </c>
      <c r="AX43" s="6">
        <f t="shared" si="38"/>
        <v>5.4906070273980892E-6</v>
      </c>
      <c r="AY43" s="8">
        <f t="shared" si="39"/>
        <v>27.33499040753901</v>
      </c>
      <c r="AZ43" s="7">
        <f t="shared" si="40"/>
        <v>1.374130677023405E-2</v>
      </c>
      <c r="BA43" s="9">
        <f t="shared" si="41"/>
        <v>0.20177892575659315</v>
      </c>
      <c r="BB43" s="4">
        <f t="shared" si="96"/>
        <v>989.60424894602909</v>
      </c>
      <c r="BC43" s="6">
        <f t="shared" si="42"/>
        <v>5.4792084978920585E-6</v>
      </c>
      <c r="BD43" s="8">
        <f t="shared" si="43"/>
        <v>27.269448862879333</v>
      </c>
      <c r="BE43" s="7">
        <f t="shared" si="44"/>
        <v>1.3712779744007196E-2</v>
      </c>
      <c r="BF43" s="9">
        <f t="shared" si="45"/>
        <v>0.20226389714491702</v>
      </c>
      <c r="BG43" s="4">
        <f t="shared" si="97"/>
        <v>983.3050706454776</v>
      </c>
      <c r="BH43" s="6">
        <f t="shared" si="46"/>
        <v>5.4666101412909555E-6</v>
      </c>
      <c r="BI43" s="8">
        <f t="shared" si="47"/>
        <v>27.197008312422991</v>
      </c>
      <c r="BJ43" s="7">
        <f t="shared" si="48"/>
        <v>1.3681249918253376E-2</v>
      </c>
      <c r="BK43" s="9">
        <f t="shared" si="49"/>
        <v>0.20280263684298633</v>
      </c>
      <c r="BL43" s="4">
        <f t="shared" si="98"/>
        <v>976.40597879897166</v>
      </c>
      <c r="BM43" s="6">
        <f t="shared" si="50"/>
        <v>5.452811957597944E-6</v>
      </c>
      <c r="BN43" s="8">
        <f t="shared" si="51"/>
        <v>27.117668756188174</v>
      </c>
      <c r="BO43" s="7">
        <f t="shared" si="52"/>
        <v>1.3646717292980507E-2</v>
      </c>
      <c r="BP43" s="9">
        <f t="shared" si="53"/>
        <v>0.20339598693347674</v>
      </c>
      <c r="BQ43" s="4">
        <f t="shared" si="99"/>
        <v>968.90697320267782</v>
      </c>
      <c r="BR43" s="6">
        <f t="shared" si="54"/>
        <v>5.4378139464053563E-6</v>
      </c>
      <c r="BS43" s="8">
        <f t="shared" si="55"/>
        <v>27.031430191830793</v>
      </c>
      <c r="BT43" s="7">
        <f t="shared" si="56"/>
        <v>1.3609181867168326E-2</v>
      </c>
      <c r="BU43" s="9">
        <f t="shared" si="57"/>
        <v>0.20404488259991826</v>
      </c>
      <c r="BV43" s="4">
        <f t="shared" si="100"/>
        <v>960.8080471520019</v>
      </c>
      <c r="BW43" s="6">
        <f t="shared" si="58"/>
        <v>5.4216160943040044E-6</v>
      </c>
      <c r="BX43" s="8">
        <f t="shared" si="59"/>
        <v>26.938292542248021</v>
      </c>
      <c r="BY43" s="7">
        <f t="shared" si="60"/>
        <v>1.3568643607257739E-2</v>
      </c>
      <c r="BZ43" s="9">
        <f t="shared" si="61"/>
        <v>0.20475035644333073</v>
      </c>
      <c r="CA43" s="4">
        <f t="shared" si="101"/>
        <v>952.1090217692597</v>
      </c>
      <c r="CB43" s="6">
        <f t="shared" si="62"/>
        <v>5.4042180435385192E-6</v>
      </c>
      <c r="CC43" s="8">
        <f t="shared" si="63"/>
        <v>26.838253750346485</v>
      </c>
      <c r="CD43" s="7">
        <f t="shared" si="64"/>
        <v>1.3525101617896695E-2</v>
      </c>
      <c r="CE43" s="9">
        <f t="shared" si="65"/>
        <v>0.20551355730172247</v>
      </c>
      <c r="CF43" s="4">
        <f t="shared" si="102"/>
        <v>942.80601216840569</v>
      </c>
      <c r="CG43" s="6">
        <f t="shared" si="66"/>
        <v>5.3856120243368118E-6</v>
      </c>
      <c r="CH43" s="8">
        <f t="shared" si="67"/>
        <v>26.731269139936664</v>
      </c>
      <c r="CI43" s="7">
        <f t="shared" si="68"/>
        <v>1.3478536453726736E-2</v>
      </c>
      <c r="CJ43" s="9">
        <f t="shared" si="69"/>
        <v>0.20633606923509762</v>
      </c>
      <c r="CK43" s="4">
        <f t="shared" si="103"/>
        <v>932.83213285195495</v>
      </c>
      <c r="CL43" s="6">
        <f t="shared" si="70"/>
        <v>5.3656642657039111E-6</v>
      </c>
      <c r="CM43" s="8">
        <f t="shared" si="71"/>
        <v>26.616569527797481</v>
      </c>
      <c r="CN43" s="7">
        <f t="shared" si="72"/>
        <v>1.3428613326942125E-2</v>
      </c>
      <c r="CO43" s="9">
        <f t="shared" si="73"/>
        <v>0.20722523968536444</v>
      </c>
      <c r="CP43" s="4">
        <f t="shared" si="104"/>
        <v>921.31154129543768</v>
      </c>
      <c r="CQ43" s="6">
        <f t="shared" si="74"/>
        <v>5.3426230825908766E-6</v>
      </c>
      <c r="CR43" s="8">
        <f t="shared" si="75"/>
        <v>26.484082724897533</v>
      </c>
      <c r="CS43" s="7">
        <f t="shared" si="76"/>
        <v>1.3370948306676527E-2</v>
      </c>
      <c r="CT43" s="9">
        <f t="shared" si="77"/>
        <v>0.20826188534801671</v>
      </c>
      <c r="CU43" s="4">
        <f t="shared" si="105"/>
        <v>900.10905516177309</v>
      </c>
      <c r="CV43" s="6">
        <f t="shared" si="78"/>
        <v>5.3002181103235475E-6</v>
      </c>
      <c r="CW43" s="8">
        <f t="shared" si="79"/>
        <v>26.240254134360391</v>
      </c>
      <c r="CX43" s="7">
        <f t="shared" si="80"/>
        <v>1.3264821656271394E-2</v>
      </c>
      <c r="CY43" s="9">
        <f t="shared" si="81"/>
        <v>0.2101970877171325</v>
      </c>
      <c r="CZ43" s="5">
        <f t="shared" si="106"/>
        <v>822.60038052230641</v>
      </c>
      <c r="DA43" s="6">
        <f t="shared" si="82"/>
        <v>5.1452007610446132E-6</v>
      </c>
      <c r="DB43" s="8">
        <f t="shared" si="83"/>
        <v>25.348904376006523</v>
      </c>
      <c r="DC43" s="7">
        <f t="shared" si="84"/>
        <v>1.2876860736737187E-2</v>
      </c>
      <c r="DD43" s="9">
        <f t="shared" si="85"/>
        <v>0.21758829960401366</v>
      </c>
    </row>
    <row r="44" spans="2:108" x14ac:dyDescent="0.25">
      <c r="B44">
        <v>25</v>
      </c>
      <c r="C44">
        <f t="shared" si="86"/>
        <v>2.4440366658631286E-2</v>
      </c>
      <c r="D44" s="4">
        <f t="shared" si="3"/>
        <v>1019.6035033683397</v>
      </c>
      <c r="E44" s="6">
        <f t="shared" si="4"/>
        <v>5.5392070067366794E-6</v>
      </c>
      <c r="F44" s="8">
        <f t="shared" si="5"/>
        <v>27.614440288735906</v>
      </c>
      <c r="G44" s="7">
        <f t="shared" si="1"/>
        <v>1.3862937624852884E-2</v>
      </c>
      <c r="H44" s="9">
        <f t="shared" si="6"/>
        <v>0.19973698334381437</v>
      </c>
      <c r="I44" s="4">
        <f t="shared" si="87"/>
        <v>1019.2856604502274</v>
      </c>
      <c r="J44" s="6">
        <f t="shared" si="7"/>
        <v>5.5385713209004553E-6</v>
      </c>
      <c r="K44" s="8">
        <f t="shared" si="8"/>
        <v>27.610785095177615</v>
      </c>
      <c r="L44" s="7">
        <f t="shared" si="9"/>
        <v>1.386134669801338E-2</v>
      </c>
      <c r="M44" s="9">
        <f t="shared" si="10"/>
        <v>0.19976342508867437</v>
      </c>
      <c r="N44" s="4">
        <f t="shared" si="88"/>
        <v>1018.3842512680296</v>
      </c>
      <c r="O44" s="6">
        <f t="shared" si="11"/>
        <v>5.5367685025360604E-6</v>
      </c>
      <c r="P44" s="8">
        <f t="shared" si="12"/>
        <v>27.60041888958234</v>
      </c>
      <c r="Q44" s="7">
        <f t="shared" si="2"/>
        <v>1.3862937624852884E-2</v>
      </c>
      <c r="R44" s="9">
        <f t="shared" si="13"/>
        <v>0.19983845252732194</v>
      </c>
      <c r="S44" s="4">
        <f t="shared" si="89"/>
        <v>1016.8841610007746</v>
      </c>
      <c r="T44" s="6">
        <f t="shared" si="14"/>
        <v>5.5337683220015496E-6</v>
      </c>
      <c r="U44" s="8">
        <f t="shared" si="15"/>
        <v>27.583167851508907</v>
      </c>
      <c r="V44" s="7">
        <f t="shared" si="16"/>
        <v>1.3849326263668393E-2</v>
      </c>
      <c r="W44" s="9">
        <f t="shared" si="17"/>
        <v>0.19996343529839608</v>
      </c>
      <c r="X44" s="4">
        <f t="shared" si="90"/>
        <v>1014.7844990157761</v>
      </c>
      <c r="Y44" s="6">
        <f t="shared" si="18"/>
        <v>5.5295689980315528E-6</v>
      </c>
      <c r="Z44" s="8">
        <f t="shared" si="19"/>
        <v>27.559021738681423</v>
      </c>
      <c r="AA44" s="7">
        <f t="shared" si="20"/>
        <v>1.3838816642671775E-2</v>
      </c>
      <c r="AB44" s="9">
        <f t="shared" si="21"/>
        <v>0.20013863526434078</v>
      </c>
      <c r="AC44" s="4">
        <f t="shared" si="91"/>
        <v>1012.0848308618735</v>
      </c>
      <c r="AD44" s="6">
        <f t="shared" si="22"/>
        <v>5.5241696617237477E-6</v>
      </c>
      <c r="AE44" s="8">
        <f t="shared" si="23"/>
        <v>27.527975554911542</v>
      </c>
      <c r="AF44" s="7">
        <f t="shared" si="24"/>
        <v>1.3825303758542393E-2</v>
      </c>
      <c r="AG44" s="9">
        <f t="shared" si="25"/>
        <v>0.20036435258370833</v>
      </c>
      <c r="AH44" s="4">
        <f t="shared" si="92"/>
        <v>1008.7852382480423</v>
      </c>
      <c r="AI44" s="6">
        <f t="shared" si="26"/>
        <v>5.5175704764960847E-6</v>
      </c>
      <c r="AJ44" s="8">
        <f t="shared" si="27"/>
        <v>27.490030239852487</v>
      </c>
      <c r="AK44" s="7">
        <f t="shared" si="28"/>
        <v>1.3808788020265292E-2</v>
      </c>
      <c r="AL44" s="9">
        <f t="shared" si="29"/>
        <v>0.20064092152230376</v>
      </c>
      <c r="AM44" s="4">
        <f t="shared" si="93"/>
        <v>1004.8857341801083</v>
      </c>
      <c r="AN44" s="6">
        <f t="shared" si="30"/>
        <v>5.5097714683602164E-6</v>
      </c>
      <c r="AO44" s="8">
        <f t="shared" si="31"/>
        <v>27.445185943071245</v>
      </c>
      <c r="AP44" s="7">
        <f t="shared" si="32"/>
        <v>1.378926949293967E-2</v>
      </c>
      <c r="AQ44" s="9">
        <f t="shared" si="33"/>
        <v>0.2009687604755494</v>
      </c>
      <c r="AR44" s="4">
        <f t="shared" si="94"/>
        <v>1000.3863200060173</v>
      </c>
      <c r="AS44" s="6">
        <f t="shared" si="34"/>
        <v>5.5007726400120344E-6</v>
      </c>
      <c r="AT44" s="8">
        <f t="shared" si="35"/>
        <v>27.393442680069199</v>
      </c>
      <c r="AU44" s="7">
        <f t="shared" si="36"/>
        <v>1.3766748183312518E-2</v>
      </c>
      <c r="AV44" s="9">
        <f t="shared" si="37"/>
        <v>0.20134836882014229</v>
      </c>
      <c r="AW44" s="4">
        <f t="shared" si="95"/>
        <v>995.28699584979722</v>
      </c>
      <c r="AX44" s="6">
        <f t="shared" si="38"/>
        <v>5.4905739916995948E-6</v>
      </c>
      <c r="AY44" s="8">
        <f t="shared" si="39"/>
        <v>27.334800452272667</v>
      </c>
      <c r="AZ44" s="7">
        <f t="shared" si="40"/>
        <v>1.3741224092004645E-2</v>
      </c>
      <c r="BA44" s="9">
        <f t="shared" si="41"/>
        <v>0.20178032796070478</v>
      </c>
      <c r="BB44" s="4">
        <f t="shared" si="96"/>
        <v>989.58776173479885</v>
      </c>
      <c r="BC44" s="6">
        <f t="shared" si="42"/>
        <v>5.4791755234695978E-6</v>
      </c>
      <c r="BD44" s="8">
        <f t="shared" si="43"/>
        <v>27.269259259950186</v>
      </c>
      <c r="BE44" s="7">
        <f t="shared" si="44"/>
        <v>1.3712697219132925E-2</v>
      </c>
      <c r="BF44" s="9">
        <f t="shared" si="45"/>
        <v>0.20226530348408428</v>
      </c>
      <c r="BG44" s="4">
        <f t="shared" si="97"/>
        <v>983.28861767255773</v>
      </c>
      <c r="BH44" s="6">
        <f t="shared" si="46"/>
        <v>5.466577235345116E-6</v>
      </c>
      <c r="BI44" s="8">
        <f t="shared" si="47"/>
        <v>27.196819103234411</v>
      </c>
      <c r="BJ44" s="7">
        <f t="shared" si="48"/>
        <v>1.3681167564755103E-2</v>
      </c>
      <c r="BK44" s="9">
        <f t="shared" si="49"/>
        <v>0.2028040477477768</v>
      </c>
      <c r="BL44" s="4">
        <f t="shared" si="98"/>
        <v>976.3895636624477</v>
      </c>
      <c r="BM44" s="6">
        <f t="shared" si="50"/>
        <v>5.4527791273248955E-6</v>
      </c>
      <c r="BN44" s="8">
        <f t="shared" si="51"/>
        <v>27.117479982118148</v>
      </c>
      <c r="BO44" s="7">
        <f t="shared" si="52"/>
        <v>1.3646635128868042E-2</v>
      </c>
      <c r="BP44" s="9">
        <f t="shared" si="53"/>
        <v>0.20339740284263591</v>
      </c>
      <c r="BQ44" s="4">
        <f t="shared" si="99"/>
        <v>968.89059941167091</v>
      </c>
      <c r="BR44" s="6">
        <f t="shared" si="54"/>
        <v>5.4377811988233427E-6</v>
      </c>
      <c r="BS44" s="8">
        <f t="shared" si="55"/>
        <v>27.031241893234217</v>
      </c>
      <c r="BT44" s="7">
        <f t="shared" si="56"/>
        <v>1.3609099910006179E-2</v>
      </c>
      <c r="BU44" s="9">
        <f t="shared" si="57"/>
        <v>0.20404630396876192</v>
      </c>
      <c r="BV44" s="4">
        <f t="shared" si="100"/>
        <v>960.79171587597375</v>
      </c>
      <c r="BW44" s="6">
        <f t="shared" si="58"/>
        <v>5.421583431751948E-6</v>
      </c>
      <c r="BX44" s="8">
        <f t="shared" si="59"/>
        <v>26.938104732573699</v>
      </c>
      <c r="BY44" s="7">
        <f t="shared" si="60"/>
        <v>1.3568561862899517E-2</v>
      </c>
      <c r="BZ44" s="9">
        <f t="shared" si="61"/>
        <v>0.20475178394159546</v>
      </c>
      <c r="CA44" s="4">
        <f t="shared" si="101"/>
        <v>952.0926845145209</v>
      </c>
      <c r="CB44" s="6">
        <f t="shared" si="62"/>
        <v>5.4041853690290427E-6</v>
      </c>
      <c r="CC44" s="8">
        <f t="shared" si="63"/>
        <v>26.838065871916989</v>
      </c>
      <c r="CD44" s="7">
        <f t="shared" si="64"/>
        <v>1.3525019843612715E-2</v>
      </c>
      <c r="CE44" s="9">
        <f t="shared" si="65"/>
        <v>0.20551499598827203</v>
      </c>
      <c r="CF44" s="4">
        <f t="shared" si="102"/>
        <v>942.78879113265441</v>
      </c>
      <c r="CG44" s="6">
        <f t="shared" si="66"/>
        <v>5.3855775822653093E-6</v>
      </c>
      <c r="CH44" s="8">
        <f t="shared" si="67"/>
        <v>26.731071098025524</v>
      </c>
      <c r="CI44" s="7">
        <f t="shared" si="68"/>
        <v>1.3478450255776682E-2</v>
      </c>
      <c r="CJ44" s="9">
        <f t="shared" si="69"/>
        <v>0.20633759791269302</v>
      </c>
      <c r="CK44" s="4">
        <f t="shared" si="103"/>
        <v>932.80276462218967</v>
      </c>
      <c r="CL44" s="6">
        <f t="shared" si="70"/>
        <v>5.36560552924438E-6</v>
      </c>
      <c r="CM44" s="8">
        <f t="shared" si="71"/>
        <v>26.61623179315518</v>
      </c>
      <c r="CN44" s="7">
        <f t="shared" si="72"/>
        <v>1.342846632758395E-2</v>
      </c>
      <c r="CO44" s="9">
        <f t="shared" si="73"/>
        <v>0.2072278691763737</v>
      </c>
      <c r="CP44" s="4">
        <f t="shared" si="104"/>
        <v>921.16932216826297</v>
      </c>
      <c r="CQ44" s="6">
        <f t="shared" si="74"/>
        <v>5.3423386443365267E-6</v>
      </c>
      <c r="CR44" s="8">
        <f t="shared" si="75"/>
        <v>26.482447204935024</v>
      </c>
      <c r="CS44" s="7">
        <f t="shared" si="76"/>
        <v>1.3370236444893173E-2</v>
      </c>
      <c r="CT44" s="9">
        <f t="shared" si="77"/>
        <v>0.2082747473191284</v>
      </c>
      <c r="CU44" s="4">
        <f t="shared" si="105"/>
        <v>899.32149675131643</v>
      </c>
      <c r="CV44" s="6">
        <f t="shared" si="78"/>
        <v>5.2986429935026336E-6</v>
      </c>
      <c r="CW44" s="8">
        <f t="shared" si="79"/>
        <v>26.23119721264014</v>
      </c>
      <c r="CX44" s="7">
        <f t="shared" si="80"/>
        <v>1.3260879621569745E-2</v>
      </c>
      <c r="CY44" s="9">
        <f t="shared" si="81"/>
        <v>0.21026966307668801</v>
      </c>
      <c r="CZ44" s="5">
        <f t="shared" si="106"/>
        <v>820.31925171276396</v>
      </c>
      <c r="DA44" s="6">
        <f t="shared" si="82"/>
        <v>5.1406385034255282E-6</v>
      </c>
      <c r="DB44" s="8">
        <f t="shared" si="83"/>
        <v>25.322671394696783</v>
      </c>
      <c r="DC44" s="7">
        <f t="shared" si="84"/>
        <v>1.2865442804039425E-2</v>
      </c>
      <c r="DD44" s="9">
        <f t="shared" si="85"/>
        <v>0.21781370985823847</v>
      </c>
    </row>
    <row r="45" spans="2:108" x14ac:dyDescent="0.25">
      <c r="B45">
        <v>26</v>
      </c>
      <c r="C45">
        <f t="shared" si="86"/>
        <v>2.5417981324976538E-2</v>
      </c>
      <c r="D45" s="4">
        <f t="shared" si="3"/>
        <v>1019.5872759145768</v>
      </c>
      <c r="E45" s="6">
        <f t="shared" si="4"/>
        <v>5.5391745518291537E-6</v>
      </c>
      <c r="F45" s="8">
        <f t="shared" si="5"/>
        <v>27.614253673017632</v>
      </c>
      <c r="G45" s="7">
        <f t="shared" si="1"/>
        <v>1.386285640016529E-2</v>
      </c>
      <c r="H45" s="9">
        <f t="shared" si="6"/>
        <v>0.19973833315616324</v>
      </c>
      <c r="I45" s="4">
        <f t="shared" si="87"/>
        <v>1019.2691193965173</v>
      </c>
      <c r="J45" s="6">
        <f t="shared" si="7"/>
        <v>5.538538238793035E-6</v>
      </c>
      <c r="K45" s="8">
        <f t="shared" si="8"/>
        <v>27.610594873059949</v>
      </c>
      <c r="L45" s="7">
        <f t="shared" si="9"/>
        <v>1.3861263903636657E-2</v>
      </c>
      <c r="M45" s="9">
        <f t="shared" si="10"/>
        <v>0.19976480135100871</v>
      </c>
      <c r="N45" s="4">
        <f t="shared" si="88"/>
        <v>1018.3676308371072</v>
      </c>
      <c r="O45" s="6">
        <f t="shared" si="11"/>
        <v>5.5367352616742151E-6</v>
      </c>
      <c r="P45" s="8">
        <f t="shared" si="12"/>
        <v>27.600227754626729</v>
      </c>
      <c r="Q45" s="7">
        <f t="shared" si="2"/>
        <v>1.386285640016529E-2</v>
      </c>
      <c r="R45" s="9">
        <f t="shared" si="13"/>
        <v>0.19983983643306694</v>
      </c>
      <c r="S45" s="4">
        <f t="shared" si="89"/>
        <v>1016.8675320827251</v>
      </c>
      <c r="T45" s="6">
        <f t="shared" si="14"/>
        <v>5.5337350641654511E-6</v>
      </c>
      <c r="U45" s="8">
        <f t="shared" si="15"/>
        <v>27.582976618951339</v>
      </c>
      <c r="V45" s="7">
        <f t="shared" si="16"/>
        <v>1.3849243029496642E-2</v>
      </c>
      <c r="W45" s="9">
        <f t="shared" si="17"/>
        <v>0.19996482164330295</v>
      </c>
      <c r="X45" s="4">
        <f t="shared" si="90"/>
        <v>1014.7678809983397</v>
      </c>
      <c r="Y45" s="6">
        <f t="shared" si="18"/>
        <v>5.5295357619966806E-6</v>
      </c>
      <c r="Z45" s="8">
        <f t="shared" si="19"/>
        <v>27.558830631480905</v>
      </c>
      <c r="AA45" s="7">
        <f t="shared" si="20"/>
        <v>1.3838733463061812E-2</v>
      </c>
      <c r="AB45" s="9">
        <f t="shared" si="21"/>
        <v>0.20014002312926191</v>
      </c>
      <c r="AC45" s="4">
        <f t="shared" si="91"/>
        <v>1012.0682264501005</v>
      </c>
      <c r="AD45" s="6">
        <f t="shared" si="22"/>
        <v>5.5241364529002011E-6</v>
      </c>
      <c r="AE45" s="8">
        <f t="shared" si="23"/>
        <v>27.527784604176155</v>
      </c>
      <c r="AF45" s="7">
        <f t="shared" si="24"/>
        <v>1.3825220647034037E-2</v>
      </c>
      <c r="AG45" s="9">
        <f t="shared" si="25"/>
        <v>0.20036574244202862</v>
      </c>
      <c r="AH45" s="4">
        <f t="shared" si="92"/>
        <v>1008.768650248147</v>
      </c>
      <c r="AI45" s="6">
        <f t="shared" si="26"/>
        <v>5.5175373004962947E-6</v>
      </c>
      <c r="AJ45" s="8">
        <f t="shared" si="27"/>
        <v>27.489839477853689</v>
      </c>
      <c r="AK45" s="7">
        <f t="shared" si="28"/>
        <v>1.380870499090474E-2</v>
      </c>
      <c r="AL45" s="9">
        <f t="shared" si="29"/>
        <v>0.20064231384266493</v>
      </c>
      <c r="AM45" s="4">
        <f t="shared" si="93"/>
        <v>1004.8691660424137</v>
      </c>
      <c r="AN45" s="6">
        <f t="shared" si="30"/>
        <v>5.5097383320848275E-6</v>
      </c>
      <c r="AO45" s="8">
        <f t="shared" si="31"/>
        <v>27.444995409487756</v>
      </c>
      <c r="AP45" s="7">
        <f t="shared" si="32"/>
        <v>1.3789186562997121E-2</v>
      </c>
      <c r="AQ45" s="9">
        <f t="shared" si="33"/>
        <v>0.20097015567702534</v>
      </c>
      <c r="AR45" s="4">
        <f t="shared" si="94"/>
        <v>1000.3697753107523</v>
      </c>
      <c r="AS45" s="6">
        <f t="shared" si="34"/>
        <v>5.5007395506215047E-6</v>
      </c>
      <c r="AT45" s="8">
        <f t="shared" si="35"/>
        <v>27.393252416073651</v>
      </c>
      <c r="AU45" s="7">
        <f t="shared" si="36"/>
        <v>1.3766665370708404E-2</v>
      </c>
      <c r="AV45" s="9">
        <f t="shared" si="37"/>
        <v>0.20134976731582169</v>
      </c>
      <c r="AW45" s="4">
        <f t="shared" si="95"/>
        <v>995.27047819357517</v>
      </c>
      <c r="AX45" s="6">
        <f t="shared" si="38"/>
        <v>5.4905409563871509E-6</v>
      </c>
      <c r="AY45" s="8">
        <f t="shared" si="39"/>
        <v>27.334610499226116</v>
      </c>
      <c r="AZ45" s="7">
        <f t="shared" si="40"/>
        <v>1.3741141414741406E-2</v>
      </c>
      <c r="BA45" s="9">
        <f t="shared" si="41"/>
        <v>0.20178173016791864</v>
      </c>
      <c r="BB45" s="4">
        <f t="shared" si="96"/>
        <v>989.5712747168136</v>
      </c>
      <c r="BC45" s="6">
        <f t="shared" si="42"/>
        <v>5.4791425494336282E-6</v>
      </c>
      <c r="BD45" s="8">
        <f t="shared" si="43"/>
        <v>27.269069659243357</v>
      </c>
      <c r="BE45" s="7">
        <f t="shared" si="44"/>
        <v>1.3712614695225923E-2</v>
      </c>
      <c r="BF45" s="9">
        <f t="shared" si="45"/>
        <v>0.2022667098263243</v>
      </c>
      <c r="BG45" s="4">
        <f t="shared" si="97"/>
        <v>983.27216489291629</v>
      </c>
      <c r="BH45" s="6">
        <f t="shared" si="46"/>
        <v>5.4665443297858326E-6</v>
      </c>
      <c r="BI45" s="8">
        <f t="shared" si="47"/>
        <v>27.196629896268536</v>
      </c>
      <c r="BJ45" s="7">
        <f t="shared" si="48"/>
        <v>1.3681085212224263E-2</v>
      </c>
      <c r="BK45" s="9">
        <f t="shared" si="49"/>
        <v>0.20280545865562413</v>
      </c>
      <c r="BL45" s="4">
        <f t="shared" si="98"/>
        <v>976.37314871787908</v>
      </c>
      <c r="BM45" s="6">
        <f t="shared" si="50"/>
        <v>5.4527462974357587E-6</v>
      </c>
      <c r="BN45" s="8">
        <f t="shared" si="51"/>
        <v>27.117291210255608</v>
      </c>
      <c r="BO45" s="7">
        <f t="shared" si="52"/>
        <v>1.3646552965716388E-2</v>
      </c>
      <c r="BP45" s="9">
        <f t="shared" si="53"/>
        <v>0.20339881875495078</v>
      </c>
      <c r="BQ45" s="4">
        <f t="shared" si="99"/>
        <v>968.87422577922143</v>
      </c>
      <c r="BR45" s="6">
        <f t="shared" si="54"/>
        <v>5.437748451558443E-6</v>
      </c>
      <c r="BS45" s="8">
        <f t="shared" si="55"/>
        <v>27.031053596461046</v>
      </c>
      <c r="BT45" s="7">
        <f t="shared" si="56"/>
        <v>1.360901795363767E-2</v>
      </c>
      <c r="BU45" s="9">
        <f t="shared" si="57"/>
        <v>0.20404772534364385</v>
      </c>
      <c r="BV45" s="4">
        <f t="shared" si="100"/>
        <v>960.77538405610176</v>
      </c>
      <c r="BW45" s="6">
        <f t="shared" si="58"/>
        <v>5.4215507681122048E-6</v>
      </c>
      <c r="BX45" s="8">
        <f t="shared" si="59"/>
        <v>26.937916916645172</v>
      </c>
      <c r="BY45" s="7">
        <f t="shared" si="60"/>
        <v>1.3568480115819148E-2</v>
      </c>
      <c r="BZ45" s="9">
        <f t="shared" si="61"/>
        <v>0.20475321150730283</v>
      </c>
      <c r="CA45" s="4">
        <f t="shared" si="101"/>
        <v>952.07633504534385</v>
      </c>
      <c r="CB45" s="6">
        <f t="shared" si="62"/>
        <v>5.4041526700906879E-6</v>
      </c>
      <c r="CC45" s="8">
        <f t="shared" si="63"/>
        <v>26.837877853021453</v>
      </c>
      <c r="CD45" s="7">
        <f t="shared" si="64"/>
        <v>1.352493800819074E-2</v>
      </c>
      <c r="CE45" s="9">
        <f t="shared" si="65"/>
        <v>0.20551643577061149</v>
      </c>
      <c r="CF45" s="4">
        <f t="shared" si="102"/>
        <v>942.77141235654153</v>
      </c>
      <c r="CG45" s="6">
        <f t="shared" si="66"/>
        <v>5.3855428247130839E-6</v>
      </c>
      <c r="CH45" s="8">
        <f t="shared" si="67"/>
        <v>26.730871242100228</v>
      </c>
      <c r="CI45" s="7">
        <f t="shared" si="68"/>
        <v>1.3478363268275057E-2</v>
      </c>
      <c r="CJ45" s="9">
        <f t="shared" si="69"/>
        <v>0.20633914061555447</v>
      </c>
      <c r="CK45" s="4">
        <f t="shared" si="103"/>
        <v>932.77198970881534</v>
      </c>
      <c r="CL45" s="6">
        <f t="shared" si="70"/>
        <v>5.3655439794176305E-6</v>
      </c>
      <c r="CM45" s="8">
        <f t="shared" si="71"/>
        <v>26.615877881651375</v>
      </c>
      <c r="CN45" s="7">
        <f t="shared" si="72"/>
        <v>1.3428312287229797E-2</v>
      </c>
      <c r="CO45" s="9">
        <f t="shared" si="73"/>
        <v>0.20723062468671744</v>
      </c>
      <c r="CP45" s="4">
        <f t="shared" si="104"/>
        <v>921.0196714406602</v>
      </c>
      <c r="CQ45" s="6">
        <f t="shared" si="74"/>
        <v>5.3420393428813205E-6</v>
      </c>
      <c r="CR45" s="8">
        <f t="shared" si="75"/>
        <v>26.480726221567593</v>
      </c>
      <c r="CS45" s="7">
        <f t="shared" si="76"/>
        <v>1.3369487385072969E-2</v>
      </c>
      <c r="CT45" s="9">
        <f t="shared" si="77"/>
        <v>0.20828828310258815</v>
      </c>
      <c r="CU45" s="4">
        <f t="shared" si="105"/>
        <v>898.52188951853316</v>
      </c>
      <c r="CV45" s="6">
        <f t="shared" si="78"/>
        <v>5.297043779037067E-6</v>
      </c>
      <c r="CW45" s="8">
        <f t="shared" si="79"/>
        <v>26.22200172946313</v>
      </c>
      <c r="CX45" s="7">
        <f t="shared" si="80"/>
        <v>1.3256877277848349E-2</v>
      </c>
      <c r="CY45" s="9">
        <f t="shared" si="81"/>
        <v>0.21034340005410895</v>
      </c>
      <c r="CZ45" s="5">
        <f t="shared" si="106"/>
        <v>818.0892949767441</v>
      </c>
      <c r="DA45" s="6">
        <f t="shared" si="82"/>
        <v>5.1361785899534883E-6</v>
      </c>
      <c r="DB45" s="8">
        <f t="shared" si="83"/>
        <v>25.297026892232559</v>
      </c>
      <c r="DC45" s="7">
        <f t="shared" si="84"/>
        <v>1.2854281007377929E-2</v>
      </c>
      <c r="DD45" s="9">
        <f t="shared" si="85"/>
        <v>0.21803451541942148</v>
      </c>
    </row>
    <row r="46" spans="2:108" x14ac:dyDescent="0.25">
      <c r="B46">
        <v>27</v>
      </c>
      <c r="C46">
        <f t="shared" si="86"/>
        <v>2.6395595991321789E-2</v>
      </c>
      <c r="D46" s="4">
        <f t="shared" si="3"/>
        <v>1019.5710324499847</v>
      </c>
      <c r="E46" s="6">
        <f t="shared" si="4"/>
        <v>5.5391420648999701E-6</v>
      </c>
      <c r="F46" s="8">
        <f t="shared" si="5"/>
        <v>27.614066873174824</v>
      </c>
      <c r="G46" s="7">
        <f t="shared" si="1"/>
        <v>1.3862775095337296E-2</v>
      </c>
      <c r="H46" s="9">
        <f t="shared" si="6"/>
        <v>0.1997396843185765</v>
      </c>
      <c r="I46" s="4">
        <f t="shared" si="87"/>
        <v>1019.2525789629196</v>
      </c>
      <c r="J46" s="6">
        <f t="shared" si="7"/>
        <v>5.5385051579258396E-6</v>
      </c>
      <c r="K46" s="8">
        <f t="shared" si="8"/>
        <v>27.610404658073577</v>
      </c>
      <c r="L46" s="7">
        <f t="shared" si="9"/>
        <v>1.3861181112363837E-2</v>
      </c>
      <c r="M46" s="9">
        <f t="shared" si="10"/>
        <v>0.19976617758071041</v>
      </c>
      <c r="N46" s="4">
        <f t="shared" si="88"/>
        <v>1018.3510111836006</v>
      </c>
      <c r="O46" s="6">
        <f t="shared" si="11"/>
        <v>5.5367020223672013E-6</v>
      </c>
      <c r="P46" s="8">
        <f t="shared" si="12"/>
        <v>27.600036628611406</v>
      </c>
      <c r="Q46" s="7">
        <f t="shared" si="2"/>
        <v>1.3862775095337296E-2</v>
      </c>
      <c r="R46" s="9">
        <f t="shared" si="13"/>
        <v>0.19984122029324633</v>
      </c>
      <c r="S46" s="4">
        <f t="shared" si="89"/>
        <v>1016.8509035365473</v>
      </c>
      <c r="T46" s="6">
        <f t="shared" si="14"/>
        <v>5.5337018070730951E-6</v>
      </c>
      <c r="U46" s="8">
        <f t="shared" si="15"/>
        <v>27.582785390670296</v>
      </c>
      <c r="V46" s="7">
        <f t="shared" si="16"/>
        <v>1.3849159797186249E-2</v>
      </c>
      <c r="W46" s="9">
        <f t="shared" si="17"/>
        <v>0.19996620797642958</v>
      </c>
      <c r="X46" s="4">
        <f t="shared" si="90"/>
        <v>1014.7512631606622</v>
      </c>
      <c r="Y46" s="6">
        <f t="shared" si="18"/>
        <v>5.5295025263213256E-6</v>
      </c>
      <c r="Z46" s="8">
        <f t="shared" si="19"/>
        <v>27.558639526347616</v>
      </c>
      <c r="AA46" s="7">
        <f t="shared" si="20"/>
        <v>1.3838650284351609E-2</v>
      </c>
      <c r="AB46" s="9">
        <f t="shared" si="21"/>
        <v>0.20014141099841851</v>
      </c>
      <c r="AC46" s="4">
        <f t="shared" si="91"/>
        <v>1012.051622218504</v>
      </c>
      <c r="AD46" s="6">
        <f t="shared" si="22"/>
        <v>5.5241032444370085E-6</v>
      </c>
      <c r="AE46" s="8">
        <f t="shared" si="23"/>
        <v>27.527593655512796</v>
      </c>
      <c r="AF46" s="7">
        <f t="shared" si="24"/>
        <v>1.3825137536427539E-2</v>
      </c>
      <c r="AG46" s="9">
        <f t="shared" si="25"/>
        <v>0.20036713230454914</v>
      </c>
      <c r="AH46" s="4">
        <f t="shared" si="92"/>
        <v>1008.7520624374631</v>
      </c>
      <c r="AI46" s="6">
        <f t="shared" si="26"/>
        <v>5.5175041248749268E-6</v>
      </c>
      <c r="AJ46" s="8">
        <f t="shared" si="27"/>
        <v>27.489648718030825</v>
      </c>
      <c r="AK46" s="7">
        <f t="shared" si="28"/>
        <v>1.3808621962491264E-2</v>
      </c>
      <c r="AL46" s="9">
        <f t="shared" si="29"/>
        <v>0.20064370616646798</v>
      </c>
      <c r="AM46" s="4">
        <f t="shared" si="93"/>
        <v>1004.8525980964899</v>
      </c>
      <c r="AN46" s="6">
        <f t="shared" si="30"/>
        <v>5.509705196192981E-6</v>
      </c>
      <c r="AO46" s="8">
        <f t="shared" si="31"/>
        <v>27.444804878109636</v>
      </c>
      <c r="AP46" s="7">
        <f t="shared" si="32"/>
        <v>1.3789103634014461E-2</v>
      </c>
      <c r="AQ46" s="9">
        <f t="shared" si="33"/>
        <v>0.20097155088172408</v>
      </c>
      <c r="AR46" s="4">
        <f t="shared" si="94"/>
        <v>1000.353230808088</v>
      </c>
      <c r="AS46" s="6">
        <f t="shared" si="34"/>
        <v>5.5007064616161768E-6</v>
      </c>
      <c r="AT46" s="8">
        <f t="shared" si="35"/>
        <v>27.393062154293013</v>
      </c>
      <c r="AU46" s="7">
        <f t="shared" si="36"/>
        <v>1.3766582559068331E-2</v>
      </c>
      <c r="AV46" s="9">
        <f t="shared" si="37"/>
        <v>0.2013511658146476</v>
      </c>
      <c r="AW46" s="4">
        <f t="shared" si="95"/>
        <v>995.25396073037382</v>
      </c>
      <c r="AX46" s="6">
        <f t="shared" si="38"/>
        <v>5.4905079214607483E-6</v>
      </c>
      <c r="AY46" s="8">
        <f t="shared" si="39"/>
        <v>27.334420548399297</v>
      </c>
      <c r="AZ46" s="7">
        <f t="shared" si="40"/>
        <v>1.3741058738444311E-2</v>
      </c>
      <c r="BA46" s="9">
        <f t="shared" si="41"/>
        <v>0.20178313237823492</v>
      </c>
      <c r="BB46" s="4">
        <f t="shared" si="96"/>
        <v>989.5547878920687</v>
      </c>
      <c r="BC46" s="6">
        <f t="shared" si="42"/>
        <v>5.4791095757841377E-6</v>
      </c>
      <c r="BD46" s="8">
        <f t="shared" si="43"/>
        <v>27.268880060758789</v>
      </c>
      <c r="BE46" s="7">
        <f t="shared" si="44"/>
        <v>1.3712532172286162E-2</v>
      </c>
      <c r="BF46" s="9">
        <f t="shared" si="45"/>
        <v>0.2022681161716372</v>
      </c>
      <c r="BG46" s="4">
        <f t="shared" si="97"/>
        <v>983.25571230653168</v>
      </c>
      <c r="BH46" s="6">
        <f t="shared" si="46"/>
        <v>5.4665114246130638E-6</v>
      </c>
      <c r="BI46" s="8">
        <f t="shared" si="47"/>
        <v>27.196440691525112</v>
      </c>
      <c r="BJ46" s="7">
        <f t="shared" si="48"/>
        <v>1.3681002860660749E-2</v>
      </c>
      <c r="BK46" s="9">
        <f t="shared" si="49"/>
        <v>0.20280686956652991</v>
      </c>
      <c r="BL46" s="4">
        <f t="shared" si="98"/>
        <v>976.35673396480479</v>
      </c>
      <c r="BM46" s="6">
        <f t="shared" si="50"/>
        <v>5.4527134679296095E-6</v>
      </c>
      <c r="BN46" s="8">
        <f t="shared" si="51"/>
        <v>27.117102440595254</v>
      </c>
      <c r="BO46" s="7">
        <f t="shared" si="52"/>
        <v>1.3646470803523237E-2</v>
      </c>
      <c r="BP46" s="9">
        <f t="shared" si="53"/>
        <v>0.20340023467046081</v>
      </c>
      <c r="BQ46" s="4">
        <f t="shared" si="99"/>
        <v>968.85785229581177</v>
      </c>
      <c r="BR46" s="6">
        <f t="shared" si="54"/>
        <v>5.4377157045916236E-6</v>
      </c>
      <c r="BS46" s="8">
        <f t="shared" si="55"/>
        <v>27.030865301401832</v>
      </c>
      <c r="BT46" s="7">
        <f t="shared" si="56"/>
        <v>1.3608935998015164E-2</v>
      </c>
      <c r="BU46" s="9">
        <f t="shared" si="57"/>
        <v>0.20404914672539015</v>
      </c>
      <c r="BV46" s="4">
        <f t="shared" si="100"/>
        <v>960.75905153711381</v>
      </c>
      <c r="BW46" s="6">
        <f t="shared" si="58"/>
        <v>5.4215181030742287E-6</v>
      </c>
      <c r="BX46" s="8">
        <f t="shared" si="59"/>
        <v>26.937729092676808</v>
      </c>
      <c r="BY46" s="7">
        <f t="shared" si="60"/>
        <v>1.3568398365239431E-2</v>
      </c>
      <c r="BZ46" s="9">
        <f t="shared" si="61"/>
        <v>0.20475463915402795</v>
      </c>
      <c r="CA46" s="4">
        <f t="shared" si="101"/>
        <v>952.05997147458197</v>
      </c>
      <c r="CB46" s="6">
        <f t="shared" si="62"/>
        <v>5.404119942949165E-6</v>
      </c>
      <c r="CC46" s="8">
        <f t="shared" si="63"/>
        <v>26.837689671957691</v>
      </c>
      <c r="CD46" s="7">
        <f t="shared" si="64"/>
        <v>1.3524856102184875E-2</v>
      </c>
      <c r="CE46" s="9">
        <f t="shared" si="65"/>
        <v>0.20551787681497771</v>
      </c>
      <c r="CF46" s="4">
        <f t="shared" si="102"/>
        <v>942.75386032913343</v>
      </c>
      <c r="CG46" s="6">
        <f t="shared" si="66"/>
        <v>5.385507720658267E-6</v>
      </c>
      <c r="CH46" s="8">
        <f t="shared" si="67"/>
        <v>26.730669393785035</v>
      </c>
      <c r="CI46" s="7">
        <f t="shared" si="68"/>
        <v>1.3478275413583634E-2</v>
      </c>
      <c r="CJ46" s="9">
        <f t="shared" si="69"/>
        <v>0.20634069872123742</v>
      </c>
      <c r="CK46" s="4">
        <f t="shared" si="103"/>
        <v>932.73974087667227</v>
      </c>
      <c r="CL46" s="6">
        <f t="shared" si="70"/>
        <v>5.3654794817533453E-6</v>
      </c>
      <c r="CM46" s="8">
        <f t="shared" si="71"/>
        <v>26.615507020081729</v>
      </c>
      <c r="CN46" s="7">
        <f t="shared" si="72"/>
        <v>1.342815086934167E-2</v>
      </c>
      <c r="CO46" s="9">
        <f t="shared" si="73"/>
        <v>0.20723351224676625</v>
      </c>
      <c r="CP46" s="4">
        <f t="shared" si="104"/>
        <v>920.86260430264679</v>
      </c>
      <c r="CQ46" s="6">
        <f t="shared" si="74"/>
        <v>5.341725208605294E-6</v>
      </c>
      <c r="CR46" s="8">
        <f t="shared" si="75"/>
        <v>26.478919949480435</v>
      </c>
      <c r="CS46" s="7">
        <f t="shared" si="76"/>
        <v>1.3368701203247827E-2</v>
      </c>
      <c r="CT46" s="9">
        <f t="shared" si="77"/>
        <v>0.20830249158664141</v>
      </c>
      <c r="CU46" s="4">
        <f t="shared" si="105"/>
        <v>897.71116459704729</v>
      </c>
      <c r="CV46" s="6">
        <f t="shared" si="78"/>
        <v>5.2954223291940952E-6</v>
      </c>
      <c r="CW46" s="8">
        <f t="shared" si="79"/>
        <v>26.212678392866042</v>
      </c>
      <c r="CX46" s="7">
        <f t="shared" si="80"/>
        <v>1.3252819285791436E-2</v>
      </c>
      <c r="CY46" s="9">
        <f t="shared" si="81"/>
        <v>0.21041821508408368</v>
      </c>
      <c r="CZ46" s="5">
        <f t="shared" si="106"/>
        <v>815.9085216043203</v>
      </c>
      <c r="DA46" s="6">
        <f t="shared" si="82"/>
        <v>5.131817043208641E-6</v>
      </c>
      <c r="DB46" s="8">
        <f t="shared" si="83"/>
        <v>25.271947998449683</v>
      </c>
      <c r="DC46" s="7">
        <f t="shared" si="84"/>
        <v>1.2843365392489703E-2</v>
      </c>
      <c r="DD46" s="9">
        <f t="shared" si="85"/>
        <v>0.21825088435360654</v>
      </c>
    </row>
    <row r="47" spans="2:108" x14ac:dyDescent="0.25">
      <c r="B47">
        <v>28</v>
      </c>
      <c r="C47">
        <f t="shared" si="86"/>
        <v>2.7373210657667041E-2</v>
      </c>
      <c r="D47" s="4">
        <f t="shared" si="3"/>
        <v>1019.5547738236554</v>
      </c>
      <c r="E47" s="6">
        <f t="shared" si="4"/>
        <v>5.5391095476473111E-6</v>
      </c>
      <c r="F47" s="8">
        <f t="shared" si="5"/>
        <v>27.613879898972037</v>
      </c>
      <c r="G47" s="7">
        <f t="shared" si="1"/>
        <v>1.3862693714618938E-2</v>
      </c>
      <c r="H47" s="9">
        <f t="shared" si="6"/>
        <v>0.19974103676047805</v>
      </c>
      <c r="I47" s="4">
        <f t="shared" si="87"/>
        <v>1019.236039037515</v>
      </c>
      <c r="J47" s="6">
        <f t="shared" si="7"/>
        <v>5.5384720780750303E-6</v>
      </c>
      <c r="K47" s="8">
        <f t="shared" si="8"/>
        <v>27.610214448931423</v>
      </c>
      <c r="L47" s="7">
        <f t="shared" si="9"/>
        <v>1.386109832363472E-2</v>
      </c>
      <c r="M47" s="9">
        <f t="shared" si="10"/>
        <v>0.1997675537870901</v>
      </c>
      <c r="N47" s="4">
        <f t="shared" si="88"/>
        <v>1018.3343922988367</v>
      </c>
      <c r="O47" s="6">
        <f t="shared" si="11"/>
        <v>5.5366687845976742E-6</v>
      </c>
      <c r="P47" s="8">
        <f t="shared" si="12"/>
        <v>27.599845511436619</v>
      </c>
      <c r="Q47" s="7">
        <f t="shared" si="2"/>
        <v>1.3862693714618938E-2</v>
      </c>
      <c r="R47" s="9">
        <f t="shared" si="13"/>
        <v>0.1998426041085801</v>
      </c>
      <c r="S47" s="4">
        <f t="shared" si="89"/>
        <v>1016.834275363907</v>
      </c>
      <c r="T47" s="6">
        <f t="shared" si="14"/>
        <v>5.5336685507278144E-6</v>
      </c>
      <c r="U47" s="8">
        <f t="shared" si="15"/>
        <v>27.582594166684927</v>
      </c>
      <c r="V47" s="7">
        <f t="shared" si="16"/>
        <v>1.3849076566745557E-2</v>
      </c>
      <c r="W47" s="9">
        <f t="shared" si="17"/>
        <v>0.19996759429763625</v>
      </c>
      <c r="X47" s="4">
        <f t="shared" si="90"/>
        <v>1014.7346455050749</v>
      </c>
      <c r="Y47" s="6">
        <f t="shared" si="18"/>
        <v>5.5294692910101498E-6</v>
      </c>
      <c r="Z47" s="8">
        <f t="shared" si="19"/>
        <v>27.558448423308363</v>
      </c>
      <c r="AA47" s="7">
        <f t="shared" si="20"/>
        <v>1.3838567106552836E-2</v>
      </c>
      <c r="AB47" s="9">
        <f t="shared" si="21"/>
        <v>0.20014279887161568</v>
      </c>
      <c r="AC47" s="4">
        <f t="shared" si="91"/>
        <v>1012.0350181672143</v>
      </c>
      <c r="AD47" s="6">
        <f t="shared" si="22"/>
        <v>5.5240700363344293E-6</v>
      </c>
      <c r="AE47" s="8">
        <f t="shared" si="23"/>
        <v>27.527402708922963</v>
      </c>
      <c r="AF47" s="7">
        <f t="shared" si="24"/>
        <v>1.3825054426723543E-2</v>
      </c>
      <c r="AG47" s="9">
        <f t="shared" si="25"/>
        <v>0.20036852217125878</v>
      </c>
      <c r="AH47" s="4">
        <f t="shared" si="92"/>
        <v>1008.7354748159123</v>
      </c>
      <c r="AI47" s="6">
        <f t="shared" si="26"/>
        <v>5.5174709496318252E-6</v>
      </c>
      <c r="AJ47" s="8">
        <f t="shared" si="27"/>
        <v>27.489457960382992</v>
      </c>
      <c r="AK47" s="7">
        <f t="shared" si="28"/>
        <v>1.3808538935024471E-2</v>
      </c>
      <c r="AL47" s="9">
        <f t="shared" si="29"/>
        <v>0.20064509849371925</v>
      </c>
      <c r="AM47" s="4">
        <f t="shared" si="93"/>
        <v>1004.8360303423143</v>
      </c>
      <c r="AN47" s="6">
        <f t="shared" si="30"/>
        <v>5.5096720606846294E-6</v>
      </c>
      <c r="AO47" s="8">
        <f t="shared" si="31"/>
        <v>27.444614348936614</v>
      </c>
      <c r="AP47" s="7">
        <f t="shared" si="32"/>
        <v>1.3789020705991573E-2</v>
      </c>
      <c r="AQ47" s="9">
        <f t="shared" si="33"/>
        <v>0.20097294608964733</v>
      </c>
      <c r="AR47" s="4">
        <f t="shared" si="94"/>
        <v>1000.3366864980177</v>
      </c>
      <c r="AS47" s="6">
        <f t="shared" si="34"/>
        <v>5.5006733729960355E-6</v>
      </c>
      <c r="AT47" s="8">
        <f t="shared" si="35"/>
        <v>27.3928718947272</v>
      </c>
      <c r="AU47" s="7">
        <f t="shared" si="36"/>
        <v>1.3766499748392263E-2</v>
      </c>
      <c r="AV47" s="9">
        <f t="shared" si="37"/>
        <v>0.20135256431662032</v>
      </c>
      <c r="AW47" s="4">
        <f t="shared" si="95"/>
        <v>995.2374434601885</v>
      </c>
      <c r="AX47" s="6">
        <f t="shared" si="38"/>
        <v>5.4904748869203775E-6</v>
      </c>
      <c r="AY47" s="8">
        <f t="shared" si="39"/>
        <v>27.334230599792168</v>
      </c>
      <c r="AZ47" s="7">
        <f t="shared" si="40"/>
        <v>1.3740976063113336E-2</v>
      </c>
      <c r="BA47" s="9">
        <f t="shared" si="41"/>
        <v>0.20178453459165363</v>
      </c>
      <c r="BB47" s="4">
        <f t="shared" si="96"/>
        <v>989.53830126055925</v>
      </c>
      <c r="BC47" s="6">
        <f t="shared" si="42"/>
        <v>5.4790766025211186E-6</v>
      </c>
      <c r="BD47" s="8">
        <f t="shared" si="43"/>
        <v>27.26869046449643</v>
      </c>
      <c r="BE47" s="7">
        <f t="shared" si="44"/>
        <v>1.3712449650313619E-2</v>
      </c>
      <c r="BF47" s="9">
        <f t="shared" si="45"/>
        <v>0.20226952252002312</v>
      </c>
      <c r="BG47" s="4">
        <f t="shared" si="97"/>
        <v>983.23925991337603</v>
      </c>
      <c r="BH47" s="6">
        <f t="shared" si="46"/>
        <v>5.4664785198267522E-6</v>
      </c>
      <c r="BI47" s="8">
        <f t="shared" si="47"/>
        <v>27.196251489003824</v>
      </c>
      <c r="BJ47" s="7">
        <f t="shared" si="48"/>
        <v>1.368092051006442E-2</v>
      </c>
      <c r="BK47" s="9">
        <f t="shared" si="49"/>
        <v>0.20280828048049621</v>
      </c>
      <c r="BL47" s="4">
        <f t="shared" si="98"/>
        <v>976.34031940264072</v>
      </c>
      <c r="BM47" s="6">
        <f t="shared" si="50"/>
        <v>5.4526806388052825E-6</v>
      </c>
      <c r="BN47" s="8">
        <f t="shared" si="51"/>
        <v>27.116913673130369</v>
      </c>
      <c r="BO47" s="7">
        <f t="shared" si="52"/>
        <v>1.3646388642285666E-2</v>
      </c>
      <c r="BP47" s="9">
        <f t="shared" si="53"/>
        <v>0.20340165058921611</v>
      </c>
      <c r="BQ47" s="4">
        <f t="shared" si="99"/>
        <v>968.84147894997795</v>
      </c>
      <c r="BR47" s="6">
        <f t="shared" si="54"/>
        <v>5.4376829578999568E-6</v>
      </c>
      <c r="BS47" s="8">
        <f t="shared" si="55"/>
        <v>27.030677007924744</v>
      </c>
      <c r="BT47" s="7">
        <f t="shared" si="56"/>
        <v>1.3608854043081282E-2</v>
      </c>
      <c r="BU47" s="9">
        <f t="shared" si="57"/>
        <v>0.20405056811499583</v>
      </c>
      <c r="BV47" s="4">
        <f t="shared" si="100"/>
        <v>960.74271814124256</v>
      </c>
      <c r="BW47" s="6">
        <f t="shared" si="58"/>
        <v>5.4214854362824861E-6</v>
      </c>
      <c r="BX47" s="8">
        <f t="shared" si="59"/>
        <v>26.937541258624289</v>
      </c>
      <c r="BY47" s="7">
        <f t="shared" si="60"/>
        <v>1.3568316610270572E-2</v>
      </c>
      <c r="BZ47" s="9">
        <f t="shared" si="61"/>
        <v>0.20475606689731285</v>
      </c>
      <c r="CA47" s="4">
        <f t="shared" si="101"/>
        <v>952.04359174682543</v>
      </c>
      <c r="CB47" s="6">
        <f t="shared" si="62"/>
        <v>5.4040871834936511E-6</v>
      </c>
      <c r="CC47" s="8">
        <f t="shared" si="63"/>
        <v>26.837501305088491</v>
      </c>
      <c r="CD47" s="7">
        <f t="shared" si="64"/>
        <v>1.3524774115306996E-2</v>
      </c>
      <c r="CE47" s="9">
        <f t="shared" si="65"/>
        <v>0.20551931930243508</v>
      </c>
      <c r="CF47" s="4">
        <f t="shared" si="102"/>
        <v>942.73611899687523</v>
      </c>
      <c r="CG47" s="6">
        <f t="shared" si="66"/>
        <v>5.3854722379937504E-6</v>
      </c>
      <c r="CH47" s="8">
        <f t="shared" si="67"/>
        <v>26.730465368464067</v>
      </c>
      <c r="CI47" s="7">
        <f t="shared" si="68"/>
        <v>1.3478186611348159E-2</v>
      </c>
      <c r="CJ47" s="9">
        <f t="shared" si="69"/>
        <v>0.20634227365555693</v>
      </c>
      <c r="CK47" s="4">
        <f t="shared" si="103"/>
        <v>932.70595271266291</v>
      </c>
      <c r="CL47" s="6">
        <f t="shared" si="70"/>
        <v>5.3654119054253264E-6</v>
      </c>
      <c r="CM47" s="8">
        <f t="shared" si="71"/>
        <v>26.615118456195624</v>
      </c>
      <c r="CN47" s="7">
        <f t="shared" si="72"/>
        <v>1.3427981746501682E-2</v>
      </c>
      <c r="CO47" s="9">
        <f t="shared" si="73"/>
        <v>0.2072365377248975</v>
      </c>
      <c r="CP47" s="4">
        <f t="shared" si="104"/>
        <v>920.69814752480011</v>
      </c>
      <c r="CQ47" s="6">
        <f t="shared" si="74"/>
        <v>5.3413962950496014E-6</v>
      </c>
      <c r="CR47" s="8">
        <f t="shared" si="75"/>
        <v>26.4770286965352</v>
      </c>
      <c r="CS47" s="7">
        <f t="shared" si="76"/>
        <v>1.3367878033414857E-2</v>
      </c>
      <c r="CT47" s="9">
        <f t="shared" si="77"/>
        <v>0.20831737062406017</v>
      </c>
      <c r="CU47" s="4">
        <f t="shared" si="105"/>
        <v>896.890201060344</v>
      </c>
      <c r="CV47" s="6">
        <f t="shared" si="78"/>
        <v>5.2937804021206885E-6</v>
      </c>
      <c r="CW47" s="8">
        <f t="shared" si="79"/>
        <v>26.203237312193956</v>
      </c>
      <c r="CX47" s="7">
        <f t="shared" si="80"/>
        <v>1.3248710045502075E-2</v>
      </c>
      <c r="CY47" s="9">
        <f t="shared" si="81"/>
        <v>0.21049402920276744</v>
      </c>
      <c r="CZ47" s="5">
        <f t="shared" si="106"/>
        <v>813.7750330594572</v>
      </c>
      <c r="DA47" s="6">
        <f t="shared" si="82"/>
        <v>5.1275500661189147E-6</v>
      </c>
      <c r="DB47" s="8">
        <f t="shared" si="83"/>
        <v>25.247412880183759</v>
      </c>
      <c r="DC47" s="7">
        <f t="shared" si="84"/>
        <v>1.2832686456466982E-2</v>
      </c>
      <c r="DD47" s="9">
        <f t="shared" si="85"/>
        <v>0.21846297781778326</v>
      </c>
    </row>
    <row r="48" spans="2:108" x14ac:dyDescent="0.25">
      <c r="B48">
        <v>29</v>
      </c>
      <c r="C48">
        <f t="shared" si="86"/>
        <v>2.8350825324012292E-2</v>
      </c>
      <c r="D48" s="4">
        <f t="shared" si="3"/>
        <v>1019.5385008356163</v>
      </c>
      <c r="E48" s="6">
        <f t="shared" si="4"/>
        <v>5.5390770016712329E-6</v>
      </c>
      <c r="F48" s="8">
        <f t="shared" si="5"/>
        <v>27.613692759609584</v>
      </c>
      <c r="G48" s="7">
        <f t="shared" si="1"/>
        <v>1.3862612262014665E-2</v>
      </c>
      <c r="H48" s="9">
        <f t="shared" si="6"/>
        <v>0.19974239041536951</v>
      </c>
      <c r="I48" s="4">
        <f t="shared" si="87"/>
        <v>1019.2194995171889</v>
      </c>
      <c r="J48" s="6">
        <f t="shared" si="7"/>
        <v>5.5384389990343784E-6</v>
      </c>
      <c r="K48" s="8">
        <f t="shared" si="8"/>
        <v>27.610024244447672</v>
      </c>
      <c r="L48" s="7">
        <f t="shared" si="9"/>
        <v>1.3861015536933176E-2</v>
      </c>
      <c r="M48" s="9">
        <f t="shared" si="10"/>
        <v>0.19976892997872622</v>
      </c>
      <c r="N48" s="4">
        <f t="shared" si="88"/>
        <v>1018.3177741732492</v>
      </c>
      <c r="O48" s="6">
        <f t="shared" si="11"/>
        <v>5.5366355483464986E-6</v>
      </c>
      <c r="P48" s="8">
        <f t="shared" si="12"/>
        <v>27.599654402992364</v>
      </c>
      <c r="Q48" s="7">
        <f t="shared" si="2"/>
        <v>1.3862612262014665E-2</v>
      </c>
      <c r="R48" s="9">
        <f t="shared" si="13"/>
        <v>0.19984398787986252</v>
      </c>
      <c r="S48" s="4">
        <f t="shared" si="89"/>
        <v>1016.8176475663563</v>
      </c>
      <c r="T48" s="6">
        <f t="shared" si="14"/>
        <v>5.5336352951327136E-6</v>
      </c>
      <c r="U48" s="8">
        <f t="shared" si="15"/>
        <v>27.582402947013097</v>
      </c>
      <c r="V48" s="7">
        <f t="shared" si="16"/>
        <v>1.3848993338182335E-2</v>
      </c>
      <c r="W48" s="9">
        <f t="shared" si="17"/>
        <v>0.19996898060679255</v>
      </c>
      <c r="X48" s="4">
        <f t="shared" si="90"/>
        <v>1014.7180280338667</v>
      </c>
      <c r="Y48" s="6">
        <f t="shared" si="18"/>
        <v>5.5294360560677341E-6</v>
      </c>
      <c r="Z48" s="8">
        <f t="shared" si="19"/>
        <v>27.558257322389466</v>
      </c>
      <c r="AA48" s="7">
        <f t="shared" si="20"/>
        <v>1.3838483929676954E-2</v>
      </c>
      <c r="AB48" s="9">
        <f t="shared" si="21"/>
        <v>0.20014418674866202</v>
      </c>
      <c r="AC48" s="4">
        <f t="shared" si="91"/>
        <v>1012.0184142963858</v>
      </c>
      <c r="AD48" s="6">
        <f t="shared" si="22"/>
        <v>5.5240368285927724E-6</v>
      </c>
      <c r="AE48" s="8">
        <f t="shared" si="23"/>
        <v>27.527211764408435</v>
      </c>
      <c r="AF48" s="7">
        <f t="shared" si="24"/>
        <v>1.3824971317922825E-2</v>
      </c>
      <c r="AG48" s="9">
        <f t="shared" si="25"/>
        <v>0.20036991204214438</v>
      </c>
      <c r="AH48" s="4">
        <f t="shared" si="92"/>
        <v>1008.7188873834199</v>
      </c>
      <c r="AI48" s="6">
        <f t="shared" si="26"/>
        <v>5.51743777476684E-6</v>
      </c>
      <c r="AJ48" s="8">
        <f t="shared" si="27"/>
        <v>27.489267204909329</v>
      </c>
      <c r="AK48" s="7">
        <f t="shared" si="28"/>
        <v>1.380845590850399E-2</v>
      </c>
      <c r="AL48" s="9">
        <f t="shared" si="29"/>
        <v>0.20064649082442476</v>
      </c>
      <c r="AM48" s="4">
        <f t="shared" si="93"/>
        <v>1004.8194627798636</v>
      </c>
      <c r="AN48" s="6">
        <f t="shared" si="30"/>
        <v>5.5096389255597272E-6</v>
      </c>
      <c r="AO48" s="8">
        <f t="shared" si="31"/>
        <v>27.444423821968428</v>
      </c>
      <c r="AP48" s="7">
        <f t="shared" si="32"/>
        <v>1.378893777892834E-2</v>
      </c>
      <c r="AQ48" s="9">
        <f t="shared" si="33"/>
        <v>0.20097434130079678</v>
      </c>
      <c r="AR48" s="4">
        <f t="shared" si="94"/>
        <v>1000.3201423805342</v>
      </c>
      <c r="AS48" s="6">
        <f t="shared" si="34"/>
        <v>5.5006402847610688E-6</v>
      </c>
      <c r="AT48" s="8">
        <f t="shared" si="35"/>
        <v>27.392681637376143</v>
      </c>
      <c r="AU48" s="7">
        <f t="shared" si="36"/>
        <v>1.3766416938680168E-2</v>
      </c>
      <c r="AV48" s="9">
        <f t="shared" si="37"/>
        <v>0.20135396282174015</v>
      </c>
      <c r="AW48" s="4">
        <f t="shared" si="95"/>
        <v>995.22092638301467</v>
      </c>
      <c r="AX48" s="6">
        <f t="shared" si="38"/>
        <v>5.4904418527660301E-6</v>
      </c>
      <c r="AY48" s="8">
        <f t="shared" si="39"/>
        <v>27.334040653404667</v>
      </c>
      <c r="AZ48" s="7">
        <f t="shared" si="40"/>
        <v>1.3740893388748458E-2</v>
      </c>
      <c r="BA48" s="9">
        <f t="shared" si="41"/>
        <v>0.20178593680817497</v>
      </c>
      <c r="BB48" s="4">
        <f t="shared" si="96"/>
        <v>989.52181482227991</v>
      </c>
      <c r="BC48" s="6">
        <f t="shared" si="42"/>
        <v>5.47904362964456E-6</v>
      </c>
      <c r="BD48" s="8">
        <f t="shared" si="43"/>
        <v>27.268500870456219</v>
      </c>
      <c r="BE48" s="7">
        <f t="shared" si="44"/>
        <v>1.3712367129308267E-2</v>
      </c>
      <c r="BF48" s="9">
        <f t="shared" si="45"/>
        <v>0.20227092887148218</v>
      </c>
      <c r="BG48" s="4">
        <f t="shared" si="97"/>
        <v>983.22280771341389</v>
      </c>
      <c r="BH48" s="6">
        <f t="shared" si="46"/>
        <v>5.4664456154268282E-6</v>
      </c>
      <c r="BI48" s="8">
        <f t="shared" si="47"/>
        <v>27.196062288704258</v>
      </c>
      <c r="BJ48" s="7">
        <f t="shared" si="48"/>
        <v>1.3680838160435102E-2</v>
      </c>
      <c r="BK48" s="9">
        <f t="shared" si="49"/>
        <v>0.2028096913975258</v>
      </c>
      <c r="BL48" s="4">
        <f t="shared" si="98"/>
        <v>976.32390503065483</v>
      </c>
      <c r="BM48" s="6">
        <f t="shared" si="50"/>
        <v>5.4526478100613105E-6</v>
      </c>
      <c r="BN48" s="8">
        <f t="shared" si="51"/>
        <v>27.116724907852529</v>
      </c>
      <c r="BO48" s="7">
        <f t="shared" si="52"/>
        <v>1.364630648200001E-2</v>
      </c>
      <c r="BP48" s="9">
        <f t="shared" si="53"/>
        <v>0.2034030665112796</v>
      </c>
      <c r="BQ48" s="4">
        <f t="shared" si="99"/>
        <v>968.82510572804199</v>
      </c>
      <c r="BR48" s="6">
        <f t="shared" si="54"/>
        <v>5.4376502114560844E-6</v>
      </c>
      <c r="BS48" s="8">
        <f t="shared" si="55"/>
        <v>27.03048871587248</v>
      </c>
      <c r="BT48" s="7">
        <f t="shared" si="56"/>
        <v>1.3608772088767554E-2</v>
      </c>
      <c r="BU48" s="9">
        <f t="shared" si="57"/>
        <v>0.20405198951364831</v>
      </c>
      <c r="BV48" s="4">
        <f t="shared" si="100"/>
        <v>960.72638366644139</v>
      </c>
      <c r="BW48" s="6">
        <f t="shared" si="58"/>
        <v>5.4214527673328839E-6</v>
      </c>
      <c r="BX48" s="8">
        <f t="shared" si="59"/>
        <v>26.937353412164075</v>
      </c>
      <c r="BY48" s="7">
        <f t="shared" si="60"/>
        <v>1.3568234849901255E-2</v>
      </c>
      <c r="BZ48" s="9">
        <f t="shared" si="61"/>
        <v>0.20475749475482302</v>
      </c>
      <c r="CA48" s="4">
        <f t="shared" si="101"/>
        <v>952.0271936350689</v>
      </c>
      <c r="CB48" s="6">
        <f t="shared" si="62"/>
        <v>5.4040543872701377E-6</v>
      </c>
      <c r="CC48" s="8">
        <f t="shared" si="63"/>
        <v>26.83731272680329</v>
      </c>
      <c r="CD48" s="7">
        <f t="shared" si="64"/>
        <v>1.3524692036410081E-2</v>
      </c>
      <c r="CE48" s="9">
        <f t="shared" si="65"/>
        <v>0.20552076342917028</v>
      </c>
      <c r="CF48" s="4">
        <f t="shared" si="102"/>
        <v>942.71817180149242</v>
      </c>
      <c r="CG48" s="6">
        <f t="shared" si="66"/>
        <v>5.3854363436029853E-6</v>
      </c>
      <c r="CH48" s="8">
        <f t="shared" si="67"/>
        <v>26.730258975717163</v>
      </c>
      <c r="CI48" s="7">
        <f t="shared" si="68"/>
        <v>1.347809677868806E-2</v>
      </c>
      <c r="CJ48" s="9">
        <f t="shared" si="69"/>
        <v>0.20634386688922896</v>
      </c>
      <c r="CK48" s="4">
        <f t="shared" si="103"/>
        <v>932.67056173023479</v>
      </c>
      <c r="CL48" s="6">
        <f t="shared" si="70"/>
        <v>5.3653411234604703E-6</v>
      </c>
      <c r="CM48" s="8">
        <f t="shared" si="71"/>
        <v>26.614711459897698</v>
      </c>
      <c r="CN48" s="7">
        <f t="shared" si="72"/>
        <v>1.3427804600935076E-2</v>
      </c>
      <c r="CO48" s="9">
        <f t="shared" si="73"/>
        <v>0.20723970681819298</v>
      </c>
      <c r="CP48" s="4">
        <f t="shared" si="104"/>
        <v>920.52633845250728</v>
      </c>
      <c r="CQ48" s="6">
        <f t="shared" si="74"/>
        <v>5.3410526769050152E-6</v>
      </c>
      <c r="CR48" s="8">
        <f t="shared" si="75"/>
        <v>26.475052892203834</v>
      </c>
      <c r="CS48" s="7">
        <f t="shared" si="76"/>
        <v>1.3367018062502165E-2</v>
      </c>
      <c r="CT48" s="9">
        <f t="shared" si="77"/>
        <v>0.20833291712229962</v>
      </c>
      <c r="CU48" s="4">
        <f t="shared" si="105"/>
        <v>896.05982869560978</v>
      </c>
      <c r="CV48" s="6">
        <f t="shared" si="78"/>
        <v>5.2921196573912201E-6</v>
      </c>
      <c r="CW48" s="8">
        <f t="shared" si="79"/>
        <v>26.193688029999514</v>
      </c>
      <c r="CX48" s="7">
        <f t="shared" si="80"/>
        <v>1.3244553710386339E-2</v>
      </c>
      <c r="CY48" s="9">
        <f t="shared" si="81"/>
        <v>0.2105707678003563</v>
      </c>
      <c r="CZ48" s="5">
        <f t="shared" si="106"/>
        <v>811.68701665822618</v>
      </c>
      <c r="DA48" s="6">
        <f t="shared" si="82"/>
        <v>5.1233740333164524E-6</v>
      </c>
      <c r="DB48" s="8">
        <f t="shared" si="83"/>
        <v>25.223400691569601</v>
      </c>
      <c r="DC48" s="7">
        <f t="shared" si="84"/>
        <v>1.2822235126125027E-2</v>
      </c>
      <c r="DD48" s="9">
        <f t="shared" si="85"/>
        <v>0.21867095033872586</v>
      </c>
    </row>
    <row r="49" spans="2:108" x14ac:dyDescent="0.25">
      <c r="B49">
        <v>30</v>
      </c>
      <c r="C49">
        <f t="shared" si="86"/>
        <v>2.9328439990357544E-2</v>
      </c>
      <c r="D49" s="4">
        <f t="shared" si="3"/>
        <v>1019.5222142397852</v>
      </c>
      <c r="E49" s="6">
        <f t="shared" si="4"/>
        <v>5.539044428479571E-6</v>
      </c>
      <c r="F49" s="8">
        <f t="shared" si="5"/>
        <v>27.613505463757527</v>
      </c>
      <c r="G49" s="7">
        <f t="shared" si="1"/>
        <v>1.3862530741298123E-2</v>
      </c>
      <c r="H49" s="9">
        <f t="shared" si="6"/>
        <v>0.19974374522058444</v>
      </c>
      <c r="I49" s="4">
        <f t="shared" si="87"/>
        <v>1019.2029603070296</v>
      </c>
      <c r="J49" s="6">
        <f t="shared" si="7"/>
        <v>5.5384059206140596E-6</v>
      </c>
      <c r="K49" s="8">
        <f t="shared" si="8"/>
        <v>27.609834043530839</v>
      </c>
      <c r="L49" s="7">
        <f t="shared" si="9"/>
        <v>1.386093275178414E-2</v>
      </c>
      <c r="M49" s="9">
        <f t="shared" si="10"/>
        <v>0.19977030616351518</v>
      </c>
      <c r="N49" s="4">
        <f t="shared" si="88"/>
        <v>1018.3011567964923</v>
      </c>
      <c r="O49" s="6">
        <f t="shared" si="11"/>
        <v>5.5366023135929848E-6</v>
      </c>
      <c r="P49" s="8">
        <f t="shared" si="12"/>
        <v>27.599463303159659</v>
      </c>
      <c r="Q49" s="7">
        <f t="shared" si="2"/>
        <v>1.3862530741298123E-2</v>
      </c>
      <c r="R49" s="9">
        <f t="shared" si="13"/>
        <v>0.19984537160795285</v>
      </c>
      <c r="S49" s="4">
        <f t="shared" si="89"/>
        <v>1016.8010201453263</v>
      </c>
      <c r="T49" s="6">
        <f t="shared" si="14"/>
        <v>5.533602040290653E-6</v>
      </c>
      <c r="U49" s="8">
        <f t="shared" si="15"/>
        <v>27.582211731671251</v>
      </c>
      <c r="V49" s="7">
        <f t="shared" si="16"/>
        <v>1.3848910111503743E-2</v>
      </c>
      <c r="W49" s="9">
        <f t="shared" si="17"/>
        <v>0.19997036690377837</v>
      </c>
      <c r="X49" s="4">
        <f t="shared" si="90"/>
        <v>1014.7014107492844</v>
      </c>
      <c r="Y49" s="6">
        <f t="shared" si="18"/>
        <v>5.5294028214985694E-6</v>
      </c>
      <c r="Z49" s="8">
        <f t="shared" si="19"/>
        <v>27.55806622361677</v>
      </c>
      <c r="AA49" s="7">
        <f t="shared" si="20"/>
        <v>1.3838400753735209E-2</v>
      </c>
      <c r="AB49" s="9">
        <f t="shared" si="21"/>
        <v>0.2001455746293696</v>
      </c>
      <c r="AC49" s="4">
        <f t="shared" si="91"/>
        <v>1012.001810606196</v>
      </c>
      <c r="AD49" s="6">
        <f t="shared" si="22"/>
        <v>5.5240036212123921E-6</v>
      </c>
      <c r="AE49" s="8">
        <f t="shared" si="23"/>
        <v>27.527020821971256</v>
      </c>
      <c r="AF49" s="7">
        <f t="shared" si="24"/>
        <v>1.3824888210026273E-2</v>
      </c>
      <c r="AG49" s="9">
        <f t="shared" si="25"/>
        <v>0.2003713019171908</v>
      </c>
      <c r="AH49" s="4">
        <f t="shared" si="92"/>
        <v>1008.7023001399145</v>
      </c>
      <c r="AI49" s="6">
        <f t="shared" si="26"/>
        <v>5.5174046002798297E-6</v>
      </c>
      <c r="AJ49" s="8">
        <f t="shared" si="27"/>
        <v>27.489076451609016</v>
      </c>
      <c r="AK49" s="7">
        <f t="shared" si="28"/>
        <v>1.3808372882929461E-2</v>
      </c>
      <c r="AL49" s="9">
        <f t="shared" si="29"/>
        <v>0.20064788315859022</v>
      </c>
      <c r="AM49" s="4">
        <f t="shared" si="93"/>
        <v>1004.8028954091141</v>
      </c>
      <c r="AN49" s="6">
        <f t="shared" si="30"/>
        <v>5.5096057908182285E-6</v>
      </c>
      <c r="AO49" s="8">
        <f t="shared" si="31"/>
        <v>27.444233297204811</v>
      </c>
      <c r="AP49" s="7">
        <f t="shared" si="32"/>
        <v>1.3788854852824647E-2</v>
      </c>
      <c r="AQ49" s="9">
        <f t="shared" si="33"/>
        <v>0.20097573651517403</v>
      </c>
      <c r="AR49" s="4">
        <f t="shared" si="94"/>
        <v>1000.3035984556304</v>
      </c>
      <c r="AS49" s="6">
        <f t="shared" si="34"/>
        <v>5.5006071969112615E-6</v>
      </c>
      <c r="AT49" s="8">
        <f t="shared" si="35"/>
        <v>27.392491382239747</v>
      </c>
      <c r="AU49" s="7">
        <f t="shared" si="36"/>
        <v>1.3766334129932011E-2</v>
      </c>
      <c r="AV49" s="9">
        <f t="shared" si="37"/>
        <v>0.20135536133000748</v>
      </c>
      <c r="AW49" s="4">
        <f t="shared" si="95"/>
        <v>995.20440949884778</v>
      </c>
      <c r="AX49" s="6">
        <f t="shared" si="38"/>
        <v>5.490408818997696E-6</v>
      </c>
      <c r="AY49" s="8">
        <f t="shared" si="39"/>
        <v>27.333850709236749</v>
      </c>
      <c r="AZ49" s="7">
        <f t="shared" si="40"/>
        <v>1.3740810715349654E-2</v>
      </c>
      <c r="BA49" s="9">
        <f t="shared" si="41"/>
        <v>0.201787339027799</v>
      </c>
      <c r="BB49" s="4">
        <f t="shared" si="96"/>
        <v>989.5053285772251</v>
      </c>
      <c r="BC49" s="6">
        <f t="shared" si="42"/>
        <v>5.4790106571544509E-6</v>
      </c>
      <c r="BD49" s="8">
        <f t="shared" si="43"/>
        <v>27.268311278638087</v>
      </c>
      <c r="BE49" s="7">
        <f t="shared" si="44"/>
        <v>1.371228460927008E-2</v>
      </c>
      <c r="BF49" s="9">
        <f t="shared" si="45"/>
        <v>0.20227233522601468</v>
      </c>
      <c r="BG49" s="4">
        <f t="shared" si="97"/>
        <v>983.20635570660022</v>
      </c>
      <c r="BH49" s="6">
        <f t="shared" si="46"/>
        <v>5.4664127114132012E-6</v>
      </c>
      <c r="BI49" s="8">
        <f t="shared" si="47"/>
        <v>27.195873090625902</v>
      </c>
      <c r="BJ49" s="7">
        <f t="shared" si="48"/>
        <v>1.3680755811772563E-2</v>
      </c>
      <c r="BK49" s="9">
        <f t="shared" si="49"/>
        <v>0.20281110231762228</v>
      </c>
      <c r="BL49" s="4">
        <f t="shared" si="98"/>
        <v>976.3074908479399</v>
      </c>
      <c r="BM49" s="6">
        <f t="shared" si="50"/>
        <v>5.4526149816958801E-6</v>
      </c>
      <c r="BN49" s="8">
        <f t="shared" si="51"/>
        <v>27.116536144751308</v>
      </c>
      <c r="BO49" s="7">
        <f t="shared" si="52"/>
        <v>1.3646224322661727E-2</v>
      </c>
      <c r="BP49" s="9">
        <f t="shared" si="53"/>
        <v>0.20340448243672921</v>
      </c>
      <c r="BQ49" s="4">
        <f t="shared" si="99"/>
        <v>968.80873261382681</v>
      </c>
      <c r="BR49" s="6">
        <f t="shared" si="54"/>
        <v>5.4376174652276541E-6</v>
      </c>
      <c r="BS49" s="8">
        <f t="shared" si="55"/>
        <v>27.030300425059007</v>
      </c>
      <c r="BT49" s="7">
        <f t="shared" si="56"/>
        <v>1.360869013499301E-2</v>
      </c>
      <c r="BU49" s="9">
        <f t="shared" si="57"/>
        <v>0.20405341092275187</v>
      </c>
      <c r="BV49" s="4">
        <f t="shared" si="100"/>
        <v>960.71004788459811</v>
      </c>
      <c r="BW49" s="6">
        <f t="shared" si="58"/>
        <v>5.4214200957691974E-6</v>
      </c>
      <c r="BX49" s="8">
        <f t="shared" si="59"/>
        <v>26.93716555067288</v>
      </c>
      <c r="BY49" s="7">
        <f t="shared" si="60"/>
        <v>1.3568153082989684E-2</v>
      </c>
      <c r="BZ49" s="9">
        <f t="shared" si="61"/>
        <v>0.20475892274650337</v>
      </c>
      <c r="CA49" s="4">
        <f t="shared" si="101"/>
        <v>952.01077473797727</v>
      </c>
      <c r="CB49" s="6">
        <f t="shared" si="62"/>
        <v>5.4040215494759558E-6</v>
      </c>
      <c r="CC49" s="8">
        <f t="shared" si="63"/>
        <v>26.837123909486738</v>
      </c>
      <c r="CD49" s="7">
        <f t="shared" si="64"/>
        <v>1.3524609853474522E-2</v>
      </c>
      <c r="CE49" s="9">
        <f t="shared" si="65"/>
        <v>0.20552220940673396</v>
      </c>
      <c r="CF49" s="4">
        <f t="shared" si="102"/>
        <v>942.70000171827951</v>
      </c>
      <c r="CG49" s="6">
        <f t="shared" si="66"/>
        <v>5.3854000034365593E-6</v>
      </c>
      <c r="CH49" s="8">
        <f t="shared" si="67"/>
        <v>26.730050019760213</v>
      </c>
      <c r="CI49" s="7">
        <f t="shared" si="68"/>
        <v>1.3478005830388089E-2</v>
      </c>
      <c r="CJ49" s="9">
        <f t="shared" si="69"/>
        <v>0.20634547993447708</v>
      </c>
      <c r="CK49" s="4">
        <f t="shared" si="103"/>
        <v>932.63350645758851</v>
      </c>
      <c r="CL49" s="6">
        <f t="shared" si="70"/>
        <v>5.3652670129151771E-6</v>
      </c>
      <c r="CM49" s="8">
        <f t="shared" si="71"/>
        <v>26.614285324262269</v>
      </c>
      <c r="CN49" s="7">
        <f t="shared" si="72"/>
        <v>1.3427619124951693E-2</v>
      </c>
      <c r="CO49" s="9">
        <f t="shared" si="73"/>
        <v>0.20724302504459188</v>
      </c>
      <c r="CP49" s="4">
        <f t="shared" si="104"/>
        <v>920.34722406683102</v>
      </c>
      <c r="CQ49" s="6">
        <f t="shared" si="74"/>
        <v>5.3406944481336624E-6</v>
      </c>
      <c r="CR49" s="8">
        <f t="shared" si="75"/>
        <v>26.472993076768557</v>
      </c>
      <c r="CS49" s="7">
        <f t="shared" si="76"/>
        <v>1.3366121525668165E-2</v>
      </c>
      <c r="CT49" s="9">
        <f t="shared" si="77"/>
        <v>0.20834912712761033</v>
      </c>
      <c r="CU49" s="4">
        <f t="shared" si="105"/>
        <v>895.22083063175762</v>
      </c>
      <c r="CV49" s="6">
        <f t="shared" si="78"/>
        <v>5.2904416612635158E-6</v>
      </c>
      <c r="CW49" s="8">
        <f t="shared" si="79"/>
        <v>26.184039552265212</v>
      </c>
      <c r="CX49" s="7">
        <f t="shared" si="80"/>
        <v>1.3240354200307584E-2</v>
      </c>
      <c r="CY49" s="9">
        <f t="shared" si="81"/>
        <v>0.21064836038726639</v>
      </c>
      <c r="CZ49" s="5">
        <f t="shared" si="106"/>
        <v>809.6427414563716</v>
      </c>
      <c r="DA49" s="6">
        <f t="shared" si="82"/>
        <v>5.119285482912744E-6</v>
      </c>
      <c r="DB49" s="8">
        <f t="shared" si="83"/>
        <v>25.199891526748274</v>
      </c>
      <c r="DC49" s="7">
        <f t="shared" si="84"/>
        <v>1.2812002737417809E-2</v>
      </c>
      <c r="DD49" s="9">
        <f t="shared" si="85"/>
        <v>0.21887495008244273</v>
      </c>
    </row>
    <row r="50" spans="2:108" x14ac:dyDescent="0.25">
      <c r="B50">
        <v>31</v>
      </c>
      <c r="C50">
        <f t="shared" si="86"/>
        <v>3.0306054656702795E-2</v>
      </c>
      <c r="D50" s="4">
        <f t="shared" si="3"/>
        <v>1019.5059147467425</v>
      </c>
      <c r="E50" s="6">
        <f t="shared" si="4"/>
        <v>5.5390118294934859E-6</v>
      </c>
      <c r="F50" s="8">
        <f t="shared" si="5"/>
        <v>27.613318019587538</v>
      </c>
      <c r="G50" s="7">
        <f t="shared" si="1"/>
        <v>1.3862449156026047E-2</v>
      </c>
      <c r="H50" s="9">
        <f t="shared" si="6"/>
        <v>0.19974510111705826</v>
      </c>
      <c r="I50" s="4">
        <f t="shared" si="87"/>
        <v>1019.1864213197646</v>
      </c>
      <c r="J50" s="6">
        <f t="shared" si="7"/>
        <v>5.5383728426395299E-6</v>
      </c>
      <c r="K50" s="8">
        <f t="shared" si="8"/>
        <v>27.609643845177292</v>
      </c>
      <c r="L50" s="7">
        <f t="shared" si="9"/>
        <v>1.3860849967750773E-2</v>
      </c>
      <c r="M50" s="9">
        <f t="shared" si="10"/>
        <v>0.19977168234871817</v>
      </c>
      <c r="N50" s="4">
        <f t="shared" si="88"/>
        <v>1018.2845401575461</v>
      </c>
      <c r="O50" s="6">
        <f t="shared" si="11"/>
        <v>5.536569080315093E-6</v>
      </c>
      <c r="P50" s="8">
        <f t="shared" si="12"/>
        <v>27.59927221181178</v>
      </c>
      <c r="Q50" s="7">
        <f t="shared" si="2"/>
        <v>1.3862449156026047E-2</v>
      </c>
      <c r="R50" s="9">
        <f t="shared" si="13"/>
        <v>0.19984675529376655</v>
      </c>
      <c r="S50" s="4">
        <f t="shared" si="89"/>
        <v>1016.784393102121</v>
      </c>
      <c r="T50" s="6">
        <f t="shared" si="14"/>
        <v>5.5335687862042424E-6</v>
      </c>
      <c r="U50" s="8">
        <f t="shared" si="15"/>
        <v>27.582020520674391</v>
      </c>
      <c r="V50" s="7">
        <f t="shared" si="16"/>
        <v>1.384882688671631E-2</v>
      </c>
      <c r="W50" s="9">
        <f t="shared" si="17"/>
        <v>0.19997175318848398</v>
      </c>
      <c r="X50" s="4">
        <f t="shared" si="90"/>
        <v>1014.6847936535323</v>
      </c>
      <c r="Y50" s="6">
        <f t="shared" si="18"/>
        <v>5.5293695873070645E-6</v>
      </c>
      <c r="Z50" s="8">
        <f t="shared" si="19"/>
        <v>27.55787512701562</v>
      </c>
      <c r="AA50" s="7">
        <f t="shared" si="20"/>
        <v>1.3838317578738627E-2</v>
      </c>
      <c r="AB50" s="9">
        <f t="shared" si="21"/>
        <v>0.2001469625135541</v>
      </c>
      <c r="AC50" s="4">
        <f t="shared" si="91"/>
        <v>1011.9852070968446</v>
      </c>
      <c r="AD50" s="6">
        <f t="shared" si="22"/>
        <v>5.5239704141936898E-6</v>
      </c>
      <c r="AE50" s="8">
        <f t="shared" si="23"/>
        <v>27.526829881613715</v>
      </c>
      <c r="AF50" s="7">
        <f t="shared" si="24"/>
        <v>1.382480510303489E-2</v>
      </c>
      <c r="AG50" s="9">
        <f t="shared" si="25"/>
        <v>0.20037269179638115</v>
      </c>
      <c r="AH50" s="4">
        <f t="shared" si="92"/>
        <v>1008.6857130853291</v>
      </c>
      <c r="AI50" s="6">
        <f t="shared" si="26"/>
        <v>5.5173714261706587E-6</v>
      </c>
      <c r="AJ50" s="8">
        <f t="shared" si="27"/>
        <v>27.488885700481283</v>
      </c>
      <c r="AK50" s="7">
        <f t="shared" si="28"/>
        <v>1.380828985830055E-2</v>
      </c>
      <c r="AL50" s="9">
        <f t="shared" si="29"/>
        <v>0.20064927549622102</v>
      </c>
      <c r="AM50" s="4">
        <f t="shared" si="93"/>
        <v>1004.7863282300417</v>
      </c>
      <c r="AN50" s="6">
        <f t="shared" si="30"/>
        <v>5.5095726564600834E-6</v>
      </c>
      <c r="AO50" s="8">
        <f t="shared" si="31"/>
        <v>27.444042774645478</v>
      </c>
      <c r="AP50" s="7">
        <f t="shared" si="32"/>
        <v>1.378877192768037E-2</v>
      </c>
      <c r="AQ50" s="9">
        <f t="shared" si="33"/>
        <v>0.20097713173278098</v>
      </c>
      <c r="AR50" s="4">
        <f t="shared" si="94"/>
        <v>1000.287054723299</v>
      </c>
      <c r="AS50" s="6">
        <f t="shared" si="34"/>
        <v>5.5005741094465984E-6</v>
      </c>
      <c r="AT50" s="8">
        <f t="shared" si="35"/>
        <v>27.392301129317936</v>
      </c>
      <c r="AU50" s="7">
        <f t="shared" si="36"/>
        <v>1.3766251322147751E-2</v>
      </c>
      <c r="AV50" s="9">
        <f t="shared" si="37"/>
        <v>0.20135675984142257</v>
      </c>
      <c r="AW50" s="4">
        <f t="shared" si="95"/>
        <v>995.18789280768306</v>
      </c>
      <c r="AX50" s="6">
        <f t="shared" si="38"/>
        <v>5.4903757856153666E-6</v>
      </c>
      <c r="AY50" s="8">
        <f t="shared" si="39"/>
        <v>27.333660767288354</v>
      </c>
      <c r="AZ50" s="7">
        <f t="shared" si="40"/>
        <v>1.37407280429169E-2</v>
      </c>
      <c r="BA50" s="9">
        <f t="shared" si="41"/>
        <v>0.20178874125052587</v>
      </c>
      <c r="BB50" s="4">
        <f t="shared" si="96"/>
        <v>989.48884252538858</v>
      </c>
      <c r="BC50" s="6">
        <f t="shared" si="42"/>
        <v>5.4789776850507777E-6</v>
      </c>
      <c r="BD50" s="8">
        <f t="shared" si="43"/>
        <v>27.268121689041969</v>
      </c>
      <c r="BE50" s="7">
        <f t="shared" si="44"/>
        <v>1.3712202090199025E-2</v>
      </c>
      <c r="BF50" s="9">
        <f t="shared" si="45"/>
        <v>0.20227374158362077</v>
      </c>
      <c r="BG50" s="4">
        <f t="shared" si="97"/>
        <v>983.18990389287808</v>
      </c>
      <c r="BH50" s="6">
        <f t="shared" si="46"/>
        <v>5.4663798077857569E-6</v>
      </c>
      <c r="BI50" s="8">
        <f t="shared" si="47"/>
        <v>27.195683894768095</v>
      </c>
      <c r="BJ50" s="7">
        <f t="shared" si="48"/>
        <v>1.3680673464076523E-2</v>
      </c>
      <c r="BK50" s="9">
        <f t="shared" si="49"/>
        <v>0.20281251324079022</v>
      </c>
      <c r="BL50" s="4">
        <f t="shared" si="98"/>
        <v>976.29107685338249</v>
      </c>
      <c r="BM50" s="6">
        <f t="shared" si="50"/>
        <v>5.452582153706766E-6</v>
      </c>
      <c r="BN50" s="8">
        <f t="shared" si="51"/>
        <v>27.116347383813896</v>
      </c>
      <c r="BO50" s="7">
        <f t="shared" si="52"/>
        <v>1.3646142164265247E-2</v>
      </c>
      <c r="BP50" s="9">
        <f t="shared" si="53"/>
        <v>0.20340589836566075</v>
      </c>
      <c r="BQ50" s="4">
        <f t="shared" si="99"/>
        <v>968.79235958835261</v>
      </c>
      <c r="BR50" s="6">
        <f t="shared" si="54"/>
        <v>5.4375847191767059E-6</v>
      </c>
      <c r="BS50" s="8">
        <f t="shared" si="55"/>
        <v>27.030112135266052</v>
      </c>
      <c r="BT50" s="7">
        <f t="shared" si="56"/>
        <v>1.360860818166265E-2</v>
      </c>
      <c r="BU50" s="9">
        <f t="shared" si="57"/>
        <v>0.20405483234395436</v>
      </c>
      <c r="BV50" s="4">
        <f t="shared" si="100"/>
        <v>960.6937105397551</v>
      </c>
      <c r="BW50" s="6">
        <f t="shared" si="58"/>
        <v>5.4213874210795104E-6</v>
      </c>
      <c r="BX50" s="8">
        <f t="shared" si="59"/>
        <v>26.936977671207181</v>
      </c>
      <c r="BY50" s="7">
        <f t="shared" si="60"/>
        <v>1.356807130825469E-2</v>
      </c>
      <c r="BZ50" s="9">
        <f t="shared" si="61"/>
        <v>0.2047603508947341</v>
      </c>
      <c r="CA50" s="4">
        <f t="shared" si="101"/>
        <v>951.99433247773936</v>
      </c>
      <c r="CB50" s="6">
        <f t="shared" si="62"/>
        <v>5.4039886649554792E-6</v>
      </c>
      <c r="CC50" s="8">
        <f t="shared" si="63"/>
        <v>26.836934823494001</v>
      </c>
      <c r="CD50" s="7">
        <f t="shared" si="64"/>
        <v>1.3524527553597367E-2</v>
      </c>
      <c r="CE50" s="9">
        <f t="shared" si="65"/>
        <v>0.205523657462231</v>
      </c>
      <c r="CF50" s="4">
        <f t="shared" si="102"/>
        <v>942.68159129454671</v>
      </c>
      <c r="CG50" s="6">
        <f t="shared" si="66"/>
        <v>5.3853631825890934E-6</v>
      </c>
      <c r="CH50" s="8">
        <f t="shared" si="67"/>
        <v>26.729838299887284</v>
      </c>
      <c r="CI50" s="7">
        <f t="shared" si="68"/>
        <v>1.3477913679090785E-2</v>
      </c>
      <c r="CJ50" s="9">
        <f t="shared" si="69"/>
        <v>0.20634711434162542</v>
      </c>
      <c r="CK50" s="4">
        <f t="shared" si="103"/>
        <v>932.59472751097894</v>
      </c>
      <c r="CL50" s="6">
        <f t="shared" si="70"/>
        <v>5.3651894550219588E-6</v>
      </c>
      <c r="CM50" s="8">
        <f t="shared" si="71"/>
        <v>26.613839366376258</v>
      </c>
      <c r="CN50" s="7">
        <f t="shared" si="72"/>
        <v>1.3427425021312906E-2</v>
      </c>
      <c r="CO50" s="9">
        <f t="shared" si="73"/>
        <v>0.20724649773637707</v>
      </c>
      <c r="CP50" s="4">
        <f t="shared" si="104"/>
        <v>920.16086010797653</v>
      </c>
      <c r="CQ50" s="6">
        <f t="shared" si="74"/>
        <v>5.3403217202159531E-6</v>
      </c>
      <c r="CR50" s="8">
        <f t="shared" si="75"/>
        <v>26.470849891241727</v>
      </c>
      <c r="CS50" s="7">
        <f t="shared" si="76"/>
        <v>1.3365188701914159E-2</v>
      </c>
      <c r="CT50" s="9">
        <f t="shared" si="77"/>
        <v>0.20836599590347593</v>
      </c>
      <c r="CU50" s="4">
        <f t="shared" si="105"/>
        <v>894.37394582925242</v>
      </c>
      <c r="CV50" s="6">
        <f t="shared" si="78"/>
        <v>5.2887478916585055E-6</v>
      </c>
      <c r="CW50" s="8">
        <f t="shared" si="79"/>
        <v>26.174300377036403</v>
      </c>
      <c r="CX50" s="7">
        <f t="shared" si="80"/>
        <v>1.3236115214048976E-2</v>
      </c>
      <c r="CY50" s="9">
        <f t="shared" si="81"/>
        <v>0.21072674037312739</v>
      </c>
      <c r="CZ50" s="5">
        <f t="shared" si="106"/>
        <v>807.64055433640249</v>
      </c>
      <c r="DA50" s="6">
        <f t="shared" si="82"/>
        <v>5.1152811086728055E-6</v>
      </c>
      <c r="DB50" s="8">
        <f t="shared" si="83"/>
        <v>25.176866374868627</v>
      </c>
      <c r="DC50" s="7">
        <f t="shared" si="84"/>
        <v>1.280198101585237E-2</v>
      </c>
      <c r="DD50" s="9">
        <f t="shared" si="85"/>
        <v>0.21907511911433342</v>
      </c>
    </row>
    <row r="51" spans="2:108" x14ac:dyDescent="0.25">
      <c r="B51">
        <v>32</v>
      </c>
      <c r="C51">
        <f t="shared" si="86"/>
        <v>3.1283669323048047E-2</v>
      </c>
      <c r="D51" s="4">
        <f t="shared" si="3"/>
        <v>1019.4896030263347</v>
      </c>
      <c r="E51" s="6">
        <f t="shared" si="4"/>
        <v>5.5389792060526702E-6</v>
      </c>
      <c r="F51" s="8">
        <f t="shared" si="5"/>
        <v>27.613130434802848</v>
      </c>
      <c r="G51" s="7">
        <f t="shared" si="1"/>
        <v>1.3862367509551275E-2</v>
      </c>
      <c r="H51" s="9">
        <f t="shared" si="6"/>
        <v>0.19974645804911181</v>
      </c>
      <c r="I51" s="4">
        <f t="shared" si="87"/>
        <v>1019.1698824752344</v>
      </c>
      <c r="J51" s="6">
        <f t="shared" si="7"/>
        <v>5.538339764950469E-6</v>
      </c>
      <c r="K51" s="8">
        <f t="shared" si="8"/>
        <v>27.609453648465195</v>
      </c>
      <c r="L51" s="7">
        <f t="shared" si="9"/>
        <v>1.386076718443185E-2</v>
      </c>
      <c r="M51" s="9">
        <f t="shared" si="10"/>
        <v>0.19977305854100494</v>
      </c>
      <c r="N51" s="4">
        <f t="shared" si="88"/>
        <v>1018.2679242448122</v>
      </c>
      <c r="O51" s="6">
        <f t="shared" si="11"/>
        <v>5.5365358484896256E-6</v>
      </c>
      <c r="P51" s="8">
        <f t="shared" si="12"/>
        <v>27.599081128815339</v>
      </c>
      <c r="Q51" s="7">
        <f t="shared" si="2"/>
        <v>1.3862367509551275E-2</v>
      </c>
      <c r="R51" s="9">
        <f t="shared" si="13"/>
        <v>0.19984813893826733</v>
      </c>
      <c r="S51" s="4">
        <f t="shared" si="89"/>
        <v>1016.7677664379125</v>
      </c>
      <c r="T51" s="6">
        <f t="shared" si="14"/>
        <v>5.5335355328758263E-6</v>
      </c>
      <c r="U51" s="8">
        <f t="shared" si="15"/>
        <v>27.581829314035993</v>
      </c>
      <c r="V51" s="7">
        <f t="shared" si="16"/>
        <v>1.3848743663825904E-2</v>
      </c>
      <c r="W51" s="9">
        <f t="shared" si="17"/>
        <v>0.19997313946081083</v>
      </c>
      <c r="X51" s="4">
        <f t="shared" si="90"/>
        <v>1014.6681767487729</v>
      </c>
      <c r="Y51" s="6">
        <f t="shared" si="18"/>
        <v>5.5293363534975461E-6</v>
      </c>
      <c r="Z51" s="8">
        <f t="shared" si="19"/>
        <v>27.557684032610887</v>
      </c>
      <c r="AA51" s="7">
        <f t="shared" si="20"/>
        <v>1.383823440469804E-2</v>
      </c>
      <c r="AB51" s="9">
        <f t="shared" si="21"/>
        <v>0.2001483504010346</v>
      </c>
      <c r="AC51" s="4">
        <f t="shared" si="91"/>
        <v>1011.968603768552</v>
      </c>
      <c r="AD51" s="6">
        <f t="shared" si="22"/>
        <v>5.5239372075371042E-6</v>
      </c>
      <c r="AE51" s="8">
        <f t="shared" si="23"/>
        <v>27.526638943338348</v>
      </c>
      <c r="AF51" s="7">
        <f t="shared" si="24"/>
        <v>1.3824721996949774E-2</v>
      </c>
      <c r="AG51" s="9">
        <f t="shared" si="25"/>
        <v>0.20037408167969675</v>
      </c>
      <c r="AH51" s="4">
        <f t="shared" si="92"/>
        <v>1008.6691262196001</v>
      </c>
      <c r="AI51" s="6">
        <f t="shared" si="26"/>
        <v>5.5173382524392009E-6</v>
      </c>
      <c r="AJ51" s="8">
        <f t="shared" si="27"/>
        <v>27.488694951525403</v>
      </c>
      <c r="AK51" s="7">
        <f t="shared" si="28"/>
        <v>1.380820683461694E-2</v>
      </c>
      <c r="AL51" s="9">
        <f t="shared" si="29"/>
        <v>0.20065066783732222</v>
      </c>
      <c r="AM51" s="4">
        <f t="shared" si="93"/>
        <v>1004.7697612426221</v>
      </c>
      <c r="AN51" s="6">
        <f t="shared" si="30"/>
        <v>5.5095395224852444E-6</v>
      </c>
      <c r="AO51" s="8">
        <f t="shared" si="31"/>
        <v>27.443852254290153</v>
      </c>
      <c r="AP51" s="7">
        <f t="shared" si="32"/>
        <v>1.3788689003495395E-2</v>
      </c>
      <c r="AQ51" s="9">
        <f t="shared" si="33"/>
        <v>0.20097852695361931</v>
      </c>
      <c r="AR51" s="4">
        <f t="shared" si="94"/>
        <v>1000.2705111835323</v>
      </c>
      <c r="AS51" s="6">
        <f t="shared" si="34"/>
        <v>5.500541022367066E-6</v>
      </c>
      <c r="AT51" s="8">
        <f t="shared" si="35"/>
        <v>27.392110878610623</v>
      </c>
      <c r="AU51" s="7">
        <f t="shared" si="36"/>
        <v>1.3766168515327352E-2</v>
      </c>
      <c r="AV51" s="9">
        <f t="shared" si="37"/>
        <v>0.20135815835598583</v>
      </c>
      <c r="AW51" s="4">
        <f t="shared" si="95"/>
        <v>995.17137630951584</v>
      </c>
      <c r="AX51" s="6">
        <f t="shared" si="38"/>
        <v>5.4903427526190318E-6</v>
      </c>
      <c r="AY51" s="8">
        <f t="shared" si="39"/>
        <v>27.333470827559431</v>
      </c>
      <c r="AZ51" s="7">
        <f t="shared" si="40"/>
        <v>1.3740645371450174E-2</v>
      </c>
      <c r="BA51" s="9">
        <f t="shared" si="41"/>
        <v>0.20179014347635568</v>
      </c>
      <c r="BB51" s="4">
        <f t="shared" si="96"/>
        <v>989.4723566667634</v>
      </c>
      <c r="BC51" s="6">
        <f t="shared" si="42"/>
        <v>5.4789447133335269E-6</v>
      </c>
      <c r="BD51" s="8">
        <f t="shared" si="43"/>
        <v>27.267932101667778</v>
      </c>
      <c r="BE51" s="7">
        <f t="shared" si="44"/>
        <v>1.3712119572095066E-2</v>
      </c>
      <c r="BF51" s="9">
        <f t="shared" si="45"/>
        <v>0.20227514794430085</v>
      </c>
      <c r="BG51" s="4">
        <f t="shared" si="97"/>
        <v>983.17345227217618</v>
      </c>
      <c r="BH51" s="6">
        <f t="shared" si="46"/>
        <v>5.4663469045443529E-6</v>
      </c>
      <c r="BI51" s="8">
        <f t="shared" si="47"/>
        <v>27.195494701130023</v>
      </c>
      <c r="BJ51" s="7">
        <f t="shared" si="48"/>
        <v>1.3680591117346624E-2</v>
      </c>
      <c r="BK51" s="9">
        <f t="shared" si="49"/>
        <v>0.20281392416703548</v>
      </c>
      <c r="BL51" s="4">
        <f t="shared" si="98"/>
        <v>976.27466304562813</v>
      </c>
      <c r="BM51" s="6">
        <f t="shared" si="50"/>
        <v>5.4525493260912562E-6</v>
      </c>
      <c r="BN51" s="8">
        <f t="shared" si="51"/>
        <v>27.116158625024724</v>
      </c>
      <c r="BO51" s="7">
        <f t="shared" si="52"/>
        <v>1.3646060006803785E-2</v>
      </c>
      <c r="BP51" s="9">
        <f t="shared" si="53"/>
        <v>0.20340731429819076</v>
      </c>
      <c r="BQ51" s="4">
        <f t="shared" si="99"/>
        <v>968.77598662951618</v>
      </c>
      <c r="BR51" s="6">
        <f t="shared" si="54"/>
        <v>5.4375519732590333E-6</v>
      </c>
      <c r="BS51" s="8">
        <f t="shared" si="55"/>
        <v>27.029923846239434</v>
      </c>
      <c r="BT51" s="7">
        <f t="shared" si="56"/>
        <v>1.3608526228665839E-2</v>
      </c>
      <c r="BU51" s="9">
        <f t="shared" si="57"/>
        <v>0.20405625377917472</v>
      </c>
      <c r="BV51" s="4">
        <f t="shared" si="100"/>
        <v>960.67737134634376</v>
      </c>
      <c r="BW51" s="6">
        <f t="shared" si="58"/>
        <v>5.4213547426926881E-6</v>
      </c>
      <c r="BX51" s="8">
        <f t="shared" si="59"/>
        <v>26.936789770482953</v>
      </c>
      <c r="BY51" s="7">
        <f t="shared" si="60"/>
        <v>1.3567989524266902E-2</v>
      </c>
      <c r="BZ51" s="9">
        <f t="shared" si="61"/>
        <v>0.20476177922448513</v>
      </c>
      <c r="CA51" s="4">
        <f t="shared" si="101"/>
        <v>951.97786409849573</v>
      </c>
      <c r="CB51" s="6">
        <f t="shared" si="62"/>
        <v>5.4039557281969925E-6</v>
      </c>
      <c r="CC51" s="8">
        <f t="shared" si="63"/>
        <v>26.836745437132699</v>
      </c>
      <c r="CD51" s="7">
        <f t="shared" si="64"/>
        <v>1.352444512298448E-2</v>
      </c>
      <c r="CE51" s="9">
        <f t="shared" si="65"/>
        <v>0.20552510783846009</v>
      </c>
      <c r="CF51" s="4">
        <f t="shared" si="102"/>
        <v>942.6629226880201</v>
      </c>
      <c r="CG51" s="6">
        <f t="shared" si="66"/>
        <v>5.3853258453760407E-6</v>
      </c>
      <c r="CH51" s="8">
        <f t="shared" si="67"/>
        <v>26.729623610912231</v>
      </c>
      <c r="CI51" s="7">
        <f t="shared" si="68"/>
        <v>1.3477820235488658E-2</v>
      </c>
      <c r="CJ51" s="9">
        <f t="shared" si="69"/>
        <v>0.20634877169569552</v>
      </c>
      <c r="CK51" s="4">
        <f t="shared" si="103"/>
        <v>932.55416765438349</v>
      </c>
      <c r="CL51" s="6">
        <f t="shared" si="70"/>
        <v>5.3651083353087672E-6</v>
      </c>
      <c r="CM51" s="8">
        <f t="shared" si="71"/>
        <v>26.613372928025409</v>
      </c>
      <c r="CN51" s="7">
        <f t="shared" si="72"/>
        <v>1.342722200353026E-2</v>
      </c>
      <c r="CO51" s="9">
        <f t="shared" si="73"/>
        <v>0.20725013003487922</v>
      </c>
      <c r="CP51" s="4">
        <f t="shared" si="104"/>
        <v>919.96731025757515</v>
      </c>
      <c r="CQ51" s="6">
        <f t="shared" si="74"/>
        <v>5.3399346205151503E-6</v>
      </c>
      <c r="CR51" s="8">
        <f t="shared" si="75"/>
        <v>26.468624067962111</v>
      </c>
      <c r="CS51" s="7">
        <f t="shared" si="76"/>
        <v>1.336421990999136E-2</v>
      </c>
      <c r="CT51" s="9">
        <f t="shared" si="77"/>
        <v>0.20838351800372457</v>
      </c>
      <c r="CU51" s="4">
        <f t="shared" si="105"/>
        <v>893.51987143895326</v>
      </c>
      <c r="CV51" s="6">
        <f t="shared" si="78"/>
        <v>5.2870397428779064E-6</v>
      </c>
      <c r="CW51" s="8">
        <f t="shared" si="79"/>
        <v>26.164478521547963</v>
      </c>
      <c r="CX51" s="7">
        <f t="shared" si="80"/>
        <v>1.3231840241120431E-2</v>
      </c>
      <c r="CY51" s="9">
        <f t="shared" si="81"/>
        <v>0.21080584485785045</v>
      </c>
      <c r="CZ51" s="5">
        <f t="shared" si="106"/>
        <v>805.6788762847882</v>
      </c>
      <c r="DA51" s="6">
        <f t="shared" si="82"/>
        <v>5.1113577525695771E-6</v>
      </c>
      <c r="DB51" s="8">
        <f t="shared" si="83"/>
        <v>25.154307077275064</v>
      </c>
      <c r="DC51" s="7">
        <f t="shared" si="84"/>
        <v>1.2792162057854776E-2</v>
      </c>
      <c r="DD51" s="9">
        <f t="shared" si="85"/>
        <v>0.21927159365017584</v>
      </c>
    </row>
    <row r="52" spans="2:108" x14ac:dyDescent="0.25">
      <c r="B52">
        <v>33</v>
      </c>
      <c r="C52">
        <f t="shared" si="86"/>
        <v>3.2261283989393298E-2</v>
      </c>
      <c r="D52" s="4">
        <f t="shared" si="3"/>
        <v>1019.4732797101166</v>
      </c>
      <c r="E52" s="6">
        <f t="shared" si="4"/>
        <v>5.5389465594202338E-6</v>
      </c>
      <c r="F52" s="8">
        <f t="shared" si="5"/>
        <v>27.612942716666339</v>
      </c>
      <c r="G52" s="7">
        <f t="shared" si="1"/>
        <v>1.3862285805034982E-2</v>
      </c>
      <c r="H52" s="9">
        <f t="shared" si="6"/>
        <v>0.19974781596424837</v>
      </c>
      <c r="I52" s="4">
        <f t="shared" si="87"/>
        <v>1019.1533436999015</v>
      </c>
      <c r="J52" s="6">
        <f t="shared" si="7"/>
        <v>5.5383066873998031E-6</v>
      </c>
      <c r="K52" s="8">
        <f t="shared" si="8"/>
        <v>27.609263452548866</v>
      </c>
      <c r="L52" s="7">
        <f t="shared" si="9"/>
        <v>1.3860684401459284E-2</v>
      </c>
      <c r="M52" s="9">
        <f t="shared" si="10"/>
        <v>0.19977443474649453</v>
      </c>
      <c r="N52" s="4">
        <f t="shared" si="88"/>
        <v>1018.2513090462013</v>
      </c>
      <c r="O52" s="6">
        <f t="shared" si="11"/>
        <v>5.5365026180924031E-6</v>
      </c>
      <c r="P52" s="8">
        <f t="shared" si="12"/>
        <v>27.598890054031315</v>
      </c>
      <c r="Q52" s="7">
        <f t="shared" si="2"/>
        <v>1.3862285805034982E-2</v>
      </c>
      <c r="R52" s="9">
        <f t="shared" si="13"/>
        <v>0.19984952254245977</v>
      </c>
      <c r="S52" s="4">
        <f t="shared" si="89"/>
        <v>1016.7511401537377</v>
      </c>
      <c r="T52" s="6">
        <f t="shared" si="14"/>
        <v>5.5335022803074758E-6</v>
      </c>
      <c r="U52" s="8">
        <f t="shared" si="15"/>
        <v>27.58163811176798</v>
      </c>
      <c r="V52" s="7">
        <f t="shared" si="16"/>
        <v>1.3848660442837711E-2</v>
      </c>
      <c r="W52" s="9">
        <f t="shared" si="17"/>
        <v>0.19997452572067154</v>
      </c>
      <c r="X52" s="4">
        <f t="shared" si="90"/>
        <v>1014.6515600371262</v>
      </c>
      <c r="Y52" s="6">
        <f t="shared" si="18"/>
        <v>5.5293031200742526E-6</v>
      </c>
      <c r="Z52" s="8">
        <f t="shared" si="19"/>
        <v>27.55749294042695</v>
      </c>
      <c r="AA52" s="7">
        <f t="shared" si="20"/>
        <v>1.3838151231624058E-2</v>
      </c>
      <c r="AB52" s="9">
        <f t="shared" si="21"/>
        <v>0.20014973829163379</v>
      </c>
      <c r="AC52" s="4">
        <f t="shared" si="91"/>
        <v>1011.9520006215586</v>
      </c>
      <c r="AD52" s="6">
        <f t="shared" si="22"/>
        <v>5.5239040012431181E-6</v>
      </c>
      <c r="AE52" s="8">
        <f t="shared" si="23"/>
        <v>27.526448007147923</v>
      </c>
      <c r="AF52" s="7">
        <f t="shared" si="24"/>
        <v>1.3824638891772136E-2</v>
      </c>
      <c r="AG52" s="9">
        <f t="shared" si="25"/>
        <v>0.20037547156711724</v>
      </c>
      <c r="AH52" s="4">
        <f t="shared" si="92"/>
        <v>1008.6525395426686</v>
      </c>
      <c r="AI52" s="6">
        <f t="shared" si="26"/>
        <v>5.5173050790853377E-6</v>
      </c>
      <c r="AJ52" s="8">
        <f t="shared" si="27"/>
        <v>27.488504204740686</v>
      </c>
      <c r="AK52" s="7">
        <f t="shared" si="28"/>
        <v>1.3808123811878332E-2</v>
      </c>
      <c r="AL52" s="9">
        <f t="shared" si="29"/>
        <v>0.20065206018189857</v>
      </c>
      <c r="AM52" s="4">
        <f t="shared" si="93"/>
        <v>1004.7531944468307</v>
      </c>
      <c r="AN52" s="6">
        <f t="shared" si="30"/>
        <v>5.5095063888936615E-6</v>
      </c>
      <c r="AO52" s="8">
        <f t="shared" si="31"/>
        <v>27.443661736138552</v>
      </c>
      <c r="AP52" s="7">
        <f t="shared" si="32"/>
        <v>1.3788606080269588E-2</v>
      </c>
      <c r="AQ52" s="9">
        <f t="shared" si="33"/>
        <v>0.20097992217769092</v>
      </c>
      <c r="AR52" s="4">
        <f t="shared" si="94"/>
        <v>1000.2539678363227</v>
      </c>
      <c r="AS52" s="6">
        <f t="shared" si="34"/>
        <v>5.5005079356726456E-6</v>
      </c>
      <c r="AT52" s="8">
        <f t="shared" si="35"/>
        <v>27.39192063011771</v>
      </c>
      <c r="AU52" s="7">
        <f t="shared" si="36"/>
        <v>1.3766085709470775E-2</v>
      </c>
      <c r="AV52" s="9">
        <f t="shared" si="37"/>
        <v>0.20135955687369769</v>
      </c>
      <c r="AW52" s="4">
        <f t="shared" si="95"/>
        <v>995.15486000434123</v>
      </c>
      <c r="AX52" s="6">
        <f t="shared" si="38"/>
        <v>5.4903097200086832E-6</v>
      </c>
      <c r="AY52" s="8">
        <f t="shared" si="39"/>
        <v>27.333280890049924</v>
      </c>
      <c r="AZ52" s="7">
        <f t="shared" si="40"/>
        <v>1.3740562700949453E-2</v>
      </c>
      <c r="BA52" s="9">
        <f t="shared" si="41"/>
        <v>0.20179154570528857</v>
      </c>
      <c r="BB52" s="4">
        <f t="shared" si="96"/>
        <v>989.45587100134162</v>
      </c>
      <c r="BC52" s="6">
        <f t="shared" si="42"/>
        <v>5.478911742002684E-6</v>
      </c>
      <c r="BD52" s="8">
        <f t="shared" si="43"/>
        <v>27.267742516515426</v>
      </c>
      <c r="BE52" s="7">
        <f t="shared" si="44"/>
        <v>1.3712037054958166E-2</v>
      </c>
      <c r="BF52" s="9">
        <f t="shared" si="45"/>
        <v>0.20227655430805527</v>
      </c>
      <c r="BG52" s="4">
        <f t="shared" si="97"/>
        <v>983.15700084440562</v>
      </c>
      <c r="BH52" s="6">
        <f t="shared" si="46"/>
        <v>5.4663140016888114E-6</v>
      </c>
      <c r="BI52" s="8">
        <f t="shared" si="47"/>
        <v>27.195305509710664</v>
      </c>
      <c r="BJ52" s="7">
        <f t="shared" si="48"/>
        <v>1.368050877158242E-2</v>
      </c>
      <c r="BK52" s="9">
        <f t="shared" si="49"/>
        <v>0.20281533509636537</v>
      </c>
      <c r="BL52" s="4">
        <f t="shared" si="98"/>
        <v>976.25824942304382</v>
      </c>
      <c r="BM52" s="6">
        <f t="shared" si="50"/>
        <v>5.4525164988460887E-6</v>
      </c>
      <c r="BN52" s="8">
        <f t="shared" si="51"/>
        <v>27.115969868365003</v>
      </c>
      <c r="BO52" s="7">
        <f t="shared" si="52"/>
        <v>1.3645977850269178E-2</v>
      </c>
      <c r="BP52" s="9">
        <f t="shared" si="53"/>
        <v>0.20340873023445991</v>
      </c>
      <c r="BQ52" s="4">
        <f t="shared" si="99"/>
        <v>968.75961371175356</v>
      </c>
      <c r="BR52" s="6">
        <f t="shared" si="54"/>
        <v>5.4375192274235076E-6</v>
      </c>
      <c r="BS52" s="8">
        <f t="shared" si="55"/>
        <v>27.029735557685164</v>
      </c>
      <c r="BT52" s="7">
        <f t="shared" si="56"/>
        <v>1.3608444275874616E-2</v>
      </c>
      <c r="BU52" s="9">
        <f t="shared" si="57"/>
        <v>0.20405767523063256</v>
      </c>
      <c r="BV52" s="4">
        <f t="shared" si="100"/>
        <v>960.66102998744088</v>
      </c>
      <c r="BW52" s="6">
        <f t="shared" si="58"/>
        <v>5.421322059974883E-6</v>
      </c>
      <c r="BX52" s="8">
        <f t="shared" si="59"/>
        <v>26.93660184485557</v>
      </c>
      <c r="BY52" s="7">
        <f t="shared" si="60"/>
        <v>1.3567907729439992E-2</v>
      </c>
      <c r="BZ52" s="9">
        <f t="shared" si="61"/>
        <v>0.20476320776346887</v>
      </c>
      <c r="CA52" s="4">
        <f t="shared" si="101"/>
        <v>951.96136666532391</v>
      </c>
      <c r="CB52" s="6">
        <f t="shared" si="62"/>
        <v>5.403922733330648E-6</v>
      </c>
      <c r="CC52" s="8">
        <f t="shared" si="63"/>
        <v>26.836555716651226</v>
      </c>
      <c r="CD52" s="7">
        <f t="shared" si="64"/>
        <v>1.3524362546945435E-2</v>
      </c>
      <c r="CE52" s="9">
        <f t="shared" si="65"/>
        <v>0.20552656079400422</v>
      </c>
      <c r="CF52" s="4">
        <f t="shared" si="102"/>
        <v>942.64397770501353</v>
      </c>
      <c r="CG52" s="6">
        <f t="shared" si="66"/>
        <v>5.385287955410027E-6</v>
      </c>
      <c r="CH52" s="8">
        <f t="shared" si="67"/>
        <v>26.729405743607657</v>
      </c>
      <c r="CI52" s="7">
        <f t="shared" si="68"/>
        <v>1.3477725408515263E-2</v>
      </c>
      <c r="CJ52" s="9">
        <f t="shared" si="69"/>
        <v>0.20635045361302365</v>
      </c>
      <c r="CK52" s="4">
        <f t="shared" si="103"/>
        <v>932.5117718467186</v>
      </c>
      <c r="CL52" s="6">
        <f t="shared" si="70"/>
        <v>5.3650235436934386E-6</v>
      </c>
      <c r="CM52" s="8">
        <f t="shared" si="71"/>
        <v>26.612885376237266</v>
      </c>
      <c r="CN52" s="7">
        <f t="shared" si="72"/>
        <v>1.3427009796101836E-2</v>
      </c>
      <c r="CO52" s="9">
        <f t="shared" si="73"/>
        <v>0.20725392688629396</v>
      </c>
      <c r="CP52" s="4">
        <f t="shared" si="104"/>
        <v>919.76664537622071</v>
      </c>
      <c r="CQ52" s="6">
        <f t="shared" si="74"/>
        <v>5.339533290752442E-6</v>
      </c>
      <c r="CR52" s="8">
        <f t="shared" si="75"/>
        <v>26.466316421826537</v>
      </c>
      <c r="CS52" s="7">
        <f t="shared" si="76"/>
        <v>1.3363215504584476E-2</v>
      </c>
      <c r="CT52" s="9">
        <f t="shared" si="77"/>
        <v>0.20840168734064227</v>
      </c>
      <c r="CU52" s="4">
        <f t="shared" si="105"/>
        <v>892.65926503681544</v>
      </c>
      <c r="CV52" s="6">
        <f t="shared" si="78"/>
        <v>5.2853185300736318E-6</v>
      </c>
      <c r="CW52" s="8">
        <f t="shared" si="79"/>
        <v>26.154581547923378</v>
      </c>
      <c r="CX52" s="7">
        <f t="shared" si="80"/>
        <v>1.3227532572944149E-2</v>
      </c>
      <c r="CY52" s="9">
        <f t="shared" si="81"/>
        <v>0.21088561443407722</v>
      </c>
      <c r="CZ52" s="5">
        <f t="shared" si="106"/>
        <v>803.75619885024707</v>
      </c>
      <c r="DA52" s="6">
        <f t="shared" si="82"/>
        <v>5.1075123977004952E-6</v>
      </c>
      <c r="DB52" s="8">
        <f t="shared" si="83"/>
        <v>25.132196286777841</v>
      </c>
      <c r="DC52" s="7">
        <f t="shared" si="84"/>
        <v>1.2782538313042444E-2</v>
      </c>
      <c r="DD52" s="9">
        <f t="shared" si="85"/>
        <v>0.21946450429809011</v>
      </c>
    </row>
    <row r="53" spans="2:108" x14ac:dyDescent="0.25">
      <c r="B53">
        <v>34</v>
      </c>
      <c r="C53">
        <f t="shared" si="86"/>
        <v>3.323889865573855E-2</v>
      </c>
      <c r="D53" s="4">
        <f t="shared" si="3"/>
        <v>1019.4569453936444</v>
      </c>
      <c r="E53" s="6">
        <f t="shared" si="4"/>
        <v>5.538913890787289E-6</v>
      </c>
      <c r="F53" s="8">
        <f t="shared" si="5"/>
        <v>27.612754872026912</v>
      </c>
      <c r="G53" s="7">
        <f t="shared" si="1"/>
        <v>1.3862204045458159E-2</v>
      </c>
      <c r="H53" s="9">
        <f t="shared" si="6"/>
        <v>0.19974917481296303</v>
      </c>
      <c r="I53" s="4">
        <f t="shared" si="87"/>
        <v>1019.1368049263905</v>
      </c>
      <c r="J53" s="6">
        <f t="shared" si="7"/>
        <v>5.5382736098527812E-6</v>
      </c>
      <c r="K53" s="8">
        <f t="shared" si="8"/>
        <v>27.609073256653488</v>
      </c>
      <c r="L53" s="7">
        <f t="shared" si="9"/>
        <v>1.3860601618495842E-2</v>
      </c>
      <c r="M53" s="9">
        <f t="shared" si="10"/>
        <v>0.19977581097079358</v>
      </c>
      <c r="N53" s="4">
        <f t="shared" si="88"/>
        <v>1018.2346945492135</v>
      </c>
      <c r="O53" s="6">
        <f t="shared" si="11"/>
        <v>5.5364693890984279E-6</v>
      </c>
      <c r="P53" s="8">
        <f t="shared" si="12"/>
        <v>27.598698987315956</v>
      </c>
      <c r="Q53" s="7">
        <f t="shared" si="2"/>
        <v>1.3862204045458159E-2</v>
      </c>
      <c r="R53" s="9">
        <f t="shared" si="13"/>
        <v>0.19985090610738274</v>
      </c>
      <c r="S53" s="4">
        <f t="shared" si="89"/>
        <v>1016.7345142504953</v>
      </c>
      <c r="T53" s="6">
        <f t="shared" si="14"/>
        <v>5.5334690285009907E-6</v>
      </c>
      <c r="U53" s="8">
        <f t="shared" si="15"/>
        <v>27.581446913880697</v>
      </c>
      <c r="V53" s="7">
        <f t="shared" si="16"/>
        <v>1.3848577223756233E-2</v>
      </c>
      <c r="W53" s="9">
        <f t="shared" si="17"/>
        <v>0.19997591196799017</v>
      </c>
      <c r="X53" s="4">
        <f t="shared" si="90"/>
        <v>1014.6349435206696</v>
      </c>
      <c r="Y53" s="6">
        <f t="shared" si="18"/>
        <v>5.5292698870413397E-6</v>
      </c>
      <c r="Z53" s="8">
        <f t="shared" si="19"/>
        <v>27.557301850487697</v>
      </c>
      <c r="AA53" s="7">
        <f t="shared" si="20"/>
        <v>1.3838068059527078E-2</v>
      </c>
      <c r="AB53" s="9">
        <f t="shared" si="21"/>
        <v>0.20015112618517791</v>
      </c>
      <c r="AC53" s="4">
        <f t="shared" si="91"/>
        <v>1011.9353976561232</v>
      </c>
      <c r="AD53" s="6">
        <f t="shared" si="22"/>
        <v>5.5238707953122466E-6</v>
      </c>
      <c r="AE53" s="8">
        <f t="shared" si="23"/>
        <v>27.526257073045414</v>
      </c>
      <c r="AF53" s="7">
        <f t="shared" si="24"/>
        <v>1.3824555787503259E-2</v>
      </c>
      <c r="AG53" s="9">
        <f t="shared" si="25"/>
        <v>0.20037686145862074</v>
      </c>
      <c r="AH53" s="4">
        <f t="shared" si="92"/>
        <v>1008.6359530544797</v>
      </c>
      <c r="AI53" s="6">
        <f t="shared" si="26"/>
        <v>5.5172719061089598E-6</v>
      </c>
      <c r="AJ53" s="8">
        <f t="shared" si="27"/>
        <v>27.488313460126516</v>
      </c>
      <c r="AK53" s="7">
        <f t="shared" si="28"/>
        <v>1.3808040790084455E-2</v>
      </c>
      <c r="AL53" s="9">
        <f t="shared" si="29"/>
        <v>0.20065345252995431</v>
      </c>
      <c r="AM53" s="4">
        <f t="shared" si="93"/>
        <v>1004.7366278426426</v>
      </c>
      <c r="AN53" s="6">
        <f t="shared" si="30"/>
        <v>5.5094732556852857E-6</v>
      </c>
      <c r="AO53" s="8">
        <f t="shared" si="31"/>
        <v>27.443471220190389</v>
      </c>
      <c r="AP53" s="7">
        <f t="shared" si="32"/>
        <v>1.3788523158002832E-2</v>
      </c>
      <c r="AQ53" s="9">
        <f t="shared" si="33"/>
        <v>0.20098131740499756</v>
      </c>
      <c r="AR53" s="4">
        <f t="shared" si="94"/>
        <v>1000.2374246816622</v>
      </c>
      <c r="AS53" s="6">
        <f t="shared" si="34"/>
        <v>5.5004748493633253E-6</v>
      </c>
      <c r="AT53" s="8">
        <f t="shared" si="35"/>
        <v>27.391730383839114</v>
      </c>
      <c r="AU53" s="7">
        <f t="shared" si="36"/>
        <v>1.3766002904577983E-2</v>
      </c>
      <c r="AV53" s="9">
        <f t="shared" si="37"/>
        <v>0.20136095539455848</v>
      </c>
      <c r="AW53" s="4">
        <f t="shared" si="95"/>
        <v>995.13834389215447</v>
      </c>
      <c r="AX53" s="6">
        <f t="shared" si="38"/>
        <v>5.4902766877843097E-6</v>
      </c>
      <c r="AY53" s="8">
        <f t="shared" si="39"/>
        <v>27.333090954759776</v>
      </c>
      <c r="AZ53" s="7">
        <f t="shared" si="40"/>
        <v>1.3740480031414709E-2</v>
      </c>
      <c r="BA53" s="9">
        <f t="shared" si="41"/>
        <v>0.20179294793732469</v>
      </c>
      <c r="BB53" s="4">
        <f t="shared" si="96"/>
        <v>989.43938552911436</v>
      </c>
      <c r="BC53" s="6">
        <f t="shared" si="42"/>
        <v>5.4788787710582296E-6</v>
      </c>
      <c r="BD53" s="8">
        <f t="shared" si="43"/>
        <v>27.267552933584817</v>
      </c>
      <c r="BE53" s="7">
        <f t="shared" si="44"/>
        <v>1.3711954538788282E-2</v>
      </c>
      <c r="BF53" s="9">
        <f t="shared" si="45"/>
        <v>0.20227796067488446</v>
      </c>
      <c r="BG53" s="4">
        <f t="shared" si="97"/>
        <v>983.14054960945634</v>
      </c>
      <c r="BH53" s="6">
        <f t="shared" si="46"/>
        <v>5.4662810992189129E-6</v>
      </c>
      <c r="BI53" s="8">
        <f t="shared" si="47"/>
        <v>27.195116320508745</v>
      </c>
      <c r="BJ53" s="7">
        <f t="shared" si="48"/>
        <v>1.3680426426783365E-2</v>
      </c>
      <c r="BK53" s="9">
        <f t="shared" si="49"/>
        <v>0.2028167460287891</v>
      </c>
      <c r="BL53" s="4">
        <f t="shared" si="98"/>
        <v>976.24183598367563</v>
      </c>
      <c r="BM53" s="6">
        <f t="shared" si="50"/>
        <v>5.4524836719673519E-6</v>
      </c>
      <c r="BN53" s="8">
        <f t="shared" si="51"/>
        <v>27.115781113812268</v>
      </c>
      <c r="BO53" s="7">
        <f t="shared" si="52"/>
        <v>1.3645895694651633E-2</v>
      </c>
      <c r="BP53" s="9">
        <f t="shared" si="53"/>
        <v>0.20341014617463646</v>
      </c>
      <c r="BQ53" s="4">
        <f t="shared" si="99"/>
        <v>968.74324080568624</v>
      </c>
      <c r="BR53" s="6">
        <f t="shared" si="54"/>
        <v>5.4374864816113727E-6</v>
      </c>
      <c r="BS53" s="8">
        <f t="shared" si="55"/>
        <v>27.029547269265393</v>
      </c>
      <c r="BT53" s="7">
        <f t="shared" si="56"/>
        <v>1.3608362323141932E-2</v>
      </c>
      <c r="BU53" s="9">
        <f t="shared" si="57"/>
        <v>0.20405909670087874</v>
      </c>
      <c r="BV53" s="4">
        <f t="shared" si="100"/>
        <v>960.64468611305313</v>
      </c>
      <c r="BW53" s="6">
        <f t="shared" si="58"/>
        <v>5.421289372226107E-6</v>
      </c>
      <c r="BX53" s="8">
        <f t="shared" si="59"/>
        <v>26.936413890300109</v>
      </c>
      <c r="BY53" s="7">
        <f t="shared" si="60"/>
        <v>1.35678259220221E-2</v>
      </c>
      <c r="BZ53" s="9">
        <f t="shared" si="61"/>
        <v>0.20476463654229024</v>
      </c>
      <c r="CA53" s="4">
        <f t="shared" si="101"/>
        <v>951.94483706376411</v>
      </c>
      <c r="CB53" s="6">
        <f t="shared" si="62"/>
        <v>5.4038896741275289E-6</v>
      </c>
      <c r="CC53" s="8">
        <f t="shared" si="63"/>
        <v>26.836365626233288</v>
      </c>
      <c r="CD53" s="7">
        <f t="shared" si="64"/>
        <v>1.3524279809891158E-2</v>
      </c>
      <c r="CE53" s="9">
        <f t="shared" si="65"/>
        <v>0.20552801660327374</v>
      </c>
      <c r="CF53" s="4">
        <f t="shared" si="102"/>
        <v>942.6247378382127</v>
      </c>
      <c r="CG53" s="6">
        <f t="shared" si="66"/>
        <v>5.3852494756764267E-6</v>
      </c>
      <c r="CH53" s="8">
        <f t="shared" si="67"/>
        <v>26.729184485139445</v>
      </c>
      <c r="CI53" s="7">
        <f t="shared" si="68"/>
        <v>1.3477629105534336E-2</v>
      </c>
      <c r="CJ53" s="9">
        <f t="shared" si="69"/>
        <v>0.20635216173791265</v>
      </c>
      <c r="CK53" s="4">
        <f t="shared" si="103"/>
        <v>932.46748727770591</v>
      </c>
      <c r="CL53" s="6">
        <f t="shared" si="70"/>
        <v>5.3649349745554123E-6</v>
      </c>
      <c r="CM53" s="8">
        <f t="shared" si="71"/>
        <v>26.612376103693617</v>
      </c>
      <c r="CN53" s="7">
        <f t="shared" si="72"/>
        <v>1.3426788134691735E-2</v>
      </c>
      <c r="CO53" s="9">
        <f t="shared" si="73"/>
        <v>0.20725789303851258</v>
      </c>
      <c r="CP53" s="4">
        <f t="shared" si="104"/>
        <v>919.55894279289805</v>
      </c>
      <c r="CQ53" s="6">
        <f t="shared" si="74"/>
        <v>5.3391178855857968E-6</v>
      </c>
      <c r="CR53" s="8">
        <f t="shared" si="75"/>
        <v>26.463927842118327</v>
      </c>
      <c r="CS53" s="7">
        <f t="shared" si="76"/>
        <v>1.3362175872755004E-2</v>
      </c>
      <c r="CT53" s="9">
        <f t="shared" si="77"/>
        <v>0.20842049724839701</v>
      </c>
      <c r="CU53" s="4">
        <f t="shared" si="105"/>
        <v>891.7927467409387</v>
      </c>
      <c r="CV53" s="6">
        <f t="shared" si="78"/>
        <v>5.2835854934818782E-6</v>
      </c>
      <c r="CW53" s="8">
        <f t="shared" si="79"/>
        <v>26.144616587520794</v>
      </c>
      <c r="CX53" s="7">
        <f t="shared" si="80"/>
        <v>1.3223195313451256E-2</v>
      </c>
      <c r="CY53" s="9">
        <f t="shared" si="81"/>
        <v>0.2109659930003597</v>
      </c>
      <c r="CZ53" s="5">
        <f t="shared" si="106"/>
        <v>801.87108077450159</v>
      </c>
      <c r="DA53" s="6">
        <f t="shared" si="82"/>
        <v>5.1037421615490034E-6</v>
      </c>
      <c r="DB53" s="8">
        <f t="shared" si="83"/>
        <v>25.110517428906768</v>
      </c>
      <c r="DC53" s="7">
        <f t="shared" si="84"/>
        <v>1.2773102567359798E-2</v>
      </c>
      <c r="DD53" s="9">
        <f t="shared" si="85"/>
        <v>0.21965397629164399</v>
      </c>
    </row>
    <row r="54" spans="2:108" x14ac:dyDescent="0.25">
      <c r="B54">
        <v>35</v>
      </c>
      <c r="C54">
        <f t="shared" si="86"/>
        <v>3.4216513322083801E-2</v>
      </c>
      <c r="D54" s="4">
        <f t="shared" si="3"/>
        <v>1019.4406006386288</v>
      </c>
      <c r="E54" s="6">
        <f t="shared" si="4"/>
        <v>5.5388812012772588E-6</v>
      </c>
      <c r="F54" s="8">
        <f t="shared" si="5"/>
        <v>27.612566907344231</v>
      </c>
      <c r="G54" s="7">
        <f t="shared" si="1"/>
        <v>1.3862122233632392E-2</v>
      </c>
      <c r="H54" s="9">
        <f t="shared" si="6"/>
        <v>0.19975053454856403</v>
      </c>
      <c r="I54" s="4">
        <f t="shared" si="87"/>
        <v>1019.12026609306</v>
      </c>
      <c r="J54" s="6">
        <f t="shared" si="7"/>
        <v>5.5382405321861201E-6</v>
      </c>
      <c r="K54" s="8">
        <f t="shared" si="8"/>
        <v>27.608883060070191</v>
      </c>
      <c r="L54" s="7">
        <f t="shared" si="9"/>
        <v>1.3860518835232977E-2</v>
      </c>
      <c r="M54" s="9">
        <f t="shared" si="10"/>
        <v>0.19977718721903187</v>
      </c>
      <c r="N54" s="4">
        <f t="shared" si="88"/>
        <v>1018.2180807410109</v>
      </c>
      <c r="O54" s="6">
        <f t="shared" si="11"/>
        <v>5.5364361614820221E-6</v>
      </c>
      <c r="P54" s="8">
        <f t="shared" si="12"/>
        <v>27.598507928521624</v>
      </c>
      <c r="Q54" s="7">
        <f t="shared" si="2"/>
        <v>1.3862122233632392E-2</v>
      </c>
      <c r="R54" s="9">
        <f t="shared" si="13"/>
        <v>0.19985228963410331</v>
      </c>
      <c r="S54" s="4">
        <f t="shared" si="89"/>
        <v>1016.7178887289456</v>
      </c>
      <c r="T54" s="6">
        <f t="shared" si="14"/>
        <v>5.5334357774578915E-6</v>
      </c>
      <c r="U54" s="8">
        <f t="shared" si="15"/>
        <v>27.581255720382874</v>
      </c>
      <c r="V54" s="7">
        <f t="shared" si="16"/>
        <v>1.3848494006585275E-2</v>
      </c>
      <c r="W54" s="9">
        <f t="shared" si="17"/>
        <v>0.19997729820270249</v>
      </c>
      <c r="X54" s="4">
        <f t="shared" si="90"/>
        <v>1014.6183272014381</v>
      </c>
      <c r="Y54" s="6">
        <f t="shared" si="18"/>
        <v>5.5292366544028765E-6</v>
      </c>
      <c r="Z54" s="8">
        <f t="shared" si="19"/>
        <v>27.557110762816535</v>
      </c>
      <c r="AA54" s="7">
        <f t="shared" si="20"/>
        <v>1.3837984888417285E-2</v>
      </c>
      <c r="AB54" s="9">
        <f t="shared" si="21"/>
        <v>0.20015251408149667</v>
      </c>
      <c r="AC54" s="4">
        <f t="shared" si="91"/>
        <v>1011.918794872523</v>
      </c>
      <c r="AD54" s="6">
        <f t="shared" si="22"/>
        <v>5.523837589745047E-6</v>
      </c>
      <c r="AE54" s="8">
        <f t="shared" si="23"/>
        <v>27.526066141034015</v>
      </c>
      <c r="AF54" s="7">
        <f t="shared" si="24"/>
        <v>1.3824472684144542E-2</v>
      </c>
      <c r="AG54" s="9">
        <f t="shared" si="25"/>
        <v>0.20037825135418372</v>
      </c>
      <c r="AH54" s="4">
        <f t="shared" si="92"/>
        <v>1008.6193667549832</v>
      </c>
      <c r="AI54" s="6">
        <f t="shared" si="26"/>
        <v>5.5172387335099664E-6</v>
      </c>
      <c r="AJ54" s="8">
        <f t="shared" si="27"/>
        <v>27.488122717682305</v>
      </c>
      <c r="AK54" s="7">
        <f t="shared" si="28"/>
        <v>1.3807957769235055E-2</v>
      </c>
      <c r="AL54" s="9">
        <f t="shared" si="29"/>
        <v>0.20065484488149349</v>
      </c>
      <c r="AM54" s="4">
        <f t="shared" si="93"/>
        <v>1004.7200614300331</v>
      </c>
      <c r="AN54" s="6">
        <f t="shared" si="30"/>
        <v>5.5094401228600669E-6</v>
      </c>
      <c r="AO54" s="8">
        <f t="shared" si="31"/>
        <v>27.443280706445378</v>
      </c>
      <c r="AP54" s="7">
        <f t="shared" si="32"/>
        <v>1.3788440236695003E-2</v>
      </c>
      <c r="AQ54" s="9">
        <f t="shared" si="33"/>
        <v>0.20098271263554107</v>
      </c>
      <c r="AR54" s="4">
        <f t="shared" si="94"/>
        <v>1000.2208817195428</v>
      </c>
      <c r="AS54" s="6">
        <f t="shared" si="34"/>
        <v>5.5004417634390857E-6</v>
      </c>
      <c r="AT54" s="8">
        <f t="shared" si="35"/>
        <v>27.39154013977474</v>
      </c>
      <c r="AU54" s="7">
        <f t="shared" si="36"/>
        <v>1.3765920100648929E-2</v>
      </c>
      <c r="AV54" s="9">
        <f t="shared" si="37"/>
        <v>0.20136235391856863</v>
      </c>
      <c r="AW54" s="4">
        <f t="shared" si="95"/>
        <v>995.12182797295054</v>
      </c>
      <c r="AX54" s="6">
        <f t="shared" si="38"/>
        <v>5.4902436559459021E-6</v>
      </c>
      <c r="AY54" s="8">
        <f t="shared" si="39"/>
        <v>27.332901021688933</v>
      </c>
      <c r="AZ54" s="7">
        <f t="shared" si="40"/>
        <v>1.3740397362845916E-2</v>
      </c>
      <c r="BA54" s="9">
        <f t="shared" si="41"/>
        <v>0.20179435017246417</v>
      </c>
      <c r="BB54" s="4">
        <f t="shared" si="96"/>
        <v>989.42290025007128</v>
      </c>
      <c r="BC54" s="6">
        <f t="shared" si="42"/>
        <v>5.4788458005001425E-6</v>
      </c>
      <c r="BD54" s="8">
        <f t="shared" si="43"/>
        <v>27.267363352875819</v>
      </c>
      <c r="BE54" s="7">
        <f t="shared" si="44"/>
        <v>1.3711872023585352E-2</v>
      </c>
      <c r="BF54" s="9">
        <f t="shared" si="45"/>
        <v>0.20227936704478913</v>
      </c>
      <c r="BG54" s="4">
        <f t="shared" si="97"/>
        <v>983.1240985671933</v>
      </c>
      <c r="BH54" s="6">
        <f t="shared" si="46"/>
        <v>5.4662481971343874E-6</v>
      </c>
      <c r="BI54" s="8">
        <f t="shared" si="47"/>
        <v>27.194927133522722</v>
      </c>
      <c r="BJ54" s="7">
        <f t="shared" si="48"/>
        <v>1.3680344082948777E-2</v>
      </c>
      <c r="BK54" s="9">
        <f t="shared" si="49"/>
        <v>0.20281815696431793</v>
      </c>
      <c r="BL54" s="4">
        <f t="shared" si="98"/>
        <v>976.22542272520309</v>
      </c>
      <c r="BM54" s="6">
        <f t="shared" si="50"/>
        <v>5.4524508454504066E-6</v>
      </c>
      <c r="BN54" s="8">
        <f t="shared" si="51"/>
        <v>27.115592361339836</v>
      </c>
      <c r="BO54" s="7">
        <f t="shared" si="52"/>
        <v>1.3645813539939542E-2</v>
      </c>
      <c r="BP54" s="9">
        <f t="shared" si="53"/>
        <v>0.20341156211892034</v>
      </c>
      <c r="BQ54" s="4">
        <f t="shared" si="99"/>
        <v>968.72686787775297</v>
      </c>
      <c r="BR54" s="6">
        <f t="shared" si="54"/>
        <v>5.4374537357555064E-6</v>
      </c>
      <c r="BS54" s="8">
        <f t="shared" si="55"/>
        <v>27.029358980594161</v>
      </c>
      <c r="BT54" s="7">
        <f t="shared" si="56"/>
        <v>1.3608280370299802E-2</v>
      </c>
      <c r="BU54" s="9">
        <f t="shared" si="57"/>
        <v>0.2040605181928275</v>
      </c>
      <c r="BV54" s="4">
        <f t="shared" si="100"/>
        <v>960.62833933843785</v>
      </c>
      <c r="BW54" s="6">
        <f t="shared" si="58"/>
        <v>5.4212566786768766E-6</v>
      </c>
      <c r="BX54" s="8">
        <f t="shared" si="59"/>
        <v>26.936225902392035</v>
      </c>
      <c r="BY54" s="7">
        <f t="shared" si="60"/>
        <v>1.3567744100087452E-2</v>
      </c>
      <c r="BZ54" s="9">
        <f t="shared" si="61"/>
        <v>0.20476606559459365</v>
      </c>
      <c r="CA54" s="4">
        <f t="shared" si="101"/>
        <v>951.92827199986493</v>
      </c>
      <c r="CB54" s="6">
        <f t="shared" si="62"/>
        <v>5.4038565439997298E-6</v>
      </c>
      <c r="CC54" s="8">
        <f t="shared" si="63"/>
        <v>26.836175127998445</v>
      </c>
      <c r="CD54" s="7">
        <f t="shared" si="64"/>
        <v>1.3524196895334142E-2</v>
      </c>
      <c r="CE54" s="9">
        <f t="shared" si="65"/>
        <v>0.20552947555650336</v>
      </c>
      <c r="CF54" s="4">
        <f t="shared" si="102"/>
        <v>942.60518430393051</v>
      </c>
      <c r="CG54" s="6">
        <f t="shared" si="66"/>
        <v>5.3852103686078614E-6</v>
      </c>
      <c r="CH54" s="8">
        <f t="shared" si="67"/>
        <v>26.7289596194952</v>
      </c>
      <c r="CI54" s="7">
        <f t="shared" si="68"/>
        <v>1.3477531232526241E-2</v>
      </c>
      <c r="CJ54" s="9">
        <f t="shared" si="69"/>
        <v>0.20635389773933024</v>
      </c>
      <c r="CK54" s="4">
        <f t="shared" si="103"/>
        <v>932.42126339340757</v>
      </c>
      <c r="CL54" s="6">
        <f t="shared" si="70"/>
        <v>5.3648425267868159E-6</v>
      </c>
      <c r="CM54" s="8">
        <f t="shared" si="71"/>
        <v>26.611844529024186</v>
      </c>
      <c r="CN54" s="7">
        <f t="shared" si="72"/>
        <v>1.3426556766257942E-2</v>
      </c>
      <c r="CO54" s="9">
        <f t="shared" si="73"/>
        <v>0.20726203303887442</v>
      </c>
      <c r="CP54" s="4">
        <f t="shared" si="104"/>
        <v>919.34428564314146</v>
      </c>
      <c r="CQ54" s="6">
        <f t="shared" si="74"/>
        <v>5.3386885712862831E-6</v>
      </c>
      <c r="CR54" s="8">
        <f t="shared" si="75"/>
        <v>26.461459284896126</v>
      </c>
      <c r="CS54" s="7">
        <f t="shared" si="76"/>
        <v>1.3361101430628471E-2</v>
      </c>
      <c r="CT54" s="9">
        <f t="shared" si="77"/>
        <v>0.20843994054206416</v>
      </c>
      <c r="CU54" s="4">
        <f t="shared" si="105"/>
        <v>890.92090121711192</v>
      </c>
      <c r="CV54" s="6">
        <f t="shared" si="78"/>
        <v>5.2818418024342245E-6</v>
      </c>
      <c r="CW54" s="8">
        <f t="shared" si="79"/>
        <v>26.134590363996786</v>
      </c>
      <c r="CX54" s="7">
        <f t="shared" si="80"/>
        <v>1.3218831389120346E-2</v>
      </c>
      <c r="CY54" s="9">
        <f t="shared" si="81"/>
        <v>0.2110469275844617</v>
      </c>
      <c r="CZ54" s="5">
        <f t="shared" si="106"/>
        <v>800.02214478725364</v>
      </c>
      <c r="DA54" s="6">
        <f t="shared" si="82"/>
        <v>5.1000442895745081E-6</v>
      </c>
      <c r="DB54" s="8">
        <f t="shared" si="83"/>
        <v>25.089254665053417</v>
      </c>
      <c r="DC54" s="7">
        <f t="shared" si="84"/>
        <v>1.2763847927035873E-2</v>
      </c>
      <c r="DD54" s="9">
        <f t="shared" si="85"/>
        <v>0.21984012971428207</v>
      </c>
    </row>
    <row r="55" spans="2:108" x14ac:dyDescent="0.25">
      <c r="B55">
        <v>36</v>
      </c>
      <c r="C55">
        <f t="shared" si="86"/>
        <v>3.5194127988429053E-2</v>
      </c>
      <c r="D55" s="4">
        <f t="shared" si="3"/>
        <v>1019.4242459749548</v>
      </c>
      <c r="E55" s="6">
        <f t="shared" si="4"/>
        <v>5.5388484919499102E-6</v>
      </c>
      <c r="F55" s="8">
        <f t="shared" si="5"/>
        <v>27.612378828711982</v>
      </c>
      <c r="G55" s="7">
        <f t="shared" si="1"/>
        <v>1.3862040372209948E-2</v>
      </c>
      <c r="H55" s="9">
        <f t="shared" si="6"/>
        <v>0.19975189512700467</v>
      </c>
      <c r="I55" s="4">
        <f t="shared" si="87"/>
        <v>1019.1037271436016</v>
      </c>
      <c r="J55" s="6">
        <f t="shared" si="7"/>
        <v>5.5382074542872042E-6</v>
      </c>
      <c r="K55" s="8">
        <f t="shared" si="8"/>
        <v>27.608692862151418</v>
      </c>
      <c r="L55" s="7">
        <f t="shared" si="9"/>
        <v>1.386043605138885E-2</v>
      </c>
      <c r="M55" s="9">
        <f t="shared" si="10"/>
        <v>0.19977856349589571</v>
      </c>
      <c r="N55" s="4">
        <f t="shared" si="88"/>
        <v>1018.2014676084848</v>
      </c>
      <c r="O55" s="6">
        <f t="shared" si="11"/>
        <v>5.5364029352169702E-6</v>
      </c>
      <c r="P55" s="8">
        <f t="shared" si="12"/>
        <v>27.598316877497574</v>
      </c>
      <c r="Q55" s="7">
        <f t="shared" si="2"/>
        <v>1.3862040372209948E-2</v>
      </c>
      <c r="R55" s="9">
        <f t="shared" si="13"/>
        <v>0.19985367312371113</v>
      </c>
      <c r="S55" s="4">
        <f t="shared" si="89"/>
        <v>1016.7012635897087</v>
      </c>
      <c r="T55" s="6">
        <f t="shared" si="14"/>
        <v>5.5334025271794183E-6</v>
      </c>
      <c r="U55" s="8">
        <f t="shared" si="15"/>
        <v>27.581064531281648</v>
      </c>
      <c r="V55" s="7">
        <f t="shared" si="16"/>
        <v>1.3848410791327943E-2</v>
      </c>
      <c r="W55" s="9">
        <f t="shared" si="17"/>
        <v>0.19997868442475589</v>
      </c>
      <c r="X55" s="4">
        <f t="shared" si="90"/>
        <v>1014.6017110814237</v>
      </c>
      <c r="Y55" s="6">
        <f t="shared" si="18"/>
        <v>5.5292034221628483E-6</v>
      </c>
      <c r="Z55" s="8">
        <f t="shared" si="19"/>
        <v>27.556919677436369</v>
      </c>
      <c r="AA55" s="7">
        <f t="shared" si="20"/>
        <v>1.3837901718304653E-2</v>
      </c>
      <c r="AB55" s="9">
        <f t="shared" si="21"/>
        <v>0.2001539019804234</v>
      </c>
      <c r="AC55" s="4">
        <f t="shared" si="91"/>
        <v>1011.9021922710518</v>
      </c>
      <c r="AD55" s="6">
        <f t="shared" si="22"/>
        <v>5.5238043845421038E-6</v>
      </c>
      <c r="AE55" s="8">
        <f t="shared" si="23"/>
        <v>27.525875211117096</v>
      </c>
      <c r="AF55" s="7">
        <f t="shared" si="24"/>
        <v>1.3824389581697448E-2</v>
      </c>
      <c r="AG55" s="9">
        <f t="shared" si="25"/>
        <v>0.20037964125378147</v>
      </c>
      <c r="AH55" s="4">
        <f t="shared" si="92"/>
        <v>1008.6027806441331</v>
      </c>
      <c r="AI55" s="6">
        <f t="shared" si="26"/>
        <v>5.517205561288267E-6</v>
      </c>
      <c r="AJ55" s="8">
        <f t="shared" si="27"/>
        <v>27.487931977407527</v>
      </c>
      <c r="AK55" s="7">
        <f t="shared" si="28"/>
        <v>1.3807874749329907E-2</v>
      </c>
      <c r="AL55" s="9">
        <f t="shared" si="29"/>
        <v>0.20065623723651968</v>
      </c>
      <c r="AM55" s="4">
        <f t="shared" si="93"/>
        <v>1004.703495208977</v>
      </c>
      <c r="AN55" s="6">
        <f t="shared" si="30"/>
        <v>5.5094069904179543E-6</v>
      </c>
      <c r="AO55" s="8">
        <f t="shared" si="31"/>
        <v>27.443090194903235</v>
      </c>
      <c r="AP55" s="7">
        <f t="shared" si="32"/>
        <v>1.378835731634597E-2</v>
      </c>
      <c r="AQ55" s="9">
        <f t="shared" si="33"/>
        <v>0.2009841078693233</v>
      </c>
      <c r="AR55" s="4">
        <f t="shared" si="94"/>
        <v>1000.2043389499563</v>
      </c>
      <c r="AS55" s="6">
        <f t="shared" si="34"/>
        <v>5.5004086778999131E-6</v>
      </c>
      <c r="AT55" s="8">
        <f t="shared" si="35"/>
        <v>27.391349897924499</v>
      </c>
      <c r="AU55" s="7">
        <f t="shared" si="36"/>
        <v>1.3765837297683582E-2</v>
      </c>
      <c r="AV55" s="9">
        <f t="shared" si="37"/>
        <v>0.20136375244572852</v>
      </c>
      <c r="AW55" s="4">
        <f t="shared" si="95"/>
        <v>995.10531224672434</v>
      </c>
      <c r="AX55" s="6">
        <f t="shared" si="38"/>
        <v>5.4902106244934492E-6</v>
      </c>
      <c r="AY55" s="8">
        <f t="shared" si="39"/>
        <v>27.332711090837329</v>
      </c>
      <c r="AZ55" s="7">
        <f t="shared" si="40"/>
        <v>1.3740314695243052E-2</v>
      </c>
      <c r="BA55" s="9">
        <f t="shared" si="41"/>
        <v>0.20179575241070719</v>
      </c>
      <c r="BB55" s="4">
        <f t="shared" si="96"/>
        <v>989.40641516420021</v>
      </c>
      <c r="BC55" s="6">
        <f t="shared" si="42"/>
        <v>5.4788128303284007E-6</v>
      </c>
      <c r="BD55" s="8">
        <f t="shared" si="43"/>
        <v>27.267173774388301</v>
      </c>
      <c r="BE55" s="7">
        <f t="shared" si="44"/>
        <v>1.371178950934933E-2</v>
      </c>
      <c r="BF55" s="9">
        <f t="shared" si="45"/>
        <v>0.20228077341776998</v>
      </c>
      <c r="BG55" s="4">
        <f t="shared" si="97"/>
        <v>983.10764771745164</v>
      </c>
      <c r="BH55" s="6">
        <f t="shared" si="46"/>
        <v>5.4662152954349035E-6</v>
      </c>
      <c r="BI55" s="8">
        <f t="shared" si="47"/>
        <v>27.194737948750692</v>
      </c>
      <c r="BJ55" s="7">
        <f t="shared" si="48"/>
        <v>1.3680261740077833E-2</v>
      </c>
      <c r="BK55" s="9">
        <f t="shared" si="49"/>
        <v>0.20281956790296574</v>
      </c>
      <c r="BL55" s="4">
        <f t="shared" si="98"/>
        <v>976.20900964488919</v>
      </c>
      <c r="BM55" s="6">
        <f t="shared" si="50"/>
        <v>5.4524180192897784E-6</v>
      </c>
      <c r="BN55" s="8">
        <f t="shared" si="51"/>
        <v>27.115403610916225</v>
      </c>
      <c r="BO55" s="7">
        <f t="shared" si="52"/>
        <v>1.3645731386119202E-2</v>
      </c>
      <c r="BP55" s="9">
        <f t="shared" si="53"/>
        <v>0.20341297806754749</v>
      </c>
      <c r="BQ55" s="4">
        <f t="shared" si="99"/>
        <v>968.71049488982646</v>
      </c>
      <c r="BR55" s="6">
        <f t="shared" si="54"/>
        <v>5.4374209897796536E-6</v>
      </c>
      <c r="BS55" s="8">
        <f t="shared" si="55"/>
        <v>27.029170691233006</v>
      </c>
      <c r="BT55" s="7">
        <f t="shared" si="56"/>
        <v>1.3608198417157383E-2</v>
      </c>
      <c r="BU55" s="9">
        <f t="shared" si="57"/>
        <v>0.20406193970978953</v>
      </c>
      <c r="BV55" s="4">
        <f t="shared" si="100"/>
        <v>960.61198924246492</v>
      </c>
      <c r="BW55" s="6">
        <f t="shared" si="58"/>
        <v>5.4212239784849308E-6</v>
      </c>
      <c r="BX55" s="8">
        <f t="shared" si="59"/>
        <v>26.936037876288346</v>
      </c>
      <c r="BY55" s="7">
        <f t="shared" si="60"/>
        <v>1.356766226152812E-2</v>
      </c>
      <c r="BZ55" s="9">
        <f t="shared" si="61"/>
        <v>0.20476749495720661</v>
      </c>
      <c r="CA55" s="4">
        <f t="shared" si="101"/>
        <v>951.91166800072767</v>
      </c>
      <c r="CB55" s="6">
        <f t="shared" si="62"/>
        <v>5.4038233360014558E-6</v>
      </c>
      <c r="CC55" s="8">
        <f t="shared" si="63"/>
        <v>26.835984182008367</v>
      </c>
      <c r="CD55" s="7">
        <f t="shared" si="64"/>
        <v>1.3524113785891191E-2</v>
      </c>
      <c r="CE55" s="9">
        <f t="shared" si="65"/>
        <v>0.20553093795970551</v>
      </c>
      <c r="CF55" s="4">
        <f t="shared" si="102"/>
        <v>942.58529807871025</v>
      </c>
      <c r="CG55" s="6">
        <f t="shared" si="66"/>
        <v>5.3851705961574213E-6</v>
      </c>
      <c r="CH55" s="8">
        <f t="shared" si="67"/>
        <v>26.728730927905168</v>
      </c>
      <c r="CI55" s="7">
        <f t="shared" si="68"/>
        <v>1.3477431694271222E-2</v>
      </c>
      <c r="CJ55" s="9">
        <f t="shared" si="69"/>
        <v>0.20635566330766608</v>
      </c>
      <c r="CK55" s="4">
        <f t="shared" si="103"/>
        <v>932.37305191237851</v>
      </c>
      <c r="CL55" s="6">
        <f t="shared" si="70"/>
        <v>5.3647461038247582E-6</v>
      </c>
      <c r="CM55" s="8">
        <f t="shared" si="71"/>
        <v>26.611290096992352</v>
      </c>
      <c r="CN55" s="7">
        <f t="shared" si="72"/>
        <v>1.3426315449133129E-2</v>
      </c>
      <c r="CO55" s="9">
        <f t="shared" si="73"/>
        <v>0.2072663512327568</v>
      </c>
      <c r="CP55" s="4">
        <f t="shared" si="104"/>
        <v>919.12276225293999</v>
      </c>
      <c r="CQ55" s="6">
        <f t="shared" si="74"/>
        <v>5.3382455245058798E-6</v>
      </c>
      <c r="CR55" s="8">
        <f t="shared" si="75"/>
        <v>26.458911765908809</v>
      </c>
      <c r="CS55" s="7">
        <f t="shared" si="76"/>
        <v>1.3359992620310649E-2</v>
      </c>
      <c r="CT55" s="9">
        <f t="shared" si="77"/>
        <v>0.20846000957252708</v>
      </c>
      <c r="CU55" s="4">
        <f t="shared" si="105"/>
        <v>890.04427957868234</v>
      </c>
      <c r="CV55" s="6">
        <f t="shared" si="78"/>
        <v>5.2800885591573653E-6</v>
      </c>
      <c r="CW55" s="8">
        <f t="shared" si="79"/>
        <v>26.124509215154845</v>
      </c>
      <c r="CX55" s="7">
        <f t="shared" si="80"/>
        <v>1.3214443558487058E-2</v>
      </c>
      <c r="CY55" s="9">
        <f t="shared" si="81"/>
        <v>0.21112836817620989</v>
      </c>
      <c r="CZ55" s="5">
        <f t="shared" si="106"/>
        <v>798.20807455749934</v>
      </c>
      <c r="DA55" s="6">
        <f t="shared" si="82"/>
        <v>5.0964161491149992E-6</v>
      </c>
      <c r="DB55" s="8">
        <f t="shared" si="83"/>
        <v>25.06839285741124</v>
      </c>
      <c r="DC55" s="7">
        <f t="shared" si="84"/>
        <v>1.2754767803324444E-2</v>
      </c>
      <c r="DD55" s="9">
        <f t="shared" si="85"/>
        <v>0.22002307971527404</v>
      </c>
    </row>
    <row r="56" spans="2:108" x14ac:dyDescent="0.25">
      <c r="B56">
        <v>37</v>
      </c>
      <c r="C56">
        <f t="shared" si="86"/>
        <v>3.6171742654774304E-2</v>
      </c>
      <c r="D56" s="4">
        <f t="shared" si="3"/>
        <v>1019.4078819025797</v>
      </c>
      <c r="E56" s="6">
        <f t="shared" si="4"/>
        <v>5.5388157638051598E-6</v>
      </c>
      <c r="F56" s="8">
        <f t="shared" si="5"/>
        <v>27.612190641879664</v>
      </c>
      <c r="G56" s="7">
        <f t="shared" si="1"/>
        <v>1.3861958463693312E-2</v>
      </c>
      <c r="H56" s="9">
        <f t="shared" si="6"/>
        <v>0.19975325650672571</v>
      </c>
      <c r="I56" s="4">
        <f t="shared" si="87"/>
        <v>1019.0871880266662</v>
      </c>
      <c r="J56" s="6">
        <f t="shared" si="7"/>
        <v>5.5381743760533326E-6</v>
      </c>
      <c r="K56" s="8">
        <f t="shared" si="8"/>
        <v>27.608502662306663</v>
      </c>
      <c r="L56" s="7">
        <f t="shared" si="9"/>
        <v>1.3860353266706432E-2</v>
      </c>
      <c r="M56" s="9">
        <f t="shared" si="10"/>
        <v>0.19977993980565895</v>
      </c>
      <c r="N56" s="4">
        <f t="shared" si="88"/>
        <v>1018.1848551383156</v>
      </c>
      <c r="O56" s="6">
        <f t="shared" si="11"/>
        <v>5.5363697102766313E-6</v>
      </c>
      <c r="P56" s="8">
        <f t="shared" si="12"/>
        <v>27.598125834090631</v>
      </c>
      <c r="Q56" s="7">
        <f t="shared" si="2"/>
        <v>1.3861958463693312E-2</v>
      </c>
      <c r="R56" s="9">
        <f t="shared" si="13"/>
        <v>0.19985505657731348</v>
      </c>
      <c r="S56" s="4">
        <f t="shared" si="89"/>
        <v>1016.6846388332656</v>
      </c>
      <c r="T56" s="6">
        <f t="shared" si="14"/>
        <v>5.5333692776665316E-6</v>
      </c>
      <c r="U56" s="8">
        <f t="shared" si="15"/>
        <v>27.580873346582553</v>
      </c>
      <c r="V56" s="7">
        <f t="shared" si="16"/>
        <v>1.3848327577986638E-2</v>
      </c>
      <c r="W56" s="9">
        <f t="shared" si="17"/>
        <v>0.19998007063410925</v>
      </c>
      <c r="X56" s="4">
        <f t="shared" si="90"/>
        <v>1014.5850951625753</v>
      </c>
      <c r="Y56" s="6">
        <f t="shared" si="18"/>
        <v>5.5291701903251514E-6</v>
      </c>
      <c r="Z56" s="8">
        <f t="shared" si="19"/>
        <v>27.556728594369616</v>
      </c>
      <c r="AA56" s="7">
        <f t="shared" si="20"/>
        <v>1.3837818549198931E-2</v>
      </c>
      <c r="AB56" s="9">
        <f t="shared" si="21"/>
        <v>0.20015528988179501</v>
      </c>
      <c r="AC56" s="4">
        <f t="shared" si="91"/>
        <v>1011.8855898520194</v>
      </c>
      <c r="AD56" s="6">
        <f t="shared" si="22"/>
        <v>5.5237711797040395E-6</v>
      </c>
      <c r="AE56" s="8">
        <f t="shared" si="23"/>
        <v>27.525684283298222</v>
      </c>
      <c r="AF56" s="7">
        <f t="shared" si="24"/>
        <v>1.3824306480163532E-2</v>
      </c>
      <c r="AG56" s="9">
        <f t="shared" si="25"/>
        <v>0.20038103115738778</v>
      </c>
      <c r="AH56" s="4">
        <f t="shared" si="92"/>
        <v>1008.5861947218882</v>
      </c>
      <c r="AI56" s="6">
        <f t="shared" si="26"/>
        <v>5.5171723894437766E-6</v>
      </c>
      <c r="AJ56" s="8">
        <f t="shared" si="27"/>
        <v>27.487741239301712</v>
      </c>
      <c r="AK56" s="7">
        <f t="shared" si="28"/>
        <v>1.3807791730368797E-2</v>
      </c>
      <c r="AL56" s="9">
        <f t="shared" si="29"/>
        <v>0.20065762959503605</v>
      </c>
      <c r="AM56" s="4">
        <f t="shared" si="93"/>
        <v>1004.6869291794493</v>
      </c>
      <c r="AN56" s="6">
        <f t="shared" si="30"/>
        <v>5.5093738583588988E-6</v>
      </c>
      <c r="AO56" s="8">
        <f t="shared" si="31"/>
        <v>27.442899685563667</v>
      </c>
      <c r="AP56" s="7">
        <f t="shared" si="32"/>
        <v>1.378827439695561E-2</v>
      </c>
      <c r="AQ56" s="9">
        <f t="shared" si="33"/>
        <v>0.20098550310634608</v>
      </c>
      <c r="AR56" s="4">
        <f t="shared" si="94"/>
        <v>1000.1877963728941</v>
      </c>
      <c r="AS56" s="6">
        <f t="shared" si="34"/>
        <v>5.5003755927457891E-6</v>
      </c>
      <c r="AT56" s="8">
        <f t="shared" si="35"/>
        <v>27.391159658288281</v>
      </c>
      <c r="AU56" s="7">
        <f t="shared" si="36"/>
        <v>1.3765754495681893E-2</v>
      </c>
      <c r="AV56" s="9">
        <f t="shared" si="37"/>
        <v>0.20136515097603869</v>
      </c>
      <c r="AW56" s="4">
        <f t="shared" si="95"/>
        <v>995.08879671347051</v>
      </c>
      <c r="AX56" s="6">
        <f t="shared" si="38"/>
        <v>5.4901775934269409E-6</v>
      </c>
      <c r="AY56" s="8">
        <f t="shared" si="39"/>
        <v>27.332521162204912</v>
      </c>
      <c r="AZ56" s="7">
        <f t="shared" si="40"/>
        <v>1.3740232028606091E-2</v>
      </c>
      <c r="BA56" s="9">
        <f t="shared" si="41"/>
        <v>0.20179715465205386</v>
      </c>
      <c r="BB56" s="4">
        <f t="shared" si="96"/>
        <v>989.38993027148706</v>
      </c>
      <c r="BC56" s="6">
        <f t="shared" si="42"/>
        <v>5.4787798605429745E-6</v>
      </c>
      <c r="BD56" s="8">
        <f t="shared" si="43"/>
        <v>27.266984198122103</v>
      </c>
      <c r="BE56" s="7">
        <f t="shared" si="44"/>
        <v>1.3711706996080136E-2</v>
      </c>
      <c r="BF56" s="9">
        <f t="shared" si="45"/>
        <v>0.20228217979382793</v>
      </c>
      <c r="BG56" s="4">
        <f t="shared" si="97"/>
        <v>983.09119706003173</v>
      </c>
      <c r="BH56" s="6">
        <f t="shared" si="46"/>
        <v>5.4661823941200641E-6</v>
      </c>
      <c r="BI56" s="8">
        <f t="shared" si="47"/>
        <v>27.194548766190366</v>
      </c>
      <c r="BJ56" s="7">
        <f t="shared" si="48"/>
        <v>1.3680179398169533E-2</v>
      </c>
      <c r="BK56" s="9">
        <f t="shared" si="49"/>
        <v>0.20282097884474934</v>
      </c>
      <c r="BL56" s="4">
        <f t="shared" si="98"/>
        <v>976.19259673952649</v>
      </c>
      <c r="BM56" s="6">
        <f t="shared" si="50"/>
        <v>5.4523851934790535E-6</v>
      </c>
      <c r="BN56" s="8">
        <f t="shared" si="51"/>
        <v>27.115214862504551</v>
      </c>
      <c r="BO56" s="7">
        <f t="shared" si="52"/>
        <v>1.3645649233174564E-2</v>
      </c>
      <c r="BP56" s="9">
        <f t="shared" si="53"/>
        <v>0.20341439402079436</v>
      </c>
      <c r="BQ56" s="4">
        <f t="shared" si="99"/>
        <v>968.69412179881726</v>
      </c>
      <c r="BR56" s="6">
        <f t="shared" si="54"/>
        <v>5.4373882435976347E-6</v>
      </c>
      <c r="BS56" s="8">
        <f t="shared" si="55"/>
        <v>27.028982400686395</v>
      </c>
      <c r="BT56" s="7">
        <f t="shared" si="56"/>
        <v>1.3608116463498994E-2</v>
      </c>
      <c r="BU56" s="9">
        <f t="shared" si="57"/>
        <v>0.20406336125550667</v>
      </c>
      <c r="BV56" s="4">
        <f t="shared" si="100"/>
        <v>960.59563536602582</v>
      </c>
      <c r="BW56" s="6">
        <f t="shared" si="58"/>
        <v>5.4211912707320522E-6</v>
      </c>
      <c r="BX56" s="8">
        <f t="shared" si="59"/>
        <v>26.935849806709296</v>
      </c>
      <c r="BY56" s="7">
        <f t="shared" si="60"/>
        <v>1.3567580404046093E-2</v>
      </c>
      <c r="BZ56" s="9">
        <f t="shared" si="61"/>
        <v>0.20476892467027882</v>
      </c>
      <c r="CA56" s="4">
        <f t="shared" si="101"/>
        <v>951.89502141552839</v>
      </c>
      <c r="CB56" s="6">
        <f t="shared" si="62"/>
        <v>5.4037900428310578E-6</v>
      </c>
      <c r="CC56" s="8">
        <f t="shared" si="63"/>
        <v>26.835792746278578</v>
      </c>
      <c r="CD56" s="7">
        <f t="shared" si="64"/>
        <v>1.3524030463288516E-2</v>
      </c>
      <c r="CE56" s="9">
        <f t="shared" si="65"/>
        <v>0.20553240413458151</v>
      </c>
      <c r="CF56" s="4">
        <f t="shared" si="102"/>
        <v>942.56505993517078</v>
      </c>
      <c r="CG56" s="6">
        <f t="shared" si="66"/>
        <v>5.3851301198703416E-6</v>
      </c>
      <c r="CH56" s="8">
        <f t="shared" si="67"/>
        <v>26.728498189254463</v>
      </c>
      <c r="CI56" s="7">
        <f t="shared" si="68"/>
        <v>1.3477330394528787E-2</v>
      </c>
      <c r="CJ56" s="9">
        <f t="shared" si="69"/>
        <v>0.20635746015155546</v>
      </c>
      <c r="CK56" s="4">
        <f t="shared" si="103"/>
        <v>932.32280683331555</v>
      </c>
      <c r="CL56" s="6">
        <f t="shared" si="70"/>
        <v>5.3646456136666315E-6</v>
      </c>
      <c r="CM56" s="8">
        <f t="shared" si="71"/>
        <v>26.610712278583129</v>
      </c>
      <c r="CN56" s="7">
        <f t="shared" si="72"/>
        <v>1.3426063953062964E-2</v>
      </c>
      <c r="CO56" s="9">
        <f t="shared" si="73"/>
        <v>0.20727085176292304</v>
      </c>
      <c r="CP56" s="4">
        <f t="shared" si="104"/>
        <v>918.89446556558369</v>
      </c>
      <c r="CQ56" s="6">
        <f t="shared" si="74"/>
        <v>5.3377889311311679E-6</v>
      </c>
      <c r="CR56" s="8">
        <f t="shared" si="75"/>
        <v>26.456286354004213</v>
      </c>
      <c r="CS56" s="7">
        <f t="shared" si="76"/>
        <v>1.3358849907018683E-2</v>
      </c>
      <c r="CT56" s="9">
        <f t="shared" si="77"/>
        <v>0.20848069627751056</v>
      </c>
      <c r="CU56" s="4">
        <f t="shared" si="105"/>
        <v>889.16340118627818</v>
      </c>
      <c r="CV56" s="6">
        <f t="shared" si="78"/>
        <v>5.2783268023725568E-6</v>
      </c>
      <c r="CW56" s="8">
        <f t="shared" si="79"/>
        <v>26.114379113642197</v>
      </c>
      <c r="CX56" s="7">
        <f t="shared" si="80"/>
        <v>1.3210034421152371E-2</v>
      </c>
      <c r="CY56" s="9">
        <f t="shared" si="81"/>
        <v>0.21121026756935712</v>
      </c>
      <c r="CZ56" s="5">
        <f t="shared" si="106"/>
        <v>796.42761179365039</v>
      </c>
      <c r="DA56" s="6">
        <f t="shared" si="82"/>
        <v>5.092855223587302E-6</v>
      </c>
      <c r="DB56" s="8">
        <f t="shared" si="83"/>
        <v>25.047917535626979</v>
      </c>
      <c r="DC56" s="7">
        <f t="shared" si="84"/>
        <v>1.2745855897989046E-2</v>
      </c>
      <c r="DD56" s="9">
        <f t="shared" si="85"/>
        <v>0.22020293671738717</v>
      </c>
    </row>
    <row r="57" spans="2:108" x14ac:dyDescent="0.25">
      <c r="B57">
        <v>38</v>
      </c>
      <c r="C57">
        <f t="shared" si="86"/>
        <v>3.7149357321119555E-2</v>
      </c>
      <c r="D57" s="4">
        <f t="shared" si="3"/>
        <v>1019.3915088933135</v>
      </c>
      <c r="E57" s="6">
        <f t="shared" si="4"/>
        <v>5.5387830177866276E-6</v>
      </c>
      <c r="F57" s="8">
        <f t="shared" si="5"/>
        <v>27.612002352273102</v>
      </c>
      <c r="G57" s="7">
        <f t="shared" si="1"/>
        <v>1.386187651044408E-2</v>
      </c>
      <c r="H57" s="9">
        <f t="shared" si="6"/>
        <v>0.1997546186485073</v>
      </c>
      <c r="I57" s="4">
        <f t="shared" si="87"/>
        <v>1019.0706486955146</v>
      </c>
      <c r="J57" s="6">
        <f t="shared" si="7"/>
        <v>5.53814129739103E-6</v>
      </c>
      <c r="K57" s="8">
        <f t="shared" si="8"/>
        <v>27.608312459998416</v>
      </c>
      <c r="L57" s="7">
        <f t="shared" si="9"/>
        <v>1.3860270480951781E-2</v>
      </c>
      <c r="M57" s="9">
        <f t="shared" si="10"/>
        <v>0.19978131615221209</v>
      </c>
      <c r="N57" s="4">
        <f t="shared" si="88"/>
        <v>1018.168243317028</v>
      </c>
      <c r="O57" s="6">
        <f t="shared" si="11"/>
        <v>5.5363364866340569E-6</v>
      </c>
      <c r="P57" s="8">
        <f t="shared" si="12"/>
        <v>27.597934798145822</v>
      </c>
      <c r="Q57" s="7">
        <f t="shared" si="2"/>
        <v>1.386187651044408E-2</v>
      </c>
      <c r="R57" s="9">
        <f t="shared" si="13"/>
        <v>0.19985643999603078</v>
      </c>
      <c r="S57" s="4">
        <f t="shared" si="89"/>
        <v>1016.6680144599586</v>
      </c>
      <c r="T57" s="6">
        <f t="shared" si="14"/>
        <v>5.5333360289199174E-6</v>
      </c>
      <c r="U57" s="8">
        <f t="shared" si="15"/>
        <v>27.580682166289524</v>
      </c>
      <c r="V57" s="7">
        <f t="shared" si="16"/>
        <v>1.3848244366563081E-2</v>
      </c>
      <c r="W57" s="9">
        <f t="shared" si="17"/>
        <v>0.19998145683073315</v>
      </c>
      <c r="X57" s="4">
        <f t="shared" si="90"/>
        <v>1014.5684794467984</v>
      </c>
      <c r="Y57" s="6">
        <f t="shared" si="18"/>
        <v>5.5291369588935975E-6</v>
      </c>
      <c r="Z57" s="8">
        <f t="shared" si="19"/>
        <v>27.556537513638183</v>
      </c>
      <c r="AA57" s="7">
        <f t="shared" si="20"/>
        <v>1.3837735381109665E-2</v>
      </c>
      <c r="AB57" s="9">
        <f t="shared" si="21"/>
        <v>0.20015667778545207</v>
      </c>
      <c r="AC57" s="4">
        <f t="shared" si="91"/>
        <v>1011.8689876157507</v>
      </c>
      <c r="AD57" s="6">
        <f t="shared" si="22"/>
        <v>5.5237379752315021E-6</v>
      </c>
      <c r="AE57" s="8">
        <f t="shared" si="23"/>
        <v>27.525493357581134</v>
      </c>
      <c r="AF57" s="7">
        <f t="shared" si="24"/>
        <v>1.382422337954442E-2</v>
      </c>
      <c r="AG57" s="9">
        <f t="shared" si="25"/>
        <v>0.20038242106497517</v>
      </c>
      <c r="AH57" s="4">
        <f t="shared" si="92"/>
        <v>1008.5696089882121</v>
      </c>
      <c r="AI57" s="6">
        <f t="shared" si="26"/>
        <v>5.5171392179764244E-6</v>
      </c>
      <c r="AJ57" s="8">
        <f t="shared" si="27"/>
        <v>27.487550503364439</v>
      </c>
      <c r="AK57" s="7">
        <f t="shared" si="28"/>
        <v>1.3807708712351548E-2</v>
      </c>
      <c r="AL57" s="9">
        <f t="shared" si="29"/>
        <v>0.20065902195704544</v>
      </c>
      <c r="AM57" s="4">
        <f t="shared" si="93"/>
        <v>1004.6703633414251</v>
      </c>
      <c r="AN57" s="6">
        <f t="shared" si="30"/>
        <v>5.5093407266828505E-6</v>
      </c>
      <c r="AO57" s="8">
        <f t="shared" si="31"/>
        <v>27.442709178426387</v>
      </c>
      <c r="AP57" s="7">
        <f t="shared" si="32"/>
        <v>1.3788191478523802E-2</v>
      </c>
      <c r="AQ57" s="9">
        <f t="shared" si="33"/>
        <v>0.20098689834661126</v>
      </c>
      <c r="AR57" s="4">
        <f t="shared" si="94"/>
        <v>1000.1712539883479</v>
      </c>
      <c r="AS57" s="6">
        <f t="shared" si="34"/>
        <v>5.5003425079766966E-6</v>
      </c>
      <c r="AT57" s="8">
        <f t="shared" si="35"/>
        <v>27.390969420866</v>
      </c>
      <c r="AU57" s="7">
        <f t="shared" si="36"/>
        <v>1.3765671694643818E-2</v>
      </c>
      <c r="AV57" s="9">
        <f t="shared" si="37"/>
        <v>0.2013665495094995</v>
      </c>
      <c r="AW57" s="4">
        <f t="shared" si="95"/>
        <v>995.07228137318384</v>
      </c>
      <c r="AX57" s="6">
        <f t="shared" si="38"/>
        <v>5.4901445627463688E-6</v>
      </c>
      <c r="AY57" s="8">
        <f t="shared" si="39"/>
        <v>27.332331235791614</v>
      </c>
      <c r="AZ57" s="7">
        <f t="shared" si="40"/>
        <v>1.3740149362935007E-2</v>
      </c>
      <c r="BA57" s="9">
        <f t="shared" si="41"/>
        <v>0.20179855689650447</v>
      </c>
      <c r="BB57" s="4">
        <f t="shared" si="96"/>
        <v>989.37344557191489</v>
      </c>
      <c r="BC57" s="6">
        <f t="shared" si="42"/>
        <v>5.478746891143831E-6</v>
      </c>
      <c r="BD57" s="8">
        <f t="shared" si="43"/>
        <v>27.266794624077022</v>
      </c>
      <c r="BE57" s="7">
        <f t="shared" si="44"/>
        <v>1.3711624483777688E-2</v>
      </c>
      <c r="BF57" s="9">
        <f t="shared" si="45"/>
        <v>0.20228358617296416</v>
      </c>
      <c r="BG57" s="4">
        <f t="shared" si="97"/>
        <v>983.07474659469335</v>
      </c>
      <c r="BH57" s="6">
        <f t="shared" si="46"/>
        <v>5.4661494931893872E-6</v>
      </c>
      <c r="BI57" s="8">
        <f t="shared" si="47"/>
        <v>27.194359585838974</v>
      </c>
      <c r="BJ57" s="7">
        <f t="shared" si="48"/>
        <v>1.3680097057222677E-2</v>
      </c>
      <c r="BK57" s="9">
        <f t="shared" si="49"/>
        <v>0.20282238978968908</v>
      </c>
      <c r="BL57" s="4">
        <f t="shared" si="98"/>
        <v>976.17618400537856</v>
      </c>
      <c r="BM57" s="6">
        <f t="shared" si="50"/>
        <v>5.452352368010757E-6</v>
      </c>
      <c r="BN57" s="8">
        <f t="shared" si="51"/>
        <v>27.115026116061852</v>
      </c>
      <c r="BO57" s="7">
        <f t="shared" si="52"/>
        <v>1.3645567081086919E-2</v>
      </c>
      <c r="BP57" s="9">
        <f t="shared" si="53"/>
        <v>0.20341580997898304</v>
      </c>
      <c r="BQ57" s="4">
        <f t="shared" si="99"/>
        <v>968.67774855626476</v>
      </c>
      <c r="BR57" s="6">
        <f t="shared" si="54"/>
        <v>5.4373554971125297E-6</v>
      </c>
      <c r="BS57" s="8">
        <f t="shared" si="55"/>
        <v>27.028794108397044</v>
      </c>
      <c r="BT57" s="7">
        <f t="shared" si="56"/>
        <v>1.3608034509082073E-2</v>
      </c>
      <c r="BU57" s="9">
        <f t="shared" si="57"/>
        <v>0.20406478283418716</v>
      </c>
      <c r="BV57" s="4">
        <f t="shared" si="100"/>
        <v>960.57927721049543</v>
      </c>
      <c r="BW57" s="6">
        <f t="shared" si="58"/>
        <v>5.4211585544209915E-6</v>
      </c>
      <c r="BX57" s="8">
        <f t="shared" si="59"/>
        <v>26.935661687920696</v>
      </c>
      <c r="BY57" s="7">
        <f t="shared" si="60"/>
        <v>1.3567498525145556E-2</v>
      </c>
      <c r="BZ57" s="9">
        <f t="shared" si="61"/>
        <v>0.20477035477741701</v>
      </c>
      <c r="CA57" s="4">
        <f t="shared" si="101"/>
        <v>951.87832841699299</v>
      </c>
      <c r="CB57" s="6">
        <f t="shared" si="62"/>
        <v>5.4037566568339862E-6</v>
      </c>
      <c r="CC57" s="8">
        <f t="shared" si="63"/>
        <v>26.835600776795417</v>
      </c>
      <c r="CD57" s="7">
        <f t="shared" si="64"/>
        <v>1.3523946908369123E-2</v>
      </c>
      <c r="CE57" s="9">
        <f t="shared" si="65"/>
        <v>0.20553387441839305</v>
      </c>
      <c r="CF57" s="4">
        <f t="shared" si="102"/>
        <v>942.54445047700142</v>
      </c>
      <c r="CG57" s="6">
        <f t="shared" si="66"/>
        <v>5.3850889009540033E-6</v>
      </c>
      <c r="CH57" s="8">
        <f t="shared" si="67"/>
        <v>26.728261180485518</v>
      </c>
      <c r="CI57" s="7">
        <f t="shared" si="68"/>
        <v>1.3477227236212901E-2</v>
      </c>
      <c r="CJ57" s="9">
        <f t="shared" si="69"/>
        <v>0.20635928999477882</v>
      </c>
      <c r="CK57" s="4">
        <f t="shared" si="103"/>
        <v>932.27048443501724</v>
      </c>
      <c r="CL57" s="6">
        <f t="shared" si="70"/>
        <v>5.3645409688700354E-6</v>
      </c>
      <c r="CM57" s="8">
        <f t="shared" si="71"/>
        <v>26.6101105710027</v>
      </c>
      <c r="CN57" s="7">
        <f t="shared" si="72"/>
        <v>1.3425802059205917E-2</v>
      </c>
      <c r="CO57" s="9">
        <f t="shared" si="73"/>
        <v>0.20727553856955525</v>
      </c>
      <c r="CP57" s="4">
        <f t="shared" si="104"/>
        <v>918.65949260880586</v>
      </c>
      <c r="CQ57" s="6">
        <f t="shared" si="74"/>
        <v>5.3373189852176124E-6</v>
      </c>
      <c r="CR57" s="8">
        <f t="shared" si="75"/>
        <v>26.453584165001267</v>
      </c>
      <c r="CS57" s="7">
        <f t="shared" si="76"/>
        <v>1.335767377641393E-2</v>
      </c>
      <c r="CT57" s="9">
        <f t="shared" si="77"/>
        <v>0.20850199222898896</v>
      </c>
      <c r="CU57" s="4">
        <f t="shared" si="105"/>
        <v>888.27875535262206</v>
      </c>
      <c r="CV57" s="6">
        <f t="shared" si="78"/>
        <v>5.2765575107052445E-6</v>
      </c>
      <c r="CW57" s="8">
        <f t="shared" si="79"/>
        <v>26.104205686555154</v>
      </c>
      <c r="CX57" s="7">
        <f t="shared" si="80"/>
        <v>1.3205606426315873E-2</v>
      </c>
      <c r="CY57" s="9">
        <f t="shared" si="81"/>
        <v>0.21129258121195377</v>
      </c>
      <c r="CZ57" s="5">
        <f t="shared" si="106"/>
        <v>794.67955348527619</v>
      </c>
      <c r="DA57" s="6">
        <f t="shared" si="82"/>
        <v>5.0893591069705528E-6</v>
      </c>
      <c r="DB57" s="8">
        <f t="shared" si="83"/>
        <v>25.027814865080675</v>
      </c>
      <c r="DC57" s="7">
        <f t="shared" si="84"/>
        <v>1.2737106189496791E-2</v>
      </c>
      <c r="DD57" s="9">
        <f t="shared" si="85"/>
        <v>0.22037980661649828</v>
      </c>
    </row>
    <row r="58" spans="2:108" x14ac:dyDescent="0.25">
      <c r="B58">
        <v>39</v>
      </c>
      <c r="C58">
        <f t="shared" si="86"/>
        <v>3.8126971987464807E-2</v>
      </c>
      <c r="D58" s="4">
        <f t="shared" si="3"/>
        <v>1019.375127392492</v>
      </c>
      <c r="E58" s="6">
        <f t="shared" si="4"/>
        <v>5.538750254784984E-6</v>
      </c>
      <c r="F58" s="8">
        <f t="shared" si="5"/>
        <v>27.61181396501366</v>
      </c>
      <c r="G58" s="7">
        <f t="shared" si="1"/>
        <v>1.3861794514691324E-2</v>
      </c>
      <c r="H58" s="9">
        <f t="shared" si="6"/>
        <v>0.19975598151533003</v>
      </c>
      <c r="I58" s="4">
        <f t="shared" si="87"/>
        <v>1019.0541091076913</v>
      </c>
      <c r="J58" s="6">
        <f t="shared" si="7"/>
        <v>5.538108218215383E-6</v>
      </c>
      <c r="K58" s="8">
        <f t="shared" si="8"/>
        <v>27.608122254738447</v>
      </c>
      <c r="L58" s="7">
        <f t="shared" si="9"/>
        <v>1.3860187693912387E-2</v>
      </c>
      <c r="M58" s="9">
        <f t="shared" si="10"/>
        <v>0.19978269253908931</v>
      </c>
      <c r="N58" s="4">
        <f t="shared" si="88"/>
        <v>1018.1516321310409</v>
      </c>
      <c r="O58" s="6">
        <f t="shared" si="11"/>
        <v>5.5363032642620828E-6</v>
      </c>
      <c r="P58" s="8">
        <f t="shared" si="12"/>
        <v>27.59774376950697</v>
      </c>
      <c r="Q58" s="7">
        <f t="shared" si="2"/>
        <v>1.3861794514691324E-2</v>
      </c>
      <c r="R58" s="9">
        <f t="shared" si="13"/>
        <v>0.19985782338099214</v>
      </c>
      <c r="S58" s="4">
        <f t="shared" si="89"/>
        <v>1016.6513904699931</v>
      </c>
      <c r="T58" s="6">
        <f t="shared" si="14"/>
        <v>5.5333027809399867E-6</v>
      </c>
      <c r="U58" s="8">
        <f t="shared" si="15"/>
        <v>27.580490990404918</v>
      </c>
      <c r="V58" s="7">
        <f t="shared" si="16"/>
        <v>1.3848161157058296E-2</v>
      </c>
      <c r="W58" s="9">
        <f t="shared" si="17"/>
        <v>0.19998284301460956</v>
      </c>
      <c r="X58" s="4">
        <f t="shared" si="90"/>
        <v>1014.5518639359551</v>
      </c>
      <c r="Y58" s="6">
        <f t="shared" si="18"/>
        <v>5.5291037278719101E-6</v>
      </c>
      <c r="Z58" s="8">
        <f t="shared" si="19"/>
        <v>27.556346435263485</v>
      </c>
      <c r="AA58" s="7">
        <f t="shared" si="20"/>
        <v>1.3837652214046165E-2</v>
      </c>
      <c r="AB58" s="9">
        <f t="shared" si="21"/>
        <v>0.2001580656912387</v>
      </c>
      <c r="AC58" s="4">
        <f t="shared" si="91"/>
        <v>1011.8523855625848</v>
      </c>
      <c r="AD58" s="6">
        <f t="shared" si="22"/>
        <v>5.5237047711251701E-6</v>
      </c>
      <c r="AE58" s="8">
        <f t="shared" si="23"/>
        <v>27.525302433969724</v>
      </c>
      <c r="AF58" s="7">
        <f t="shared" si="24"/>
        <v>1.382414027984181E-2</v>
      </c>
      <c r="AG58" s="9">
        <f t="shared" si="25"/>
        <v>0.20038381097651509</v>
      </c>
      <c r="AH58" s="4">
        <f t="shared" si="92"/>
        <v>1008.5530234430729</v>
      </c>
      <c r="AI58" s="6">
        <f t="shared" si="26"/>
        <v>5.5171060468861466E-6</v>
      </c>
      <c r="AJ58" s="8">
        <f t="shared" si="27"/>
        <v>27.487359769595336</v>
      </c>
      <c r="AK58" s="7">
        <f t="shared" si="28"/>
        <v>1.3807625695278002E-2</v>
      </c>
      <c r="AL58" s="9">
        <f t="shared" si="29"/>
        <v>0.20066041432255027</v>
      </c>
      <c r="AM58" s="4">
        <f t="shared" si="93"/>
        <v>1004.6537976948794</v>
      </c>
      <c r="AN58" s="6">
        <f t="shared" si="30"/>
        <v>5.5093075953897593E-6</v>
      </c>
      <c r="AO58" s="8">
        <f t="shared" si="31"/>
        <v>27.442518673491112</v>
      </c>
      <c r="AP58" s="7">
        <f t="shared" si="32"/>
        <v>1.3788108561050417E-2</v>
      </c>
      <c r="AQ58" s="9">
        <f t="shared" si="33"/>
        <v>0.20098829359012066</v>
      </c>
      <c r="AR58" s="4">
        <f t="shared" si="94"/>
        <v>1000.1547117963087</v>
      </c>
      <c r="AS58" s="6">
        <f t="shared" si="34"/>
        <v>5.5003094235926178E-6</v>
      </c>
      <c r="AT58" s="8">
        <f t="shared" si="35"/>
        <v>27.39077918565755</v>
      </c>
      <c r="AU58" s="7">
        <f t="shared" si="36"/>
        <v>1.3765588894569315E-2</v>
      </c>
      <c r="AV58" s="9">
        <f t="shared" si="37"/>
        <v>0.20136794804611144</v>
      </c>
      <c r="AW58" s="4">
        <f t="shared" si="95"/>
        <v>995.05576622585852</v>
      </c>
      <c r="AX58" s="6">
        <f t="shared" si="38"/>
        <v>5.4901115324517177E-6</v>
      </c>
      <c r="AY58" s="8">
        <f t="shared" si="39"/>
        <v>27.332141311597372</v>
      </c>
      <c r="AZ58" s="7">
        <f t="shared" si="40"/>
        <v>1.3740066698229768E-2</v>
      </c>
      <c r="BA58" s="9">
        <f t="shared" si="41"/>
        <v>0.20179995914405913</v>
      </c>
      <c r="BB58" s="4">
        <f t="shared" si="96"/>
        <v>989.35696106546391</v>
      </c>
      <c r="BC58" s="6">
        <f t="shared" si="42"/>
        <v>5.4787139221309285E-6</v>
      </c>
      <c r="BD58" s="8">
        <f t="shared" si="43"/>
        <v>27.266605052252835</v>
      </c>
      <c r="BE58" s="7">
        <f t="shared" si="44"/>
        <v>1.3711541972441886E-2</v>
      </c>
      <c r="BF58" s="9">
        <f t="shared" si="45"/>
        <v>0.20228499255518007</v>
      </c>
      <c r="BG58" s="4">
        <f t="shared" si="97"/>
        <v>983.05829632114876</v>
      </c>
      <c r="BH58" s="6">
        <f t="shared" si="46"/>
        <v>5.4661165926422976E-6</v>
      </c>
      <c r="BI58" s="8">
        <f t="shared" si="47"/>
        <v>27.19417040769321</v>
      </c>
      <c r="BJ58" s="7">
        <f t="shared" si="48"/>
        <v>1.368001471723582E-2</v>
      </c>
      <c r="BK58" s="9">
        <f t="shared" si="49"/>
        <v>0.20282380073780937</v>
      </c>
      <c r="BL58" s="4">
        <f t="shared" si="98"/>
        <v>976.15977143811767</v>
      </c>
      <c r="BM58" s="6">
        <f t="shared" si="50"/>
        <v>5.4523195428762355E-6</v>
      </c>
      <c r="BN58" s="8">
        <f t="shared" si="51"/>
        <v>27.11483737153835</v>
      </c>
      <c r="BO58" s="7">
        <f t="shared" si="52"/>
        <v>1.364548492983461E-2</v>
      </c>
      <c r="BP58" s="9">
        <f t="shared" si="53"/>
        <v>0.20341722594248673</v>
      </c>
      <c r="BQ58" s="4">
        <f t="shared" si="99"/>
        <v>968.66137510791725</v>
      </c>
      <c r="BR58" s="6">
        <f t="shared" si="54"/>
        <v>5.4373227502158352E-6</v>
      </c>
      <c r="BS58" s="8">
        <f t="shared" si="55"/>
        <v>27.028605813741045</v>
      </c>
      <c r="BT58" s="7">
        <f t="shared" si="56"/>
        <v>1.360795255363507E-2</v>
      </c>
      <c r="BU58" s="9">
        <f t="shared" si="57"/>
        <v>0.20406620445054244</v>
      </c>
      <c r="BV58" s="4">
        <f t="shared" si="100"/>
        <v>960.56291423625123</v>
      </c>
      <c r="BW58" s="6">
        <f t="shared" si="58"/>
        <v>5.4211258284725035E-6</v>
      </c>
      <c r="BX58" s="8">
        <f t="shared" si="59"/>
        <v>26.935473513716886</v>
      </c>
      <c r="BY58" s="7">
        <f t="shared" si="60"/>
        <v>1.3567416622125496E-2</v>
      </c>
      <c r="BZ58" s="9">
        <f t="shared" si="61"/>
        <v>0.20477178532581464</v>
      </c>
      <c r="CA58" s="4">
        <f t="shared" si="101"/>
        <v>951.86158500330362</v>
      </c>
      <c r="CB58" s="6">
        <f t="shared" si="62"/>
        <v>5.4037231700066081E-6</v>
      </c>
      <c r="CC58" s="8">
        <f t="shared" si="63"/>
        <v>26.835408227537989</v>
      </c>
      <c r="CD58" s="7">
        <f t="shared" si="64"/>
        <v>1.3523863101102374E-2</v>
      </c>
      <c r="CE58" s="9">
        <f t="shared" si="65"/>
        <v>0.20553534916379509</v>
      </c>
      <c r="CF58" s="4">
        <f t="shared" si="102"/>
        <v>942.52345017302832</v>
      </c>
      <c r="CG58" s="6">
        <f t="shared" si="66"/>
        <v>5.3850469003460574E-6</v>
      </c>
      <c r="CH58" s="8">
        <f t="shared" si="67"/>
        <v>26.728019676989824</v>
      </c>
      <c r="CI58" s="7">
        <f t="shared" si="68"/>
        <v>1.3477122121562473E-2</v>
      </c>
      <c r="CJ58" s="9">
        <f t="shared" si="69"/>
        <v>0.20636115457324383</v>
      </c>
      <c r="CK58" s="4">
        <f t="shared" si="103"/>
        <v>932.21604326941042</v>
      </c>
      <c r="CL58" s="6">
        <f t="shared" si="70"/>
        <v>5.3644320865388218E-6</v>
      </c>
      <c r="CM58" s="8">
        <f t="shared" si="71"/>
        <v>26.609484497598217</v>
      </c>
      <c r="CN58" s="7">
        <f t="shared" si="72"/>
        <v>1.3425529560098333E-2</v>
      </c>
      <c r="CO58" s="9">
        <f t="shared" si="73"/>
        <v>0.2072804153909048</v>
      </c>
      <c r="CP58" s="4">
        <f t="shared" si="104"/>
        <v>918.41794399973173</v>
      </c>
      <c r="CQ58" s="6">
        <f t="shared" si="74"/>
        <v>5.3368358879994639E-6</v>
      </c>
      <c r="CR58" s="8">
        <f t="shared" si="75"/>
        <v>26.450806355996914</v>
      </c>
      <c r="CS58" s="7">
        <f t="shared" si="76"/>
        <v>1.3356464732124056E-2</v>
      </c>
      <c r="CT58" s="9">
        <f t="shared" si="77"/>
        <v>0.20852388867719718</v>
      </c>
      <c r="CU58" s="4">
        <f t="shared" si="105"/>
        <v>887.39080295740314</v>
      </c>
      <c r="CV58" s="6">
        <f t="shared" si="78"/>
        <v>5.2747816059148066E-6</v>
      </c>
      <c r="CW58" s="8">
        <f t="shared" si="79"/>
        <v>26.093994234010136</v>
      </c>
      <c r="CX58" s="7">
        <f t="shared" si="80"/>
        <v>1.3201161880858812E-2</v>
      </c>
      <c r="CY58" s="9">
        <f t="shared" si="81"/>
        <v>0.21137526706475232</v>
      </c>
      <c r="CZ58" s="5">
        <f t="shared" si="106"/>
        <v>792.96274927960212</v>
      </c>
      <c r="DA58" s="6">
        <f t="shared" si="82"/>
        <v>5.0859254985592042E-6</v>
      </c>
      <c r="DB58" s="8">
        <f t="shared" si="83"/>
        <v>25.008071616715423</v>
      </c>
      <c r="DC58" s="7">
        <f t="shared" si="84"/>
        <v>1.2728512919886754E-2</v>
      </c>
      <c r="DD58" s="9">
        <f t="shared" si="85"/>
        <v>0.22055379097336519</v>
      </c>
    </row>
    <row r="59" spans="2:108" x14ac:dyDescent="0.25">
      <c r="B59">
        <v>40</v>
      </c>
      <c r="C59">
        <f t="shared" si="86"/>
        <v>3.9104586653810058E-2</v>
      </c>
      <c r="D59" s="4">
        <f t="shared" si="3"/>
        <v>1019.3587378205468</v>
      </c>
      <c r="E59" s="6">
        <f t="shared" si="4"/>
        <v>5.5387174756410947E-6</v>
      </c>
      <c r="F59" s="8">
        <f t="shared" si="5"/>
        <v>27.611625484936287</v>
      </c>
      <c r="G59" s="7">
        <f t="shared" si="1"/>
        <v>1.3861712478539474E-2</v>
      </c>
      <c r="H59" s="9">
        <f t="shared" si="6"/>
        <v>0.19975734507224457</v>
      </c>
      <c r="I59" s="4">
        <f t="shared" si="87"/>
        <v>1019.0375692247202</v>
      </c>
      <c r="J59" s="6">
        <f t="shared" si="7"/>
        <v>5.5380751384494405E-6</v>
      </c>
      <c r="K59" s="8">
        <f t="shared" si="8"/>
        <v>27.607932046084279</v>
      </c>
      <c r="L59" s="7">
        <f t="shared" si="9"/>
        <v>1.3860104905395666E-2</v>
      </c>
      <c r="M59" s="9">
        <f t="shared" si="10"/>
        <v>0.1997840689694938</v>
      </c>
      <c r="N59" s="4">
        <f t="shared" si="88"/>
        <v>1018.1350215667122</v>
      </c>
      <c r="O59" s="6">
        <f t="shared" si="11"/>
        <v>5.5362700431334243E-6</v>
      </c>
      <c r="P59" s="8">
        <f t="shared" si="12"/>
        <v>27.59755274801719</v>
      </c>
      <c r="Q59" s="7">
        <f t="shared" si="2"/>
        <v>1.3861712478539474E-2</v>
      </c>
      <c r="R59" s="9">
        <f t="shared" si="13"/>
        <v>0.19985920673333193</v>
      </c>
      <c r="S59" s="4">
        <f t="shared" si="89"/>
        <v>1016.6347668634394</v>
      </c>
      <c r="T59" s="6">
        <f t="shared" si="14"/>
        <v>5.53326953372688E-6</v>
      </c>
      <c r="U59" s="8">
        <f t="shared" si="15"/>
        <v>27.580299818929554</v>
      </c>
      <c r="V59" s="7">
        <f t="shared" si="16"/>
        <v>1.3848077949472638E-2</v>
      </c>
      <c r="W59" s="9">
        <f t="shared" si="17"/>
        <v>0.19998422918573161</v>
      </c>
      <c r="X59" s="4">
        <f t="shared" si="90"/>
        <v>1014.5352486318634</v>
      </c>
      <c r="Y59" s="6">
        <f t="shared" si="18"/>
        <v>5.5290704972637273E-6</v>
      </c>
      <c r="Z59" s="8">
        <f t="shared" si="19"/>
        <v>27.556155359266427</v>
      </c>
      <c r="AA59" s="7">
        <f t="shared" si="20"/>
        <v>1.3837569048017541E-2</v>
      </c>
      <c r="AB59" s="9">
        <f t="shared" si="21"/>
        <v>0.20015945359900278</v>
      </c>
      <c r="AC59" s="4">
        <f t="shared" si="91"/>
        <v>1011.835783692874</v>
      </c>
      <c r="AD59" s="6">
        <f t="shared" si="22"/>
        <v>5.523671567385749E-6</v>
      </c>
      <c r="AE59" s="8">
        <f t="shared" si="23"/>
        <v>27.525111512468051</v>
      </c>
      <c r="AF59" s="7">
        <f t="shared" si="24"/>
        <v>1.3824057181057461E-2</v>
      </c>
      <c r="AG59" s="9">
        <f t="shared" si="25"/>
        <v>0.20038520089197775</v>
      </c>
      <c r="AH59" s="4">
        <f t="shared" si="92"/>
        <v>1008.5364380864437</v>
      </c>
      <c r="AI59" s="6">
        <f t="shared" si="26"/>
        <v>5.5170728761728874E-6</v>
      </c>
      <c r="AJ59" s="8">
        <f t="shared" si="27"/>
        <v>27.4871690379941</v>
      </c>
      <c r="AK59" s="7">
        <f t="shared" si="28"/>
        <v>1.3807542679148016E-2</v>
      </c>
      <c r="AL59" s="9">
        <f t="shared" si="29"/>
        <v>0.20066180669155254</v>
      </c>
      <c r="AM59" s="4">
        <f t="shared" si="93"/>
        <v>1004.6372322397875</v>
      </c>
      <c r="AN59" s="6">
        <f t="shared" si="30"/>
        <v>5.5092744644795761E-6</v>
      </c>
      <c r="AO59" s="8">
        <f t="shared" si="31"/>
        <v>27.442328170757555</v>
      </c>
      <c r="AP59" s="7">
        <f t="shared" si="32"/>
        <v>1.3788025644535334E-2</v>
      </c>
      <c r="AQ59" s="9">
        <f t="shared" si="33"/>
        <v>0.2009896888368761</v>
      </c>
      <c r="AR59" s="4">
        <f t="shared" si="94"/>
        <v>1000.1381697967677</v>
      </c>
      <c r="AS59" s="6">
        <f t="shared" si="34"/>
        <v>5.5002763395935358E-6</v>
      </c>
      <c r="AT59" s="8">
        <f t="shared" si="35"/>
        <v>27.390588952662828</v>
      </c>
      <c r="AU59" s="7">
        <f t="shared" si="36"/>
        <v>1.3765506095458343E-2</v>
      </c>
      <c r="AV59" s="9">
        <f t="shared" si="37"/>
        <v>0.20136934658587499</v>
      </c>
      <c r="AW59" s="4">
        <f t="shared" si="95"/>
        <v>995.03925127148875</v>
      </c>
      <c r="AX59" s="6">
        <f t="shared" si="38"/>
        <v>5.4900785025429781E-6</v>
      </c>
      <c r="AY59" s="8">
        <f t="shared" si="39"/>
        <v>27.33195138962212</v>
      </c>
      <c r="AZ59" s="7">
        <f t="shared" si="40"/>
        <v>1.3739984034490345E-2</v>
      </c>
      <c r="BA59" s="9">
        <f t="shared" si="41"/>
        <v>0.20180136139471808</v>
      </c>
      <c r="BB59" s="4">
        <f t="shared" si="96"/>
        <v>989.3404767521107</v>
      </c>
      <c r="BC59" s="6">
        <f t="shared" si="42"/>
        <v>5.4786809535042213E-6</v>
      </c>
      <c r="BD59" s="8">
        <f t="shared" si="43"/>
        <v>27.266415482649272</v>
      </c>
      <c r="BE59" s="7">
        <f t="shared" si="44"/>
        <v>1.371145946207261E-2</v>
      </c>
      <c r="BF59" s="9">
        <f t="shared" si="45"/>
        <v>0.2022863989404774</v>
      </c>
      <c r="BG59" s="4">
        <f t="shared" si="97"/>
        <v>983.04184623905621</v>
      </c>
      <c r="BH59" s="6">
        <f t="shared" si="46"/>
        <v>5.4660836924781135E-6</v>
      </c>
      <c r="BI59" s="8">
        <f t="shared" si="47"/>
        <v>27.193981231749145</v>
      </c>
      <c r="BJ59" s="7">
        <f t="shared" si="48"/>
        <v>1.3679932378207259E-2</v>
      </c>
      <c r="BK59" s="9">
        <f t="shared" si="49"/>
        <v>0.20282521168913925</v>
      </c>
      <c r="BL59" s="4">
        <f t="shared" si="98"/>
        <v>976.14335903275764</v>
      </c>
      <c r="BM59" s="6">
        <f t="shared" si="50"/>
        <v>5.4522867180655161E-6</v>
      </c>
      <c r="BN59" s="8">
        <f t="shared" si="51"/>
        <v>27.114648628876711</v>
      </c>
      <c r="BO59" s="7">
        <f t="shared" si="52"/>
        <v>1.364540277939268E-2</v>
      </c>
      <c r="BP59" s="9">
        <f t="shared" si="53"/>
        <v>0.20341864191173545</v>
      </c>
      <c r="BQ59" s="4">
        <f t="shared" si="99"/>
        <v>968.64500139330096</v>
      </c>
      <c r="BR59" s="6">
        <f t="shared" si="54"/>
        <v>5.4372900027866026E-6</v>
      </c>
      <c r="BS59" s="8">
        <f t="shared" si="55"/>
        <v>27.028417516022962</v>
      </c>
      <c r="BT59" s="7">
        <f t="shared" si="56"/>
        <v>1.3607870596855283E-2</v>
      </c>
      <c r="BU59" s="9">
        <f t="shared" si="57"/>
        <v>0.20406762610982429</v>
      </c>
      <c r="BV59" s="4">
        <f t="shared" si="100"/>
        <v>960.546545861254</v>
      </c>
      <c r="BW59" s="6">
        <f t="shared" si="58"/>
        <v>5.4210930917225082E-6</v>
      </c>
      <c r="BX59" s="8">
        <f t="shared" si="59"/>
        <v>26.935285277404418</v>
      </c>
      <c r="BY59" s="7">
        <f t="shared" si="60"/>
        <v>1.3567334692072568E-2</v>
      </c>
      <c r="BZ59" s="9">
        <f t="shared" si="61"/>
        <v>0.2047732163663761</v>
      </c>
      <c r="CA59" s="4">
        <f t="shared" si="101"/>
        <v>951.84478700041052</v>
      </c>
      <c r="CB59" s="6">
        <f t="shared" si="62"/>
        <v>5.4036895740008217E-6</v>
      </c>
      <c r="CC59" s="8">
        <f t="shared" si="63"/>
        <v>26.835215050504722</v>
      </c>
      <c r="CD59" s="7">
        <f t="shared" si="64"/>
        <v>1.3523779020595525E-2</v>
      </c>
      <c r="CE59" s="9">
        <f t="shared" si="65"/>
        <v>0.20553682873863391</v>
      </c>
      <c r="CF59" s="4">
        <f t="shared" si="102"/>
        <v>942.50203939028665</v>
      </c>
      <c r="CG59" s="6">
        <f t="shared" si="66"/>
        <v>5.3850040787805738E-6</v>
      </c>
      <c r="CH59" s="8">
        <f t="shared" si="67"/>
        <v>26.727773452988295</v>
      </c>
      <c r="CI59" s="7">
        <f t="shared" si="68"/>
        <v>1.3477014952306915E-2</v>
      </c>
      <c r="CJ59" s="9">
        <f t="shared" si="69"/>
        <v>0.20636305563205551</v>
      </c>
      <c r="CK59" s="4">
        <f t="shared" si="103"/>
        <v>932.15944414834235</v>
      </c>
      <c r="CL59" s="6">
        <f t="shared" si="70"/>
        <v>5.3643188882966847E-6</v>
      </c>
      <c r="CM59" s="8">
        <f t="shared" si="71"/>
        <v>26.608833607705936</v>
      </c>
      <c r="CN59" s="7">
        <f t="shared" si="72"/>
        <v>1.3425246259588335E-2</v>
      </c>
      <c r="CO59" s="9">
        <f t="shared" si="73"/>
        <v>0.20728548576449707</v>
      </c>
      <c r="CP59" s="4">
        <f t="shared" si="104"/>
        <v>918.16992348528845</v>
      </c>
      <c r="CQ59" s="6">
        <f t="shared" si="74"/>
        <v>5.3363398469705777E-6</v>
      </c>
      <c r="CR59" s="8">
        <f t="shared" si="75"/>
        <v>26.447954120080816</v>
      </c>
      <c r="CS59" s="7">
        <f t="shared" si="76"/>
        <v>1.3355223293442589E-2</v>
      </c>
      <c r="CT59" s="9">
        <f t="shared" si="77"/>
        <v>0.20854637659145886</v>
      </c>
      <c r="CU59" s="4">
        <f t="shared" si="105"/>
        <v>886.49997797691651</v>
      </c>
      <c r="CV59" s="6">
        <f t="shared" si="78"/>
        <v>5.2729999559538329E-6</v>
      </c>
      <c r="CW59" s="8">
        <f t="shared" si="79"/>
        <v>26.08374974673454</v>
      </c>
      <c r="CX59" s="7">
        <f t="shared" si="80"/>
        <v>1.319670295700053E-2</v>
      </c>
      <c r="CY59" s="9">
        <f t="shared" si="81"/>
        <v>0.21145828546720008</v>
      </c>
      <c r="CZ59" s="5">
        <f t="shared" si="106"/>
        <v>791.27609898621722</v>
      </c>
      <c r="DA59" s="6">
        <f t="shared" si="82"/>
        <v>5.0825521979724349E-6</v>
      </c>
      <c r="DB59" s="8">
        <f t="shared" si="83"/>
        <v>24.988675138341499</v>
      </c>
      <c r="DC59" s="7">
        <f t="shared" si="84"/>
        <v>1.2720070582280054E-2</v>
      </c>
      <c r="DD59" s="9">
        <f t="shared" si="85"/>
        <v>0.22072498719778358</v>
      </c>
    </row>
    <row r="60" spans="2:108" x14ac:dyDescent="0.25">
      <c r="B60">
        <v>41</v>
      </c>
      <c r="C60">
        <f t="shared" si="86"/>
        <v>4.008220132015531E-2</v>
      </c>
      <c r="D60" s="4">
        <f t="shared" si="3"/>
        <v>1019.34234057448</v>
      </c>
      <c r="E60" s="6">
        <f t="shared" si="4"/>
        <v>5.5386846811489599E-6</v>
      </c>
      <c r="F60" s="8">
        <f t="shared" si="5"/>
        <v>27.611436916606518</v>
      </c>
      <c r="G60" s="7">
        <f t="shared" si="1"/>
        <v>1.3861630403975669E-2</v>
      </c>
      <c r="H60" s="9">
        <f t="shared" si="6"/>
        <v>0.19975870928624881</v>
      </c>
      <c r="I60" s="4">
        <f t="shared" si="87"/>
        <v>1019.0210290118206</v>
      </c>
      <c r="J60" s="6">
        <f t="shared" si="7"/>
        <v>5.5380420580236416E-6</v>
      </c>
      <c r="K60" s="8">
        <f t="shared" si="8"/>
        <v>27.607741833635934</v>
      </c>
      <c r="L60" s="7">
        <f t="shared" si="9"/>
        <v>1.3860022115227525E-2</v>
      </c>
      <c r="M60" s="9">
        <f t="shared" si="10"/>
        <v>0.19978544544632151</v>
      </c>
      <c r="N60" s="4">
        <f t="shared" si="88"/>
        <v>1018.11841161038</v>
      </c>
      <c r="O60" s="6">
        <f t="shared" si="11"/>
        <v>5.5362368232207612E-6</v>
      </c>
      <c r="P60" s="8">
        <f t="shared" si="12"/>
        <v>27.597361733519371</v>
      </c>
      <c r="Q60" s="7">
        <f t="shared" si="2"/>
        <v>1.3861630403975669E-2</v>
      </c>
      <c r="R60" s="9">
        <f t="shared" si="13"/>
        <v>0.19986059005418619</v>
      </c>
      <c r="S60" s="4">
        <f t="shared" si="89"/>
        <v>1016.6181436402353</v>
      </c>
      <c r="T60" s="6">
        <f t="shared" si="14"/>
        <v>5.5332362872804711E-6</v>
      </c>
      <c r="U60" s="8">
        <f t="shared" si="15"/>
        <v>27.580108651862705</v>
      </c>
      <c r="V60" s="7">
        <f t="shared" si="16"/>
        <v>1.3847994743805787E-2</v>
      </c>
      <c r="W60" s="9">
        <f t="shared" si="17"/>
        <v>0.19998561534410364</v>
      </c>
      <c r="X60" s="4">
        <f t="shared" si="90"/>
        <v>1014.5186335362973</v>
      </c>
      <c r="Y60" s="6">
        <f t="shared" si="18"/>
        <v>5.5290372670725955E-6</v>
      </c>
      <c r="Z60" s="8">
        <f t="shared" si="19"/>
        <v>27.555964285667418</v>
      </c>
      <c r="AA60" s="7">
        <f t="shared" si="20"/>
        <v>1.3837485883032668E-2</v>
      </c>
      <c r="AB60" s="9">
        <f t="shared" si="21"/>
        <v>0.20016084150859573</v>
      </c>
      <c r="AC60" s="4">
        <f t="shared" si="91"/>
        <v>1011.8191820069831</v>
      </c>
      <c r="AD60" s="6">
        <f t="shared" si="22"/>
        <v>5.5236383640139665E-6</v>
      </c>
      <c r="AE60" s="8">
        <f t="shared" si="23"/>
        <v>27.524920593080303</v>
      </c>
      <c r="AF60" s="7">
        <f t="shared" si="24"/>
        <v>1.3823974083193202E-2</v>
      </c>
      <c r="AG60" s="9">
        <f t="shared" si="25"/>
        <v>0.20038659081133242</v>
      </c>
      <c r="AH60" s="4">
        <f t="shared" si="92"/>
        <v>1008.5198529183023</v>
      </c>
      <c r="AI60" s="6">
        <f t="shared" si="26"/>
        <v>5.5170397058366053E-6</v>
      </c>
      <c r="AJ60" s="8">
        <f t="shared" si="27"/>
        <v>27.486978308560474</v>
      </c>
      <c r="AK60" s="7">
        <f t="shared" si="28"/>
        <v>1.3807459663961491E-2</v>
      </c>
      <c r="AL60" s="9">
        <f t="shared" si="29"/>
        <v>0.20066319906405383</v>
      </c>
      <c r="AM60" s="4">
        <f t="shared" si="93"/>
        <v>1004.620666976125</v>
      </c>
      <c r="AN60" s="6">
        <f t="shared" si="30"/>
        <v>5.5092413339522501E-6</v>
      </c>
      <c r="AO60" s="8">
        <f t="shared" si="31"/>
        <v>27.442137670225435</v>
      </c>
      <c r="AP60" s="7">
        <f t="shared" si="32"/>
        <v>1.3787942728978424E-2</v>
      </c>
      <c r="AQ60" s="9">
        <f t="shared" si="33"/>
        <v>0.20099108408687935</v>
      </c>
      <c r="AR60" s="4">
        <f t="shared" si="94"/>
        <v>1000.1216279897158</v>
      </c>
      <c r="AS60" s="6">
        <f t="shared" si="34"/>
        <v>5.500243255979432E-6</v>
      </c>
      <c r="AT60" s="8">
        <f t="shared" si="35"/>
        <v>27.390398721881731</v>
      </c>
      <c r="AU60" s="7">
        <f t="shared" si="36"/>
        <v>1.3765423297310854E-2</v>
      </c>
      <c r="AV60" s="9">
        <f t="shared" si="37"/>
        <v>0.20137074512879069</v>
      </c>
      <c r="AW60" s="4">
        <f t="shared" si="95"/>
        <v>995.0227365100684</v>
      </c>
      <c r="AX60" s="6">
        <f t="shared" si="38"/>
        <v>5.4900454730201374E-6</v>
      </c>
      <c r="AY60" s="8">
        <f t="shared" si="39"/>
        <v>27.331761469865786</v>
      </c>
      <c r="AZ60" s="7">
        <f t="shared" si="40"/>
        <v>1.3739901371716708E-2</v>
      </c>
      <c r="BA60" s="9">
        <f t="shared" si="41"/>
        <v>0.20180276364848157</v>
      </c>
      <c r="BB60" s="4">
        <f t="shared" si="96"/>
        <v>989.3239926318272</v>
      </c>
      <c r="BC60" s="6">
        <f t="shared" si="42"/>
        <v>5.4786479852636545E-6</v>
      </c>
      <c r="BD60" s="8">
        <f t="shared" si="43"/>
        <v>27.266225915266013</v>
      </c>
      <c r="BE60" s="7">
        <f t="shared" si="44"/>
        <v>1.3711376952669725E-2</v>
      </c>
      <c r="BF60" s="9">
        <f t="shared" si="45"/>
        <v>0.20228780532885821</v>
      </c>
      <c r="BG60" s="4">
        <f t="shared" si="97"/>
        <v>983.02539634801121</v>
      </c>
      <c r="BH60" s="6">
        <f t="shared" si="46"/>
        <v>5.4660507926960225E-6</v>
      </c>
      <c r="BI60" s="8">
        <f t="shared" si="47"/>
        <v>27.193792058002128</v>
      </c>
      <c r="BJ60" s="7">
        <f t="shared" si="48"/>
        <v>1.367985004013496E-2</v>
      </c>
      <c r="BK60" s="9">
        <f t="shared" si="49"/>
        <v>0.20282662264371309</v>
      </c>
      <c r="BL60" s="4">
        <f t="shared" si="98"/>
        <v>976.12694678358264</v>
      </c>
      <c r="BM60" s="6">
        <f t="shared" si="50"/>
        <v>5.4522538935671663E-6</v>
      </c>
      <c r="BN60" s="8">
        <f t="shared" si="51"/>
        <v>27.114459888011197</v>
      </c>
      <c r="BO60" s="7">
        <f t="shared" si="52"/>
        <v>1.3645320629732515E-2</v>
      </c>
      <c r="BP60" s="9">
        <f t="shared" si="53"/>
        <v>0.20342005788722212</v>
      </c>
      <c r="BQ60" s="4">
        <f t="shared" si="99"/>
        <v>968.62862734528096</v>
      </c>
      <c r="BR60" s="6">
        <f t="shared" si="54"/>
        <v>5.4372572546905628E-6</v>
      </c>
      <c r="BS60" s="8">
        <f t="shared" si="55"/>
        <v>27.028229214470731</v>
      </c>
      <c r="BT60" s="7">
        <f t="shared" si="56"/>
        <v>1.3607788638406688E-2</v>
      </c>
      <c r="BU60" s="9">
        <f t="shared" si="57"/>
        <v>0.20406904781786339</v>
      </c>
      <c r="BV60" s="4">
        <f t="shared" si="100"/>
        <v>960.53017145969454</v>
      </c>
      <c r="BW60" s="6">
        <f t="shared" si="58"/>
        <v>5.4210603429193899E-6</v>
      </c>
      <c r="BX60" s="8">
        <f t="shared" si="59"/>
        <v>26.935096971786486</v>
      </c>
      <c r="BY60" s="7">
        <f t="shared" si="60"/>
        <v>1.3567252731854371E-2</v>
      </c>
      <c r="BZ60" s="9">
        <f t="shared" si="61"/>
        <v>0.20477464795383557</v>
      </c>
      <c r="CA60" s="4">
        <f t="shared" si="101"/>
        <v>951.82793006472696</v>
      </c>
      <c r="CB60" s="6">
        <f t="shared" si="62"/>
        <v>5.4036558601294537E-6</v>
      </c>
      <c r="CC60" s="8">
        <f t="shared" si="63"/>
        <v>26.835021195744361</v>
      </c>
      <c r="CD60" s="7">
        <f t="shared" si="64"/>
        <v>1.3523694645107248E-2</v>
      </c>
      <c r="CE60" s="9">
        <f t="shared" si="65"/>
        <v>0.20553831352571084</v>
      </c>
      <c r="CF60" s="4">
        <f t="shared" si="102"/>
        <v>942.48019842604367</v>
      </c>
      <c r="CG60" s="6">
        <f t="shared" si="66"/>
        <v>5.3849603968520881E-6</v>
      </c>
      <c r="CH60" s="8">
        <f t="shared" si="67"/>
        <v>26.727522281899503</v>
      </c>
      <c r="CI60" s="7">
        <f t="shared" si="68"/>
        <v>1.3476905629826423E-2</v>
      </c>
      <c r="CJ60" s="9">
        <f t="shared" si="69"/>
        <v>0.20636499492267971</v>
      </c>
      <c r="CK60" s="4">
        <f t="shared" si="103"/>
        <v>932.10065012478458</v>
      </c>
      <c r="CL60" s="6">
        <f t="shared" si="70"/>
        <v>5.3642013002495701E-6</v>
      </c>
      <c r="CM60" s="8">
        <f t="shared" si="71"/>
        <v>26.608157476435021</v>
      </c>
      <c r="CN60" s="7">
        <f t="shared" si="72"/>
        <v>1.3424951972741753E-2</v>
      </c>
      <c r="CO60" s="9">
        <f t="shared" si="73"/>
        <v>0.20729075302883343</v>
      </c>
      <c r="CP60" s="4">
        <f t="shared" si="104"/>
        <v>917.9155375158698</v>
      </c>
      <c r="CQ60" s="6">
        <f t="shared" si="74"/>
        <v>5.33583107503174E-6</v>
      </c>
      <c r="CR60" s="8">
        <f t="shared" si="75"/>
        <v>26.445028681432504</v>
      </c>
      <c r="CS60" s="7">
        <f t="shared" si="76"/>
        <v>1.3353949993194954E-2</v>
      </c>
      <c r="CT60" s="9">
        <f t="shared" si="77"/>
        <v>0.20856944669803335</v>
      </c>
      <c r="CU60" s="4">
        <f t="shared" si="105"/>
        <v>885.60668893293303</v>
      </c>
      <c r="CV60" s="6">
        <f t="shared" si="78"/>
        <v>5.2712133778658669E-6</v>
      </c>
      <c r="CW60" s="8">
        <f t="shared" si="79"/>
        <v>26.07347692272873</v>
      </c>
      <c r="CX60" s="7">
        <f t="shared" si="80"/>
        <v>1.3192231699550631E-2</v>
      </c>
      <c r="CY60" s="9">
        <f t="shared" si="81"/>
        <v>0.21154159901059946</v>
      </c>
      <c r="CZ60" s="5">
        <f t="shared" si="106"/>
        <v>789.61855020374583</v>
      </c>
      <c r="DA60" s="6">
        <f t="shared" si="82"/>
        <v>5.0792371004074922E-6</v>
      </c>
      <c r="DB60" s="8">
        <f t="shared" si="83"/>
        <v>24.969613327343076</v>
      </c>
      <c r="DC60" s="7">
        <f t="shared" si="84"/>
        <v>1.271177390900043E-2</v>
      </c>
      <c r="DD60" s="9">
        <f t="shared" si="85"/>
        <v>0.22089348872535775</v>
      </c>
    </row>
    <row r="61" spans="2:108" x14ac:dyDescent="0.25">
      <c r="B61">
        <v>42</v>
      </c>
      <c r="C61">
        <f t="shared" si="86"/>
        <v>4.1059815986500561E-2</v>
      </c>
      <c r="D61" s="4">
        <f t="shared" si="3"/>
        <v>1019.3259360292489</v>
      </c>
      <c r="E61" s="6">
        <f t="shared" si="4"/>
        <v>5.5386518720584986E-6</v>
      </c>
      <c r="F61" s="8">
        <f t="shared" si="5"/>
        <v>27.611248264336361</v>
      </c>
      <c r="G61" s="7">
        <f t="shared" si="1"/>
        <v>1.3861548292876726E-2</v>
      </c>
      <c r="H61" s="9">
        <f t="shared" si="6"/>
        <v>0.19976007412617311</v>
      </c>
      <c r="I61" s="4">
        <f t="shared" si="87"/>
        <v>1019.004488437642</v>
      </c>
      <c r="J61" s="6">
        <f t="shared" si="7"/>
        <v>5.5380089768752846E-6</v>
      </c>
      <c r="K61" s="8">
        <f t="shared" si="8"/>
        <v>27.607551617032883</v>
      </c>
      <c r="L61" s="7">
        <f t="shared" si="9"/>
        <v>1.3859939323251042E-2</v>
      </c>
      <c r="M61" s="9">
        <f t="shared" si="10"/>
        <v>0.19978682197218295</v>
      </c>
      <c r="N61" s="4">
        <f t="shared" si="88"/>
        <v>1018.1018022483985</v>
      </c>
      <c r="O61" s="6">
        <f t="shared" si="11"/>
        <v>5.5362036044967979E-6</v>
      </c>
      <c r="P61" s="8">
        <f t="shared" si="12"/>
        <v>27.597170725856582</v>
      </c>
      <c r="Q61" s="7">
        <f t="shared" si="2"/>
        <v>1.3861548292876726E-2</v>
      </c>
      <c r="R61" s="9">
        <f t="shared" si="13"/>
        <v>0.19986197334468972</v>
      </c>
      <c r="S61" s="4">
        <f t="shared" si="89"/>
        <v>1016.6015208001891</v>
      </c>
      <c r="T61" s="6">
        <f t="shared" si="14"/>
        <v>5.5332030416003788E-6</v>
      </c>
      <c r="U61" s="8">
        <f t="shared" si="15"/>
        <v>27.579917489202174</v>
      </c>
      <c r="V61" s="7">
        <f t="shared" si="16"/>
        <v>1.3847911540056792E-2</v>
      </c>
      <c r="W61" s="9">
        <f t="shared" si="17"/>
        <v>0.19998700148974066</v>
      </c>
      <c r="X61" s="4">
        <f t="shared" si="90"/>
        <v>1014.5020186509869</v>
      </c>
      <c r="Y61" s="6">
        <f t="shared" si="18"/>
        <v>5.5290040373019741E-6</v>
      </c>
      <c r="Z61" s="8">
        <f t="shared" si="19"/>
        <v>27.555773214486351</v>
      </c>
      <c r="AA61" s="7">
        <f t="shared" si="20"/>
        <v>1.3837402719100205E-2</v>
      </c>
      <c r="AB61" s="9">
        <f t="shared" si="21"/>
        <v>0.20016222941987269</v>
      </c>
      <c r="AC61" s="4">
        <f t="shared" si="91"/>
        <v>1011.8025805052885</v>
      </c>
      <c r="AD61" s="6">
        <f t="shared" si="22"/>
        <v>5.5236051610105772E-6</v>
      </c>
      <c r="AE61" s="8">
        <f t="shared" si="23"/>
        <v>27.524729675810818</v>
      </c>
      <c r="AF61" s="7">
        <f t="shared" si="24"/>
        <v>1.3823890986250916E-2</v>
      </c>
      <c r="AG61" s="9">
        <f t="shared" si="25"/>
        <v>0.20038798073454728</v>
      </c>
      <c r="AH61" s="4">
        <f t="shared" si="92"/>
        <v>1008.5032679386314</v>
      </c>
      <c r="AI61" s="6">
        <f t="shared" si="26"/>
        <v>5.5170065358772631E-6</v>
      </c>
      <c r="AJ61" s="8">
        <f t="shared" si="27"/>
        <v>27.486787581294259</v>
      </c>
      <c r="AK61" s="7">
        <f t="shared" si="28"/>
        <v>1.3807376649718327E-2</v>
      </c>
      <c r="AL61" s="9">
        <f t="shared" si="29"/>
        <v>0.20066459144005536</v>
      </c>
      <c r="AM61" s="4">
        <f t="shared" si="93"/>
        <v>1004.6041019038676</v>
      </c>
      <c r="AN61" s="6">
        <f t="shared" si="30"/>
        <v>5.5092082038077365E-6</v>
      </c>
      <c r="AO61" s="8">
        <f t="shared" si="31"/>
        <v>27.441947171894476</v>
      </c>
      <c r="AP61" s="7">
        <f t="shared" si="32"/>
        <v>1.3787859814379575E-2</v>
      </c>
      <c r="AQ61" s="9">
        <f t="shared" si="33"/>
        <v>0.2009924793401322</v>
      </c>
      <c r="AR61" s="4">
        <f t="shared" si="94"/>
        <v>1000.1050863751439</v>
      </c>
      <c r="AS61" s="6">
        <f t="shared" si="34"/>
        <v>5.5002101727502886E-6</v>
      </c>
      <c r="AT61" s="8">
        <f t="shared" si="35"/>
        <v>27.390208493314155</v>
      </c>
      <c r="AU61" s="7">
        <f t="shared" si="36"/>
        <v>1.37653405001268E-2</v>
      </c>
      <c r="AV61" s="9">
        <f t="shared" si="37"/>
        <v>0.20137214367485895</v>
      </c>
      <c r="AW61" s="4">
        <f t="shared" si="95"/>
        <v>995.00622194159098</v>
      </c>
      <c r="AX61" s="6">
        <f t="shared" si="38"/>
        <v>5.4900124438831829E-6</v>
      </c>
      <c r="AY61" s="8">
        <f t="shared" si="39"/>
        <v>27.331571552328295</v>
      </c>
      <c r="AZ61" s="7">
        <f t="shared" si="40"/>
        <v>1.3739818709908827E-2</v>
      </c>
      <c r="BA61" s="9">
        <f t="shared" si="41"/>
        <v>0.20180416590534986</v>
      </c>
      <c r="BB61" s="4">
        <f t="shared" si="96"/>
        <v>989.30750870458053</v>
      </c>
      <c r="BC61" s="6">
        <f t="shared" si="42"/>
        <v>5.4786150174091619E-6</v>
      </c>
      <c r="BD61" s="8">
        <f t="shared" si="43"/>
        <v>27.266036350102674</v>
      </c>
      <c r="BE61" s="7">
        <f t="shared" si="44"/>
        <v>1.3711294444233068E-2</v>
      </c>
      <c r="BF61" s="9">
        <f t="shared" si="45"/>
        <v>0.2022892117203251</v>
      </c>
      <c r="BG61" s="4">
        <f t="shared" si="97"/>
        <v>983.00894664753832</v>
      </c>
      <c r="BH61" s="6">
        <f t="shared" si="46"/>
        <v>5.4660178932950777E-6</v>
      </c>
      <c r="BI61" s="8">
        <f t="shared" si="47"/>
        <v>27.193602886446691</v>
      </c>
      <c r="BJ61" s="7">
        <f t="shared" si="48"/>
        <v>1.3679767703016554E-2</v>
      </c>
      <c r="BK61" s="9">
        <f t="shared" si="49"/>
        <v>0.20282803360157145</v>
      </c>
      <c r="BL61" s="4">
        <f t="shared" si="98"/>
        <v>976.11053468407135</v>
      </c>
      <c r="BM61" s="6">
        <f t="shared" si="50"/>
        <v>5.4522210693681436E-6</v>
      </c>
      <c r="BN61" s="8">
        <f t="shared" si="51"/>
        <v>27.11427114886682</v>
      </c>
      <c r="BO61" s="7">
        <f t="shared" si="52"/>
        <v>1.3645238480821472E-2</v>
      </c>
      <c r="BP61" s="9">
        <f t="shared" si="53"/>
        <v>0.20342147386950923</v>
      </c>
      <c r="BQ61" s="4">
        <f t="shared" si="99"/>
        <v>968.61225288961259</v>
      </c>
      <c r="BR61" s="6">
        <f t="shared" si="54"/>
        <v>5.4372245057792259E-6</v>
      </c>
      <c r="BS61" s="8">
        <f t="shared" si="55"/>
        <v>27.028040908230544</v>
      </c>
      <c r="BT61" s="7">
        <f t="shared" si="56"/>
        <v>1.3607706677917651E-2</v>
      </c>
      <c r="BU61" s="9">
        <f t="shared" si="57"/>
        <v>0.20407046958110786</v>
      </c>
      <c r="BV61" s="4">
        <f t="shared" si="100"/>
        <v>960.51379036070875</v>
      </c>
      <c r="BW61" s="6">
        <f t="shared" si="58"/>
        <v>5.4210275807214179E-6</v>
      </c>
      <c r="BX61" s="8">
        <f t="shared" si="59"/>
        <v>26.934908589148151</v>
      </c>
      <c r="BY61" s="7">
        <f t="shared" si="60"/>
        <v>1.3567170738112958E-2</v>
      </c>
      <c r="BZ61" s="9">
        <f t="shared" si="61"/>
        <v>0.20477608014686929</v>
      </c>
      <c r="CA61" s="4">
        <f t="shared" si="101"/>
        <v>951.81100968618182</v>
      </c>
      <c r="CB61" s="6">
        <f t="shared" si="62"/>
        <v>5.4036220193723648E-6</v>
      </c>
      <c r="CC61" s="8">
        <f t="shared" si="63"/>
        <v>26.83482661139109</v>
      </c>
      <c r="CD61" s="7">
        <f t="shared" si="64"/>
        <v>1.3523609952062893E-2</v>
      </c>
      <c r="CE61" s="9">
        <f t="shared" si="65"/>
        <v>0.20553980392251453</v>
      </c>
      <c r="CF61" s="4">
        <f t="shared" si="102"/>
        <v>942.45790753872814</v>
      </c>
      <c r="CG61" s="6">
        <f t="shared" si="66"/>
        <v>5.3849158150774571E-6</v>
      </c>
      <c r="CH61" s="8">
        <f t="shared" si="67"/>
        <v>26.727265936695375</v>
      </c>
      <c r="CI61" s="7">
        <f t="shared" si="68"/>
        <v>1.3476794055306792E-2</v>
      </c>
      <c r="CJ61" s="9">
        <f t="shared" si="69"/>
        <v>0.20636697420020378</v>
      </c>
      <c r="CK61" s="4">
        <f t="shared" si="103"/>
        <v>932.03962646904824</v>
      </c>
      <c r="CL61" s="6">
        <f t="shared" si="70"/>
        <v>5.3640792529380972E-6</v>
      </c>
      <c r="CM61" s="8">
        <f t="shared" si="71"/>
        <v>26.607455704394056</v>
      </c>
      <c r="CN61" s="7">
        <f t="shared" si="72"/>
        <v>1.3424646525723043E-2</v>
      </c>
      <c r="CO61" s="9">
        <f t="shared" si="73"/>
        <v>0.20729622032553563</v>
      </c>
      <c r="CP61" s="4">
        <f t="shared" si="104"/>
        <v>917.6548948501769</v>
      </c>
      <c r="CQ61" s="6">
        <f t="shared" si="74"/>
        <v>5.3353097897003542E-6</v>
      </c>
      <c r="CR61" s="8">
        <f t="shared" si="75"/>
        <v>26.442031290777031</v>
      </c>
      <c r="CS61" s="7">
        <f t="shared" si="76"/>
        <v>1.3352645375760551E-2</v>
      </c>
      <c r="CT61" s="9">
        <f t="shared" si="77"/>
        <v>0.20859308951517078</v>
      </c>
      <c r="CU61" s="4">
        <f t="shared" si="105"/>
        <v>884.71132026503108</v>
      </c>
      <c r="CV61" s="6">
        <f t="shared" si="78"/>
        <v>5.2694226405300621E-6</v>
      </c>
      <c r="CW61" s="8">
        <f t="shared" si="79"/>
        <v>26.063180183047855</v>
      </c>
      <c r="CX61" s="7">
        <f t="shared" si="80"/>
        <v>1.3187750032778009E-2</v>
      </c>
      <c r="CY61" s="9">
        <f t="shared" si="81"/>
        <v>0.21162517241804207</v>
      </c>
      <c r="CZ61" s="5">
        <f t="shared" si="106"/>
        <v>787.98909606253017</v>
      </c>
      <c r="DA61" s="6">
        <f t="shared" si="82"/>
        <v>5.0759781921250609E-6</v>
      </c>
      <c r="DB61" s="8">
        <f t="shared" si="83"/>
        <v>24.950874604719097</v>
      </c>
      <c r="DC61" s="7">
        <f t="shared" si="84"/>
        <v>1.270361786027549E-2</v>
      </c>
      <c r="DD61" s="9">
        <f t="shared" si="85"/>
        <v>0.22105938518711482</v>
      </c>
    </row>
    <row r="62" spans="2:108" x14ac:dyDescent="0.25">
      <c r="B62">
        <v>43</v>
      </c>
      <c r="C62">
        <f t="shared" si="86"/>
        <v>4.2037430652845813E-2</v>
      </c>
      <c r="D62" s="4">
        <f t="shared" si="3"/>
        <v>1019.3095245390668</v>
      </c>
      <c r="E62" s="6">
        <f t="shared" si="4"/>
        <v>5.5386190490781343E-6</v>
      </c>
      <c r="F62" s="8">
        <f t="shared" si="5"/>
        <v>27.61105953219927</v>
      </c>
      <c r="G62" s="7">
        <f t="shared" si="1"/>
        <v>1.3861466147015614E-2</v>
      </c>
      <c r="H62" s="9">
        <f t="shared" si="6"/>
        <v>0.19976143956257192</v>
      </c>
      <c r="I62" s="4">
        <f t="shared" si="87"/>
        <v>1018.9879474740161</v>
      </c>
      <c r="J62" s="6">
        <f t="shared" si="7"/>
        <v>5.5379758949480325E-6</v>
      </c>
      <c r="K62" s="8">
        <f t="shared" si="8"/>
        <v>27.607361395951184</v>
      </c>
      <c r="L62" s="7">
        <f t="shared" si="9"/>
        <v>1.3859856529325225E-2</v>
      </c>
      <c r="M62" s="9">
        <f t="shared" si="10"/>
        <v>0.19978819854942406</v>
      </c>
      <c r="N62" s="4">
        <f t="shared" si="88"/>
        <v>1018.0851934671717</v>
      </c>
      <c r="O62" s="6">
        <f t="shared" si="11"/>
        <v>5.5361703869343447E-6</v>
      </c>
      <c r="P62" s="8">
        <f t="shared" si="12"/>
        <v>27.596979724872476</v>
      </c>
      <c r="Q62" s="7">
        <f t="shared" si="2"/>
        <v>1.3861466147015614E-2</v>
      </c>
      <c r="R62" s="9">
        <f t="shared" si="13"/>
        <v>0.19986335660597321</v>
      </c>
      <c r="S62" s="4">
        <f t="shared" si="89"/>
        <v>1016.5848983429823</v>
      </c>
      <c r="T62" s="6">
        <f t="shared" si="14"/>
        <v>5.5331697966859645E-6</v>
      </c>
      <c r="U62" s="8">
        <f t="shared" si="15"/>
        <v>27.579726330944297</v>
      </c>
      <c r="V62" s="7">
        <f t="shared" si="16"/>
        <v>1.3847828338224056E-2</v>
      </c>
      <c r="W62" s="9">
        <f t="shared" si="17"/>
        <v>0.19998838762266832</v>
      </c>
      <c r="X62" s="4">
        <f t="shared" si="90"/>
        <v>1014.4854039776174</v>
      </c>
      <c r="Y62" s="6">
        <f t="shared" si="18"/>
        <v>5.5289708079552351E-6</v>
      </c>
      <c r="Z62" s="8">
        <f t="shared" si="19"/>
        <v>27.555582145742598</v>
      </c>
      <c r="AA62" s="7">
        <f t="shared" si="20"/>
        <v>1.3837319556228588E-2</v>
      </c>
      <c r="AB62" s="9">
        <f t="shared" si="21"/>
        <v>0.20016361733269267</v>
      </c>
      <c r="AC62" s="4">
        <f t="shared" si="91"/>
        <v>1011.7859791881775</v>
      </c>
      <c r="AD62" s="6">
        <f t="shared" si="22"/>
        <v>5.5235719583763554E-6</v>
      </c>
      <c r="AE62" s="8">
        <f t="shared" si="23"/>
        <v>27.52453876066404</v>
      </c>
      <c r="AF62" s="7">
        <f t="shared" si="24"/>
        <v>1.3823807890232543E-2</v>
      </c>
      <c r="AG62" s="9">
        <f t="shared" si="25"/>
        <v>0.20038937066158974</v>
      </c>
      <c r="AH62" s="4">
        <f t="shared" si="92"/>
        <v>1008.4866831474187</v>
      </c>
      <c r="AI62" s="6">
        <f t="shared" si="26"/>
        <v>5.5169733662948378E-6</v>
      </c>
      <c r="AJ62" s="8">
        <f t="shared" si="27"/>
        <v>27.486596856195312</v>
      </c>
      <c r="AK62" s="7">
        <f t="shared" si="28"/>
        <v>1.3807293636418475E-2</v>
      </c>
      <c r="AL62" s="9">
        <f t="shared" si="29"/>
        <v>0.20066598381955791</v>
      </c>
      <c r="AM62" s="4">
        <f t="shared" si="93"/>
        <v>1004.5875370229911</v>
      </c>
      <c r="AN62" s="6">
        <f t="shared" si="30"/>
        <v>5.5091750740459826E-6</v>
      </c>
      <c r="AO62" s="8">
        <f t="shared" si="31"/>
        <v>27.441756675764395</v>
      </c>
      <c r="AP62" s="7">
        <f t="shared" si="32"/>
        <v>1.3787776900738661E-2</v>
      </c>
      <c r="AQ62" s="9">
        <f t="shared" si="33"/>
        <v>0.20099387459663645</v>
      </c>
      <c r="AR62" s="4">
        <f t="shared" si="94"/>
        <v>1000.0885449530424</v>
      </c>
      <c r="AS62" s="6">
        <f t="shared" si="34"/>
        <v>5.5001770899060852E-6</v>
      </c>
      <c r="AT62" s="8">
        <f t="shared" si="35"/>
        <v>27.390018266959984</v>
      </c>
      <c r="AU62" s="7">
        <f t="shared" si="36"/>
        <v>1.3765257703906134E-2</v>
      </c>
      <c r="AV62" s="9">
        <f t="shared" si="37"/>
        <v>0.20137354222408041</v>
      </c>
      <c r="AW62" s="4">
        <f t="shared" si="95"/>
        <v>994.98970756604945</v>
      </c>
      <c r="AX62" s="6">
        <f t="shared" si="38"/>
        <v>5.4899794151320994E-6</v>
      </c>
      <c r="AY62" s="8">
        <f t="shared" si="39"/>
        <v>27.331381637009567</v>
      </c>
      <c r="AZ62" s="7">
        <f t="shared" si="40"/>
        <v>1.3739736049066665E-2</v>
      </c>
      <c r="BA62" s="9">
        <f t="shared" si="41"/>
        <v>0.2018055681653233</v>
      </c>
      <c r="BB62" s="4">
        <f t="shared" si="96"/>
        <v>989.29102497033148</v>
      </c>
      <c r="BC62" s="6">
        <f t="shared" si="42"/>
        <v>5.4785820499406631E-6</v>
      </c>
      <c r="BD62" s="8">
        <f t="shared" si="43"/>
        <v>27.265846787158811</v>
      </c>
      <c r="BE62" s="7">
        <f t="shared" si="44"/>
        <v>1.3711211936762431E-2</v>
      </c>
      <c r="BF62" s="9">
        <f t="shared" si="45"/>
        <v>0.20229061811488108</v>
      </c>
      <c r="BG62" s="4">
        <f t="shared" si="97"/>
        <v>982.99249713708116</v>
      </c>
      <c r="BH62" s="6">
        <f t="shared" si="46"/>
        <v>5.4659849942741628E-6</v>
      </c>
      <c r="BI62" s="8">
        <f t="shared" si="47"/>
        <v>27.193413717076432</v>
      </c>
      <c r="BJ62" s="7">
        <f t="shared" si="48"/>
        <v>1.3679685366849246E-2</v>
      </c>
      <c r="BK62" s="9">
        <f t="shared" si="49"/>
        <v>0.20282944456276178</v>
      </c>
      <c r="BL62" s="4">
        <f t="shared" si="98"/>
        <v>976.09412272681686</v>
      </c>
      <c r="BM62" s="6">
        <f t="shared" si="50"/>
        <v>5.452188245453635E-6</v>
      </c>
      <c r="BN62" s="8">
        <f t="shared" si="51"/>
        <v>27.114082411358392</v>
      </c>
      <c r="BO62" s="7">
        <f t="shared" si="52"/>
        <v>1.3645156332622482E-2</v>
      </c>
      <c r="BP62" s="9">
        <f t="shared" si="53"/>
        <v>0.20342288985923576</v>
      </c>
      <c r="BQ62" s="4">
        <f t="shared" si="99"/>
        <v>968.59587794448737</v>
      </c>
      <c r="BR62" s="6">
        <f t="shared" si="54"/>
        <v>5.4371917558889755E-6</v>
      </c>
      <c r="BS62" s="8">
        <f t="shared" si="55"/>
        <v>27.027852596361605</v>
      </c>
      <c r="BT62" s="7">
        <f t="shared" si="56"/>
        <v>1.3607624714978695E-2</v>
      </c>
      <c r="BU62" s="9">
        <f t="shared" si="57"/>
        <v>0.20407189140666299</v>
      </c>
      <c r="BV62" s="4">
        <f t="shared" si="100"/>
        <v>960.49740184716552</v>
      </c>
      <c r="BW62" s="6">
        <f t="shared" si="58"/>
        <v>5.4209948036943317E-6</v>
      </c>
      <c r="BX62" s="8">
        <f t="shared" si="59"/>
        <v>26.934720121242403</v>
      </c>
      <c r="BY62" s="7">
        <f t="shared" si="60"/>
        <v>1.3567088707258819E-2</v>
      </c>
      <c r="BZ62" s="9">
        <f t="shared" si="61"/>
        <v>0.20477751300820213</v>
      </c>
      <c r="CA62" s="4">
        <f t="shared" si="101"/>
        <v>951.79402119160591</v>
      </c>
      <c r="CB62" s="6">
        <f t="shared" si="62"/>
        <v>5.403588042383212E-6</v>
      </c>
      <c r="CC62" s="8">
        <f t="shared" si="63"/>
        <v>26.83463124370347</v>
      </c>
      <c r="CD62" s="7">
        <f t="shared" si="64"/>
        <v>1.3523524918071435E-2</v>
      </c>
      <c r="CE62" s="9">
        <f t="shared" si="65"/>
        <v>0.20554130034092408</v>
      </c>
      <c r="CF62" s="4">
        <f t="shared" si="102"/>
        <v>942.43514697773116</v>
      </c>
      <c r="CG62" s="6">
        <f t="shared" si="66"/>
        <v>5.3848702939554629E-6</v>
      </c>
      <c r="CH62" s="8">
        <f t="shared" si="67"/>
        <v>26.727004190243907</v>
      </c>
      <c r="CI62" s="7">
        <f t="shared" si="68"/>
        <v>1.3476680129888579E-2</v>
      </c>
      <c r="CJ62" s="9">
        <f t="shared" si="69"/>
        <v>0.20636899522069724</v>
      </c>
      <c r="CK62" s="4">
        <f t="shared" si="103"/>
        <v>931.9763406405616</v>
      </c>
      <c r="CL62" s="6">
        <f t="shared" si="70"/>
        <v>5.3639526812811239E-6</v>
      </c>
      <c r="CM62" s="8">
        <f t="shared" si="71"/>
        <v>26.606727917366456</v>
      </c>
      <c r="CN62" s="7">
        <f t="shared" si="72"/>
        <v>1.3424329755654047E-2</v>
      </c>
      <c r="CO62" s="9">
        <f t="shared" si="73"/>
        <v>0.20730189060188423</v>
      </c>
      <c r="CP62" s="4">
        <f t="shared" si="104"/>
        <v>917.38810618927926</v>
      </c>
      <c r="CQ62" s="6">
        <f t="shared" si="74"/>
        <v>5.3347762123785583E-6</v>
      </c>
      <c r="CR62" s="8">
        <f t="shared" si="75"/>
        <v>26.43896322117671</v>
      </c>
      <c r="CS62" s="7">
        <f t="shared" si="76"/>
        <v>1.3351309995241084E-2</v>
      </c>
      <c r="CT62" s="9">
        <f t="shared" si="77"/>
        <v>0.20861729538555324</v>
      </c>
      <c r="CU62" s="4">
        <f t="shared" si="105"/>
        <v>883.81423363040153</v>
      </c>
      <c r="CV62" s="6">
        <f t="shared" si="78"/>
        <v>5.2676284672608034E-6</v>
      </c>
      <c r="CW62" s="8">
        <f t="shared" si="79"/>
        <v>26.052863686749618</v>
      </c>
      <c r="CX62" s="7">
        <f t="shared" si="80"/>
        <v>1.3183259766916909E-2</v>
      </c>
      <c r="CY62" s="9">
        <f t="shared" si="81"/>
        <v>0.21170897243074377</v>
      </c>
      <c r="CZ62" s="5">
        <f t="shared" si="106"/>
        <v>786.38677307764829</v>
      </c>
      <c r="DA62" s="6">
        <f t="shared" si="82"/>
        <v>5.0727735461552971E-6</v>
      </c>
      <c r="DB62" s="8">
        <f t="shared" si="83"/>
        <v>24.932447890392954</v>
      </c>
      <c r="DC62" s="7">
        <f t="shared" si="84"/>
        <v>1.2695597613490249E-2</v>
      </c>
      <c r="DD62" s="9">
        <f t="shared" si="85"/>
        <v>0.221222762572194</v>
      </c>
    </row>
    <row r="63" spans="2:108" x14ac:dyDescent="0.25">
      <c r="B63">
        <v>44</v>
      </c>
      <c r="C63">
        <f t="shared" si="86"/>
        <v>4.3015045319191064E-2</v>
      </c>
      <c r="D63" s="4">
        <f t="shared" si="3"/>
        <v>1019.2931064386249</v>
      </c>
      <c r="E63" s="6">
        <f t="shared" si="4"/>
        <v>5.5385862128772502E-6</v>
      </c>
      <c r="F63" s="8">
        <f t="shared" si="5"/>
        <v>27.610870724044187</v>
      </c>
      <c r="G63" s="7">
        <f t="shared" si="1"/>
        <v>1.3861383968067591E-2</v>
      </c>
      <c r="H63" s="9">
        <f t="shared" si="6"/>
        <v>0.19976280556762252</v>
      </c>
      <c r="I63" s="4">
        <f t="shared" si="87"/>
        <v>1018.9714060957267</v>
      </c>
      <c r="J63" s="6">
        <f t="shared" si="7"/>
        <v>5.5379428121914538E-6</v>
      </c>
      <c r="K63" s="8">
        <f t="shared" si="8"/>
        <v>27.607171170100855</v>
      </c>
      <c r="L63" s="7">
        <f t="shared" si="9"/>
        <v>1.3859773733323857E-2</v>
      </c>
      <c r="M63" s="9">
        <f t="shared" si="10"/>
        <v>0.19978957518014512</v>
      </c>
      <c r="N63" s="4">
        <f t="shared" si="88"/>
        <v>1018.0685852531824</v>
      </c>
      <c r="O63" s="6">
        <f t="shared" si="11"/>
        <v>5.5361371705063649E-6</v>
      </c>
      <c r="P63" s="8">
        <f t="shared" si="12"/>
        <v>27.596788730411596</v>
      </c>
      <c r="Q63" s="7">
        <f t="shared" si="2"/>
        <v>1.3861383968067591E-2</v>
      </c>
      <c r="R63" s="9">
        <f t="shared" si="13"/>
        <v>0.19986473983916087</v>
      </c>
      <c r="S63" s="4">
        <f t="shared" si="89"/>
        <v>1016.5682762681739</v>
      </c>
      <c r="T63" s="6">
        <f t="shared" si="14"/>
        <v>5.5331365525363481E-6</v>
      </c>
      <c r="U63" s="8">
        <f t="shared" si="15"/>
        <v>27.579535177083997</v>
      </c>
      <c r="V63" s="7">
        <f t="shared" si="16"/>
        <v>1.3847745138305374E-2</v>
      </c>
      <c r="W63" s="9">
        <f t="shared" si="17"/>
        <v>0.19998977374292248</v>
      </c>
      <c r="X63" s="4">
        <f t="shared" si="90"/>
        <v>1014.4687895178297</v>
      </c>
      <c r="Y63" s="6">
        <f t="shared" si="18"/>
        <v>5.5289375790356598E-6</v>
      </c>
      <c r="Z63" s="8">
        <f t="shared" si="19"/>
        <v>27.555391079455042</v>
      </c>
      <c r="AA63" s="7">
        <f t="shared" si="20"/>
        <v>1.3837236394426031E-2</v>
      </c>
      <c r="AB63" s="9">
        <f t="shared" si="21"/>
        <v>0.20016500524691816</v>
      </c>
      <c r="AC63" s="4">
        <f t="shared" si="91"/>
        <v>1011.7693780560477</v>
      </c>
      <c r="AD63" s="6">
        <f t="shared" si="22"/>
        <v>5.5235387561120956E-6</v>
      </c>
      <c r="AE63" s="8">
        <f t="shared" si="23"/>
        <v>27.524347847644549</v>
      </c>
      <c r="AF63" s="7">
        <f t="shared" si="24"/>
        <v>1.3823724795140074E-2</v>
      </c>
      <c r="AG63" s="9">
        <f t="shared" si="25"/>
        <v>0.20039076059242619</v>
      </c>
      <c r="AH63" s="4">
        <f t="shared" si="92"/>
        <v>1008.4700985446566</v>
      </c>
      <c r="AI63" s="6">
        <f t="shared" si="26"/>
        <v>5.5169401970893134E-6</v>
      </c>
      <c r="AJ63" s="8">
        <f t="shared" si="27"/>
        <v>27.48640613326355</v>
      </c>
      <c r="AK63" s="7">
        <f t="shared" si="28"/>
        <v>1.3807210624061888E-2</v>
      </c>
      <c r="AL63" s="9">
        <f t="shared" si="29"/>
        <v>0.20066737620256184</v>
      </c>
      <c r="AM63" s="4">
        <f t="shared" si="93"/>
        <v>1004.5709723334722</v>
      </c>
      <c r="AN63" s="6">
        <f t="shared" si="30"/>
        <v>5.5091419446669453E-6</v>
      </c>
      <c r="AO63" s="8">
        <f t="shared" si="31"/>
        <v>27.441566181834929</v>
      </c>
      <c r="AP63" s="7">
        <f t="shared" si="32"/>
        <v>1.3787693988055566E-2</v>
      </c>
      <c r="AQ63" s="9">
        <f t="shared" si="33"/>
        <v>0.20099526985639374</v>
      </c>
      <c r="AR63" s="4">
        <f t="shared" si="94"/>
        <v>1000.072003723402</v>
      </c>
      <c r="AS63" s="6">
        <f t="shared" si="34"/>
        <v>5.5001440074468041E-6</v>
      </c>
      <c r="AT63" s="8">
        <f t="shared" si="35"/>
        <v>27.389828042819122</v>
      </c>
      <c r="AU63" s="7">
        <f t="shared" si="36"/>
        <v>1.3765174908648809E-2</v>
      </c>
      <c r="AV63" s="9">
        <f t="shared" si="37"/>
        <v>0.20137494077645549</v>
      </c>
      <c r="AW63" s="4">
        <f t="shared" si="95"/>
        <v>994.97319338343652</v>
      </c>
      <c r="AX63" s="6">
        <f t="shared" si="38"/>
        <v>5.4899463867668741E-6</v>
      </c>
      <c r="AY63" s="8">
        <f t="shared" si="39"/>
        <v>27.331191723909519</v>
      </c>
      <c r="AZ63" s="7">
        <f t="shared" si="40"/>
        <v>1.3739653389190186E-2</v>
      </c>
      <c r="BA63" s="9">
        <f t="shared" si="41"/>
        <v>0.20180697042840223</v>
      </c>
      <c r="BB63" s="4">
        <f t="shared" si="96"/>
        <v>989.27454142903412</v>
      </c>
      <c r="BC63" s="6">
        <f t="shared" si="42"/>
        <v>5.4785490828580682E-6</v>
      </c>
      <c r="BD63" s="8">
        <f t="shared" si="43"/>
        <v>27.265657226433891</v>
      </c>
      <c r="BE63" s="7">
        <f t="shared" si="44"/>
        <v>1.3711129430257596E-2</v>
      </c>
      <c r="BF63" s="9">
        <f t="shared" si="45"/>
        <v>0.20229202451252981</v>
      </c>
      <c r="BG63" s="4">
        <f t="shared" si="97"/>
        <v>982.97604781599182</v>
      </c>
      <c r="BH63" s="6">
        <f t="shared" si="46"/>
        <v>5.4659520956319842E-6</v>
      </c>
      <c r="BI63" s="8">
        <f t="shared" si="47"/>
        <v>27.193224549883904</v>
      </c>
      <c r="BJ63" s="7">
        <f t="shared" si="48"/>
        <v>1.3679603031629798E-2</v>
      </c>
      <c r="BK63" s="9">
        <f t="shared" si="49"/>
        <v>0.20283085552733934</v>
      </c>
      <c r="BL63" s="4">
        <f t="shared" si="98"/>
        <v>976.07771090344193</v>
      </c>
      <c r="BM63" s="6">
        <f t="shared" si="50"/>
        <v>5.4521554218068845E-6</v>
      </c>
      <c r="BN63" s="8">
        <f t="shared" si="51"/>
        <v>27.113893675389583</v>
      </c>
      <c r="BO63" s="7">
        <f t="shared" si="52"/>
        <v>1.3645074185093609E-2</v>
      </c>
      <c r="BP63" s="9">
        <f t="shared" si="53"/>
        <v>0.20342430585712434</v>
      </c>
      <c r="BQ63" s="4">
        <f t="shared" si="99"/>
        <v>968.579502420072</v>
      </c>
      <c r="BR63" s="6">
        <f t="shared" si="54"/>
        <v>5.437159004840145E-6</v>
      </c>
      <c r="BS63" s="8">
        <f t="shared" si="55"/>
        <v>27.027664277830826</v>
      </c>
      <c r="BT63" s="7">
        <f t="shared" si="56"/>
        <v>1.3607542749140165E-2</v>
      </c>
      <c r="BU63" s="9">
        <f t="shared" si="57"/>
        <v>0.20407331330233136</v>
      </c>
      <c r="BV63" s="4">
        <f t="shared" si="100"/>
        <v>960.48100515452904</v>
      </c>
      <c r="BW63" s="6">
        <f t="shared" si="58"/>
        <v>5.4209620103090581E-6</v>
      </c>
      <c r="BX63" s="8">
        <f t="shared" si="59"/>
        <v>26.934531559277083</v>
      </c>
      <c r="BY63" s="7">
        <f t="shared" si="60"/>
        <v>1.3567006635465147E-2</v>
      </c>
      <c r="BZ63" s="9">
        <f t="shared" si="61"/>
        <v>0.20477894660470711</v>
      </c>
      <c r="CA63" s="4">
        <f t="shared" si="101"/>
        <v>951.77695974842857</v>
      </c>
      <c r="CB63" s="6">
        <f t="shared" si="62"/>
        <v>5.4035539194968573E-6</v>
      </c>
      <c r="CC63" s="8">
        <f t="shared" si="63"/>
        <v>26.834435037106928</v>
      </c>
      <c r="CD63" s="7">
        <f t="shared" si="64"/>
        <v>1.3523439518943988E-2</v>
      </c>
      <c r="CE63" s="9">
        <f t="shared" si="65"/>
        <v>0.20554280320688467</v>
      </c>
      <c r="CF63" s="4">
        <f t="shared" si="102"/>
        <v>942.41189701205133</v>
      </c>
      <c r="CG63" s="6">
        <f t="shared" si="66"/>
        <v>5.3848237940241034E-6</v>
      </c>
      <c r="CH63" s="8">
        <f t="shared" si="67"/>
        <v>26.726736815638588</v>
      </c>
      <c r="CI63" s="7">
        <f t="shared" si="68"/>
        <v>1.3476563754810482E-2</v>
      </c>
      <c r="CJ63" s="9">
        <f t="shared" si="69"/>
        <v>0.20637105973867517</v>
      </c>
      <c r="CK63" s="4">
        <f t="shared" si="103"/>
        <v>931.91076225572101</v>
      </c>
      <c r="CL63" s="6">
        <f t="shared" si="70"/>
        <v>5.3638215245114427E-6</v>
      </c>
      <c r="CM63" s="8">
        <f t="shared" si="71"/>
        <v>26.605973765940789</v>
      </c>
      <c r="CN63" s="7">
        <f t="shared" si="72"/>
        <v>1.3424001510453074E-2</v>
      </c>
      <c r="CO63" s="9">
        <f t="shared" si="73"/>
        <v>0.20730776661370459</v>
      </c>
      <c r="CP63" s="4">
        <f t="shared" si="104"/>
        <v>917.11528383805569</v>
      </c>
      <c r="CQ63" s="6">
        <f t="shared" si="74"/>
        <v>5.334230567676112E-6</v>
      </c>
      <c r="CR63" s="8">
        <f t="shared" si="75"/>
        <v>26.43582576413764</v>
      </c>
      <c r="CS63" s="7">
        <f t="shared" si="76"/>
        <v>1.3349944413765948E-2</v>
      </c>
      <c r="CT63" s="9">
        <f t="shared" si="77"/>
        <v>0.20864205450629034</v>
      </c>
      <c r="CU63" s="4">
        <f t="shared" si="105"/>
        <v>882.9157691349277</v>
      </c>
      <c r="CV63" s="6">
        <f t="shared" si="78"/>
        <v>5.2658315382698557E-6</v>
      </c>
      <c r="CW63" s="8">
        <f t="shared" si="79"/>
        <v>26.042531345051668</v>
      </c>
      <c r="CX63" s="7">
        <f t="shared" si="80"/>
        <v>1.3178762604328926E-2</v>
      </c>
      <c r="CY63" s="9">
        <f t="shared" si="81"/>
        <v>0.21179296770043141</v>
      </c>
      <c r="CZ63" s="5">
        <f t="shared" si="106"/>
        <v>784.81065910686073</v>
      </c>
      <c r="DA63" s="6">
        <f t="shared" si="82"/>
        <v>5.0696213182137218E-6</v>
      </c>
      <c r="DB63" s="8">
        <f t="shared" si="83"/>
        <v>24.914322579728896</v>
      </c>
      <c r="DC63" s="7">
        <f t="shared" si="84"/>
        <v>1.2687708552965839E-2</v>
      </c>
      <c r="DD63" s="9">
        <f t="shared" si="85"/>
        <v>0.22138370338383961</v>
      </c>
    </row>
    <row r="64" spans="2:108" x14ac:dyDescent="0.25">
      <c r="B64">
        <v>45</v>
      </c>
      <c r="C64">
        <f t="shared" si="86"/>
        <v>4.3992659985536316E-2</v>
      </c>
      <c r="D64" s="4">
        <f t="shared" si="3"/>
        <v>1019.2766820442389</v>
      </c>
      <c r="E64" s="6">
        <f t="shared" si="4"/>
        <v>5.5385533640884781E-6</v>
      </c>
      <c r="F64" s="8">
        <f t="shared" si="5"/>
        <v>27.610681843508747</v>
      </c>
      <c r="G64" s="7">
        <f t="shared" si="1"/>
        <v>1.3861301757615942E-2</v>
      </c>
      <c r="H64" s="9">
        <f t="shared" si="6"/>
        <v>0.19976417211502945</v>
      </c>
      <c r="I64" s="4">
        <f t="shared" si="87"/>
        <v>1018.9548642802936</v>
      </c>
      <c r="J64" s="6">
        <f t="shared" si="7"/>
        <v>5.5379097285605872E-6</v>
      </c>
      <c r="K64" s="8">
        <f t="shared" si="8"/>
        <v>27.606980939223376</v>
      </c>
      <c r="L64" s="7">
        <f t="shared" si="9"/>
        <v>1.3859690935134414E-2</v>
      </c>
      <c r="M64" s="9">
        <f t="shared" si="10"/>
        <v>0.1997909518662189</v>
      </c>
      <c r="N64" s="4">
        <f t="shared" si="88"/>
        <v>1018.0519775930187</v>
      </c>
      <c r="O64" s="6">
        <f t="shared" si="11"/>
        <v>5.5361039551860375E-6</v>
      </c>
      <c r="P64" s="8">
        <f t="shared" si="12"/>
        <v>27.596597742319716</v>
      </c>
      <c r="Q64" s="7">
        <f t="shared" si="2"/>
        <v>1.3861301757615942E-2</v>
      </c>
      <c r="R64" s="9">
        <f t="shared" si="13"/>
        <v>0.1998661230453681</v>
      </c>
      <c r="S64" s="4">
        <f t="shared" si="89"/>
        <v>1016.5516545752032</v>
      </c>
      <c r="T64" s="6">
        <f t="shared" si="14"/>
        <v>5.5331033091504073E-6</v>
      </c>
      <c r="U64" s="8">
        <f t="shared" si="15"/>
        <v>27.579344027614837</v>
      </c>
      <c r="V64" s="7">
        <f t="shared" si="16"/>
        <v>1.3847661940297937E-2</v>
      </c>
      <c r="W64" s="9">
        <f t="shared" si="17"/>
        <v>0.19999115985054891</v>
      </c>
      <c r="X64" s="4">
        <f t="shared" si="90"/>
        <v>1014.4521752732202</v>
      </c>
      <c r="Y64" s="6">
        <f t="shared" si="18"/>
        <v>5.5289043505464409E-6</v>
      </c>
      <c r="Z64" s="8">
        <f t="shared" si="19"/>
        <v>27.555200015642029</v>
      </c>
      <c r="AA64" s="7">
        <f t="shared" si="20"/>
        <v>1.3837153233700526E-2</v>
      </c>
      <c r="AB64" s="9">
        <f t="shared" si="21"/>
        <v>0.2001663931624155</v>
      </c>
      <c r="AC64" s="4">
        <f t="shared" si="91"/>
        <v>1011.7527771093055</v>
      </c>
      <c r="AD64" s="6">
        <f t="shared" si="22"/>
        <v>5.5235055542186118E-6</v>
      </c>
      <c r="AE64" s="8">
        <f t="shared" si="23"/>
        <v>27.524156936757013</v>
      </c>
      <c r="AF64" s="7">
        <f t="shared" si="24"/>
        <v>1.3823641700975541E-2</v>
      </c>
      <c r="AG64" s="9">
        <f t="shared" si="25"/>
        <v>0.20039215052702244</v>
      </c>
      <c r="AH64" s="4">
        <f t="shared" si="92"/>
        <v>1008.4535141303426</v>
      </c>
      <c r="AI64" s="6">
        <f t="shared" si="26"/>
        <v>5.5169070282606856E-6</v>
      </c>
      <c r="AJ64" s="8">
        <f t="shared" si="27"/>
        <v>27.48621541249894</v>
      </c>
      <c r="AK64" s="7">
        <f t="shared" si="28"/>
        <v>1.3807127612648558E-2</v>
      </c>
      <c r="AL64" s="9">
        <f t="shared" si="29"/>
        <v>0.20066876858906713</v>
      </c>
      <c r="AM64" s="4">
        <f t="shared" si="93"/>
        <v>1004.5544078352876</v>
      </c>
      <c r="AN64" s="6">
        <f t="shared" si="30"/>
        <v>5.5091088156705755E-6</v>
      </c>
      <c r="AO64" s="8">
        <f t="shared" si="31"/>
        <v>27.441375690105808</v>
      </c>
      <c r="AP64" s="7">
        <f t="shared" si="32"/>
        <v>1.378761107633017E-2</v>
      </c>
      <c r="AQ64" s="9">
        <f t="shared" si="33"/>
        <v>0.20099666511940578</v>
      </c>
      <c r="AR64" s="4">
        <f t="shared" si="94"/>
        <v>1000.0554626862129</v>
      </c>
      <c r="AS64" s="6">
        <f t="shared" si="34"/>
        <v>5.5001109253724266E-6</v>
      </c>
      <c r="AT64" s="8">
        <f t="shared" si="35"/>
        <v>27.389637820891448</v>
      </c>
      <c r="AU64" s="7">
        <f t="shared" si="36"/>
        <v>1.3765092114354782E-2</v>
      </c>
      <c r="AV64" s="9">
        <f t="shared" si="37"/>
        <v>0.20137633933198476</v>
      </c>
      <c r="AW64" s="4">
        <f t="shared" si="95"/>
        <v>994.95667939374403</v>
      </c>
      <c r="AX64" s="6">
        <f t="shared" si="38"/>
        <v>5.4899133587874892E-6</v>
      </c>
      <c r="AY64" s="8">
        <f t="shared" si="39"/>
        <v>27.331001813028056</v>
      </c>
      <c r="AZ64" s="7">
        <f t="shared" si="40"/>
        <v>1.3739570730279345E-2</v>
      </c>
      <c r="BA64" s="9">
        <f t="shared" si="41"/>
        <v>0.20180837269458704</v>
      </c>
      <c r="BB64" s="4">
        <f t="shared" si="96"/>
        <v>989.25805808063399</v>
      </c>
      <c r="BC64" s="6">
        <f t="shared" si="42"/>
        <v>5.478516116161268E-6</v>
      </c>
      <c r="BD64" s="8">
        <f t="shared" si="43"/>
        <v>27.26546766792729</v>
      </c>
      <c r="BE64" s="7">
        <f t="shared" si="44"/>
        <v>1.3711046924718286E-2</v>
      </c>
      <c r="BF64" s="9">
        <f t="shared" si="45"/>
        <v>0.20229343091327565</v>
      </c>
      <c r="BG64" s="4">
        <f t="shared" si="97"/>
        <v>982.95959868351963</v>
      </c>
      <c r="BH64" s="6">
        <f t="shared" si="46"/>
        <v>5.4659191973670394E-6</v>
      </c>
      <c r="BI64" s="8">
        <f t="shared" si="47"/>
        <v>27.193035384860472</v>
      </c>
      <c r="BJ64" s="7">
        <f t="shared" si="48"/>
        <v>1.3679520697354451E-2</v>
      </c>
      <c r="BK64" s="9">
        <f t="shared" si="49"/>
        <v>0.20283226649536831</v>
      </c>
      <c r="BL64" s="4">
        <f t="shared" si="98"/>
        <v>976.06129920451008</v>
      </c>
      <c r="BM64" s="6">
        <f t="shared" si="50"/>
        <v>5.4521225984090202E-6</v>
      </c>
      <c r="BN64" s="8">
        <f t="shared" si="51"/>
        <v>27.113704940851864</v>
      </c>
      <c r="BO64" s="7">
        <f t="shared" si="52"/>
        <v>1.3644992038187621E-2</v>
      </c>
      <c r="BP64" s="9">
        <f t="shared" si="53"/>
        <v>0.20342572186398916</v>
      </c>
      <c r="BQ64" s="4">
        <f t="shared" si="99"/>
        <v>968.56312621804307</v>
      </c>
      <c r="BR64" s="6">
        <f t="shared" si="54"/>
        <v>5.4371262524360864E-6</v>
      </c>
      <c r="BS64" s="8">
        <f t="shared" si="55"/>
        <v>27.027475951507494</v>
      </c>
      <c r="BT64" s="7">
        <f t="shared" si="56"/>
        <v>1.3607460779909918E-2</v>
      </c>
      <c r="BU64" s="9">
        <f t="shared" si="57"/>
        <v>0.20407473527665312</v>
      </c>
      <c r="BV64" s="4">
        <f t="shared" si="100"/>
        <v>960.46459946979871</v>
      </c>
      <c r="BW64" s="6">
        <f t="shared" si="58"/>
        <v>5.4209291989395979E-6</v>
      </c>
      <c r="BX64" s="8">
        <f t="shared" si="59"/>
        <v>26.934342893902684</v>
      </c>
      <c r="BY64" s="7">
        <f t="shared" si="60"/>
        <v>1.3566924518662569E-2</v>
      </c>
      <c r="BZ64" s="9">
        <f t="shared" si="61"/>
        <v>0.20478038100749846</v>
      </c>
      <c r="CA64" s="4">
        <f t="shared" si="101"/>
        <v>951.75982036866026</v>
      </c>
      <c r="CB64" s="6">
        <f t="shared" si="62"/>
        <v>5.4035196407373211E-6</v>
      </c>
      <c r="CC64" s="8">
        <f t="shared" si="63"/>
        <v>26.834237934239592</v>
      </c>
      <c r="CD64" s="7">
        <f t="shared" si="64"/>
        <v>1.3523353729713739E-2</v>
      </c>
      <c r="CE64" s="9">
        <f t="shared" si="65"/>
        <v>0.20554431296005787</v>
      </c>
      <c r="CF64" s="4">
        <f t="shared" si="102"/>
        <v>942.38813795776434</v>
      </c>
      <c r="CG64" s="6">
        <f t="shared" si="66"/>
        <v>5.3847762759155284E-6</v>
      </c>
      <c r="CH64" s="8">
        <f t="shared" si="67"/>
        <v>26.726463586514289</v>
      </c>
      <c r="CI64" s="7">
        <f t="shared" si="68"/>
        <v>1.3476444831546842E-2</v>
      </c>
      <c r="CJ64" s="9">
        <f t="shared" si="69"/>
        <v>0.20637316950466611</v>
      </c>
      <c r="CK64" s="4">
        <f t="shared" si="103"/>
        <v>931.84286305228534</v>
      </c>
      <c r="CL64" s="6">
        <f t="shared" si="70"/>
        <v>5.3636857261045705E-6</v>
      </c>
      <c r="CM64" s="8">
        <f t="shared" si="71"/>
        <v>26.605192925101278</v>
      </c>
      <c r="CN64" s="7">
        <f t="shared" si="72"/>
        <v>1.3423661648656658E-2</v>
      </c>
      <c r="CO64" s="9">
        <f t="shared" si="73"/>
        <v>0.20731385092855903</v>
      </c>
      <c r="CP64" s="4">
        <f t="shared" si="104"/>
        <v>916.83654139228213</v>
      </c>
      <c r="CQ64" s="6">
        <f t="shared" si="74"/>
        <v>5.3336730827845649E-6</v>
      </c>
      <c r="CR64" s="8">
        <f t="shared" si="75"/>
        <v>26.432620226011245</v>
      </c>
      <c r="CS64" s="7">
        <f t="shared" si="76"/>
        <v>1.3348549199925968E-2</v>
      </c>
      <c r="CT64" s="9">
        <f t="shared" si="77"/>
        <v>0.20866735695662522</v>
      </c>
      <c r="CU64" s="4">
        <f t="shared" si="105"/>
        <v>882.01624649914527</v>
      </c>
      <c r="CV64" s="6">
        <f t="shared" si="78"/>
        <v>5.2640324929982915E-6</v>
      </c>
      <c r="CW64" s="8">
        <f t="shared" si="79"/>
        <v>26.03218683474017</v>
      </c>
      <c r="CX64" s="7">
        <f t="shared" si="80"/>
        <v>1.3174260145339102E-2</v>
      </c>
      <c r="CY64" s="9">
        <f t="shared" si="81"/>
        <v>0.21187712868745059</v>
      </c>
      <c r="CZ64" s="5">
        <f t="shared" si="106"/>
        <v>783.25987140833126</v>
      </c>
      <c r="DA64" s="6">
        <f t="shared" si="82"/>
        <v>5.0665197428166629E-6</v>
      </c>
      <c r="DB64" s="8">
        <f t="shared" si="83"/>
        <v>24.896488521195806</v>
      </c>
      <c r="DC64" s="7">
        <f t="shared" si="84"/>
        <v>1.2679946260237673E-2</v>
      </c>
      <c r="DD64" s="9">
        <f t="shared" si="85"/>
        <v>0.2215422867889274</v>
      </c>
    </row>
    <row r="65" spans="2:108" x14ac:dyDescent="0.25">
      <c r="B65">
        <v>46</v>
      </c>
      <c r="C65">
        <f t="shared" si="86"/>
        <v>4.4970274651881567E-2</v>
      </c>
      <c r="D65" s="4">
        <f t="shared" si="3"/>
        <v>1019.2602516549273</v>
      </c>
      <c r="E65" s="6">
        <f t="shared" si="4"/>
        <v>5.5385205033098548E-6</v>
      </c>
      <c r="F65" s="8">
        <f t="shared" si="5"/>
        <v>27.610492894031665</v>
      </c>
      <c r="G65" s="7">
        <f t="shared" si="1"/>
        <v>1.3861219517157368E-2</v>
      </c>
      <c r="H65" s="9">
        <f t="shared" si="6"/>
        <v>0.199765539179935</v>
      </c>
      <c r="I65" s="4">
        <f t="shared" si="87"/>
        <v>1018.9383220077717</v>
      </c>
      <c r="J65" s="6">
        <f t="shared" si="7"/>
        <v>5.5378766440155434E-6</v>
      </c>
      <c r="K65" s="8">
        <f t="shared" si="8"/>
        <v>27.606790703089374</v>
      </c>
      <c r="L65" s="7">
        <f t="shared" si="9"/>
        <v>1.3859608134657064E-2</v>
      </c>
      <c r="M65" s="9">
        <f t="shared" si="10"/>
        <v>0.19979232860930723</v>
      </c>
      <c r="N65" s="4">
        <f t="shared" si="88"/>
        <v>1018.0353704733975</v>
      </c>
      <c r="O65" s="6">
        <f t="shared" si="11"/>
        <v>5.5360707409467952E-6</v>
      </c>
      <c r="P65" s="8">
        <f t="shared" si="12"/>
        <v>27.596406760444069</v>
      </c>
      <c r="Q65" s="7">
        <f t="shared" si="2"/>
        <v>1.3861219517157368E-2</v>
      </c>
      <c r="R65" s="9">
        <f t="shared" si="13"/>
        <v>0.19986750622569985</v>
      </c>
      <c r="S65" s="4">
        <f t="shared" si="89"/>
        <v>1016.5350332633944</v>
      </c>
      <c r="T65" s="6">
        <f t="shared" si="14"/>
        <v>5.5330700665267893E-6</v>
      </c>
      <c r="U65" s="8">
        <f t="shared" si="15"/>
        <v>27.579152882529037</v>
      </c>
      <c r="V65" s="7">
        <f t="shared" si="16"/>
        <v>1.3847578744198362E-2</v>
      </c>
      <c r="W65" s="9">
        <f t="shared" si="17"/>
        <v>0.19999254594560309</v>
      </c>
      <c r="X65" s="4">
        <f t="shared" si="90"/>
        <v>1014.4355612453403</v>
      </c>
      <c r="Y65" s="6">
        <f t="shared" si="18"/>
        <v>5.5288711224906809E-6</v>
      </c>
      <c r="Z65" s="8">
        <f t="shared" si="19"/>
        <v>27.555008954321412</v>
      </c>
      <c r="AA65" s="7">
        <f t="shared" si="20"/>
        <v>1.3837070074059833E-2</v>
      </c>
      <c r="AB65" s="9">
        <f t="shared" si="21"/>
        <v>0.2001677810790547</v>
      </c>
      <c r="AC65" s="4">
        <f t="shared" si="91"/>
        <v>1011.7361763483663</v>
      </c>
      <c r="AD65" s="6">
        <f t="shared" si="22"/>
        <v>5.5234723526967331E-6</v>
      </c>
      <c r="AE65" s="8">
        <f t="shared" si="23"/>
        <v>27.52396602800621</v>
      </c>
      <c r="AF65" s="7">
        <f t="shared" si="24"/>
        <v>1.3823558607741024E-2</v>
      </c>
      <c r="AG65" s="9">
        <f t="shared" si="25"/>
        <v>0.20039354046534341</v>
      </c>
      <c r="AH65" s="4">
        <f t="shared" si="92"/>
        <v>1008.4369299044788</v>
      </c>
      <c r="AI65" s="6">
        <f t="shared" si="26"/>
        <v>5.5168738598089578E-6</v>
      </c>
      <c r="AJ65" s="8">
        <f t="shared" si="27"/>
        <v>27.486024693901506</v>
      </c>
      <c r="AK65" s="7">
        <f t="shared" si="28"/>
        <v>1.3807044602178492E-2</v>
      </c>
      <c r="AL65" s="9">
        <f t="shared" si="29"/>
        <v>0.20067016097907334</v>
      </c>
      <c r="AM65" s="4">
        <f t="shared" si="93"/>
        <v>1004.5378435284146</v>
      </c>
      <c r="AN65" s="6">
        <f t="shared" si="30"/>
        <v>5.5090756870568299E-6</v>
      </c>
      <c r="AO65" s="8">
        <f t="shared" si="31"/>
        <v>27.441185200576768</v>
      </c>
      <c r="AP65" s="7">
        <f t="shared" si="32"/>
        <v>1.3787528165562368E-2</v>
      </c>
      <c r="AQ65" s="9">
        <f t="shared" si="33"/>
        <v>0.20099806038567425</v>
      </c>
      <c r="AR65" s="4">
        <f t="shared" si="94"/>
        <v>1000.0389218414653</v>
      </c>
      <c r="AS65" s="6">
        <f t="shared" si="34"/>
        <v>5.5000778436829308E-6</v>
      </c>
      <c r="AT65" s="8">
        <f t="shared" si="35"/>
        <v>27.389447601176848</v>
      </c>
      <c r="AU65" s="7">
        <f t="shared" si="36"/>
        <v>1.3765009321023996E-2</v>
      </c>
      <c r="AV65" s="9">
        <f t="shared" si="37"/>
        <v>0.20137773789066885</v>
      </c>
      <c r="AW65" s="4">
        <f t="shared" si="95"/>
        <v>994.94016559696331</v>
      </c>
      <c r="AX65" s="6">
        <f t="shared" si="38"/>
        <v>5.4898803311939278E-6</v>
      </c>
      <c r="AY65" s="8">
        <f t="shared" si="39"/>
        <v>27.330811904365078</v>
      </c>
      <c r="AZ65" s="7">
        <f t="shared" si="40"/>
        <v>1.3739488072334107E-2</v>
      </c>
      <c r="BA65" s="9">
        <f t="shared" si="41"/>
        <v>0.2018097749638782</v>
      </c>
      <c r="BB65" s="4">
        <f t="shared" si="96"/>
        <v>989.24157492506743</v>
      </c>
      <c r="BC65" s="6">
        <f t="shared" si="42"/>
        <v>5.4784831498501355E-6</v>
      </c>
      <c r="BD65" s="8">
        <f t="shared" si="43"/>
        <v>27.265278111638274</v>
      </c>
      <c r="BE65" s="7">
        <f t="shared" si="44"/>
        <v>1.3710964420144184E-2</v>
      </c>
      <c r="BF65" s="9">
        <f t="shared" si="45"/>
        <v>0.20229483731712375</v>
      </c>
      <c r="BG65" s="4">
        <f t="shared" si="97"/>
        <v>982.94314973879841</v>
      </c>
      <c r="BH65" s="6">
        <f t="shared" si="46"/>
        <v>5.465886299477597E-6</v>
      </c>
      <c r="BI65" s="8">
        <f t="shared" si="47"/>
        <v>27.192846221996181</v>
      </c>
      <c r="BJ65" s="7">
        <f t="shared" si="48"/>
        <v>1.3679438364018873E-2</v>
      </c>
      <c r="BK65" s="9">
        <f t="shared" si="49"/>
        <v>0.20283367746692266</v>
      </c>
      <c r="BL65" s="4">
        <f t="shared" si="98"/>
        <v>976.0448876194323</v>
      </c>
      <c r="BM65" s="6">
        <f t="shared" si="50"/>
        <v>5.4520897752388647E-6</v>
      </c>
      <c r="BN65" s="8">
        <f t="shared" si="51"/>
        <v>27.113516207623469</v>
      </c>
      <c r="BO65" s="7">
        <f t="shared" si="52"/>
        <v>1.3644909891851518E-2</v>
      </c>
      <c r="BP65" s="9">
        <f t="shared" si="53"/>
        <v>0.20342713788074376</v>
      </c>
      <c r="BQ65" s="4">
        <f t="shared" si="99"/>
        <v>968.5467492311185</v>
      </c>
      <c r="BR65" s="6">
        <f t="shared" si="54"/>
        <v>5.4370934984622377E-6</v>
      </c>
      <c r="BS65" s="8">
        <f t="shared" si="55"/>
        <v>27.027287616157864</v>
      </c>
      <c r="BT65" s="7">
        <f t="shared" si="56"/>
        <v>1.3607378806750966E-2</v>
      </c>
      <c r="BU65" s="9">
        <f t="shared" si="57"/>
        <v>0.20407615733894677</v>
      </c>
      <c r="BV65" s="4">
        <f t="shared" si="100"/>
        <v>960.44818393052685</v>
      </c>
      <c r="BW65" s="6">
        <f t="shared" si="58"/>
        <v>5.420896367861054E-6</v>
      </c>
      <c r="BX65" s="8">
        <f t="shared" si="59"/>
        <v>26.934154115201061</v>
      </c>
      <c r="BY65" s="7">
        <f t="shared" si="60"/>
        <v>1.3566842352534194E-2</v>
      </c>
      <c r="BZ65" s="9">
        <f t="shared" si="61"/>
        <v>0.20478181629201783</v>
      </c>
      <c r="CA65" s="4">
        <f t="shared" si="101"/>
        <v>951.74259791313818</v>
      </c>
      <c r="CB65" s="6">
        <f t="shared" si="62"/>
        <v>5.403485195826277E-6</v>
      </c>
      <c r="CC65" s="8">
        <f t="shared" si="63"/>
        <v>26.834039876001086</v>
      </c>
      <c r="CD65" s="7">
        <f t="shared" si="64"/>
        <v>1.3523267524657181E-2</v>
      </c>
      <c r="CE65" s="9">
        <f t="shared" si="65"/>
        <v>0.20554583005344926</v>
      </c>
      <c r="CF65" s="4">
        <f t="shared" si="102"/>
        <v>942.36385020430555</v>
      </c>
      <c r="CG65" s="6">
        <f t="shared" si="66"/>
        <v>5.3847277004086116E-6</v>
      </c>
      <c r="CH65" s="8">
        <f t="shared" si="67"/>
        <v>26.72618427734951</v>
      </c>
      <c r="CI65" s="7">
        <f t="shared" si="68"/>
        <v>1.3476323261939194E-2</v>
      </c>
      <c r="CJ65" s="9">
        <f t="shared" si="69"/>
        <v>0.20637532626288527</v>
      </c>
      <c r="CK65" s="4">
        <f t="shared" si="103"/>
        <v>931.77261685074723</v>
      </c>
      <c r="CL65" s="6">
        <f t="shared" si="70"/>
        <v>5.3635452337014954E-6</v>
      </c>
      <c r="CM65" s="8">
        <f t="shared" si="71"/>
        <v>26.604385093783591</v>
      </c>
      <c r="CN65" s="7">
        <f t="shared" si="72"/>
        <v>1.3423310039226241E-2</v>
      </c>
      <c r="CO65" s="9">
        <f t="shared" si="73"/>
        <v>0.20732014592920572</v>
      </c>
      <c r="CP65" s="4">
        <f t="shared" si="104"/>
        <v>916.5519934497371</v>
      </c>
      <c r="CQ65" s="6">
        <f t="shared" si="74"/>
        <v>5.333103986899475E-6</v>
      </c>
      <c r="CR65" s="8">
        <f t="shared" si="75"/>
        <v>26.429347924671976</v>
      </c>
      <c r="CS65" s="7">
        <f t="shared" si="76"/>
        <v>1.3347124927327387E-2</v>
      </c>
      <c r="CT65" s="9">
        <f t="shared" si="77"/>
        <v>0.20869319272349987</v>
      </c>
      <c r="CU65" s="4">
        <f t="shared" si="105"/>
        <v>881.11596616249767</v>
      </c>
      <c r="CV65" s="6">
        <f t="shared" si="78"/>
        <v>5.2622319323249959E-6</v>
      </c>
      <c r="CW65" s="8">
        <f t="shared" si="79"/>
        <v>26.021833610868722</v>
      </c>
      <c r="CX65" s="7">
        <f t="shared" si="80"/>
        <v>1.3169753893763144E-2</v>
      </c>
      <c r="CY65" s="9">
        <f t="shared" si="81"/>
        <v>0.21196142756428396</v>
      </c>
      <c r="CZ65" s="5">
        <f t="shared" si="106"/>
        <v>781.73356479322058</v>
      </c>
      <c r="DA65" s="6">
        <f t="shared" si="82"/>
        <v>5.063467129586442E-6</v>
      </c>
      <c r="DB65" s="8">
        <f t="shared" si="83"/>
        <v>24.878935995122035</v>
      </c>
      <c r="DC65" s="7">
        <f t="shared" si="84"/>
        <v>1.2672306504808441E-2</v>
      </c>
      <c r="DD65" s="9">
        <f t="shared" si="85"/>
        <v>0.2216985887612492</v>
      </c>
    </row>
    <row r="66" spans="2:108" x14ac:dyDescent="0.25">
      <c r="B66">
        <v>47</v>
      </c>
      <c r="C66">
        <f t="shared" si="86"/>
        <v>4.5947889318226819E-2</v>
      </c>
      <c r="D66" s="4">
        <f t="shared" si="3"/>
        <v>1019.2438155534242</v>
      </c>
      <c r="E66" s="6">
        <f t="shared" si="4"/>
        <v>5.5384876311068491E-6</v>
      </c>
      <c r="F66" s="8">
        <f t="shared" si="5"/>
        <v>27.610303878864379</v>
      </c>
      <c r="G66" s="7">
        <f t="shared" si="1"/>
        <v>1.386113724810707E-2</v>
      </c>
      <c r="H66" s="9">
        <f t="shared" si="6"/>
        <v>0.19976690673883521</v>
      </c>
      <c r="I66" s="4">
        <f t="shared" si="87"/>
        <v>1018.9217792605639</v>
      </c>
      <c r="J66" s="6">
        <f t="shared" si="7"/>
        <v>5.537843558521129E-6</v>
      </c>
      <c r="K66" s="8">
        <f t="shared" si="8"/>
        <v>27.606600461496484</v>
      </c>
      <c r="L66" s="7">
        <f t="shared" si="9"/>
        <v>1.3859525331803733E-2</v>
      </c>
      <c r="M66" s="9">
        <f t="shared" si="10"/>
        <v>0.19979370541087665</v>
      </c>
      <c r="N66" s="4">
        <f t="shared" si="88"/>
        <v>1018.0187638811852</v>
      </c>
      <c r="O66" s="6">
        <f t="shared" si="11"/>
        <v>5.5360375277623706E-6</v>
      </c>
      <c r="P66" s="8">
        <f t="shared" si="12"/>
        <v>27.596215784633628</v>
      </c>
      <c r="Q66" s="7">
        <f t="shared" si="2"/>
        <v>1.386113724810707E-2</v>
      </c>
      <c r="R66" s="9">
        <f t="shared" si="13"/>
        <v>0.19986888938124842</v>
      </c>
      <c r="S66" s="4">
        <f t="shared" si="89"/>
        <v>1016.5184123319605</v>
      </c>
      <c r="T66" s="6">
        <f t="shared" si="14"/>
        <v>5.5330368246639213E-6</v>
      </c>
      <c r="U66" s="8">
        <f t="shared" si="15"/>
        <v>27.578961741817544</v>
      </c>
      <c r="V66" s="7">
        <f t="shared" si="16"/>
        <v>1.3847495550002711E-2</v>
      </c>
      <c r="W66" s="9">
        <f t="shared" si="17"/>
        <v>0.19999393202814975</v>
      </c>
      <c r="X66" s="4">
        <f t="shared" si="90"/>
        <v>1014.4189474356971</v>
      </c>
      <c r="Y66" s="6">
        <f t="shared" si="18"/>
        <v>5.5288378948713944E-6</v>
      </c>
      <c r="Z66" s="8">
        <f t="shared" si="19"/>
        <v>27.554817895510517</v>
      </c>
      <c r="AA66" s="7">
        <f t="shared" si="20"/>
        <v>1.3836986915511502E-2</v>
      </c>
      <c r="AB66" s="9">
        <f t="shared" si="21"/>
        <v>0.2001691689967095</v>
      </c>
      <c r="AC66" s="4">
        <f t="shared" si="91"/>
        <v>1011.7195757736531</v>
      </c>
      <c r="AD66" s="6">
        <f t="shared" si="22"/>
        <v>5.5234391515473067E-6</v>
      </c>
      <c r="AE66" s="8">
        <f t="shared" si="23"/>
        <v>27.523775121397009</v>
      </c>
      <c r="AF66" s="7">
        <f t="shared" si="24"/>
        <v>1.382347551543864E-2</v>
      </c>
      <c r="AG66" s="9">
        <f t="shared" si="25"/>
        <v>0.20039493040735346</v>
      </c>
      <c r="AH66" s="4">
        <f t="shared" si="92"/>
        <v>1008.4203458670725</v>
      </c>
      <c r="AI66" s="6">
        <f t="shared" si="26"/>
        <v>5.5168406917341452E-6</v>
      </c>
      <c r="AJ66" s="8">
        <f t="shared" si="27"/>
        <v>27.48583397747133</v>
      </c>
      <c r="AK66" s="7">
        <f t="shared" si="28"/>
        <v>1.3806961592651731E-2</v>
      </c>
      <c r="AL66" s="9">
        <f t="shared" si="29"/>
        <v>0.20067155337257961</v>
      </c>
      <c r="AM66" s="4">
        <f t="shared" si="93"/>
        <v>1004.5212794128309</v>
      </c>
      <c r="AN66" s="6">
        <f t="shared" si="30"/>
        <v>5.509042558825662E-6</v>
      </c>
      <c r="AO66" s="8">
        <f t="shared" si="31"/>
        <v>27.440994713247555</v>
      </c>
      <c r="AP66" s="7">
        <f t="shared" si="32"/>
        <v>1.3787445255752038E-2</v>
      </c>
      <c r="AQ66" s="9">
        <f t="shared" si="33"/>
        <v>0.20099945565520075</v>
      </c>
      <c r="AR66" s="4">
        <f t="shared" si="94"/>
        <v>1000.0223811891491</v>
      </c>
      <c r="AS66" s="6">
        <f t="shared" si="34"/>
        <v>5.5000447623782995E-6</v>
      </c>
      <c r="AT66" s="8">
        <f t="shared" si="35"/>
        <v>27.389257383675215</v>
      </c>
      <c r="AU66" s="7">
        <f t="shared" si="36"/>
        <v>1.3764926528656405E-2</v>
      </c>
      <c r="AV66" s="9">
        <f t="shared" si="37"/>
        <v>0.20137913645250824</v>
      </c>
      <c r="AW66" s="4">
        <f t="shared" si="95"/>
        <v>994.92365199308483</v>
      </c>
      <c r="AX66" s="6">
        <f t="shared" si="38"/>
        <v>5.4898473039861697E-6</v>
      </c>
      <c r="AY66" s="8">
        <f t="shared" si="39"/>
        <v>27.330621997920474</v>
      </c>
      <c r="AZ66" s="7">
        <f t="shared" si="40"/>
        <v>1.3739405415354414E-2</v>
      </c>
      <c r="BA66" s="9">
        <f t="shared" si="41"/>
        <v>0.20181117723627628</v>
      </c>
      <c r="BB66" s="4">
        <f t="shared" si="96"/>
        <v>989.22509196225985</v>
      </c>
      <c r="BC66" s="6">
        <f t="shared" si="42"/>
        <v>5.4784501839245199E-6</v>
      </c>
      <c r="BD66" s="8">
        <f t="shared" si="43"/>
        <v>27.265088557565988</v>
      </c>
      <c r="BE66" s="7">
        <f t="shared" si="44"/>
        <v>1.3710881916534915E-2</v>
      </c>
      <c r="BF66" s="9">
        <f t="shared" si="45"/>
        <v>0.20229624372408023</v>
      </c>
      <c r="BG66" s="4">
        <f t="shared" si="97"/>
        <v>982.92670098083329</v>
      </c>
      <c r="BH66" s="6">
        <f t="shared" si="46"/>
        <v>5.4658534019616673E-6</v>
      </c>
      <c r="BI66" s="8">
        <f t="shared" si="47"/>
        <v>27.192657061279583</v>
      </c>
      <c r="BJ66" s="7">
        <f t="shared" si="48"/>
        <v>1.3679356031618082E-2</v>
      </c>
      <c r="BK66" s="9">
        <f t="shared" si="49"/>
        <v>0.20283508844208753</v>
      </c>
      <c r="BL66" s="4">
        <f t="shared" si="98"/>
        <v>976.02847613636948</v>
      </c>
      <c r="BM66" s="6">
        <f t="shared" si="50"/>
        <v>5.4520569522727391E-6</v>
      </c>
      <c r="BN66" s="8">
        <f t="shared" si="51"/>
        <v>27.113327475568248</v>
      </c>
      <c r="BO66" s="7">
        <f t="shared" si="52"/>
        <v>1.3644827746026041E-2</v>
      </c>
      <c r="BP66" s="9">
        <f t="shared" si="53"/>
        <v>0.20342855390840967</v>
      </c>
      <c r="BQ66" s="4">
        <f t="shared" si="99"/>
        <v>968.53037134258636</v>
      </c>
      <c r="BR66" s="6">
        <f t="shared" si="54"/>
        <v>5.4370607426851735E-6</v>
      </c>
      <c r="BS66" s="8">
        <f t="shared" si="55"/>
        <v>27.027099270439741</v>
      </c>
      <c r="BT66" s="7">
        <f t="shared" si="56"/>
        <v>1.3607296829079119E-2</v>
      </c>
      <c r="BU66" s="9">
        <f t="shared" si="57"/>
        <v>0.20407757949935035</v>
      </c>
      <c r="BV66" s="4">
        <f t="shared" si="100"/>
        <v>960.43175762391832</v>
      </c>
      <c r="BW66" s="6">
        <f t="shared" si="58"/>
        <v>5.4208635152478367E-6</v>
      </c>
      <c r="BX66" s="8">
        <f t="shared" si="59"/>
        <v>26.933965212675062</v>
      </c>
      <c r="BY66" s="7">
        <f t="shared" si="60"/>
        <v>1.3566760132511129E-2</v>
      </c>
      <c r="BZ66" s="9">
        <f t="shared" si="61"/>
        <v>0.20478325253811347</v>
      </c>
      <c r="CA66" s="4">
        <f t="shared" si="101"/>
        <v>951.72528709601261</v>
      </c>
      <c r="CB66" s="6">
        <f t="shared" si="62"/>
        <v>5.4034505741920254E-6</v>
      </c>
      <c r="CC66" s="8">
        <f t="shared" si="63"/>
        <v>26.833840801604143</v>
      </c>
      <c r="CD66" s="7">
        <f t="shared" si="64"/>
        <v>1.3523180877316592E-2</v>
      </c>
      <c r="CE66" s="9">
        <f t="shared" si="65"/>
        <v>0.20554735495301413</v>
      </c>
      <c r="CF66" s="4">
        <f t="shared" si="102"/>
        <v>942.33901423955751</v>
      </c>
      <c r="CG66" s="6">
        <f t="shared" si="66"/>
        <v>5.3846780284791164E-6</v>
      </c>
      <c r="CH66" s="8">
        <f t="shared" si="67"/>
        <v>26.725898663754911</v>
      </c>
      <c r="CI66" s="7">
        <f t="shared" si="68"/>
        <v>1.3476198948321838E-2</v>
      </c>
      <c r="CJ66" s="9">
        <f t="shared" si="69"/>
        <v>0.20637753174901363</v>
      </c>
      <c r="CK66" s="4">
        <f t="shared" si="103"/>
        <v>931.69999951308046</v>
      </c>
      <c r="CL66" s="6">
        <f t="shared" si="70"/>
        <v>5.3633999990261613E-6</v>
      </c>
      <c r="CM66" s="8">
        <f t="shared" si="71"/>
        <v>26.603549994400424</v>
      </c>
      <c r="CN66" s="7">
        <f t="shared" si="72"/>
        <v>1.342294656134165E-2</v>
      </c>
      <c r="CO66" s="9">
        <f t="shared" si="73"/>
        <v>0.2073266538172891</v>
      </c>
      <c r="CP66" s="4">
        <f t="shared" si="104"/>
        <v>916.26175534379058</v>
      </c>
      <c r="CQ66" s="6">
        <f t="shared" si="74"/>
        <v>5.3325235106875808E-6</v>
      </c>
      <c r="CR66" s="8">
        <f t="shared" si="75"/>
        <v>26.426010186453588</v>
      </c>
      <c r="CS66" s="7">
        <f t="shared" si="76"/>
        <v>1.3345672173258362E-2</v>
      </c>
      <c r="CT66" s="9">
        <f t="shared" si="77"/>
        <v>0.20871955172511819</v>
      </c>
      <c r="CU66" s="4">
        <f t="shared" si="105"/>
        <v>880.21521032912597</v>
      </c>
      <c r="CV66" s="6">
        <f t="shared" si="78"/>
        <v>5.2604304206582516E-6</v>
      </c>
      <c r="CW66" s="8">
        <f t="shared" si="79"/>
        <v>26.011474918784948</v>
      </c>
      <c r="CX66" s="7">
        <f t="shared" si="80"/>
        <v>1.3165245262142021E-2</v>
      </c>
      <c r="CY66" s="9">
        <f t="shared" si="81"/>
        <v>0.21204583812418609</v>
      </c>
      <c r="CZ66" s="5">
        <f t="shared" si="106"/>
        <v>780.23092986847678</v>
      </c>
      <c r="DA66" s="6">
        <f t="shared" si="82"/>
        <v>5.0604618597369541E-6</v>
      </c>
      <c r="DB66" s="8">
        <f t="shared" si="83"/>
        <v>24.861655693487481</v>
      </c>
      <c r="DC66" s="7">
        <f t="shared" si="84"/>
        <v>1.2664785235352609E-2</v>
      </c>
      <c r="DD66" s="9">
        <f t="shared" si="85"/>
        <v>0.22185268221877996</v>
      </c>
    </row>
    <row r="67" spans="2:108" x14ac:dyDescent="0.25">
      <c r="B67">
        <v>48</v>
      </c>
      <c r="C67">
        <f t="shared" si="86"/>
        <v>4.692550398457207E-2</v>
      </c>
      <c r="D67" s="4">
        <f t="shared" si="3"/>
        <v>1019.2273740071302</v>
      </c>
      <c r="E67" s="6">
        <f t="shared" si="4"/>
        <v>5.5384547480142617E-6</v>
      </c>
      <c r="F67" s="8">
        <f t="shared" si="5"/>
        <v>27.610114801081998</v>
      </c>
      <c r="G67" s="7">
        <f t="shared" si="1"/>
        <v>1.3861054951803484E-2</v>
      </c>
      <c r="H67" s="9">
        <f t="shared" si="6"/>
        <v>0.19976827476950046</v>
      </c>
      <c r="I67" s="4">
        <f t="shared" si="87"/>
        <v>1018.9052360232459</v>
      </c>
      <c r="J67" s="6">
        <f t="shared" si="7"/>
        <v>5.5378104720464924E-6</v>
      </c>
      <c r="K67" s="8">
        <f t="shared" si="8"/>
        <v>27.606410214267328</v>
      </c>
      <c r="L67" s="7">
        <f t="shared" si="9"/>
        <v>1.3859442526497205E-2</v>
      </c>
      <c r="M67" s="9">
        <f t="shared" si="10"/>
        <v>0.19979508227221293</v>
      </c>
      <c r="N67" s="4">
        <f t="shared" si="88"/>
        <v>1018.002157803416</v>
      </c>
      <c r="O67" s="6">
        <f t="shared" si="11"/>
        <v>5.5360043156068319E-6</v>
      </c>
      <c r="P67" s="8">
        <f t="shared" si="12"/>
        <v>27.596024814739284</v>
      </c>
      <c r="Q67" s="7">
        <f t="shared" si="2"/>
        <v>1.3861054951803484E-2</v>
      </c>
      <c r="R67" s="9">
        <f t="shared" si="13"/>
        <v>0.19987027251309236</v>
      </c>
      <c r="S67" s="4">
        <f t="shared" si="89"/>
        <v>1016.5017917800069</v>
      </c>
      <c r="T67" s="6">
        <f t="shared" si="14"/>
        <v>5.5330035835600143E-6</v>
      </c>
      <c r="U67" s="8">
        <f t="shared" si="15"/>
        <v>27.578770605470076</v>
      </c>
      <c r="V67" s="7">
        <f t="shared" si="16"/>
        <v>1.3847412357706507E-2</v>
      </c>
      <c r="W67" s="9">
        <f t="shared" si="17"/>
        <v>0.19999531809826251</v>
      </c>
      <c r="X67" s="4">
        <f t="shared" si="90"/>
        <v>1014.4023338457527</v>
      </c>
      <c r="Y67" s="6">
        <f t="shared" si="18"/>
        <v>5.5288046676915063E-6</v>
      </c>
      <c r="Z67" s="8">
        <f t="shared" si="19"/>
        <v>27.554626839226152</v>
      </c>
      <c r="AA67" s="7">
        <f t="shared" si="20"/>
        <v>1.383690375806285E-2</v>
      </c>
      <c r="AB67" s="9">
        <f t="shared" si="21"/>
        <v>0.20017055691525748</v>
      </c>
      <c r="AC67" s="4">
        <f t="shared" si="91"/>
        <v>1011.7029753855961</v>
      </c>
      <c r="AD67" s="6">
        <f t="shared" si="22"/>
        <v>5.5234059507711931E-6</v>
      </c>
      <c r="AE67" s="8">
        <f t="shared" si="23"/>
        <v>27.523584216934353</v>
      </c>
      <c r="AF67" s="7">
        <f t="shared" si="24"/>
        <v>1.3823392424070545E-2</v>
      </c>
      <c r="AG67" s="9">
        <f t="shared" si="25"/>
        <v>0.2003963203530163</v>
      </c>
      <c r="AH67" s="4">
        <f t="shared" si="92"/>
        <v>1008.4037620181355</v>
      </c>
      <c r="AI67" s="6">
        <f t="shared" si="26"/>
        <v>5.5168075240362717E-6</v>
      </c>
      <c r="AJ67" s="8">
        <f t="shared" si="27"/>
        <v>27.485643263208559</v>
      </c>
      <c r="AK67" s="7">
        <f t="shared" si="28"/>
        <v>1.3806878584068332E-2</v>
      </c>
      <c r="AL67" s="9">
        <f t="shared" si="29"/>
        <v>0.20067294576958461</v>
      </c>
      <c r="AM67" s="4">
        <f t="shared" si="93"/>
        <v>1004.504715488515</v>
      </c>
      <c r="AN67" s="6">
        <f t="shared" si="30"/>
        <v>5.5090094309770303E-6</v>
      </c>
      <c r="AO67" s="8">
        <f t="shared" si="31"/>
        <v>27.440804228117919</v>
      </c>
      <c r="AP67" s="7">
        <f t="shared" si="32"/>
        <v>1.3787362346899078E-2</v>
      </c>
      <c r="AQ67" s="9">
        <f t="shared" si="33"/>
        <v>0.20100085092798681</v>
      </c>
      <c r="AR67" s="4">
        <f t="shared" si="94"/>
        <v>1000.0058407292543</v>
      </c>
      <c r="AS67" s="6">
        <f t="shared" si="34"/>
        <v>5.5000116814585084E-6</v>
      </c>
      <c r="AT67" s="8">
        <f t="shared" si="35"/>
        <v>27.389067168386426</v>
      </c>
      <c r="AU67" s="7">
        <f t="shared" si="36"/>
        <v>1.3764843737251954E-2</v>
      </c>
      <c r="AV67" s="9">
        <f t="shared" si="37"/>
        <v>0.20138053501750358</v>
      </c>
      <c r="AW67" s="4">
        <f t="shared" si="95"/>
        <v>994.90713858209813</v>
      </c>
      <c r="AX67" s="6">
        <f t="shared" si="38"/>
        <v>5.4898142771641969E-6</v>
      </c>
      <c r="AY67" s="8">
        <f t="shared" si="39"/>
        <v>27.330432093694128</v>
      </c>
      <c r="AZ67" s="7">
        <f t="shared" si="40"/>
        <v>1.3739322759340221E-2</v>
      </c>
      <c r="BA67" s="9">
        <f t="shared" si="41"/>
        <v>0.20181257951178183</v>
      </c>
      <c r="BB67" s="4">
        <f t="shared" si="96"/>
        <v>989.20860919212419</v>
      </c>
      <c r="BC67" s="6">
        <f t="shared" si="42"/>
        <v>5.4784172183842492E-6</v>
      </c>
      <c r="BD67" s="8">
        <f t="shared" si="43"/>
        <v>27.264899005709427</v>
      </c>
      <c r="BE67" s="7">
        <f t="shared" si="44"/>
        <v>1.3710799413890043E-2</v>
      </c>
      <c r="BF67" s="9">
        <f t="shared" si="45"/>
        <v>0.20229765013415221</v>
      </c>
      <c r="BG67" s="4">
        <f t="shared" si="97"/>
        <v>982.91025240848592</v>
      </c>
      <c r="BH67" s="6">
        <f t="shared" si="46"/>
        <v>5.4658205048169718E-6</v>
      </c>
      <c r="BI67" s="8">
        <f t="shared" si="47"/>
        <v>27.192467902697587</v>
      </c>
      <c r="BJ67" s="7">
        <f t="shared" si="48"/>
        <v>1.3679273700146375E-2</v>
      </c>
      <c r="BK67" s="9">
        <f t="shared" si="49"/>
        <v>0.20283649942096027</v>
      </c>
      <c r="BL67" s="4">
        <f t="shared" si="98"/>
        <v>976.01206474213052</v>
      </c>
      <c r="BM67" s="6">
        <f t="shared" si="50"/>
        <v>5.4520241294842617E-6</v>
      </c>
      <c r="BN67" s="8">
        <f t="shared" si="51"/>
        <v>27.113138744534503</v>
      </c>
      <c r="BO67" s="7">
        <f t="shared" si="52"/>
        <v>1.3644745600645162E-2</v>
      </c>
      <c r="BP67" s="9">
        <f t="shared" si="53"/>
        <v>0.20342996994812509</v>
      </c>
      <c r="BQ67" s="4">
        <f t="shared" si="99"/>
        <v>968.51399242583284</v>
      </c>
      <c r="BR67" s="6">
        <f t="shared" si="54"/>
        <v>5.4370279848516659E-6</v>
      </c>
      <c r="BS67" s="8">
        <f t="shared" si="55"/>
        <v>27.026910912897076</v>
      </c>
      <c r="BT67" s="7">
        <f t="shared" si="56"/>
        <v>1.3607214846260623E-2</v>
      </c>
      <c r="BU67" s="9">
        <f t="shared" si="57"/>
        <v>0.20407900176886207</v>
      </c>
      <c r="BV67" s="4">
        <f t="shared" si="100"/>
        <v>960.41531958601024</v>
      </c>
      <c r="BW67" s="6">
        <f t="shared" si="58"/>
        <v>5.4208306391720211E-6</v>
      </c>
      <c r="BX67" s="8">
        <f t="shared" si="59"/>
        <v>26.933776175239117</v>
      </c>
      <c r="BY67" s="7">
        <f t="shared" si="60"/>
        <v>1.3566677853768375E-2</v>
      </c>
      <c r="BZ67" s="9">
        <f t="shared" si="61"/>
        <v>0.20478468983011189</v>
      </c>
      <c r="CA67" s="4">
        <f t="shared" si="101"/>
        <v>951.70788248945075</v>
      </c>
      <c r="CB67" s="6">
        <f t="shared" si="62"/>
        <v>5.4034157649789022E-6</v>
      </c>
      <c r="CC67" s="8">
        <f t="shared" si="63"/>
        <v>26.83364064862868</v>
      </c>
      <c r="CD67" s="7">
        <f t="shared" si="64"/>
        <v>1.3523093760523575E-2</v>
      </c>
      <c r="CE67" s="9">
        <f t="shared" si="65"/>
        <v>0.20554888813724473</v>
      </c>
      <c r="CF67" s="4">
        <f t="shared" si="102"/>
        <v>942.31361067374257</v>
      </c>
      <c r="CG67" s="6">
        <f t="shared" si="66"/>
        <v>5.3846272213474856E-6</v>
      </c>
      <c r="CH67" s="8">
        <f t="shared" si="67"/>
        <v>26.725606522748038</v>
      </c>
      <c r="CI67" s="7">
        <f t="shared" si="68"/>
        <v>1.3476071793641421E-2</v>
      </c>
      <c r="CJ67" s="9">
        <f t="shared" si="69"/>
        <v>0.20637978768808352</v>
      </c>
      <c r="CK67" s="4">
        <f t="shared" si="103"/>
        <v>931.62498889922961</v>
      </c>
      <c r="CL67" s="6">
        <f t="shared" si="70"/>
        <v>5.3632499777984591E-6</v>
      </c>
      <c r="CM67" s="8">
        <f t="shared" si="71"/>
        <v>26.602687372341137</v>
      </c>
      <c r="CN67" s="7">
        <f t="shared" si="72"/>
        <v>1.3422571104183342E-2</v>
      </c>
      <c r="CO67" s="9">
        <f t="shared" si="73"/>
        <v>0.20733337661722873</v>
      </c>
      <c r="CP67" s="4">
        <f t="shared" si="104"/>
        <v>915.96594289803477</v>
      </c>
      <c r="CQ67" s="6">
        <f t="shared" si="74"/>
        <v>5.3319318857960696E-6</v>
      </c>
      <c r="CR67" s="8">
        <f t="shared" si="75"/>
        <v>26.422608343327397</v>
      </c>
      <c r="CS67" s="7">
        <f t="shared" si="76"/>
        <v>1.3344191517460817E-2</v>
      </c>
      <c r="CT67" s="9">
        <f t="shared" si="77"/>
        <v>0.20874642383263733</v>
      </c>
      <c r="CU67" s="4">
        <f t="shared" si="105"/>
        <v>879.31424395826252</v>
      </c>
      <c r="CV67" s="6">
        <f t="shared" si="78"/>
        <v>5.2586284879165248E-6</v>
      </c>
      <c r="CW67" s="8">
        <f t="shared" si="79"/>
        <v>26.001113805520021</v>
      </c>
      <c r="CX67" s="7">
        <f t="shared" si="80"/>
        <v>1.3160735576699258E-2</v>
      </c>
      <c r="CY67" s="9">
        <f t="shared" si="81"/>
        <v>0.21213033569465922</v>
      </c>
      <c r="CZ67" s="5">
        <f t="shared" si="106"/>
        <v>778.7511913653791</v>
      </c>
      <c r="DA67" s="6">
        <f t="shared" si="82"/>
        <v>5.0575023827307589E-6</v>
      </c>
      <c r="DB67" s="8">
        <f t="shared" si="83"/>
        <v>24.844638700701857</v>
      </c>
      <c r="DC67" s="7">
        <f t="shared" si="84"/>
        <v>1.2657378571350129E-2</v>
      </c>
      <c r="DD67" s="9">
        <f t="shared" si="85"/>
        <v>0.22200463715514546</v>
      </c>
    </row>
    <row r="68" spans="2:108" x14ac:dyDescent="0.25">
      <c r="B68">
        <v>49</v>
      </c>
      <c r="C68">
        <f t="shared" si="86"/>
        <v>4.7903118650917322E-2</v>
      </c>
      <c r="D68" s="4">
        <f t="shared" si="3"/>
        <v>1019.2109272690061</v>
      </c>
      <c r="E68" s="6">
        <f t="shared" si="4"/>
        <v>5.5384218545380125E-6</v>
      </c>
      <c r="F68" s="8">
        <f t="shared" si="5"/>
        <v>27.609925663593572</v>
      </c>
      <c r="G68" s="7">
        <f t="shared" si="1"/>
        <v>1.3860972629512774E-2</v>
      </c>
      <c r="H68" s="9">
        <f t="shared" si="6"/>
        <v>0.19976964325090157</v>
      </c>
      <c r="I68" s="4">
        <f t="shared" si="87"/>
        <v>1018.8886922824037</v>
      </c>
      <c r="J68" s="6">
        <f t="shared" si="7"/>
        <v>5.5377773845648074E-6</v>
      </c>
      <c r="K68" s="8">
        <f t="shared" si="8"/>
        <v>27.606219961247639</v>
      </c>
      <c r="L68" s="7">
        <f t="shared" si="9"/>
        <v>1.3859359718670344E-2</v>
      </c>
      <c r="M68" s="9">
        <f t="shared" si="10"/>
        <v>0.19979645919443462</v>
      </c>
      <c r="N68" s="4">
        <f t="shared" si="88"/>
        <v>1017.9855522273079</v>
      </c>
      <c r="O68" s="6">
        <f t="shared" si="11"/>
        <v>5.5359711044546164E-6</v>
      </c>
      <c r="P68" s="8">
        <f t="shared" si="12"/>
        <v>27.595833850614042</v>
      </c>
      <c r="Q68" s="7">
        <f t="shared" si="2"/>
        <v>1.3860972629512774E-2</v>
      </c>
      <c r="R68" s="9">
        <f t="shared" si="13"/>
        <v>0.19987165562229497</v>
      </c>
      <c r="S68" s="4">
        <f t="shared" si="89"/>
        <v>1016.4851716065367</v>
      </c>
      <c r="T68" s="6">
        <f t="shared" si="14"/>
        <v>5.5329703432130744E-6</v>
      </c>
      <c r="U68" s="8">
        <f t="shared" si="15"/>
        <v>27.578579473475173</v>
      </c>
      <c r="V68" s="7">
        <f t="shared" si="16"/>
        <v>1.3847329167304757E-2</v>
      </c>
      <c r="W68" s="9">
        <f t="shared" si="17"/>
        <v>0.19999670415602364</v>
      </c>
      <c r="X68" s="4">
        <f t="shared" si="90"/>
        <v>1014.3857204769245</v>
      </c>
      <c r="Y68" s="6">
        <f t="shared" si="18"/>
        <v>5.5287714409538498E-6</v>
      </c>
      <c r="Z68" s="8">
        <f t="shared" si="19"/>
        <v>27.554435785484628</v>
      </c>
      <c r="AA68" s="7">
        <f t="shared" si="20"/>
        <v>1.3836820601720966E-2</v>
      </c>
      <c r="AB68" s="9">
        <f t="shared" si="21"/>
        <v>0.20017194483457978</v>
      </c>
      <c r="AC68" s="4">
        <f t="shared" si="91"/>
        <v>1011.6863751846322</v>
      </c>
      <c r="AD68" s="6">
        <f t="shared" si="22"/>
        <v>5.5233727503692657E-6</v>
      </c>
      <c r="AE68" s="8">
        <f t="shared" si="23"/>
        <v>27.52339331462327</v>
      </c>
      <c r="AF68" s="7">
        <f t="shared" si="24"/>
        <v>1.3823309333638921E-2</v>
      </c>
      <c r="AG68" s="9">
        <f t="shared" si="25"/>
        <v>0.20039771030229511</v>
      </c>
      <c r="AH68" s="4">
        <f t="shared" si="92"/>
        <v>1008.3871783576845</v>
      </c>
      <c r="AI68" s="6">
        <f t="shared" si="26"/>
        <v>5.5167743567153701E-6</v>
      </c>
      <c r="AJ68" s="8">
        <f t="shared" si="27"/>
        <v>27.485452551113372</v>
      </c>
      <c r="AK68" s="7">
        <f t="shared" si="28"/>
        <v>1.3806795576428379E-2</v>
      </c>
      <c r="AL68" s="9">
        <f t="shared" si="29"/>
        <v>0.20067433817008681</v>
      </c>
      <c r="AM68" s="4">
        <f t="shared" si="93"/>
        <v>1004.4881517554458</v>
      </c>
      <c r="AN68" s="6">
        <f t="shared" si="30"/>
        <v>5.5089763035108915E-6</v>
      </c>
      <c r="AO68" s="8">
        <f t="shared" si="31"/>
        <v>27.440613745187626</v>
      </c>
      <c r="AP68" s="7">
        <f t="shared" si="32"/>
        <v>1.3787279439003383E-2</v>
      </c>
      <c r="AQ68" s="9">
        <f t="shared" si="33"/>
        <v>0.2010022462040339</v>
      </c>
      <c r="AR68" s="4">
        <f t="shared" si="94"/>
        <v>999.98930046177054</v>
      </c>
      <c r="AS68" s="6">
        <f t="shared" si="34"/>
        <v>5.4999786009235414E-6</v>
      </c>
      <c r="AT68" s="8">
        <f t="shared" si="35"/>
        <v>27.388876955310359</v>
      </c>
      <c r="AU68" s="7">
        <f t="shared" si="36"/>
        <v>1.37647609468106E-2</v>
      </c>
      <c r="AV68" s="9">
        <f t="shared" si="37"/>
        <v>0.20138193358565545</v>
      </c>
      <c r="AW68" s="4">
        <f t="shared" si="95"/>
        <v>994.8906253639916</v>
      </c>
      <c r="AX68" s="6">
        <f t="shared" si="38"/>
        <v>5.4897812507279832E-6</v>
      </c>
      <c r="AY68" s="8">
        <f t="shared" si="39"/>
        <v>27.330242191685905</v>
      </c>
      <c r="AZ68" s="7">
        <f t="shared" si="40"/>
        <v>1.3739240104291468E-2</v>
      </c>
      <c r="BA68" s="9">
        <f t="shared" si="41"/>
        <v>0.20181398179039559</v>
      </c>
      <c r="BB68" s="4">
        <f t="shared" si="96"/>
        <v>989.19212661455936</v>
      </c>
      <c r="BC68" s="6">
        <f t="shared" si="42"/>
        <v>5.4783842532291193E-6</v>
      </c>
      <c r="BD68" s="8">
        <f t="shared" si="43"/>
        <v>27.264709456067433</v>
      </c>
      <c r="BE68" s="7">
        <f t="shared" si="44"/>
        <v>1.3710716912209061E-2</v>
      </c>
      <c r="BF68" s="9">
        <f t="shared" si="45"/>
        <v>0.20229905654734803</v>
      </c>
      <c r="BG68" s="4">
        <f t="shared" si="97"/>
        <v>982.89380402045902</v>
      </c>
      <c r="BH68" s="6">
        <f t="shared" si="46"/>
        <v>5.4657876080409187E-6</v>
      </c>
      <c r="BI68" s="8">
        <f t="shared" si="47"/>
        <v>27.192278746235278</v>
      </c>
      <c r="BJ68" s="7">
        <f t="shared" si="48"/>
        <v>1.3679191369597266E-2</v>
      </c>
      <c r="BK68" s="9">
        <f t="shared" si="49"/>
        <v>0.20283791040365193</v>
      </c>
      <c r="BL68" s="4">
        <f t="shared" si="98"/>
        <v>975.99565342206643</v>
      </c>
      <c r="BM68" s="6">
        <f t="shared" si="50"/>
        <v>5.4519913068441336E-6</v>
      </c>
      <c r="BN68" s="8">
        <f t="shared" si="51"/>
        <v>27.112950014353764</v>
      </c>
      <c r="BO68" s="7">
        <f t="shared" si="52"/>
        <v>1.3644663455635555E-2</v>
      </c>
      <c r="BP68" s="9">
        <f t="shared" si="53"/>
        <v>0.20343138600115421</v>
      </c>
      <c r="BQ68" s="4">
        <f t="shared" si="99"/>
        <v>968.4976123438696</v>
      </c>
      <c r="BR68" s="6">
        <f t="shared" si="54"/>
        <v>5.4369952246877393E-6</v>
      </c>
      <c r="BS68" s="8">
        <f t="shared" si="55"/>
        <v>27.026722541954499</v>
      </c>
      <c r="BT68" s="7">
        <f t="shared" si="56"/>
        <v>1.3607132857609804E-2</v>
      </c>
      <c r="BU68" s="9">
        <f t="shared" si="57"/>
        <v>0.20408042415938182</v>
      </c>
      <c r="BV68" s="4">
        <f t="shared" si="100"/>
        <v>960.39886880093547</v>
      </c>
      <c r="BW68" s="6">
        <f t="shared" si="58"/>
        <v>5.4207977376018715E-6</v>
      </c>
      <c r="BX68" s="8">
        <f t="shared" si="59"/>
        <v>26.93358699121076</v>
      </c>
      <c r="BY68" s="7">
        <f t="shared" si="60"/>
        <v>1.3566595511221113E-2</v>
      </c>
      <c r="BZ68" s="9">
        <f t="shared" si="61"/>
        <v>0.20478612825688292</v>
      </c>
      <c r="CA68" s="4">
        <f t="shared" si="101"/>
        <v>951.69037852853717</v>
      </c>
      <c r="CB68" s="6">
        <f t="shared" si="62"/>
        <v>5.403380757057075E-6</v>
      </c>
      <c r="CC68" s="8">
        <f t="shared" si="63"/>
        <v>26.833439353078177</v>
      </c>
      <c r="CD68" s="7">
        <f t="shared" si="64"/>
        <v>1.3523006146423563E-2</v>
      </c>
      <c r="CE68" s="9">
        <f t="shared" si="65"/>
        <v>0.20555043009673971</v>
      </c>
      <c r="CF68" s="4">
        <f t="shared" si="102"/>
        <v>942.28762026212348</v>
      </c>
      <c r="CG68" s="6">
        <f t="shared" si="66"/>
        <v>5.3845752405242474E-6</v>
      </c>
      <c r="CH68" s="8">
        <f t="shared" si="67"/>
        <v>26.725307633014417</v>
      </c>
      <c r="CI68" s="7">
        <f t="shared" si="68"/>
        <v>1.3475941701570597E-2</v>
      </c>
      <c r="CJ68" s="9">
        <f t="shared" si="69"/>
        <v>0.20638209579246958</v>
      </c>
      <c r="CK68" s="4">
        <f t="shared" si="103"/>
        <v>931.54756482168</v>
      </c>
      <c r="CL68" s="6">
        <f t="shared" si="70"/>
        <v>5.3630951296433613E-6</v>
      </c>
      <c r="CM68" s="8">
        <f t="shared" si="71"/>
        <v>26.60179699544932</v>
      </c>
      <c r="CN68" s="7">
        <f t="shared" si="72"/>
        <v>1.3422183566704993E-2</v>
      </c>
      <c r="CO68" s="9">
        <f t="shared" si="73"/>
        <v>0.20734031618027682</v>
      </c>
      <c r="CP68" s="4">
        <f t="shared" si="104"/>
        <v>915.66467220059917</v>
      </c>
      <c r="CQ68" s="6">
        <f t="shared" si="74"/>
        <v>5.3313293444011995E-6</v>
      </c>
      <c r="CR68" s="8">
        <f t="shared" si="75"/>
        <v>26.419143730306889</v>
      </c>
      <c r="CS68" s="7">
        <f t="shared" si="76"/>
        <v>1.3342683541000771E-2</v>
      </c>
      <c r="CT68" s="9">
        <f t="shared" si="77"/>
        <v>0.20877379889010997</v>
      </c>
      <c r="CU68" s="4">
        <f t="shared" si="105"/>
        <v>878.41331570213799</v>
      </c>
      <c r="CV68" s="6">
        <f t="shared" si="78"/>
        <v>5.2568266314042769E-6</v>
      </c>
      <c r="CW68" s="8">
        <f t="shared" si="79"/>
        <v>25.990753130574586</v>
      </c>
      <c r="CX68" s="7">
        <f t="shared" si="80"/>
        <v>1.3156226082035517E-2</v>
      </c>
      <c r="CY68" s="9">
        <f t="shared" si="81"/>
        <v>0.2122148970555077</v>
      </c>
      <c r="CZ68" s="5">
        <f t="shared" si="106"/>
        <v>777.29360654960044</v>
      </c>
      <c r="DA68" s="6">
        <f t="shared" si="82"/>
        <v>5.0545872130992011E-6</v>
      </c>
      <c r="DB68" s="8">
        <f t="shared" si="83"/>
        <v>24.827876475320405</v>
      </c>
      <c r="DC68" s="7">
        <f t="shared" si="84"/>
        <v>1.2650082795128191E-2</v>
      </c>
      <c r="DD68" s="9">
        <f t="shared" si="85"/>
        <v>0.2221545207655066</v>
      </c>
    </row>
    <row r="69" spans="2:108" x14ac:dyDescent="0.25">
      <c r="B69">
        <v>50</v>
      </c>
      <c r="C69">
        <f t="shared" si="86"/>
        <v>4.8880733317262573E-2</v>
      </c>
      <c r="D69" s="4">
        <f t="shared" si="3"/>
        <v>1019.1944755784133</v>
      </c>
      <c r="E69" s="6">
        <f t="shared" si="4"/>
        <v>5.5383889511568269E-6</v>
      </c>
      <c r="F69" s="8">
        <f t="shared" si="5"/>
        <v>27.609736469151752</v>
      </c>
      <c r="G69" s="7">
        <f t="shared" si="1"/>
        <v>1.3860890282433046E-2</v>
      </c>
      <c r="H69" s="9">
        <f t="shared" si="6"/>
        <v>0.19977101216313983</v>
      </c>
      <c r="I69" s="4">
        <f t="shared" si="87"/>
        <v>1018.8721480264809</v>
      </c>
      <c r="J69" s="6">
        <f t="shared" si="7"/>
        <v>5.5377442960529625E-6</v>
      </c>
      <c r="K69" s="8">
        <f t="shared" si="8"/>
        <v>27.606029702304529</v>
      </c>
      <c r="L69" s="7">
        <f t="shared" si="9"/>
        <v>1.3859276908265309E-2</v>
      </c>
      <c r="M69" s="9">
        <f t="shared" si="10"/>
        <v>0.19979783617850561</v>
      </c>
      <c r="N69" s="4">
        <f t="shared" si="88"/>
        <v>1017.968947140277</v>
      </c>
      <c r="O69" s="6">
        <f t="shared" si="11"/>
        <v>5.5359378942805545E-6</v>
      </c>
      <c r="P69" s="8">
        <f t="shared" si="12"/>
        <v>27.595642892113183</v>
      </c>
      <c r="Q69" s="7">
        <f t="shared" si="2"/>
        <v>1.3860890282433046E-2</v>
      </c>
      <c r="R69" s="9">
        <f t="shared" si="13"/>
        <v>0.19987303870990308</v>
      </c>
      <c r="S69" s="4">
        <f t="shared" si="89"/>
        <v>1016.4685518104543</v>
      </c>
      <c r="T69" s="6">
        <f t="shared" si="14"/>
        <v>5.5329371036209095E-6</v>
      </c>
      <c r="U69" s="8">
        <f t="shared" si="15"/>
        <v>27.578388345820223</v>
      </c>
      <c r="V69" s="7">
        <f t="shared" si="16"/>
        <v>1.3847245978791979E-2</v>
      </c>
      <c r="W69" s="9">
        <f t="shared" si="17"/>
        <v>0.19999809020152359</v>
      </c>
      <c r="X69" s="4">
        <f t="shared" si="90"/>
        <v>1014.3691073305855</v>
      </c>
      <c r="Y69" s="6">
        <f t="shared" si="18"/>
        <v>5.5287382146611719E-6</v>
      </c>
      <c r="Z69" s="8">
        <f t="shared" si="19"/>
        <v>27.554244734301733</v>
      </c>
      <c r="AA69" s="7">
        <f t="shared" si="20"/>
        <v>1.383673744649273E-2</v>
      </c>
      <c r="AB69" s="9">
        <f t="shared" si="21"/>
        <v>0.20017333275456131</v>
      </c>
      <c r="AC69" s="4">
        <f t="shared" si="91"/>
        <v>1011.6697751712037</v>
      </c>
      <c r="AD69" s="6">
        <f t="shared" si="22"/>
        <v>5.5233395503424078E-6</v>
      </c>
      <c r="AE69" s="8">
        <f t="shared" si="23"/>
        <v>27.523202414468841</v>
      </c>
      <c r="AF69" s="7">
        <f t="shared" si="24"/>
        <v>1.3823226244145982E-2</v>
      </c>
      <c r="AG69" s="9">
        <f t="shared" si="25"/>
        <v>0.20039910025515262</v>
      </c>
      <c r="AH69" s="4">
        <f t="shared" si="92"/>
        <v>1008.3705948857413</v>
      </c>
      <c r="AI69" s="6">
        <f t="shared" si="26"/>
        <v>5.516741189771483E-6</v>
      </c>
      <c r="AJ69" s="8">
        <f t="shared" si="27"/>
        <v>27.485261841186023</v>
      </c>
      <c r="AK69" s="7">
        <f t="shared" si="28"/>
        <v>1.3806712569731977E-2</v>
      </c>
      <c r="AL69" s="9">
        <f t="shared" si="29"/>
        <v>0.20067573057408405</v>
      </c>
      <c r="AM69" s="4">
        <f t="shared" si="93"/>
        <v>1004.4715882136028</v>
      </c>
      <c r="AN69" s="6">
        <f t="shared" si="30"/>
        <v>5.508943176427206E-6</v>
      </c>
      <c r="AO69" s="8">
        <f t="shared" si="31"/>
        <v>27.440423264456431</v>
      </c>
      <c r="AP69" s="7">
        <f t="shared" si="32"/>
        <v>1.378719653206485E-2</v>
      </c>
      <c r="AQ69" s="9">
        <f t="shared" si="33"/>
        <v>0.20100364148334354</v>
      </c>
      <c r="AR69" s="4">
        <f t="shared" si="94"/>
        <v>999.97276038668747</v>
      </c>
      <c r="AS69" s="6">
        <f t="shared" si="34"/>
        <v>5.4999455207733746E-6</v>
      </c>
      <c r="AT69" s="8">
        <f t="shared" si="35"/>
        <v>27.388686744446908</v>
      </c>
      <c r="AU69" s="7">
        <f t="shared" si="36"/>
        <v>1.3764678157332282E-2</v>
      </c>
      <c r="AV69" s="9">
        <f t="shared" si="37"/>
        <v>0.20138333215696441</v>
      </c>
      <c r="AW69" s="4">
        <f t="shared" si="95"/>
        <v>994.8741123387523</v>
      </c>
      <c r="AX69" s="6">
        <f t="shared" si="38"/>
        <v>5.489748224677505E-6</v>
      </c>
      <c r="AY69" s="8">
        <f t="shared" si="39"/>
        <v>27.330052291895651</v>
      </c>
      <c r="AZ69" s="7">
        <f t="shared" si="40"/>
        <v>1.3739157450208091E-2</v>
      </c>
      <c r="BA69" s="9">
        <f t="shared" si="41"/>
        <v>0.20181538407211838</v>
      </c>
      <c r="BB69" s="4">
        <f t="shared" si="96"/>
        <v>989.17564422944804</v>
      </c>
      <c r="BC69" s="6">
        <f t="shared" si="42"/>
        <v>5.4783512884588964E-6</v>
      </c>
      <c r="BD69" s="8">
        <f t="shared" si="43"/>
        <v>27.264519908638654</v>
      </c>
      <c r="BE69" s="7">
        <f t="shared" si="44"/>
        <v>1.3710634411491384E-2</v>
      </c>
      <c r="BF69" s="9">
        <f t="shared" si="45"/>
        <v>0.20230046296367743</v>
      </c>
      <c r="BG69" s="4">
        <f t="shared" si="97"/>
        <v>982.87735581527954</v>
      </c>
      <c r="BH69" s="6">
        <f t="shared" si="46"/>
        <v>5.4657547116305593E-6</v>
      </c>
      <c r="BI69" s="8">
        <f t="shared" si="47"/>
        <v>27.192089591875714</v>
      </c>
      <c r="BJ69" s="7">
        <f t="shared" si="48"/>
        <v>1.367910903996338E-2</v>
      </c>
      <c r="BK69" s="9">
        <f t="shared" si="49"/>
        <v>0.20283932139028862</v>
      </c>
      <c r="BL69" s="4">
        <f t="shared" si="98"/>
        <v>975.97924215996011</v>
      </c>
      <c r="BM69" s="6">
        <f t="shared" si="50"/>
        <v>5.4519584843199212E-6</v>
      </c>
      <c r="BN69" s="8">
        <f t="shared" si="51"/>
        <v>27.112761284839543</v>
      </c>
      <c r="BO69" s="7">
        <f t="shared" si="52"/>
        <v>1.3644581310916051E-2</v>
      </c>
      <c r="BP69" s="9">
        <f t="shared" si="53"/>
        <v>0.20343280206889641</v>
      </c>
      <c r="BQ69" s="4">
        <f t="shared" si="99"/>
        <v>968.48123094886307</v>
      </c>
      <c r="BR69" s="6">
        <f t="shared" si="54"/>
        <v>5.4369624618977261E-6</v>
      </c>
      <c r="BS69" s="8">
        <f t="shared" si="55"/>
        <v>27.026534155911925</v>
      </c>
      <c r="BT69" s="7">
        <f t="shared" si="56"/>
        <v>1.3607050862386694E-2</v>
      </c>
      <c r="BU69" s="9">
        <f t="shared" si="57"/>
        <v>0.20408184668375184</v>
      </c>
      <c r="BV69" s="4">
        <f t="shared" si="100"/>
        <v>960.38240420026796</v>
      </c>
      <c r="BW69" s="6">
        <f t="shared" si="58"/>
        <v>5.4207648084005365E-6</v>
      </c>
      <c r="BX69" s="8">
        <f t="shared" si="59"/>
        <v>26.933397648303078</v>
      </c>
      <c r="BY69" s="7">
        <f t="shared" si="60"/>
        <v>1.3566513099521463E-2</v>
      </c>
      <c r="BZ69" s="9">
        <f t="shared" si="61"/>
        <v>0.20478756791189723</v>
      </c>
      <c r="CA69" s="4">
        <f t="shared" si="101"/>
        <v>951.67276951635006</v>
      </c>
      <c r="CB69" s="6">
        <f t="shared" si="62"/>
        <v>5.4033455390327003E-6</v>
      </c>
      <c r="CC69" s="8">
        <f t="shared" si="63"/>
        <v>26.833236849438023</v>
      </c>
      <c r="CD69" s="7">
        <f t="shared" si="64"/>
        <v>1.3522918006501263E-2</v>
      </c>
      <c r="CE69" s="9">
        <f t="shared" si="65"/>
        <v>0.20555198133375829</v>
      </c>
      <c r="CF69" s="4">
        <f t="shared" si="102"/>
        <v>942.26102392652069</v>
      </c>
      <c r="CG69" s="6">
        <f t="shared" si="66"/>
        <v>5.3845220478530425E-6</v>
      </c>
      <c r="CH69" s="8">
        <f t="shared" si="67"/>
        <v>26.725001775154986</v>
      </c>
      <c r="CI69" s="7">
        <f t="shared" si="68"/>
        <v>1.3475808576615686E-2</v>
      </c>
      <c r="CJ69" s="9">
        <f t="shared" si="69"/>
        <v>0.20638445775998507</v>
      </c>
      <c r="CK69" s="4">
        <f t="shared" si="103"/>
        <v>931.4677089984159</v>
      </c>
      <c r="CL69" s="6">
        <f t="shared" si="70"/>
        <v>5.3629354179968324E-6</v>
      </c>
      <c r="CM69" s="8">
        <f t="shared" si="71"/>
        <v>26.600878653481782</v>
      </c>
      <c r="CN69" s="7">
        <f t="shared" si="72"/>
        <v>1.3421783857398029E-2</v>
      </c>
      <c r="CO69" s="9">
        <f t="shared" si="73"/>
        <v>0.20734747418871674</v>
      </c>
      <c r="CP69" s="4">
        <f t="shared" si="104"/>
        <v>915.35805939687498</v>
      </c>
      <c r="CQ69" s="6">
        <f t="shared" si="74"/>
        <v>5.3307161187937502E-6</v>
      </c>
      <c r="CR69" s="8">
        <f t="shared" si="75"/>
        <v>26.415617683064063</v>
      </c>
      <c r="CS69" s="7">
        <f t="shared" si="76"/>
        <v>1.3341148825230862E-2</v>
      </c>
      <c r="CT69" s="9">
        <f t="shared" si="77"/>
        <v>0.20880166673279238</v>
      </c>
      <c r="CU69" s="4">
        <f t="shared" si="105"/>
        <v>877.51265879415882</v>
      </c>
      <c r="CV69" s="6">
        <f t="shared" si="78"/>
        <v>5.2550253175883185E-6</v>
      </c>
      <c r="CW69" s="8">
        <f t="shared" si="79"/>
        <v>25.980395576132828</v>
      </c>
      <c r="CX69" s="7">
        <f t="shared" si="80"/>
        <v>1.3151717945574279E-2</v>
      </c>
      <c r="CY69" s="9">
        <f t="shared" si="81"/>
        <v>0.21229950036122577</v>
      </c>
      <c r="CZ69" s="5">
        <f t="shared" si="106"/>
        <v>775.85746370876291</v>
      </c>
      <c r="DA69" s="6">
        <f t="shared" si="82"/>
        <v>5.0517149274175261E-6</v>
      </c>
      <c r="DB69" s="8">
        <f t="shared" si="83"/>
        <v>24.81136083265077</v>
      </c>
      <c r="DC69" s="7">
        <f t="shared" si="84"/>
        <v>1.2642894344290842E-2</v>
      </c>
      <c r="DD69" s="9">
        <f t="shared" si="85"/>
        <v>0.2223023975670716</v>
      </c>
    </row>
    <row r="70" spans="2:108" x14ac:dyDescent="0.25">
      <c r="B70">
        <v>51</v>
      </c>
      <c r="C70">
        <f t="shared" si="86"/>
        <v>4.9858347983607824E-2</v>
      </c>
      <c r="D70" s="4">
        <f t="shared" si="3"/>
        <v>1019.1780191619024</v>
      </c>
      <c r="E70" s="6">
        <f t="shared" si="4"/>
        <v>5.5383560383238048E-6</v>
      </c>
      <c r="F70" s="8">
        <f t="shared" si="5"/>
        <v>27.609547220361875</v>
      </c>
      <c r="G70" s="7">
        <f t="shared" si="1"/>
        <v>1.3860807911698265E-2</v>
      </c>
      <c r="H70" s="9">
        <f t="shared" si="6"/>
        <v>0.19977238148738127</v>
      </c>
      <c r="I70" s="4">
        <f t="shared" si="87"/>
        <v>1018.8556032456379</v>
      </c>
      <c r="J70" s="6">
        <f t="shared" si="7"/>
        <v>5.5377112064912763E-6</v>
      </c>
      <c r="K70" s="8">
        <f t="shared" si="8"/>
        <v>27.605839437324835</v>
      </c>
      <c r="L70" s="7">
        <f t="shared" si="9"/>
        <v>1.3859194095232841E-2</v>
      </c>
      <c r="M70" s="9">
        <f t="shared" si="10"/>
        <v>0.1997992132252471</v>
      </c>
      <c r="N70" s="4">
        <f t="shared" si="88"/>
        <v>1017.9523425299492</v>
      </c>
      <c r="O70" s="6">
        <f t="shared" si="11"/>
        <v>5.5359046850598985E-6</v>
      </c>
      <c r="P70" s="8">
        <f t="shared" si="12"/>
        <v>27.595451939094417</v>
      </c>
      <c r="Q70" s="7">
        <f t="shared" si="2"/>
        <v>1.3860807911698265E-2</v>
      </c>
      <c r="R70" s="9">
        <f t="shared" si="13"/>
        <v>0.199874421776946</v>
      </c>
      <c r="S70" s="4">
        <f t="shared" si="89"/>
        <v>1016.4519323905701</v>
      </c>
      <c r="T70" s="6">
        <f t="shared" si="14"/>
        <v>5.5329038647811402E-6</v>
      </c>
      <c r="U70" s="8">
        <f t="shared" si="15"/>
        <v>27.578197222491553</v>
      </c>
      <c r="V70" s="7">
        <f t="shared" si="16"/>
        <v>1.3847162792162217E-2</v>
      </c>
      <c r="W70" s="9">
        <f t="shared" si="17"/>
        <v>0.19999947623486067</v>
      </c>
      <c r="X70" s="4">
        <f t="shared" si="90"/>
        <v>1014.3524944080644</v>
      </c>
      <c r="Y70" s="6">
        <f t="shared" si="18"/>
        <v>5.5287049888161289E-6</v>
      </c>
      <c r="Z70" s="8">
        <f t="shared" si="19"/>
        <v>27.55405368569274</v>
      </c>
      <c r="AA70" s="7">
        <f t="shared" si="20"/>
        <v>1.3836654292384785E-2</v>
      </c>
      <c r="AB70" s="9">
        <f t="shared" si="21"/>
        <v>0.20017472067509079</v>
      </c>
      <c r="AC70" s="4">
        <f t="shared" si="91"/>
        <v>1011.6531753457584</v>
      </c>
      <c r="AD70" s="6">
        <f t="shared" si="22"/>
        <v>5.5233063506915174E-6</v>
      </c>
      <c r="AE70" s="8">
        <f t="shared" si="23"/>
        <v>27.52301151647622</v>
      </c>
      <c r="AF70" s="7">
        <f t="shared" si="24"/>
        <v>1.3823143155593975E-2</v>
      </c>
      <c r="AG70" s="9">
        <f t="shared" si="25"/>
        <v>0.20040049021155107</v>
      </c>
      <c r="AH70" s="4">
        <f t="shared" si="92"/>
        <v>1008.3540116023318</v>
      </c>
      <c r="AI70" s="6">
        <f t="shared" si="26"/>
        <v>5.5167080232046635E-6</v>
      </c>
      <c r="AJ70" s="8">
        <f t="shared" si="27"/>
        <v>27.485071133426814</v>
      </c>
      <c r="AK70" s="7">
        <f t="shared" si="28"/>
        <v>1.3806629563979262E-2</v>
      </c>
      <c r="AL70" s="9">
        <f t="shared" si="29"/>
        <v>0.20067712298157392</v>
      </c>
      <c r="AM70" s="4">
        <f t="shared" si="93"/>
        <v>1004.4550248629664</v>
      </c>
      <c r="AN70" s="6">
        <f t="shared" si="30"/>
        <v>5.5089100497259329E-6</v>
      </c>
      <c r="AO70" s="8">
        <f t="shared" si="31"/>
        <v>27.440232785924113</v>
      </c>
      <c r="AP70" s="7">
        <f t="shared" si="32"/>
        <v>1.378711362608338E-2</v>
      </c>
      <c r="AQ70" s="9">
        <f t="shared" si="33"/>
        <v>0.20100503676591711</v>
      </c>
      <c r="AR70" s="4">
        <f t="shared" si="94"/>
        <v>999.95622050399436</v>
      </c>
      <c r="AS70" s="6">
        <f t="shared" si="34"/>
        <v>5.4999124410079894E-6</v>
      </c>
      <c r="AT70" s="8">
        <f t="shared" si="35"/>
        <v>27.388496535795934</v>
      </c>
      <c r="AU70" s="7">
        <f t="shared" si="36"/>
        <v>1.3764595368816954E-2</v>
      </c>
      <c r="AV70" s="9">
        <f t="shared" si="37"/>
        <v>0.20138473073143118</v>
      </c>
      <c r="AW70" s="4">
        <f t="shared" si="95"/>
        <v>994.857599506366</v>
      </c>
      <c r="AX70" s="6">
        <f t="shared" si="38"/>
        <v>5.4897151990127325E-6</v>
      </c>
      <c r="AY70" s="8">
        <f t="shared" si="39"/>
        <v>27.329862394323207</v>
      </c>
      <c r="AZ70" s="7">
        <f t="shared" si="40"/>
        <v>1.3739074797090016E-2</v>
      </c>
      <c r="BA70" s="9">
        <f t="shared" si="41"/>
        <v>0.20181678635695113</v>
      </c>
      <c r="BB70" s="4">
        <f t="shared" si="96"/>
        <v>989.15916203665472</v>
      </c>
      <c r="BC70" s="6">
        <f t="shared" si="42"/>
        <v>5.4783183240733095E-6</v>
      </c>
      <c r="BD70" s="8">
        <f t="shared" si="43"/>
        <v>27.264330363421529</v>
      </c>
      <c r="BE70" s="7">
        <f t="shared" si="44"/>
        <v>1.3710551911736334E-2</v>
      </c>
      <c r="BF70" s="9">
        <f t="shared" si="45"/>
        <v>0.20230186938315173</v>
      </c>
      <c r="BG70" s="4">
        <f t="shared" si="97"/>
        <v>982.86090779128085</v>
      </c>
      <c r="BH70" s="6">
        <f t="shared" si="46"/>
        <v>5.4657218155825622E-6</v>
      </c>
      <c r="BI70" s="8">
        <f t="shared" si="47"/>
        <v>27.191900439599728</v>
      </c>
      <c r="BJ70" s="7">
        <f t="shared" si="48"/>
        <v>1.3679026711236374E-2</v>
      </c>
      <c r="BK70" s="9">
        <f t="shared" si="49"/>
        <v>0.20284073238101308</v>
      </c>
      <c r="BL70" s="4">
        <f t="shared" si="98"/>
        <v>975.96283093791283</v>
      </c>
      <c r="BM70" s="6">
        <f t="shared" si="50"/>
        <v>5.4519256618758262E-6</v>
      </c>
      <c r="BN70" s="8">
        <f t="shared" si="51"/>
        <v>27.112572555785995</v>
      </c>
      <c r="BO70" s="7">
        <f t="shared" si="52"/>
        <v>1.3644499166397055E-2</v>
      </c>
      <c r="BP70" s="9">
        <f t="shared" si="53"/>
        <v>0.20343421815289639</v>
      </c>
      <c r="BQ70" s="4">
        <f t="shared" si="99"/>
        <v>968.46484808166485</v>
      </c>
      <c r="BR70" s="6">
        <f t="shared" si="54"/>
        <v>5.4369296961633297E-6</v>
      </c>
      <c r="BS70" s="8">
        <f t="shared" si="55"/>
        <v>27.026345752939143</v>
      </c>
      <c r="BT70" s="7">
        <f t="shared" si="56"/>
        <v>1.3606968859794694E-2</v>
      </c>
      <c r="BU70" s="9">
        <f t="shared" si="57"/>
        <v>0.20408326935579776</v>
      </c>
      <c r="BV70" s="4">
        <f t="shared" si="100"/>
        <v>960.36592466245224</v>
      </c>
      <c r="BW70" s="6">
        <f t="shared" si="58"/>
        <v>5.4207318493249052E-6</v>
      </c>
      <c r="BX70" s="8">
        <f t="shared" si="59"/>
        <v>26.933208133618201</v>
      </c>
      <c r="BY70" s="7">
        <f t="shared" si="60"/>
        <v>1.3566430613055602E-2</v>
      </c>
      <c r="BZ70" s="9">
        <f t="shared" si="61"/>
        <v>0.20478900889327631</v>
      </c>
      <c r="CA70" s="4">
        <f t="shared" si="101"/>
        <v>951.65504962919249</v>
      </c>
      <c r="CB70" s="6">
        <f t="shared" si="62"/>
        <v>5.4033100992583856E-6</v>
      </c>
      <c r="CC70" s="8">
        <f t="shared" si="63"/>
        <v>26.833033070735713</v>
      </c>
      <c r="CD70" s="7">
        <f t="shared" si="64"/>
        <v>1.352282931160682E-2</v>
      </c>
      <c r="CE70" s="9">
        <f t="shared" si="65"/>
        <v>0.20555354236176074</v>
      </c>
      <c r="CF70" s="4">
        <f t="shared" si="102"/>
        <v>942.23380277565786</v>
      </c>
      <c r="CG70" s="6">
        <f t="shared" si="66"/>
        <v>5.3844676055513159E-6</v>
      </c>
      <c r="CH70" s="8">
        <f t="shared" si="67"/>
        <v>26.724688731920065</v>
      </c>
      <c r="CI70" s="7">
        <f t="shared" si="68"/>
        <v>1.3475672324218532E-2</v>
      </c>
      <c r="CJ70" s="9">
        <f t="shared" si="69"/>
        <v>0.20638687527208194</v>
      </c>
      <c r="CK70" s="4">
        <f t="shared" si="103"/>
        <v>931.38540500455099</v>
      </c>
      <c r="CL70" s="6">
        <f t="shared" si="70"/>
        <v>5.3627708100091026E-6</v>
      </c>
      <c r="CM70" s="8">
        <f t="shared" si="71"/>
        <v>26.599932157552338</v>
      </c>
      <c r="CN70" s="7">
        <f t="shared" si="72"/>
        <v>1.3421371894049542E-2</v>
      </c>
      <c r="CO70" s="9">
        <f t="shared" si="73"/>
        <v>0.20735485216017688</v>
      </c>
      <c r="CP70" s="4">
        <f t="shared" si="104"/>
        <v>915.04622049944862</v>
      </c>
      <c r="CQ70" s="6">
        <f t="shared" si="74"/>
        <v>5.3300924409988972E-6</v>
      </c>
      <c r="CR70" s="8">
        <f t="shared" si="75"/>
        <v>26.412031535743658</v>
      </c>
      <c r="CS70" s="7">
        <f t="shared" si="76"/>
        <v>1.3339587950838998E-2</v>
      </c>
      <c r="CT70" s="9">
        <f t="shared" si="77"/>
        <v>0.2088300172039266</v>
      </c>
      <c r="CU70" s="4">
        <f t="shared" si="105"/>
        <v>876.61249188996965</v>
      </c>
      <c r="CV70" s="6">
        <f t="shared" si="78"/>
        <v>5.2532249837799399E-6</v>
      </c>
      <c r="CW70" s="8">
        <f t="shared" si="79"/>
        <v>25.970043656734649</v>
      </c>
      <c r="CX70" s="7">
        <f t="shared" si="80"/>
        <v>1.3147212261771686E-2</v>
      </c>
      <c r="CY70" s="9">
        <f t="shared" si="81"/>
        <v>0.21238412506748588</v>
      </c>
      <c r="CZ70" s="5">
        <f t="shared" si="106"/>
        <v>774.44208071365324</v>
      </c>
      <c r="DA70" s="6">
        <f t="shared" si="82"/>
        <v>5.0488841614273066E-6</v>
      </c>
      <c r="DB70" s="8">
        <f t="shared" si="83"/>
        <v>24.795083928207013</v>
      </c>
      <c r="DC70" s="7">
        <f t="shared" si="84"/>
        <v>1.2635809804517327E-2</v>
      </c>
      <c r="DD70" s="9">
        <f t="shared" si="85"/>
        <v>0.22244832951444043</v>
      </c>
    </row>
    <row r="71" spans="2:108" x14ac:dyDescent="0.25">
      <c r="B71">
        <v>52</v>
      </c>
      <c r="C71">
        <f t="shared" si="86"/>
        <v>5.0835962649953076E-2</v>
      </c>
      <c r="D71" s="4">
        <f t="shared" si="3"/>
        <v>1019.161558233955</v>
      </c>
      <c r="E71" s="6">
        <f t="shared" si="4"/>
        <v>5.5383231164679107E-6</v>
      </c>
      <c r="F71" s="8">
        <f t="shared" si="5"/>
        <v>27.609357919690481</v>
      </c>
      <c r="G71" s="7">
        <f t="shared" si="1"/>
        <v>1.3860725518382003E-2</v>
      </c>
      <c r="H71" s="9">
        <f t="shared" si="6"/>
        <v>0.1997737512057953</v>
      </c>
      <c r="I71" s="4">
        <f t="shared" si="87"/>
        <v>1018.8390579316194</v>
      </c>
      <c r="J71" s="6">
        <f t="shared" si="7"/>
        <v>5.5376781158632399E-6</v>
      </c>
      <c r="K71" s="8">
        <f t="shared" si="8"/>
        <v>27.605649166213624</v>
      </c>
      <c r="L71" s="7">
        <f t="shared" si="9"/>
        <v>1.3859111279531627E-2</v>
      </c>
      <c r="M71" s="9">
        <f t="shared" si="10"/>
        <v>0.19980059033534839</v>
      </c>
      <c r="N71" s="4">
        <f t="shared" si="88"/>
        <v>1017.9357383841708</v>
      </c>
      <c r="O71" s="6">
        <f t="shared" si="11"/>
        <v>5.535871476768342E-6</v>
      </c>
      <c r="P71" s="8">
        <f t="shared" si="12"/>
        <v>27.595260991417963</v>
      </c>
      <c r="Q71" s="7">
        <f t="shared" si="2"/>
        <v>1.3860725518382003E-2</v>
      </c>
      <c r="R71" s="9">
        <f t="shared" si="13"/>
        <v>0.19987580482443495</v>
      </c>
      <c r="S71" s="4">
        <f t="shared" si="89"/>
        <v>1016.4353133456044</v>
      </c>
      <c r="T71" s="6">
        <f t="shared" si="14"/>
        <v>5.5328706266912093E-6</v>
      </c>
      <c r="U71" s="8">
        <f t="shared" si="15"/>
        <v>27.578006103474451</v>
      </c>
      <c r="V71" s="7">
        <f t="shared" si="16"/>
        <v>1.3847079607409073E-2</v>
      </c>
      <c r="W71" s="9">
        <f t="shared" si="17"/>
        <v>0.20000086225614067</v>
      </c>
      <c r="X71" s="4">
        <f t="shared" si="90"/>
        <v>1014.3358817106455</v>
      </c>
      <c r="Y71" s="6">
        <f t="shared" si="18"/>
        <v>5.5286717634212916E-6</v>
      </c>
      <c r="Z71" s="8">
        <f t="shared" si="19"/>
        <v>27.553862639672424</v>
      </c>
      <c r="AA71" s="7">
        <f t="shared" si="20"/>
        <v>1.3836571139403567E-2</v>
      </c>
      <c r="AB71" s="9">
        <f t="shared" si="21"/>
        <v>0.20017610859606044</v>
      </c>
      <c r="AC71" s="4">
        <f t="shared" si="91"/>
        <v>1011.6365757087485</v>
      </c>
      <c r="AD71" s="6">
        <f t="shared" si="22"/>
        <v>5.5232731514174973E-6</v>
      </c>
      <c r="AE71" s="8">
        <f t="shared" si="23"/>
        <v>27.522820620650606</v>
      </c>
      <c r="AF71" s="7">
        <f t="shared" si="24"/>
        <v>1.3823060067985157E-2</v>
      </c>
      <c r="AG71" s="9">
        <f t="shared" si="25"/>
        <v>0.20040188017145233</v>
      </c>
      <c r="AH71" s="4">
        <f t="shared" si="92"/>
        <v>1008.3374285074869</v>
      </c>
      <c r="AI71" s="6">
        <f t="shared" si="26"/>
        <v>5.5166748570149745E-6</v>
      </c>
      <c r="AJ71" s="8">
        <f t="shared" si="27"/>
        <v>27.484880427836099</v>
      </c>
      <c r="AK71" s="7">
        <f t="shared" si="28"/>
        <v>1.3806546559170386E-2</v>
      </c>
      <c r="AL71" s="9">
        <f t="shared" si="29"/>
        <v>0.20067851539255352</v>
      </c>
      <c r="AM71" s="4">
        <f t="shared" si="93"/>
        <v>1004.4384617035176</v>
      </c>
      <c r="AN71" s="6">
        <f t="shared" si="30"/>
        <v>5.5088769234070359E-6</v>
      </c>
      <c r="AO71" s="8">
        <f t="shared" si="31"/>
        <v>27.440042309590453</v>
      </c>
      <c r="AP71" s="7">
        <f t="shared" si="32"/>
        <v>1.378703072105888E-2</v>
      </c>
      <c r="AQ71" s="9">
        <f t="shared" si="33"/>
        <v>0.20100643205175589</v>
      </c>
      <c r="AR71" s="4">
        <f t="shared" si="94"/>
        <v>999.93968081368052</v>
      </c>
      <c r="AS71" s="6">
        <f t="shared" si="34"/>
        <v>5.4998793616273622E-6</v>
      </c>
      <c r="AT71" s="8">
        <f t="shared" si="35"/>
        <v>27.388306329357327</v>
      </c>
      <c r="AU71" s="7">
        <f t="shared" si="36"/>
        <v>1.3764512581264559E-2</v>
      </c>
      <c r="AV71" s="9">
        <f t="shared" si="37"/>
        <v>0.20138612930905631</v>
      </c>
      <c r="AW71" s="4">
        <f t="shared" si="95"/>
        <v>994.84108686681657</v>
      </c>
      <c r="AX71" s="6">
        <f t="shared" si="38"/>
        <v>5.4896821737336336E-6</v>
      </c>
      <c r="AY71" s="8">
        <f t="shared" si="39"/>
        <v>27.329672498968389</v>
      </c>
      <c r="AZ71" s="7">
        <f t="shared" si="40"/>
        <v>1.3738992144937167E-2</v>
      </c>
      <c r="BA71" s="9">
        <f t="shared" si="41"/>
        <v>0.20181818864489495</v>
      </c>
      <c r="BB71" s="4">
        <f t="shared" si="96"/>
        <v>989.14268003602353</v>
      </c>
      <c r="BC71" s="6">
        <f t="shared" si="42"/>
        <v>5.4782853600720477E-6</v>
      </c>
      <c r="BD71" s="8">
        <f t="shared" si="43"/>
        <v>27.264140820414269</v>
      </c>
      <c r="BE71" s="7">
        <f t="shared" si="44"/>
        <v>1.3710469412943131E-2</v>
      </c>
      <c r="BF71" s="9">
        <f t="shared" si="45"/>
        <v>0.20230327580578392</v>
      </c>
      <c r="BG71" s="4">
        <f t="shared" si="97"/>
        <v>982.84445994658381</v>
      </c>
      <c r="BH71" s="6">
        <f t="shared" si="46"/>
        <v>5.4656889198931676E-6</v>
      </c>
      <c r="BI71" s="8">
        <f t="shared" si="47"/>
        <v>27.191711289385715</v>
      </c>
      <c r="BJ71" s="7">
        <f t="shared" si="48"/>
        <v>1.3678944383406839E-2</v>
      </c>
      <c r="BK71" s="9">
        <f t="shared" si="49"/>
        <v>0.20284214337598622</v>
      </c>
      <c r="BL71" s="4">
        <f t="shared" si="98"/>
        <v>975.94641973622629</v>
      </c>
      <c r="BM71" s="6">
        <f t="shared" si="50"/>
        <v>5.4518928394724532E-6</v>
      </c>
      <c r="BN71" s="8">
        <f t="shared" si="51"/>
        <v>27.1123838269666</v>
      </c>
      <c r="BO71" s="7">
        <f t="shared" si="52"/>
        <v>1.3644417021979976E-2</v>
      </c>
      <c r="BP71" s="9">
        <f t="shared" si="53"/>
        <v>0.20343563425485414</v>
      </c>
      <c r="BQ71" s="4">
        <f t="shared" si="99"/>
        <v>968.44846357134622</v>
      </c>
      <c r="BR71" s="6">
        <f t="shared" si="54"/>
        <v>5.4368969271426928E-6</v>
      </c>
      <c r="BS71" s="8">
        <f t="shared" si="55"/>
        <v>27.026157331070479</v>
      </c>
      <c r="BT71" s="7">
        <f t="shared" si="56"/>
        <v>1.3606886848978244E-2</v>
      </c>
      <c r="BU71" s="9">
        <f t="shared" si="57"/>
        <v>0.20408469219036887</v>
      </c>
      <c r="BV71" s="4">
        <f t="shared" si="100"/>
        <v>960.34942901231511</v>
      </c>
      <c r="BW71" s="6">
        <f t="shared" si="58"/>
        <v>5.4206988580246304E-6</v>
      </c>
      <c r="BX71" s="8">
        <f t="shared" si="59"/>
        <v>26.933018433641621</v>
      </c>
      <c r="BY71" s="7">
        <f t="shared" si="60"/>
        <v>1.3566348045941335E-2</v>
      </c>
      <c r="BZ71" s="9">
        <f t="shared" si="61"/>
        <v>0.20479045130383594</v>
      </c>
      <c r="CA71" s="4">
        <f t="shared" si="101"/>
        <v>951.63721292195908</v>
      </c>
      <c r="CB71" s="6">
        <f t="shared" si="62"/>
        <v>5.4032744258439187E-6</v>
      </c>
      <c r="CC71" s="8">
        <f t="shared" si="63"/>
        <v>26.832827948602528</v>
      </c>
      <c r="CD71" s="7">
        <f t="shared" si="64"/>
        <v>1.3522740031982675E-2</v>
      </c>
      <c r="CE71" s="9">
        <f t="shared" si="65"/>
        <v>0.20555511370493684</v>
      </c>
      <c r="CF71" s="4">
        <f t="shared" si="102"/>
        <v>942.20593812435061</v>
      </c>
      <c r="CG71" s="6">
        <f t="shared" si="66"/>
        <v>5.3844118762487015E-6</v>
      </c>
      <c r="CH71" s="8">
        <f t="shared" si="67"/>
        <v>26.724368288430032</v>
      </c>
      <c r="CI71" s="7">
        <f t="shared" si="68"/>
        <v>1.3475532850852566E-2</v>
      </c>
      <c r="CJ71" s="9">
        <f t="shared" si="69"/>
        <v>0.20638934999215372</v>
      </c>
      <c r="CK71" s="4">
        <f t="shared" si="103"/>
        <v>931.30063822289003</v>
      </c>
      <c r="CL71" s="6">
        <f t="shared" si="70"/>
        <v>5.36260127644578E-6</v>
      </c>
      <c r="CM71" s="8">
        <f t="shared" si="71"/>
        <v>26.598957339563235</v>
      </c>
      <c r="CN71" s="7">
        <f t="shared" si="72"/>
        <v>1.3420947603494812E-2</v>
      </c>
      <c r="CO71" s="9">
        <f t="shared" si="73"/>
        <v>0.20736245145203758</v>
      </c>
      <c r="CP71" s="4">
        <f t="shared" si="104"/>
        <v>914.72927121411726</v>
      </c>
      <c r="CQ71" s="6">
        <f t="shared" si="74"/>
        <v>5.3294585424282354E-6</v>
      </c>
      <c r="CR71" s="8">
        <f t="shared" si="75"/>
        <v>26.408386618962346</v>
      </c>
      <c r="CS71" s="7">
        <f t="shared" si="76"/>
        <v>1.3338001496977482E-2</v>
      </c>
      <c r="CT71" s="9">
        <f t="shared" si="77"/>
        <v>0.20885884017009756</v>
      </c>
      <c r="CU71" s="4">
        <f t="shared" si="105"/>
        <v>875.71301986387698</v>
      </c>
      <c r="CV71" s="6">
        <f t="shared" si="78"/>
        <v>5.2514260397277541E-6</v>
      </c>
      <c r="CW71" s="8">
        <f t="shared" si="79"/>
        <v>25.959699728434586</v>
      </c>
      <c r="CX71" s="7">
        <f t="shared" si="80"/>
        <v>1.3142710056102945E-2</v>
      </c>
      <c r="CY71" s="9">
        <f t="shared" si="81"/>
        <v>0.21246875186150704</v>
      </c>
      <c r="CZ71" s="5">
        <f t="shared" si="106"/>
        <v>773.04680364945466</v>
      </c>
      <c r="DA71" s="6">
        <f t="shared" si="82"/>
        <v>5.0460936072989095E-6</v>
      </c>
      <c r="DB71" s="8">
        <f t="shared" si="83"/>
        <v>24.779038241968728</v>
      </c>
      <c r="DC71" s="7">
        <f t="shared" si="84"/>
        <v>1.2628825902710861E-2</v>
      </c>
      <c r="DD71" s="9">
        <f t="shared" si="85"/>
        <v>0.22259237610998481</v>
      </c>
    </row>
    <row r="72" spans="2:108" x14ac:dyDescent="0.25">
      <c r="B72">
        <v>53</v>
      </c>
      <c r="C72">
        <f t="shared" si="86"/>
        <v>5.1813577316298327E-2</v>
      </c>
      <c r="D72" s="4">
        <f t="shared" si="3"/>
        <v>1019.1450929976812</v>
      </c>
      <c r="E72" s="6">
        <f t="shared" si="4"/>
        <v>5.5382901859953631E-6</v>
      </c>
      <c r="F72" s="8">
        <f t="shared" si="5"/>
        <v>27.609168569473333</v>
      </c>
      <c r="G72" s="7">
        <f t="shared" si="1"/>
        <v>1.3860643103500896E-2</v>
      </c>
      <c r="H72" s="9">
        <f t="shared" si="6"/>
        <v>0.19977512130149652</v>
      </c>
      <c r="I72" s="4">
        <f t="shared" si="87"/>
        <v>1018.8225120776317</v>
      </c>
      <c r="J72" s="6">
        <f t="shared" si="7"/>
        <v>5.5376450241552637E-6</v>
      </c>
      <c r="K72" s="8">
        <f t="shared" si="8"/>
        <v>27.605458888892763</v>
      </c>
      <c r="L72" s="7">
        <f t="shared" si="9"/>
        <v>1.3859028461127652E-2</v>
      </c>
      <c r="M72" s="9">
        <f t="shared" si="10"/>
        <v>0.1998019675093772</v>
      </c>
      <c r="N72" s="4">
        <f t="shared" si="88"/>
        <v>1017.9191346910173</v>
      </c>
      <c r="O72" s="6">
        <f t="shared" si="11"/>
        <v>5.535838269382035E-6</v>
      </c>
      <c r="P72" s="8">
        <f t="shared" si="12"/>
        <v>27.595070048946699</v>
      </c>
      <c r="Q72" s="7">
        <f t="shared" si="2"/>
        <v>1.3860643103500896E-2</v>
      </c>
      <c r="R72" s="9">
        <f t="shared" si="13"/>
        <v>0.19987718785336189</v>
      </c>
      <c r="S72" s="4">
        <f t="shared" si="89"/>
        <v>1016.4186946741926</v>
      </c>
      <c r="T72" s="6">
        <f t="shared" si="14"/>
        <v>5.5328373893483853E-6</v>
      </c>
      <c r="U72" s="8">
        <f t="shared" si="15"/>
        <v>27.577814988753214</v>
      </c>
      <c r="V72" s="7">
        <f t="shared" si="16"/>
        <v>1.3846996424525705E-2</v>
      </c>
      <c r="W72" s="9">
        <f t="shared" si="17"/>
        <v>0.20000224826547652</v>
      </c>
      <c r="X72" s="4">
        <f t="shared" si="90"/>
        <v>1014.3192692395688</v>
      </c>
      <c r="Y72" s="6">
        <f t="shared" si="18"/>
        <v>5.5286385384791383E-6</v>
      </c>
      <c r="Z72" s="8">
        <f t="shared" si="19"/>
        <v>27.553671596255043</v>
      </c>
      <c r="AA72" s="7">
        <f t="shared" si="20"/>
        <v>1.383648798755528E-2</v>
      </c>
      <c r="AB72" s="9">
        <f t="shared" si="21"/>
        <v>0.20017749651736635</v>
      </c>
      <c r="AC72" s="4">
        <f t="shared" si="91"/>
        <v>1011.6199762606301</v>
      </c>
      <c r="AD72" s="6">
        <f t="shared" si="22"/>
        <v>5.5232399525212607E-6</v>
      </c>
      <c r="AE72" s="8">
        <f t="shared" si="23"/>
        <v>27.522629726997245</v>
      </c>
      <c r="AF72" s="7">
        <f t="shared" si="24"/>
        <v>1.3822976981321816E-2</v>
      </c>
      <c r="AG72" s="9">
        <f t="shared" si="25"/>
        <v>0.20040327013481796</v>
      </c>
      <c r="AH72" s="4">
        <f t="shared" si="92"/>
        <v>1008.3208456012421</v>
      </c>
      <c r="AI72" s="6">
        <f t="shared" si="26"/>
        <v>5.5166416912024845E-6</v>
      </c>
      <c r="AJ72" s="8">
        <f t="shared" si="27"/>
        <v>27.484689724414284</v>
      </c>
      <c r="AK72" s="7">
        <f t="shared" si="28"/>
        <v>1.3806463555305525E-2</v>
      </c>
      <c r="AL72" s="9">
        <f t="shared" si="29"/>
        <v>0.20067990780701969</v>
      </c>
      <c r="AM72" s="4">
        <f t="shared" si="93"/>
        <v>1004.4218987352382</v>
      </c>
      <c r="AN72" s="6">
        <f t="shared" si="30"/>
        <v>5.5088437974704769E-6</v>
      </c>
      <c r="AO72" s="8">
        <f t="shared" si="31"/>
        <v>27.439851835455237</v>
      </c>
      <c r="AP72" s="7">
        <f t="shared" si="32"/>
        <v>1.3786947816991253E-2</v>
      </c>
      <c r="AQ72" s="9">
        <f t="shared" si="33"/>
        <v>0.20100782734086123</v>
      </c>
      <c r="AR72" s="4">
        <f t="shared" si="94"/>
        <v>999.92314131573494</v>
      </c>
      <c r="AS72" s="6">
        <f t="shared" si="34"/>
        <v>5.4998462826314701E-6</v>
      </c>
      <c r="AT72" s="8">
        <f t="shared" si="35"/>
        <v>27.388116125130949</v>
      </c>
      <c r="AU72" s="7">
        <f t="shared" si="36"/>
        <v>1.3764429794675037E-2</v>
      </c>
      <c r="AV72" s="9">
        <f t="shared" si="37"/>
        <v>0.20138752788984052</v>
      </c>
      <c r="AW72" s="4">
        <f t="shared" si="95"/>
        <v>994.82457442008592</v>
      </c>
      <c r="AX72" s="6">
        <f t="shared" si="38"/>
        <v>5.4896491488401727E-6</v>
      </c>
      <c r="AY72" s="8">
        <f t="shared" si="39"/>
        <v>27.329482605830989</v>
      </c>
      <c r="AZ72" s="7">
        <f t="shared" si="40"/>
        <v>1.373890949374945E-2</v>
      </c>
      <c r="BA72" s="9">
        <f t="shared" si="41"/>
        <v>0.20181959093595106</v>
      </c>
      <c r="BB72" s="4">
        <f t="shared" si="96"/>
        <v>989.12619822737543</v>
      </c>
      <c r="BC72" s="6">
        <f t="shared" si="42"/>
        <v>5.4782523964547511E-6</v>
      </c>
      <c r="BD72" s="8">
        <f t="shared" si="43"/>
        <v>27.263951279614815</v>
      </c>
      <c r="BE72" s="7">
        <f t="shared" si="44"/>
        <v>1.3710386915110874E-2</v>
      </c>
      <c r="BF72" s="9">
        <f t="shared" si="45"/>
        <v>0.20230468223158901</v>
      </c>
      <c r="BG72" s="4">
        <f t="shared" si="97"/>
        <v>982.82801227907646</v>
      </c>
      <c r="BH72" s="6">
        <f t="shared" si="46"/>
        <v>5.4656560245581538E-6</v>
      </c>
      <c r="BI72" s="8">
        <f t="shared" si="47"/>
        <v>27.191522141209379</v>
      </c>
      <c r="BJ72" s="7">
        <f t="shared" si="48"/>
        <v>1.3678862056464213E-2</v>
      </c>
      <c r="BK72" s="9">
        <f t="shared" si="49"/>
        <v>0.20284355437538906</v>
      </c>
      <c r="BL72" s="4">
        <f t="shared" si="98"/>
        <v>975.93000853328135</v>
      </c>
      <c r="BM72" s="6">
        <f t="shared" si="50"/>
        <v>5.4518600170665636E-6</v>
      </c>
      <c r="BN72" s="8">
        <f t="shared" si="51"/>
        <v>27.112195098132737</v>
      </c>
      <c r="BO72" s="7">
        <f t="shared" si="52"/>
        <v>1.3644334877556596E-2</v>
      </c>
      <c r="BP72" s="9">
        <f t="shared" si="53"/>
        <v>0.20343705037663551</v>
      </c>
      <c r="BQ72" s="4">
        <f t="shared" si="99"/>
        <v>968.43207723473654</v>
      </c>
      <c r="BR72" s="6">
        <f t="shared" si="54"/>
        <v>5.4368641544694737E-6</v>
      </c>
      <c r="BS72" s="8">
        <f t="shared" si="55"/>
        <v>27.025968888199472</v>
      </c>
      <c r="BT72" s="7">
        <f t="shared" si="56"/>
        <v>1.3606804829020498E-2</v>
      </c>
      <c r="BU72" s="9">
        <f t="shared" si="57"/>
        <v>0.20408611520337847</v>
      </c>
      <c r="BV72" s="4">
        <f t="shared" si="100"/>
        <v>960.33291602066083</v>
      </c>
      <c r="BW72" s="6">
        <f t="shared" si="58"/>
        <v>5.4206658320413218E-6</v>
      </c>
      <c r="BX72" s="8">
        <f t="shared" si="59"/>
        <v>26.932828534237601</v>
      </c>
      <c r="BY72" s="7">
        <f t="shared" si="60"/>
        <v>1.3566265392026065E-2</v>
      </c>
      <c r="BZ72" s="9">
        <f t="shared" si="61"/>
        <v>0.2047918952511214</v>
      </c>
      <c r="CA72" s="4">
        <f t="shared" si="101"/>
        <v>951.61925333361989</v>
      </c>
      <c r="CB72" s="6">
        <f t="shared" si="62"/>
        <v>5.4032385066672408E-6</v>
      </c>
      <c r="CC72" s="8">
        <f t="shared" si="63"/>
        <v>26.832621413336629</v>
      </c>
      <c r="CD72" s="7">
        <f t="shared" si="64"/>
        <v>1.3522650137291032E-2</v>
      </c>
      <c r="CE72" s="9">
        <f t="shared" si="65"/>
        <v>0.20555669589772421</v>
      </c>
      <c r="CF72" s="4">
        <f t="shared" si="102"/>
        <v>942.17741151155747</v>
      </c>
      <c r="CG72" s="6">
        <f t="shared" si="66"/>
        <v>5.3843548230231161E-6</v>
      </c>
      <c r="CH72" s="8">
        <f t="shared" si="67"/>
        <v>26.724040232382912</v>
      </c>
      <c r="CI72" s="7">
        <f t="shared" si="68"/>
        <v>1.3475390064113125E-2</v>
      </c>
      <c r="CJ72" s="9">
        <f t="shared" si="69"/>
        <v>0.20639188356393917</v>
      </c>
      <c r="CK72" s="4">
        <f t="shared" si="103"/>
        <v>931.21339579365792</v>
      </c>
      <c r="CL72" s="6">
        <f t="shared" si="70"/>
        <v>5.3624267915873157E-6</v>
      </c>
      <c r="CM72" s="8">
        <f t="shared" si="71"/>
        <v>26.597954051627063</v>
      </c>
      <c r="CN72" s="7">
        <f t="shared" si="72"/>
        <v>1.3420510921365683E-2</v>
      </c>
      <c r="CO72" s="9">
        <f t="shared" si="73"/>
        <v>0.20737027326590918</v>
      </c>
      <c r="CP72" s="4">
        <f t="shared" si="104"/>
        <v>914.40732678092604</v>
      </c>
      <c r="CQ72" s="6">
        <f t="shared" si="74"/>
        <v>5.3288146535618533E-6</v>
      </c>
      <c r="CR72" s="8">
        <f t="shared" si="75"/>
        <v>26.404684257980648</v>
      </c>
      <c r="CS72" s="7">
        <f t="shared" si="76"/>
        <v>1.3336390040467348E-2</v>
      </c>
      <c r="CT72" s="9">
        <f t="shared" si="77"/>
        <v>0.20888812553526132</v>
      </c>
      <c r="CU72" s="4">
        <f t="shared" si="105"/>
        <v>874.81443456298257</v>
      </c>
      <c r="CV72" s="6">
        <f t="shared" si="78"/>
        <v>5.2496288691259658E-6</v>
      </c>
      <c r="CW72" s="8">
        <f t="shared" si="79"/>
        <v>25.949365997474299</v>
      </c>
      <c r="CX72" s="7">
        <f t="shared" si="80"/>
        <v>1.313821228883707E-2</v>
      </c>
      <c r="CY72" s="9">
        <f t="shared" si="81"/>
        <v>0.21255336259609758</v>
      </c>
      <c r="CZ72" s="5">
        <f t="shared" si="106"/>
        <v>771.67100551352723</v>
      </c>
      <c r="DA72" s="6">
        <f t="shared" si="82"/>
        <v>5.0433420110270548E-6</v>
      </c>
      <c r="DB72" s="8">
        <f t="shared" si="83"/>
        <v>24.763216563405564</v>
      </c>
      <c r="DC72" s="7">
        <f t="shared" si="84"/>
        <v>1.2621939500480522E-2</v>
      </c>
      <c r="DD72" s="9">
        <f t="shared" si="85"/>
        <v>0.22273459450945671</v>
      </c>
    </row>
    <row r="73" spans="2:108" x14ac:dyDescent="0.25">
      <c r="B73">
        <v>54</v>
      </c>
      <c r="C73">
        <f t="shared" si="86"/>
        <v>5.2791191982643579E-2</v>
      </c>
      <c r="D73" s="4">
        <f t="shared" si="3"/>
        <v>1019.1286236454741</v>
      </c>
      <c r="E73" s="6">
        <f t="shared" si="4"/>
        <v>5.5382572472909486E-6</v>
      </c>
      <c r="F73" s="8">
        <f t="shared" si="5"/>
        <v>27.608979171922954</v>
      </c>
      <c r="G73" s="7">
        <f t="shared" si="1"/>
        <v>1.3860560668017947E-2</v>
      </c>
      <c r="H73" s="9">
        <f t="shared" si="6"/>
        <v>0.19977649175849044</v>
      </c>
      <c r="I73" s="4">
        <f t="shared" si="87"/>
        <v>1018.8059656782282</v>
      </c>
      <c r="J73" s="6">
        <f t="shared" si="7"/>
        <v>5.5376119313564564E-6</v>
      </c>
      <c r="K73" s="8">
        <f t="shared" si="8"/>
        <v>27.605268605299621</v>
      </c>
      <c r="L73" s="7">
        <f t="shared" si="9"/>
        <v>1.3858945639993665E-2</v>
      </c>
      <c r="M73" s="9">
        <f t="shared" si="10"/>
        <v>0.19980334474778913</v>
      </c>
      <c r="N73" s="4">
        <f t="shared" si="88"/>
        <v>1017.9025314388009</v>
      </c>
      <c r="O73" s="6">
        <f t="shared" si="11"/>
        <v>5.5358050628776027E-6</v>
      </c>
      <c r="P73" s="8">
        <f t="shared" si="12"/>
        <v>27.594879111546209</v>
      </c>
      <c r="Q73" s="7">
        <f t="shared" si="2"/>
        <v>1.3860560668017947E-2</v>
      </c>
      <c r="R73" s="9">
        <f t="shared" si="13"/>
        <v>0.19987857086469932</v>
      </c>
      <c r="S73" s="4">
        <f t="shared" si="89"/>
        <v>1016.4020763748888</v>
      </c>
      <c r="T73" s="6">
        <f t="shared" si="14"/>
        <v>5.5328041527497779E-6</v>
      </c>
      <c r="U73" s="8">
        <f t="shared" si="15"/>
        <v>27.577623878311222</v>
      </c>
      <c r="V73" s="7">
        <f t="shared" si="16"/>
        <v>1.3846913243504885E-2</v>
      </c>
      <c r="W73" s="9">
        <f t="shared" si="17"/>
        <v>0.20000363426298792</v>
      </c>
      <c r="X73" s="4">
        <f t="shared" si="90"/>
        <v>1014.302656996031</v>
      </c>
      <c r="Y73" s="6">
        <f t="shared" si="18"/>
        <v>5.5286053139920628E-6</v>
      </c>
      <c r="Z73" s="8">
        <f t="shared" si="19"/>
        <v>27.553480555454357</v>
      </c>
      <c r="AA73" s="7">
        <f t="shared" si="20"/>
        <v>1.3836404836845912E-2</v>
      </c>
      <c r="AB73" s="9">
        <f t="shared" si="21"/>
        <v>0.20017888443890813</v>
      </c>
      <c r="AC73" s="4">
        <f t="shared" si="91"/>
        <v>1011.6033770018628</v>
      </c>
      <c r="AD73" s="6">
        <f t="shared" si="22"/>
        <v>5.5232067540037257E-6</v>
      </c>
      <c r="AE73" s="8">
        <f t="shared" si="23"/>
        <v>27.52243883552142</v>
      </c>
      <c r="AF73" s="7">
        <f t="shared" si="24"/>
        <v>1.382289389560625E-2</v>
      </c>
      <c r="AG73" s="9">
        <f t="shared" si="25"/>
        <v>0.20040466010160923</v>
      </c>
      <c r="AH73" s="4">
        <f t="shared" si="92"/>
        <v>1008.3042628836374</v>
      </c>
      <c r="AI73" s="6">
        <f t="shared" si="26"/>
        <v>5.5166085257672756E-6</v>
      </c>
      <c r="AJ73" s="8">
        <f t="shared" si="27"/>
        <v>27.484499023161831</v>
      </c>
      <c r="AK73" s="7">
        <f t="shared" si="28"/>
        <v>1.3806380552384883E-2</v>
      </c>
      <c r="AL73" s="9">
        <f t="shared" si="29"/>
        <v>0.20068130022496874</v>
      </c>
      <c r="AM73" s="4">
        <f t="shared" si="93"/>
        <v>1004.4053359581106</v>
      </c>
      <c r="AN73" s="6">
        <f t="shared" si="30"/>
        <v>5.5088106719162211E-6</v>
      </c>
      <c r="AO73" s="8">
        <f t="shared" si="31"/>
        <v>27.439661363518269</v>
      </c>
      <c r="AP73" s="7">
        <f t="shared" si="32"/>
        <v>1.3786864913880415E-2</v>
      </c>
      <c r="AQ73" s="9">
        <f t="shared" si="33"/>
        <v>0.20100922263323426</v>
      </c>
      <c r="AR73" s="4">
        <f t="shared" si="94"/>
        <v>999.90660201014657</v>
      </c>
      <c r="AS73" s="6">
        <f t="shared" si="34"/>
        <v>5.4998132040202935E-6</v>
      </c>
      <c r="AT73" s="8">
        <f t="shared" si="35"/>
        <v>27.387925923116683</v>
      </c>
      <c r="AU73" s="7">
        <f t="shared" si="36"/>
        <v>1.376434700904834E-2</v>
      </c>
      <c r="AV73" s="9">
        <f t="shared" si="37"/>
        <v>0.20138892647378442</v>
      </c>
      <c r="AW73" s="4">
        <f t="shared" si="95"/>
        <v>994.80806216615383</v>
      </c>
      <c r="AX73" s="6">
        <f t="shared" si="38"/>
        <v>5.4896161243323084E-6</v>
      </c>
      <c r="AY73" s="8">
        <f t="shared" si="39"/>
        <v>27.329292714910768</v>
      </c>
      <c r="AZ73" s="7">
        <f t="shared" si="40"/>
        <v>1.3738826843526763E-2</v>
      </c>
      <c r="BA73" s="9">
        <f t="shared" si="41"/>
        <v>0.20182099323012095</v>
      </c>
      <c r="BB73" s="4">
        <f t="shared" si="96"/>
        <v>989.10971661050564</v>
      </c>
      <c r="BC73" s="6">
        <f t="shared" si="42"/>
        <v>5.4782194332210112E-6</v>
      </c>
      <c r="BD73" s="8">
        <f t="shared" si="43"/>
        <v>27.263761741020815</v>
      </c>
      <c r="BE73" s="7">
        <f t="shared" si="44"/>
        <v>1.3710304418238544E-2</v>
      </c>
      <c r="BF73" s="9">
        <f t="shared" si="45"/>
        <v>0.20230608866058419</v>
      </c>
      <c r="BG73" s="4">
        <f t="shared" si="97"/>
        <v>982.81156478639241</v>
      </c>
      <c r="BH73" s="6">
        <f t="shared" si="46"/>
        <v>5.465623129572785E-6</v>
      </c>
      <c r="BI73" s="8">
        <f t="shared" si="47"/>
        <v>27.19133299504351</v>
      </c>
      <c r="BJ73" s="7">
        <f t="shared" si="48"/>
        <v>1.3678779730396638E-2</v>
      </c>
      <c r="BK73" s="9">
        <f t="shared" si="49"/>
        <v>0.20284496537942437</v>
      </c>
      <c r="BL73" s="4">
        <f t="shared" si="98"/>
        <v>975.91359730541285</v>
      </c>
      <c r="BM73" s="6">
        <f t="shared" si="50"/>
        <v>5.4518271946108262E-6</v>
      </c>
      <c r="BN73" s="8">
        <f t="shared" si="51"/>
        <v>27.112006369012249</v>
      </c>
      <c r="BO73" s="7">
        <f t="shared" si="52"/>
        <v>1.3644252733008462E-2</v>
      </c>
      <c r="BP73" s="9">
        <f t="shared" si="53"/>
        <v>0.20343846652028308</v>
      </c>
      <c r="BQ73" s="4">
        <f t="shared" si="99"/>
        <v>968.41568887596679</v>
      </c>
      <c r="BR73" s="6">
        <f t="shared" si="54"/>
        <v>5.436831377751934E-6</v>
      </c>
      <c r="BS73" s="8">
        <f t="shared" si="55"/>
        <v>27.025780422073616</v>
      </c>
      <c r="BT73" s="7">
        <f t="shared" si="56"/>
        <v>1.3606722798941057E-2</v>
      </c>
      <c r="BU73" s="9">
        <f t="shared" si="57"/>
        <v>0.2040875384118436</v>
      </c>
      <c r="BV73" s="4">
        <f t="shared" si="100"/>
        <v>960.31638440394829</v>
      </c>
      <c r="BW73" s="6">
        <f t="shared" si="58"/>
        <v>5.4206327688078972E-6</v>
      </c>
      <c r="BX73" s="8">
        <f t="shared" si="59"/>
        <v>26.932638420645404</v>
      </c>
      <c r="BY73" s="7">
        <f t="shared" si="60"/>
        <v>1.3566182644885167E-2</v>
      </c>
      <c r="BZ73" s="9">
        <f t="shared" si="61"/>
        <v>0.20479334084743658</v>
      </c>
      <c r="CA73" s="4">
        <f t="shared" si="101"/>
        <v>951.60116469280331</v>
      </c>
      <c r="CB73" s="6">
        <f t="shared" si="62"/>
        <v>5.4032023293856072E-6</v>
      </c>
      <c r="CC73" s="8">
        <f t="shared" si="63"/>
        <v>26.832413393967236</v>
      </c>
      <c r="CD73" s="7">
        <f t="shared" si="64"/>
        <v>1.3522559596641781E-2</v>
      </c>
      <c r="CE73" s="9">
        <f t="shared" si="65"/>
        <v>0.20555828948431767</v>
      </c>
      <c r="CF73" s="4">
        <f t="shared" si="102"/>
        <v>942.14820471731252</v>
      </c>
      <c r="CG73" s="6">
        <f t="shared" si="66"/>
        <v>5.3842964094346264E-6</v>
      </c>
      <c r="CH73" s="8">
        <f t="shared" si="67"/>
        <v>26.723704354249094</v>
      </c>
      <c r="CI73" s="7">
        <f t="shared" si="68"/>
        <v>1.3475243872802221E-2</v>
      </c>
      <c r="CJ73" s="9">
        <f t="shared" si="69"/>
        <v>0.2063944776100253</v>
      </c>
      <c r="CK73" s="4">
        <f t="shared" si="103"/>
        <v>931.12366656361235</v>
      </c>
      <c r="CL73" s="6">
        <f t="shared" si="70"/>
        <v>5.3622473331272249E-6</v>
      </c>
      <c r="CM73" s="8">
        <f t="shared" si="71"/>
        <v>26.596922165481541</v>
      </c>
      <c r="CN73" s="7">
        <f t="shared" si="72"/>
        <v>1.3420061791835868E-2</v>
      </c>
      <c r="CO73" s="9">
        <f t="shared" si="73"/>
        <v>0.20737831865216269</v>
      </c>
      <c r="CP73" s="4">
        <f t="shared" si="104"/>
        <v>914.08050182923046</v>
      </c>
      <c r="CQ73" s="6">
        <f t="shared" si="74"/>
        <v>5.3281610036584616E-6</v>
      </c>
      <c r="CR73" s="8">
        <f t="shared" si="75"/>
        <v>26.40092577103615</v>
      </c>
      <c r="CS73" s="7">
        <f t="shared" si="76"/>
        <v>1.3334754155072888E-2</v>
      </c>
      <c r="CT73" s="9">
        <f t="shared" si="77"/>
        <v>0.20891786325353279</v>
      </c>
      <c r="CU73" s="4">
        <f t="shared" si="105"/>
        <v>873.91691552125087</v>
      </c>
      <c r="CV73" s="6">
        <f t="shared" si="78"/>
        <v>5.247833831042502E-6</v>
      </c>
      <c r="CW73" s="8">
        <f t="shared" si="79"/>
        <v>25.939044528494385</v>
      </c>
      <c r="CX73" s="7">
        <f t="shared" si="80"/>
        <v>1.3133719858611042E-2</v>
      </c>
      <c r="CY73" s="9">
        <f t="shared" si="81"/>
        <v>0.21263794022717425</v>
      </c>
      <c r="CZ73" s="5">
        <f t="shared" si="106"/>
        <v>770.31408497644088</v>
      </c>
      <c r="DA73" s="6">
        <f t="shared" si="82"/>
        <v>5.0406281699528821E-6</v>
      </c>
      <c r="DB73" s="8">
        <f t="shared" si="83"/>
        <v>24.74761197722907</v>
      </c>
      <c r="DC73" s="7">
        <f t="shared" si="84"/>
        <v>1.2615147587939742E-2</v>
      </c>
      <c r="DD73" s="9">
        <f t="shared" si="85"/>
        <v>0.22287503962301786</v>
      </c>
    </row>
    <row r="74" spans="2:108" x14ac:dyDescent="0.25">
      <c r="B74">
        <v>55</v>
      </c>
      <c r="C74">
        <f t="shared" si="86"/>
        <v>5.376880664898883E-2</v>
      </c>
      <c r="D74" s="4">
        <f t="shared" si="3"/>
        <v>1019.1121503596264</v>
      </c>
      <c r="E74" s="6">
        <f t="shared" si="4"/>
        <v>5.5382243007192532E-6</v>
      </c>
      <c r="F74" s="8">
        <f t="shared" si="5"/>
        <v>27.608789729135701</v>
      </c>
      <c r="G74" s="7">
        <f t="shared" si="1"/>
        <v>1.386047821284561E-2</v>
      </c>
      <c r="H74" s="9">
        <f t="shared" si="6"/>
        <v>0.19977786256162225</v>
      </c>
      <c r="I74" s="4">
        <f t="shared" si="87"/>
        <v>1018.7894187292023</v>
      </c>
      <c r="J74" s="6">
        <f t="shared" si="7"/>
        <v>5.5375788374584053E-6</v>
      </c>
      <c r="K74" s="8">
        <f t="shared" si="8"/>
        <v>27.605078315385825</v>
      </c>
      <c r="L74" s="7">
        <f t="shared" si="9"/>
        <v>1.3858862816108607E-2</v>
      </c>
      <c r="M74" s="9">
        <f t="shared" si="10"/>
        <v>0.19980472205093652</v>
      </c>
      <c r="N74" s="4">
        <f t="shared" si="88"/>
        <v>1017.8859286160759</v>
      </c>
      <c r="O74" s="6">
        <f t="shared" si="11"/>
        <v>5.5357718572321526E-6</v>
      </c>
      <c r="P74" s="8">
        <f t="shared" si="12"/>
        <v>27.594688179084873</v>
      </c>
      <c r="Q74" s="7">
        <f t="shared" si="2"/>
        <v>1.386047821284561E-2</v>
      </c>
      <c r="R74" s="9">
        <f t="shared" si="13"/>
        <v>0.19987995385939947</v>
      </c>
      <c r="S74" s="4">
        <f t="shared" si="89"/>
        <v>1016.3854584461707</v>
      </c>
      <c r="T74" s="6">
        <f t="shared" si="14"/>
        <v>5.5327709168923422E-6</v>
      </c>
      <c r="U74" s="8">
        <f t="shared" si="15"/>
        <v>27.577432772130962</v>
      </c>
      <c r="V74" s="7">
        <f t="shared" si="16"/>
        <v>1.384683006433899E-2</v>
      </c>
      <c r="W74" s="9">
        <f t="shared" si="17"/>
        <v>0.20000502024880096</v>
      </c>
      <c r="X74" s="4">
        <f t="shared" si="90"/>
        <v>1014.286044981185</v>
      </c>
      <c r="Y74" s="6">
        <f t="shared" si="18"/>
        <v>5.5285720899623706E-6</v>
      </c>
      <c r="Z74" s="8">
        <f t="shared" si="19"/>
        <v>27.553289517283627</v>
      </c>
      <c r="AA74" s="7">
        <f t="shared" si="20"/>
        <v>1.3836321687281234E-2</v>
      </c>
      <c r="AB74" s="9">
        <f t="shared" si="21"/>
        <v>0.20018027236058905</v>
      </c>
      <c r="AC74" s="4">
        <f t="shared" si="91"/>
        <v>1011.5867779329087</v>
      </c>
      <c r="AD74" s="6">
        <f t="shared" si="22"/>
        <v>5.5231735558658182E-6</v>
      </c>
      <c r="AE74" s="8">
        <f t="shared" si="23"/>
        <v>27.522247946228447</v>
      </c>
      <c r="AF74" s="7">
        <f t="shared" si="24"/>
        <v>1.3822810810840774E-2</v>
      </c>
      <c r="AG74" s="9">
        <f t="shared" si="25"/>
        <v>0.20040605007178719</v>
      </c>
      <c r="AH74" s="4">
        <f t="shared" si="92"/>
        <v>1008.2876803547172</v>
      </c>
      <c r="AI74" s="6">
        <f t="shared" si="26"/>
        <v>5.5165753607094344E-6</v>
      </c>
      <c r="AJ74" s="8">
        <f t="shared" si="27"/>
        <v>27.484308324079247</v>
      </c>
      <c r="AK74" s="7">
        <f t="shared" si="28"/>
        <v>1.3806297550408676E-2</v>
      </c>
      <c r="AL74" s="9">
        <f t="shared" si="29"/>
        <v>0.20068269264639677</v>
      </c>
      <c r="AM74" s="4">
        <f t="shared" si="93"/>
        <v>1004.3887733721184</v>
      </c>
      <c r="AN74" s="6">
        <f t="shared" si="30"/>
        <v>5.5087775467442372E-6</v>
      </c>
      <c r="AO74" s="8">
        <f t="shared" si="31"/>
        <v>27.439470893779362</v>
      </c>
      <c r="AP74" s="7">
        <f t="shared" si="32"/>
        <v>1.3786782011726284E-2</v>
      </c>
      <c r="AQ74" s="9">
        <f t="shared" si="33"/>
        <v>0.20101061792887612</v>
      </c>
      <c r="AR74" s="4">
        <f t="shared" si="94"/>
        <v>999.89006289690394</v>
      </c>
      <c r="AS74" s="6">
        <f t="shared" si="34"/>
        <v>5.4997801257938088E-6</v>
      </c>
      <c r="AT74" s="8">
        <f t="shared" si="35"/>
        <v>27.387735723314393</v>
      </c>
      <c r="AU74" s="7">
        <f t="shared" si="36"/>
        <v>1.3764264224384407E-2</v>
      </c>
      <c r="AV74" s="9">
        <f t="shared" si="37"/>
        <v>0.20139032506088872</v>
      </c>
      <c r="AW74" s="4">
        <f t="shared" si="95"/>
        <v>994.79155010499744</v>
      </c>
      <c r="AX74" s="6">
        <f t="shared" si="38"/>
        <v>5.4895831002099947E-6</v>
      </c>
      <c r="AY74" s="8">
        <f t="shared" si="39"/>
        <v>27.329102826207468</v>
      </c>
      <c r="AZ74" s="7">
        <f t="shared" si="40"/>
        <v>1.3738744194268992E-2</v>
      </c>
      <c r="BA74" s="9">
        <f t="shared" si="41"/>
        <v>0.20182239552740627</v>
      </c>
      <c r="BB74" s="4">
        <f t="shared" si="96"/>
        <v>989.09323518518067</v>
      </c>
      <c r="BC74" s="6">
        <f t="shared" si="42"/>
        <v>5.4781864703703624E-6</v>
      </c>
      <c r="BD74" s="8">
        <f t="shared" si="43"/>
        <v>27.263572204629575</v>
      </c>
      <c r="BE74" s="7">
        <f t="shared" si="44"/>
        <v>1.3710221922324973E-2</v>
      </c>
      <c r="BF74" s="9">
        <f t="shared" si="45"/>
        <v>0.20230749509278914</v>
      </c>
      <c r="BG74" s="4">
        <f t="shared" si="97"/>
        <v>982.79511746588855</v>
      </c>
      <c r="BH74" s="6">
        <f t="shared" si="46"/>
        <v>5.4655902349317775E-6</v>
      </c>
      <c r="BI74" s="8">
        <f t="shared" si="47"/>
        <v>27.191143850857717</v>
      </c>
      <c r="BJ74" s="7">
        <f t="shared" si="48"/>
        <v>1.3678697405190897E-2</v>
      </c>
      <c r="BK74" s="9">
        <f t="shared" si="49"/>
        <v>0.20284637638831862</v>
      </c>
      <c r="BL74" s="4">
        <f t="shared" si="98"/>
        <v>975.89718602678192</v>
      </c>
      <c r="BM74" s="6">
        <f t="shared" si="50"/>
        <v>5.4517943720535642E-6</v>
      </c>
      <c r="BN74" s="8">
        <f t="shared" si="51"/>
        <v>27.111817639307993</v>
      </c>
      <c r="BO74" s="7">
        <f t="shared" si="52"/>
        <v>1.3644170588206246E-2</v>
      </c>
      <c r="BP74" s="9">
        <f t="shared" si="53"/>
        <v>0.20343988268802701</v>
      </c>
      <c r="BQ74" s="4">
        <f t="shared" si="99"/>
        <v>968.39929828601976</v>
      </c>
      <c r="BR74" s="6">
        <f t="shared" si="54"/>
        <v>5.4367985965720401E-6</v>
      </c>
      <c r="BS74" s="8">
        <f t="shared" si="55"/>
        <v>27.025591930289224</v>
      </c>
      <c r="BT74" s="7">
        <f t="shared" si="56"/>
        <v>1.3606640757693711E-2</v>
      </c>
      <c r="BU74" s="9">
        <f t="shared" si="57"/>
        <v>0.20408896183392394</v>
      </c>
      <c r="BV74" s="4">
        <f t="shared" si="100"/>
        <v>960.29983282404976</v>
      </c>
      <c r="BW74" s="6">
        <f t="shared" si="58"/>
        <v>5.4205996656480998E-6</v>
      </c>
      <c r="BX74" s="8">
        <f t="shared" si="59"/>
        <v>26.932448077476572</v>
      </c>
      <c r="BY74" s="7">
        <f t="shared" si="60"/>
        <v>1.3566099797820795E-2</v>
      </c>
      <c r="BZ74" s="9">
        <f t="shared" si="61"/>
        <v>0.20479478820986499</v>
      </c>
      <c r="CA74" s="4">
        <f t="shared" si="101"/>
        <v>951.58294072345984</v>
      </c>
      <c r="CB74" s="6">
        <f t="shared" si="62"/>
        <v>5.4031658814469196E-6</v>
      </c>
      <c r="CC74" s="8">
        <f t="shared" si="63"/>
        <v>26.832203818319787</v>
      </c>
      <c r="CD74" s="7">
        <f t="shared" si="64"/>
        <v>1.3522468378620867E-2</v>
      </c>
      <c r="CE74" s="9">
        <f t="shared" si="65"/>
        <v>0.20555989501817165</v>
      </c>
      <c r="CF74" s="4">
        <f t="shared" si="102"/>
        <v>942.11829977856428</v>
      </c>
      <c r="CG74" s="6">
        <f t="shared" si="66"/>
        <v>5.3842365995571295E-6</v>
      </c>
      <c r="CH74" s="8">
        <f t="shared" si="67"/>
        <v>26.723360447453487</v>
      </c>
      <c r="CI74" s="7">
        <f t="shared" si="68"/>
        <v>1.3475094187007833E-2</v>
      </c>
      <c r="CJ74" s="9">
        <f t="shared" si="69"/>
        <v>0.20639713373044719</v>
      </c>
      <c r="CK74" s="4">
        <f t="shared" si="103"/>
        <v>931.03144103473687</v>
      </c>
      <c r="CL74" s="6">
        <f t="shared" si="70"/>
        <v>5.3620628820694742E-6</v>
      </c>
      <c r="CM74" s="8">
        <f t="shared" si="71"/>
        <v>26.595861571899473</v>
      </c>
      <c r="CN74" s="7">
        <f t="shared" si="72"/>
        <v>1.3419600167364112E-2</v>
      </c>
      <c r="CO74" s="9">
        <f t="shared" si="73"/>
        <v>0.20738658851449551</v>
      </c>
      <c r="CP74" s="4">
        <f t="shared" si="104"/>
        <v>913.74891024584906</v>
      </c>
      <c r="CQ74" s="6">
        <f t="shared" si="74"/>
        <v>5.3274978204916988E-6</v>
      </c>
      <c r="CR74" s="8">
        <f t="shared" si="75"/>
        <v>26.397112467827263</v>
      </c>
      <c r="CS74" s="7">
        <f t="shared" si="76"/>
        <v>1.3333094410841718E-2</v>
      </c>
      <c r="CT74" s="9">
        <f t="shared" si="77"/>
        <v>0.20894804334081732</v>
      </c>
      <c r="CU74" s="4">
        <f t="shared" si="105"/>
        <v>873.02063063562014</v>
      </c>
      <c r="CV74" s="6">
        <f t="shared" si="78"/>
        <v>5.246041261271241E-6</v>
      </c>
      <c r="CW74" s="8">
        <f t="shared" si="79"/>
        <v>25.928737252309631</v>
      </c>
      <c r="CX74" s="7">
        <f t="shared" si="80"/>
        <v>1.3129233605814031E-2</v>
      </c>
      <c r="CY74" s="9">
        <f t="shared" si="81"/>
        <v>0.21272246875457421</v>
      </c>
      <c r="CZ74" s="5">
        <f t="shared" si="106"/>
        <v>768.97546520312733</v>
      </c>
      <c r="DA74" s="6">
        <f t="shared" si="82"/>
        <v>5.0379509304062552E-6</v>
      </c>
      <c r="DB74" s="8">
        <f t="shared" si="83"/>
        <v>24.732217849835962</v>
      </c>
      <c r="DC74" s="7">
        <f t="shared" si="84"/>
        <v>1.2608447277805721E-2</v>
      </c>
      <c r="DD74" s="9">
        <f t="shared" si="85"/>
        <v>0.22301376421187324</v>
      </c>
    </row>
    <row r="75" spans="2:108" x14ac:dyDescent="0.25">
      <c r="B75">
        <v>56</v>
      </c>
      <c r="C75">
        <f t="shared" si="86"/>
        <v>5.4746421315334082E-2</v>
      </c>
      <c r="D75" s="4">
        <f t="shared" si="3"/>
        <v>1019.095673312909</v>
      </c>
      <c r="E75" s="6">
        <f t="shared" si="4"/>
        <v>5.5381913466258179E-6</v>
      </c>
      <c r="F75" s="8">
        <f t="shared" si="5"/>
        <v>27.608600243098451</v>
      </c>
      <c r="G75" s="7">
        <f t="shared" si="1"/>
        <v>1.3860395738848659E-2</v>
      </c>
      <c r="H75" s="9">
        <f t="shared" si="6"/>
        <v>0.19977923369652853</v>
      </c>
      <c r="I75" s="4">
        <f t="shared" si="87"/>
        <v>1018.7728712274888</v>
      </c>
      <c r="J75" s="6">
        <f t="shared" si="7"/>
        <v>5.5375457424549787E-6</v>
      </c>
      <c r="K75" s="8">
        <f t="shared" si="8"/>
        <v>27.604888019116121</v>
      </c>
      <c r="L75" s="7">
        <f t="shared" si="9"/>
        <v>1.3858779989457131E-2</v>
      </c>
      <c r="M75" s="9">
        <f t="shared" si="10"/>
        <v>0.19980609941907687</v>
      </c>
      <c r="N75" s="4">
        <f t="shared" si="88"/>
        <v>1017.8693262116444</v>
      </c>
      <c r="O75" s="6">
        <f t="shared" si="11"/>
        <v>5.5357386524232897E-6</v>
      </c>
      <c r="P75" s="8">
        <f t="shared" si="12"/>
        <v>27.594497251433911</v>
      </c>
      <c r="Q75" s="7">
        <f t="shared" si="2"/>
        <v>1.3860395738848659E-2</v>
      </c>
      <c r="R75" s="9">
        <f t="shared" si="13"/>
        <v>0.19988133683839404</v>
      </c>
      <c r="S75" s="4">
        <f t="shared" si="89"/>
        <v>1016.3688408864435</v>
      </c>
      <c r="T75" s="6">
        <f t="shared" si="14"/>
        <v>5.5327376817728873E-6</v>
      </c>
      <c r="U75" s="8">
        <f t="shared" si="15"/>
        <v>27.577241670194098</v>
      </c>
      <c r="V75" s="7">
        <f t="shared" si="16"/>
        <v>1.3846746887020034E-2</v>
      </c>
      <c r="W75" s="9">
        <f t="shared" si="17"/>
        <v>0.20000640622304772</v>
      </c>
      <c r="X75" s="4">
        <f t="shared" si="90"/>
        <v>1014.2694331961405</v>
      </c>
      <c r="Y75" s="6">
        <f t="shared" si="18"/>
        <v>5.528538866392282E-6</v>
      </c>
      <c r="Z75" s="8">
        <f t="shared" si="19"/>
        <v>27.553098481755615</v>
      </c>
      <c r="AA75" s="7">
        <f t="shared" si="20"/>
        <v>1.3836238538866804E-2</v>
      </c>
      <c r="AB75" s="9">
        <f t="shared" si="21"/>
        <v>0.20018166028231602</v>
      </c>
      <c r="AC75" s="4">
        <f t="shared" si="91"/>
        <v>1011.5701790542324</v>
      </c>
      <c r="AD75" s="6">
        <f t="shared" si="22"/>
        <v>5.5231403581084649E-6</v>
      </c>
      <c r="AE75" s="8">
        <f t="shared" si="23"/>
        <v>27.522057059123672</v>
      </c>
      <c r="AF75" s="7">
        <f t="shared" si="24"/>
        <v>1.3822727727027711E-2</v>
      </c>
      <c r="AG75" s="9">
        <f t="shared" si="25"/>
        <v>0.20040744004531261</v>
      </c>
      <c r="AH75" s="4">
        <f t="shared" si="92"/>
        <v>1008.2710980145301</v>
      </c>
      <c r="AI75" s="6">
        <f t="shared" si="26"/>
        <v>5.5165421960290606E-6</v>
      </c>
      <c r="AJ75" s="8">
        <f t="shared" si="27"/>
        <v>27.484117627167095</v>
      </c>
      <c r="AK75" s="7">
        <f t="shared" si="28"/>
        <v>1.3806214549377154E-2</v>
      </c>
      <c r="AL75" s="9">
        <f t="shared" si="29"/>
        <v>0.20068408507129937</v>
      </c>
      <c r="AM75" s="4">
        <f t="shared" si="93"/>
        <v>1004.3722109772457</v>
      </c>
      <c r="AN75" s="6">
        <f t="shared" si="30"/>
        <v>5.5087444219544922E-6</v>
      </c>
      <c r="AO75" s="8">
        <f t="shared" si="31"/>
        <v>27.439280426238327</v>
      </c>
      <c r="AP75" s="7">
        <f t="shared" si="32"/>
        <v>1.3786699110528784E-2</v>
      </c>
      <c r="AQ75" s="9">
        <f t="shared" si="33"/>
        <v>0.20101201322778789</v>
      </c>
      <c r="AR75" s="4">
        <f t="shared" si="94"/>
        <v>999.87352397599534</v>
      </c>
      <c r="AS75" s="6">
        <f t="shared" si="34"/>
        <v>5.4997470479519915E-6</v>
      </c>
      <c r="AT75" s="8">
        <f t="shared" si="35"/>
        <v>27.387545525723944</v>
      </c>
      <c r="AU75" s="7">
        <f t="shared" si="36"/>
        <v>1.3764181440683181E-2</v>
      </c>
      <c r="AV75" s="9">
        <f t="shared" si="37"/>
        <v>0.20139172365115415</v>
      </c>
      <c r="AW75" s="4">
        <f t="shared" si="95"/>
        <v>994.77503823659106</v>
      </c>
      <c r="AX75" s="6">
        <f t="shared" si="38"/>
        <v>5.4895500764731828E-6</v>
      </c>
      <c r="AY75" s="8">
        <f t="shared" si="39"/>
        <v>27.328912939720794</v>
      </c>
      <c r="AZ75" s="7">
        <f t="shared" si="40"/>
        <v>1.3738661545976014E-2</v>
      </c>
      <c r="BA75" s="9">
        <f t="shared" si="41"/>
        <v>0.2018237978278089</v>
      </c>
      <c r="BB75" s="4">
        <f t="shared" si="96"/>
        <v>989.07675395113495</v>
      </c>
      <c r="BC75" s="6">
        <f t="shared" si="42"/>
        <v>5.47815350790227E-6</v>
      </c>
      <c r="BD75" s="8">
        <f t="shared" si="43"/>
        <v>27.263382670438052</v>
      </c>
      <c r="BE75" s="7">
        <f t="shared" si="44"/>
        <v>1.3710139427368822E-2</v>
      </c>
      <c r="BF75" s="9">
        <f t="shared" si="45"/>
        <v>0.20230890152822617</v>
      </c>
      <c r="BG75" s="4">
        <f t="shared" si="97"/>
        <v>982.77867031462074</v>
      </c>
      <c r="BH75" s="6">
        <f t="shared" si="46"/>
        <v>5.4655573406292418E-6</v>
      </c>
      <c r="BI75" s="8">
        <f t="shared" si="47"/>
        <v>27.190954708618136</v>
      </c>
      <c r="BJ75" s="7">
        <f t="shared" si="48"/>
        <v>1.3678615080832245E-2</v>
      </c>
      <c r="BK75" s="9">
        <f t="shared" si="49"/>
        <v>0.20284778740232429</v>
      </c>
      <c r="BL75" s="4">
        <f t="shared" si="98"/>
        <v>975.88077466924403</v>
      </c>
      <c r="BM75" s="6">
        <f t="shared" si="50"/>
        <v>5.451761549338489E-6</v>
      </c>
      <c r="BN75" s="8">
        <f t="shared" si="51"/>
        <v>27.111628908696304</v>
      </c>
      <c r="BO75" s="7">
        <f t="shared" si="52"/>
        <v>1.3644088443009071E-2</v>
      </c>
      <c r="BP75" s="9">
        <f t="shared" si="53"/>
        <v>0.2034412988822967</v>
      </c>
      <c r="BQ75" s="4">
        <f t="shared" si="99"/>
        <v>968.38290524228717</v>
      </c>
      <c r="BR75" s="6">
        <f t="shared" si="54"/>
        <v>5.4367658104845753E-6</v>
      </c>
      <c r="BS75" s="8">
        <f t="shared" si="55"/>
        <v>27.025403410286302</v>
      </c>
      <c r="BT75" s="7">
        <f t="shared" si="56"/>
        <v>1.3606558704164221E-2</v>
      </c>
      <c r="BU75" s="9">
        <f t="shared" si="57"/>
        <v>0.20409038548896052</v>
      </c>
      <c r="BV75" s="4">
        <f t="shared" si="100"/>
        <v>960.28325988809002</v>
      </c>
      <c r="BW75" s="6">
        <f t="shared" si="58"/>
        <v>5.4205665197761808E-6</v>
      </c>
      <c r="BX75" s="8">
        <f t="shared" si="59"/>
        <v>26.932257488713034</v>
      </c>
      <c r="BY75" s="7">
        <f t="shared" si="60"/>
        <v>1.3566016843861071E-2</v>
      </c>
      <c r="BZ75" s="9">
        <f t="shared" si="61"/>
        <v>0.2047962374602845</v>
      </c>
      <c r="CA75" s="4">
        <f t="shared" si="101"/>
        <v>951.56457505059166</v>
      </c>
      <c r="CB75" s="6">
        <f t="shared" si="62"/>
        <v>5.4031291501011841E-6</v>
      </c>
      <c r="CC75" s="8">
        <f t="shared" si="63"/>
        <v>26.831992613081802</v>
      </c>
      <c r="CD75" s="7">
        <f t="shared" si="64"/>
        <v>1.3522376451318966E-2</v>
      </c>
      <c r="CE75" s="9">
        <f t="shared" si="65"/>
        <v>0.20556151306149678</v>
      </c>
      <c r="CF75" s="4">
        <f t="shared" si="102"/>
        <v>942.08767900394389</v>
      </c>
      <c r="CG75" s="6">
        <f t="shared" si="66"/>
        <v>5.3841753580078882E-6</v>
      </c>
      <c r="CH75" s="8">
        <f t="shared" si="67"/>
        <v>26.723008308545353</v>
      </c>
      <c r="CI75" s="7">
        <f t="shared" si="68"/>
        <v>1.3474940918177809E-2</v>
      </c>
      <c r="CJ75" s="9">
        <f t="shared" si="69"/>
        <v>0.20639985350138293</v>
      </c>
      <c r="CK75" s="4">
        <f t="shared" si="103"/>
        <v>930.93671131269195</v>
      </c>
      <c r="CL75" s="6">
        <f t="shared" si="70"/>
        <v>5.3618734226253846E-6</v>
      </c>
      <c r="CM75" s="8">
        <f t="shared" si="71"/>
        <v>26.594772180095958</v>
      </c>
      <c r="CN75" s="7">
        <f t="shared" si="72"/>
        <v>1.3419126008436189E-2</v>
      </c>
      <c r="CO75" s="9">
        <f t="shared" si="73"/>
        <v>0.20739508361451581</v>
      </c>
      <c r="CP75" s="4">
        <f t="shared" si="104"/>
        <v>913.41266505542569</v>
      </c>
      <c r="CQ75" s="6">
        <f t="shared" si="74"/>
        <v>5.3268253301108518E-6</v>
      </c>
      <c r="CR75" s="8">
        <f t="shared" si="75"/>
        <v>26.393245648137395</v>
      </c>
      <c r="CS75" s="7">
        <f t="shared" si="76"/>
        <v>1.3331411373505931E-2</v>
      </c>
      <c r="CT75" s="9">
        <f t="shared" si="77"/>
        <v>0.20897865588536454</v>
      </c>
      <c r="CU75" s="4">
        <f t="shared" si="105"/>
        <v>872.12573680615469</v>
      </c>
      <c r="CV75" s="6">
        <f t="shared" si="78"/>
        <v>5.2442514736123103E-6</v>
      </c>
      <c r="CW75" s="8">
        <f t="shared" si="79"/>
        <v>25.918445973270778</v>
      </c>
      <c r="CX75" s="7">
        <f t="shared" si="80"/>
        <v>1.3124754315791595E-2</v>
      </c>
      <c r="CY75" s="9">
        <f t="shared" si="81"/>
        <v>0.21280693316598395</v>
      </c>
      <c r="CZ75" s="5">
        <f t="shared" si="106"/>
        <v>767.65459273116778</v>
      </c>
      <c r="DA75" s="6">
        <f t="shared" si="82"/>
        <v>5.0353091854623365E-6</v>
      </c>
      <c r="DB75" s="8">
        <f t="shared" si="83"/>
        <v>24.717027816408429</v>
      </c>
      <c r="DC75" s="7">
        <f t="shared" si="84"/>
        <v>1.260183579978481E-2</v>
      </c>
      <c r="DD75" s="9">
        <f t="shared" si="85"/>
        <v>0.2231508189806885</v>
      </c>
    </row>
    <row r="76" spans="2:108" x14ac:dyDescent="0.25">
      <c r="B76">
        <v>57</v>
      </c>
      <c r="C76">
        <f t="shared" si="86"/>
        <v>5.5724035981679333E-2</v>
      </c>
      <c r="D76" s="4">
        <f t="shared" si="3"/>
        <v>1019.0791926691153</v>
      </c>
      <c r="E76" s="6">
        <f t="shared" si="4"/>
        <v>5.5381583853382312E-6</v>
      </c>
      <c r="F76" s="8">
        <f t="shared" si="5"/>
        <v>27.608410715694824</v>
      </c>
      <c r="G76" s="7">
        <f t="shared" si="1"/>
        <v>1.3860313246846953E-2</v>
      </c>
      <c r="H76" s="9">
        <f t="shared" si="6"/>
        <v>0.19978060514959228</v>
      </c>
      <c r="I76" s="4">
        <f t="shared" si="87"/>
        <v>1018.7563231710708</v>
      </c>
      <c r="J76" s="6">
        <f t="shared" si="7"/>
        <v>5.5375126463421423E-6</v>
      </c>
      <c r="K76" s="8">
        <f t="shared" si="8"/>
        <v>27.604697716467314</v>
      </c>
      <c r="L76" s="7">
        <f t="shared" si="9"/>
        <v>1.3858697160029141E-2</v>
      </c>
      <c r="M76" s="9">
        <f t="shared" si="10"/>
        <v>0.19980747685238037</v>
      </c>
      <c r="N76" s="4">
        <f t="shared" si="88"/>
        <v>1017.8527242145594</v>
      </c>
      <c r="O76" s="6">
        <f t="shared" si="11"/>
        <v>5.5357054484291192E-6</v>
      </c>
      <c r="P76" s="8">
        <f t="shared" si="12"/>
        <v>27.594306328467432</v>
      </c>
      <c r="Q76" s="7">
        <f t="shared" si="2"/>
        <v>1.3860313246846953E-2</v>
      </c>
      <c r="R76" s="9">
        <f t="shared" si="13"/>
        <v>0.19988271980259392</v>
      </c>
      <c r="S76" s="4">
        <f t="shared" si="89"/>
        <v>1016.3522236940444</v>
      </c>
      <c r="T76" s="6">
        <f t="shared" si="14"/>
        <v>5.5327044473880894E-6</v>
      </c>
      <c r="U76" s="8">
        <f t="shared" si="15"/>
        <v>27.577050572481511</v>
      </c>
      <c r="V76" s="7">
        <f t="shared" si="16"/>
        <v>1.3846663711539701E-2</v>
      </c>
      <c r="W76" s="9">
        <f t="shared" si="17"/>
        <v>0.20000779218586603</v>
      </c>
      <c r="X76" s="4">
        <f t="shared" si="90"/>
        <v>1014.2528216419646</v>
      </c>
      <c r="Y76" s="6">
        <f t="shared" si="18"/>
        <v>5.5285056432839296E-6</v>
      </c>
      <c r="Z76" s="8">
        <f t="shared" si="19"/>
        <v>27.552907448882593</v>
      </c>
      <c r="AA76" s="7">
        <f t="shared" si="20"/>
        <v>1.3836155391607957E-2</v>
      </c>
      <c r="AB76" s="9">
        <f t="shared" si="21"/>
        <v>0.20018304820399946</v>
      </c>
      <c r="AC76" s="4">
        <f t="shared" si="91"/>
        <v>1011.5535803663001</v>
      </c>
      <c r="AD76" s="6">
        <f t="shared" si="22"/>
        <v>5.5231071607326007E-6</v>
      </c>
      <c r="AE76" s="8">
        <f t="shared" si="23"/>
        <v>27.521866174212448</v>
      </c>
      <c r="AF76" s="7">
        <f t="shared" si="24"/>
        <v>1.3822644644169395E-2</v>
      </c>
      <c r="AG76" s="9">
        <f t="shared" si="25"/>
        <v>0.20040883002214629</v>
      </c>
      <c r="AH76" s="4">
        <f t="shared" si="92"/>
        <v>1008.2545158631294</v>
      </c>
      <c r="AI76" s="6">
        <f t="shared" si="26"/>
        <v>5.5165090317262595E-6</v>
      </c>
      <c r="AJ76" s="8">
        <f t="shared" si="27"/>
        <v>27.483926932425987</v>
      </c>
      <c r="AK76" s="7">
        <f t="shared" si="28"/>
        <v>1.3806131549290581E-2</v>
      </c>
      <c r="AL76" s="9">
        <f t="shared" si="29"/>
        <v>0.20068547749967183</v>
      </c>
      <c r="AM76" s="4">
        <f t="shared" si="93"/>
        <v>1004.3556487734777</v>
      </c>
      <c r="AN76" s="6">
        <f t="shared" si="30"/>
        <v>5.5087112975469564E-6</v>
      </c>
      <c r="AO76" s="8">
        <f t="shared" si="31"/>
        <v>27.439089960894993</v>
      </c>
      <c r="AP76" s="7">
        <f t="shared" si="32"/>
        <v>1.3786616210287832E-2</v>
      </c>
      <c r="AQ76" s="9">
        <f t="shared" si="33"/>
        <v>0.2010134085299706</v>
      </c>
      <c r="AR76" s="4">
        <f t="shared" si="94"/>
        <v>999.85698524740906</v>
      </c>
      <c r="AS76" s="6">
        <f t="shared" si="34"/>
        <v>5.4997139704948185E-6</v>
      </c>
      <c r="AT76" s="8">
        <f t="shared" si="35"/>
        <v>27.387355330345201</v>
      </c>
      <c r="AU76" s="7">
        <f t="shared" si="36"/>
        <v>1.37640986579446E-2</v>
      </c>
      <c r="AV76" s="9">
        <f t="shared" si="37"/>
        <v>0.20139312224458142</v>
      </c>
      <c r="AW76" s="4">
        <f t="shared" si="95"/>
        <v>994.75852656090558</v>
      </c>
      <c r="AX76" s="6">
        <f t="shared" si="38"/>
        <v>5.4895170531218114E-6</v>
      </c>
      <c r="AY76" s="8">
        <f t="shared" si="39"/>
        <v>27.328723055450414</v>
      </c>
      <c r="AZ76" s="7">
        <f t="shared" si="40"/>
        <v>1.3738578898647673E-2</v>
      </c>
      <c r="BA76" s="9">
        <f t="shared" si="41"/>
        <v>0.20182520013133101</v>
      </c>
      <c r="BB76" s="4">
        <f t="shared" si="96"/>
        <v>989.06027290806742</v>
      </c>
      <c r="BC76" s="6">
        <f t="shared" si="42"/>
        <v>5.4781205458161353E-6</v>
      </c>
      <c r="BD76" s="8">
        <f t="shared" si="43"/>
        <v>27.263193138442773</v>
      </c>
      <c r="BE76" s="7">
        <f t="shared" si="44"/>
        <v>1.3710056933368596E-2</v>
      </c>
      <c r="BF76" s="9">
        <f t="shared" si="45"/>
        <v>0.20231030796692082</v>
      </c>
      <c r="BG76" s="4">
        <f t="shared" si="97"/>
        <v>982.76222332931877</v>
      </c>
      <c r="BH76" s="6">
        <f t="shared" si="46"/>
        <v>5.465524446658638E-6</v>
      </c>
      <c r="BI76" s="8">
        <f t="shared" si="47"/>
        <v>27.190765568287166</v>
      </c>
      <c r="BJ76" s="7">
        <f t="shared" si="48"/>
        <v>1.3678532757304318E-2</v>
      </c>
      <c r="BK76" s="9">
        <f t="shared" si="49"/>
        <v>0.20284919842172164</v>
      </c>
      <c r="BL76" s="4">
        <f t="shared" si="98"/>
        <v>975.86436320221469</v>
      </c>
      <c r="BM76" s="6">
        <f t="shared" si="50"/>
        <v>5.4517287264044295E-6</v>
      </c>
      <c r="BN76" s="8">
        <f t="shared" si="51"/>
        <v>27.111440176825468</v>
      </c>
      <c r="BO76" s="7">
        <f t="shared" si="52"/>
        <v>1.3644006297263844E-2</v>
      </c>
      <c r="BP76" s="9">
        <f t="shared" si="53"/>
        <v>0.203442715105732</v>
      </c>
      <c r="BQ76" s="4">
        <f t="shared" si="99"/>
        <v>968.36650950813498</v>
      </c>
      <c r="BR76" s="6">
        <f t="shared" si="54"/>
        <v>5.4367330190162702E-6</v>
      </c>
      <c r="BS76" s="8">
        <f t="shared" si="55"/>
        <v>27.025214859343549</v>
      </c>
      <c r="BT76" s="7">
        <f t="shared" si="56"/>
        <v>1.3606476637168134E-2</v>
      </c>
      <c r="BU76" s="9">
        <f t="shared" si="57"/>
        <v>0.20409180939751376</v>
      </c>
      <c r="BV76" s="4">
        <f t="shared" si="100"/>
        <v>960.26666414836484</v>
      </c>
      <c r="BW76" s="6">
        <f t="shared" si="58"/>
        <v>5.4205333282967298E-6</v>
      </c>
      <c r="BX76" s="8">
        <f t="shared" si="59"/>
        <v>26.932066637706193</v>
      </c>
      <c r="BY76" s="7">
        <f t="shared" si="60"/>
        <v>1.3565933775759674E-2</v>
      </c>
      <c r="BZ76" s="9">
        <f t="shared" si="61"/>
        <v>0.20479768872537463</v>
      </c>
      <c r="CA76" s="4">
        <f t="shared" si="101"/>
        <v>951.5460612060308</v>
      </c>
      <c r="CB76" s="6">
        <f t="shared" si="62"/>
        <v>5.403092122412062E-6</v>
      </c>
      <c r="CC76" s="8">
        <f t="shared" si="63"/>
        <v>26.831779703869351</v>
      </c>
      <c r="CD76" s="7">
        <f t="shared" si="64"/>
        <v>1.3522283782360381E-2</v>
      </c>
      <c r="CE76" s="9">
        <f t="shared" si="65"/>
        <v>0.20556314418475208</v>
      </c>
      <c r="CF76" s="4">
        <f t="shared" si="102"/>
        <v>942.05632498749083</v>
      </c>
      <c r="CG76" s="6">
        <f t="shared" si="66"/>
        <v>5.3841126499749818E-6</v>
      </c>
      <c r="CH76" s="8">
        <f t="shared" si="67"/>
        <v>26.722647737356144</v>
      </c>
      <c r="CI76" s="7">
        <f t="shared" si="68"/>
        <v>1.347478397918858E-2</v>
      </c>
      <c r="CJ76" s="9">
        <f t="shared" si="69"/>
        <v>0.20640263847394108</v>
      </c>
      <c r="CK76" s="4">
        <f t="shared" si="103"/>
        <v>930.83947105518678</v>
      </c>
      <c r="CL76" s="6">
        <f t="shared" si="70"/>
        <v>5.3616789421103742E-6</v>
      </c>
      <c r="CM76" s="8">
        <f t="shared" si="71"/>
        <v>26.593653917134645</v>
      </c>
      <c r="CN76" s="7">
        <f t="shared" si="72"/>
        <v>1.3418639283306482E-2</v>
      </c>
      <c r="CO76" s="9">
        <f t="shared" si="73"/>
        <v>0.20740380457633201</v>
      </c>
      <c r="CP76" s="4">
        <f t="shared" si="104"/>
        <v>913.07187831217641</v>
      </c>
      <c r="CQ76" s="6">
        <f t="shared" si="74"/>
        <v>5.3261437566243535E-6</v>
      </c>
      <c r="CR76" s="8">
        <f t="shared" si="75"/>
        <v>26.389326600590028</v>
      </c>
      <c r="CS76" s="7">
        <f t="shared" si="76"/>
        <v>1.3329705603940254E-2</v>
      </c>
      <c r="CT76" s="9">
        <f t="shared" si="77"/>
        <v>0.20900969105731854</v>
      </c>
      <c r="CU76" s="4">
        <f t="shared" si="105"/>
        <v>871.23238054213255</v>
      </c>
      <c r="CV76" s="6">
        <f t="shared" si="78"/>
        <v>5.242464761084266E-6</v>
      </c>
      <c r="CW76" s="8">
        <f t="shared" si="79"/>
        <v>25.908172376234525</v>
      </c>
      <c r="CX76" s="7">
        <f t="shared" si="80"/>
        <v>1.3120282721879381E-2</v>
      </c>
      <c r="CY76" s="9">
        <f t="shared" si="81"/>
        <v>0.21289131938381972</v>
      </c>
      <c r="CZ76" s="5">
        <f t="shared" si="106"/>
        <v>766.35093640338698</v>
      </c>
      <c r="DA76" s="6">
        <f t="shared" si="82"/>
        <v>5.0327018728067744E-6</v>
      </c>
      <c r="DB76" s="8">
        <f t="shared" si="83"/>
        <v>24.70203576863895</v>
      </c>
      <c r="DC76" s="7">
        <f t="shared" si="84"/>
        <v>1.2595310495229738E-2</v>
      </c>
      <c r="DD76" s="9">
        <f t="shared" si="85"/>
        <v>0.22328625266596414</v>
      </c>
    </row>
    <row r="77" spans="2:108" x14ac:dyDescent="0.25">
      <c r="B77">
        <v>58</v>
      </c>
      <c r="C77">
        <f t="shared" si="86"/>
        <v>5.6701650648024585E-2</v>
      </c>
      <c r="D77" s="4">
        <f t="shared" si="3"/>
        <v>1019.0627085835736</v>
      </c>
      <c r="E77" s="6">
        <f t="shared" si="4"/>
        <v>5.5381254171671473E-6</v>
      </c>
      <c r="F77" s="8">
        <f t="shared" si="5"/>
        <v>27.608221148711095</v>
      </c>
      <c r="G77" s="7">
        <f t="shared" si="1"/>
        <v>1.3860230737617963E-2</v>
      </c>
      <c r="H77" s="9">
        <f t="shared" si="6"/>
        <v>0.19978197690790012</v>
      </c>
      <c r="I77" s="4">
        <f t="shared" si="87"/>
        <v>1018.7397745588941</v>
      </c>
      <c r="J77" s="6">
        <f t="shared" si="7"/>
        <v>5.5374795491177886E-6</v>
      </c>
      <c r="K77" s="8">
        <f t="shared" si="8"/>
        <v>27.604507407427281</v>
      </c>
      <c r="L77" s="7">
        <f t="shared" si="9"/>
        <v>1.3858614327819367E-2</v>
      </c>
      <c r="M77" s="9">
        <f t="shared" si="10"/>
        <v>0.19980885435093704</v>
      </c>
      <c r="N77" s="4">
        <f t="shared" si="88"/>
        <v>1017.8361226141278</v>
      </c>
      <c r="O77" s="6">
        <f t="shared" si="11"/>
        <v>5.5356722452282561E-6</v>
      </c>
      <c r="P77" s="8">
        <f t="shared" si="12"/>
        <v>27.594115410062471</v>
      </c>
      <c r="Q77" s="7">
        <f t="shared" si="2"/>
        <v>1.3860230737617963E-2</v>
      </c>
      <c r="R77" s="9">
        <f t="shared" si="13"/>
        <v>0.19988410275288881</v>
      </c>
      <c r="S77" s="4">
        <f t="shared" si="89"/>
        <v>1016.3356068672463</v>
      </c>
      <c r="T77" s="6">
        <f t="shared" si="14"/>
        <v>5.5326712137344928E-6</v>
      </c>
      <c r="U77" s="8">
        <f t="shared" si="15"/>
        <v>27.576859478973333</v>
      </c>
      <c r="V77" s="7">
        <f t="shared" si="16"/>
        <v>1.3846580537889341E-2</v>
      </c>
      <c r="W77" s="9">
        <f t="shared" si="17"/>
        <v>0.2000091781373991</v>
      </c>
      <c r="X77" s="4">
        <f t="shared" si="90"/>
        <v>1014.2362103196816</v>
      </c>
      <c r="Y77" s="6">
        <f t="shared" si="18"/>
        <v>5.5284724206393642E-6</v>
      </c>
      <c r="Z77" s="8">
        <f t="shared" si="19"/>
        <v>27.55271641867634</v>
      </c>
      <c r="AA77" s="7">
        <f t="shared" si="20"/>
        <v>1.3836072245509827E-2</v>
      </c>
      <c r="AB77" s="9">
        <f t="shared" si="21"/>
        <v>0.20018443612555339</v>
      </c>
      <c r="AC77" s="4">
        <f t="shared" si="91"/>
        <v>1011.5369818695792</v>
      </c>
      <c r="AD77" s="6">
        <f t="shared" si="22"/>
        <v>5.5230739637391584E-6</v>
      </c>
      <c r="AE77" s="8">
        <f t="shared" si="23"/>
        <v>27.521675291500159</v>
      </c>
      <c r="AF77" s="7">
        <f t="shared" si="24"/>
        <v>1.3822561562268167E-2</v>
      </c>
      <c r="AG77" s="9">
        <f t="shared" si="25"/>
        <v>0.20041022000224873</v>
      </c>
      <c r="AH77" s="4">
        <f t="shared" si="92"/>
        <v>1008.2379339005723</v>
      </c>
      <c r="AI77" s="6">
        <f t="shared" si="26"/>
        <v>5.5164758678011444E-6</v>
      </c>
      <c r="AJ77" s="8">
        <f t="shared" si="27"/>
        <v>27.483736239856583</v>
      </c>
      <c r="AK77" s="7">
        <f t="shared" si="28"/>
        <v>1.3806048550149242E-2</v>
      </c>
      <c r="AL77" s="9">
        <f t="shared" si="29"/>
        <v>0.20068686993150905</v>
      </c>
      <c r="AM77" s="4">
        <f t="shared" si="93"/>
        <v>1004.3390867608005</v>
      </c>
      <c r="AN77" s="6">
        <f t="shared" si="30"/>
        <v>5.5086781735216018E-6</v>
      </c>
      <c r="AO77" s="8">
        <f t="shared" si="31"/>
        <v>27.438899497749205</v>
      </c>
      <c r="AP77" s="7">
        <f t="shared" si="32"/>
        <v>1.3786533311003366E-2</v>
      </c>
      <c r="AQ77" s="9">
        <f t="shared" si="33"/>
        <v>0.20101480383542508</v>
      </c>
      <c r="AR77" s="4">
        <f t="shared" si="94"/>
        <v>999.84044671113281</v>
      </c>
      <c r="AS77" s="6">
        <f t="shared" si="34"/>
        <v>5.4996808934222663E-6</v>
      </c>
      <c r="AT77" s="8">
        <f t="shared" si="35"/>
        <v>27.387165137178027</v>
      </c>
      <c r="AU77" s="7">
        <f t="shared" si="36"/>
        <v>1.3764015876168609E-2</v>
      </c>
      <c r="AV77" s="9">
        <f t="shared" si="37"/>
        <v>0.20139452084117129</v>
      </c>
      <c r="AW77" s="4">
        <f t="shared" si="95"/>
        <v>994.74201507790826</v>
      </c>
      <c r="AX77" s="6">
        <f t="shared" si="38"/>
        <v>5.4894840301558164E-6</v>
      </c>
      <c r="AY77" s="8">
        <f t="shared" si="39"/>
        <v>27.328533173395947</v>
      </c>
      <c r="AZ77" s="7">
        <f t="shared" si="40"/>
        <v>1.3738496252283815E-2</v>
      </c>
      <c r="BA77" s="9">
        <f t="shared" si="41"/>
        <v>0.20182660243797518</v>
      </c>
      <c r="BB77" s="4">
        <f t="shared" si="96"/>
        <v>989.04379205563771</v>
      </c>
      <c r="BC77" s="6">
        <f t="shared" si="42"/>
        <v>5.4780875841112755E-6</v>
      </c>
      <c r="BD77" s="8">
        <f t="shared" si="43"/>
        <v>27.263003608639835</v>
      </c>
      <c r="BE77" s="7">
        <f t="shared" si="44"/>
        <v>1.3709974440322582E-2</v>
      </c>
      <c r="BF77" s="9">
        <f t="shared" si="45"/>
        <v>0.20231171440890175</v>
      </c>
      <c r="BG77" s="4">
        <f t="shared" si="97"/>
        <v>982.74577650635979</v>
      </c>
      <c r="BH77" s="6">
        <f t="shared" si="46"/>
        <v>5.4654915530127205E-6</v>
      </c>
      <c r="BI77" s="8">
        <f t="shared" si="47"/>
        <v>27.190576429823139</v>
      </c>
      <c r="BJ77" s="7">
        <f t="shared" si="48"/>
        <v>1.3678450434588981E-2</v>
      </c>
      <c r="BK77" s="9">
        <f t="shared" si="49"/>
        <v>0.20285060944682137</v>
      </c>
      <c r="BL77" s="4">
        <f t="shared" si="98"/>
        <v>975.84795159253213</v>
      </c>
      <c r="BM77" s="6">
        <f t="shared" si="50"/>
        <v>5.4516959031850647E-6</v>
      </c>
      <c r="BN77" s="8">
        <f t="shared" si="51"/>
        <v>27.111251443314117</v>
      </c>
      <c r="BO77" s="7">
        <f t="shared" si="52"/>
        <v>1.3643924150804584E-2</v>
      </c>
      <c r="BP77" s="9">
        <f t="shared" si="53"/>
        <v>0.20344413136119557</v>
      </c>
      <c r="BQ77" s="4">
        <f t="shared" si="99"/>
        <v>968.35011083247741</v>
      </c>
      <c r="BR77" s="6">
        <f t="shared" si="54"/>
        <v>5.4367002216649554E-6</v>
      </c>
      <c r="BS77" s="8">
        <f t="shared" si="55"/>
        <v>27.025026274573491</v>
      </c>
      <c r="BT77" s="7">
        <f t="shared" si="56"/>
        <v>1.3606394555448679E-2</v>
      </c>
      <c r="BU77" s="9">
        <f t="shared" si="57"/>
        <v>0.2040932335814</v>
      </c>
      <c r="BV77" s="4">
        <f t="shared" si="100"/>
        <v>960.2500441023376</v>
      </c>
      <c r="BW77" s="6">
        <f t="shared" si="58"/>
        <v>5.4205000882046757E-6</v>
      </c>
      <c r="BX77" s="8">
        <f t="shared" si="59"/>
        <v>26.931875507176883</v>
      </c>
      <c r="BY77" s="7">
        <f t="shared" si="60"/>
        <v>1.3565850585995827E-2</v>
      </c>
      <c r="BZ77" s="9">
        <f t="shared" si="61"/>
        <v>0.20479914213661726</v>
      </c>
      <c r="CA77" s="4">
        <f t="shared" si="101"/>
        <v>951.52739263425246</v>
      </c>
      <c r="CB77" s="6">
        <f t="shared" si="62"/>
        <v>5.403054785268505E-6</v>
      </c>
      <c r="CC77" s="8">
        <f t="shared" si="63"/>
        <v>26.831565015293904</v>
      </c>
      <c r="CD77" s="7">
        <f t="shared" si="64"/>
        <v>1.3522190338932183E-2</v>
      </c>
      <c r="CE77" s="9">
        <f t="shared" si="65"/>
        <v>0.20556478896613417</v>
      </c>
      <c r="CF77" s="4">
        <f t="shared" si="102"/>
        <v>942.02422062136225</v>
      </c>
      <c r="CG77" s="6">
        <f t="shared" si="66"/>
        <v>5.3840484412427252E-6</v>
      </c>
      <c r="CH77" s="8">
        <f t="shared" si="67"/>
        <v>26.722278537145662</v>
      </c>
      <c r="CI77" s="7">
        <f t="shared" si="68"/>
        <v>1.3474623284408776E-2</v>
      </c>
      <c r="CJ77" s="9">
        <f t="shared" si="69"/>
        <v>0.20640549017303789</v>
      </c>
      <c r="CK77" s="4">
        <f t="shared" si="103"/>
        <v>930.7397154204175</v>
      </c>
      <c r="CL77" s="6">
        <f t="shared" si="70"/>
        <v>5.3614794308408356E-6</v>
      </c>
      <c r="CM77" s="8">
        <f t="shared" si="71"/>
        <v>26.592506727334801</v>
      </c>
      <c r="CN77" s="7">
        <f t="shared" si="72"/>
        <v>1.3418139967739884E-2</v>
      </c>
      <c r="CO77" s="9">
        <f t="shared" si="73"/>
        <v>0.20741275189113381</v>
      </c>
      <c r="CP77" s="4">
        <f t="shared" si="104"/>
        <v>912.72666100224535</v>
      </c>
      <c r="CQ77" s="6">
        <f t="shared" si="74"/>
        <v>5.3254533220044909E-6</v>
      </c>
      <c r="CR77" s="8">
        <f t="shared" si="75"/>
        <v>26.385356601525821</v>
      </c>
      <c r="CS77" s="7">
        <f t="shared" si="76"/>
        <v>1.3327977657673296E-2</v>
      </c>
      <c r="CT77" s="9">
        <f t="shared" si="77"/>
        <v>0.20904113911733302</v>
      </c>
      <c r="CU77" s="4">
        <f t="shared" si="105"/>
        <v>870.34069853586391</v>
      </c>
      <c r="CV77" s="6">
        <f t="shared" si="78"/>
        <v>5.2406813970717283E-6</v>
      </c>
      <c r="CW77" s="8">
        <f t="shared" si="79"/>
        <v>25.897918033162433</v>
      </c>
      <c r="CX77" s="7">
        <f t="shared" si="80"/>
        <v>1.3115819508275313E-2</v>
      </c>
      <c r="CY77" s="9">
        <f t="shared" si="81"/>
        <v>0.21297561421490369</v>
      </c>
      <c r="CZ77" s="5">
        <f t="shared" si="106"/>
        <v>765.06398635205858</v>
      </c>
      <c r="DA77" s="6">
        <f t="shared" si="82"/>
        <v>5.0301279727041171E-6</v>
      </c>
      <c r="DB77" s="8">
        <f t="shared" si="83"/>
        <v>24.687235843048672</v>
      </c>
      <c r="DC77" s="7">
        <f t="shared" si="84"/>
        <v>1.2588868812055171E-2</v>
      </c>
      <c r="DD77" s="9">
        <f t="shared" si="85"/>
        <v>0.223420112120534</v>
      </c>
    </row>
    <row r="78" spans="2:108" x14ac:dyDescent="0.25">
      <c r="B78">
        <v>59</v>
      </c>
      <c r="C78">
        <f t="shared" si="86"/>
        <v>5.7679265314369836E-2</v>
      </c>
      <c r="D78" s="4">
        <f t="shared" si="3"/>
        <v>1019.0462212036279</v>
      </c>
      <c r="E78" s="6">
        <f t="shared" si="4"/>
        <v>5.5380924424072567E-6</v>
      </c>
      <c r="F78" s="8">
        <f t="shared" si="5"/>
        <v>27.608031543841719</v>
      </c>
      <c r="G78" s="7">
        <f t="shared" si="1"/>
        <v>1.3860148211899211E-2</v>
      </c>
      <c r="H78" s="9">
        <f t="shared" si="6"/>
        <v>0.19978334895920249</v>
      </c>
      <c r="I78" s="4">
        <f t="shared" si="87"/>
        <v>1018.7232253907868</v>
      </c>
      <c r="J78" s="6">
        <f t="shared" si="7"/>
        <v>5.5374464507815737E-6</v>
      </c>
      <c r="K78" s="8">
        <f t="shared" si="8"/>
        <v>27.604317091994048</v>
      </c>
      <c r="L78" s="7">
        <f t="shared" si="9"/>
        <v>1.3858531492826943E-2</v>
      </c>
      <c r="M78" s="9">
        <f t="shared" si="10"/>
        <v>0.19981023191476346</v>
      </c>
      <c r="N78" s="4">
        <f t="shared" si="88"/>
        <v>1017.8195213999121</v>
      </c>
      <c r="O78" s="6">
        <f t="shared" si="11"/>
        <v>5.5356390427998244E-6</v>
      </c>
      <c r="P78" s="8">
        <f t="shared" si="12"/>
        <v>27.593924496098989</v>
      </c>
      <c r="Q78" s="7">
        <f t="shared" si="2"/>
        <v>1.3860148211899211E-2</v>
      </c>
      <c r="R78" s="9">
        <f t="shared" si="13"/>
        <v>0.19988548569014733</v>
      </c>
      <c r="S78" s="4">
        <f t="shared" si="89"/>
        <v>1016.3189904042624</v>
      </c>
      <c r="T78" s="6">
        <f t="shared" si="14"/>
        <v>5.5326379808085255E-6</v>
      </c>
      <c r="U78" s="8">
        <f t="shared" si="15"/>
        <v>27.576668389649015</v>
      </c>
      <c r="V78" s="7">
        <f t="shared" si="16"/>
        <v>1.3846497366060013E-2</v>
      </c>
      <c r="W78" s="9">
        <f t="shared" si="17"/>
        <v>0.20001056407779508</v>
      </c>
      <c r="X78" s="4">
        <f t="shared" si="90"/>
        <v>1014.2195992302742</v>
      </c>
      <c r="Y78" s="6">
        <f t="shared" si="18"/>
        <v>5.5284391984605492E-6</v>
      </c>
      <c r="Z78" s="8">
        <f t="shared" si="19"/>
        <v>27.552525391148151</v>
      </c>
      <c r="AA78" s="7">
        <f t="shared" si="20"/>
        <v>1.3835989100577329E-2</v>
      </c>
      <c r="AB78" s="9">
        <f t="shared" si="21"/>
        <v>0.20018582404689533</v>
      </c>
      <c r="AC78" s="4">
        <f t="shared" si="91"/>
        <v>1011.5203835645376</v>
      </c>
      <c r="AD78" s="6">
        <f t="shared" si="22"/>
        <v>5.5230407671290756E-6</v>
      </c>
      <c r="AE78" s="8">
        <f t="shared" si="23"/>
        <v>27.52148441099218</v>
      </c>
      <c r="AF78" s="7">
        <f t="shared" si="24"/>
        <v>1.3822478481326369E-2</v>
      </c>
      <c r="AG78" s="9">
        <f t="shared" si="25"/>
        <v>0.20041160998558055</v>
      </c>
      <c r="AH78" s="4">
        <f t="shared" si="92"/>
        <v>1008.2213521269204</v>
      </c>
      <c r="AI78" s="6">
        <f t="shared" si="26"/>
        <v>5.5164427042538415E-6</v>
      </c>
      <c r="AJ78" s="8">
        <f t="shared" si="27"/>
        <v>27.483545549459585</v>
      </c>
      <c r="AK78" s="7">
        <f t="shared" si="28"/>
        <v>1.3805965551953448E-2</v>
      </c>
      <c r="AL78" s="9">
        <f t="shared" si="29"/>
        <v>0.2006882623668057</v>
      </c>
      <c r="AM78" s="4">
        <f t="shared" si="93"/>
        <v>1004.322524939201</v>
      </c>
      <c r="AN78" s="6">
        <f t="shared" si="30"/>
        <v>5.5086450498784023E-6</v>
      </c>
      <c r="AO78" s="8">
        <f t="shared" si="31"/>
        <v>27.438709036800809</v>
      </c>
      <c r="AP78" s="7">
        <f t="shared" si="32"/>
        <v>1.3786450412675315E-2</v>
      </c>
      <c r="AQ78" s="9">
        <f t="shared" si="33"/>
        <v>0.2010161991441522</v>
      </c>
      <c r="AR78" s="4">
        <f t="shared" si="94"/>
        <v>999.82390836715422</v>
      </c>
      <c r="AS78" s="6">
        <f t="shared" si="34"/>
        <v>5.4996478167343086E-6</v>
      </c>
      <c r="AT78" s="8">
        <f t="shared" si="35"/>
        <v>27.386974946222274</v>
      </c>
      <c r="AU78" s="7">
        <f t="shared" si="36"/>
        <v>1.3763933095355139E-2</v>
      </c>
      <c r="AV78" s="9">
        <f t="shared" si="37"/>
        <v>0.20139591944092455</v>
      </c>
      <c r="AW78" s="4">
        <f t="shared" si="95"/>
        <v>994.72550378756205</v>
      </c>
      <c r="AX78" s="6">
        <f t="shared" si="38"/>
        <v>5.4894510075751247E-6</v>
      </c>
      <c r="AY78" s="8">
        <f t="shared" si="39"/>
        <v>27.328343293556962</v>
      </c>
      <c r="AZ78" s="7">
        <f t="shared" si="40"/>
        <v>1.3738413606884249E-2</v>
      </c>
      <c r="BA78" s="9">
        <f t="shared" si="41"/>
        <v>0.20182800474774429</v>
      </c>
      <c r="BB78" s="4">
        <f t="shared" si="96"/>
        <v>989.02731139346224</v>
      </c>
      <c r="BC78" s="6">
        <f t="shared" si="42"/>
        <v>5.478054622786925E-6</v>
      </c>
      <c r="BD78" s="8">
        <f t="shared" si="43"/>
        <v>27.262814081024814</v>
      </c>
      <c r="BE78" s="7">
        <f t="shared" si="44"/>
        <v>1.3709891948228867E-2</v>
      </c>
      <c r="BF78" s="9">
        <f t="shared" si="45"/>
        <v>0.2023131208542015</v>
      </c>
      <c r="BG78" s="4">
        <f t="shared" si="97"/>
        <v>982.72932984174065</v>
      </c>
      <c r="BH78" s="6">
        <f t="shared" si="46"/>
        <v>5.4654586596834824E-6</v>
      </c>
      <c r="BI78" s="8">
        <f t="shared" si="47"/>
        <v>27.190387293180017</v>
      </c>
      <c r="BJ78" s="7">
        <f t="shared" si="48"/>
        <v>1.3678368112666196E-2</v>
      </c>
      <c r="BK78" s="9">
        <f t="shared" si="49"/>
        <v>0.20285202047796677</v>
      </c>
      <c r="BL78" s="4">
        <f t="shared" si="98"/>
        <v>975.83153980431757</v>
      </c>
      <c r="BM78" s="6">
        <f t="shared" si="50"/>
        <v>5.4516630796086358E-6</v>
      </c>
      <c r="BN78" s="8">
        <f t="shared" si="51"/>
        <v>27.111062707749653</v>
      </c>
      <c r="BO78" s="7">
        <f t="shared" si="52"/>
        <v>1.3643842003451704E-2</v>
      </c>
      <c r="BP78" s="9">
        <f t="shared" si="53"/>
        <v>0.20344554765178452</v>
      </c>
      <c r="BQ78" s="4">
        <f t="shared" si="99"/>
        <v>968.33370894936115</v>
      </c>
      <c r="BR78" s="6">
        <f t="shared" si="54"/>
        <v>5.436667417898723E-6</v>
      </c>
      <c r="BS78" s="8">
        <f t="shared" si="55"/>
        <v>27.024837652917654</v>
      </c>
      <c r="BT78" s="7">
        <f t="shared" si="56"/>
        <v>1.3606312457674649E-2</v>
      </c>
      <c r="BU78" s="9">
        <f t="shared" si="57"/>
        <v>0.20409465806372837</v>
      </c>
      <c r="BV78" s="4">
        <f t="shared" si="100"/>
        <v>960.233398192712</v>
      </c>
      <c r="BW78" s="6">
        <f t="shared" si="58"/>
        <v>5.4204667963854248E-6</v>
      </c>
      <c r="BX78" s="8">
        <f t="shared" si="59"/>
        <v>26.93168407921619</v>
      </c>
      <c r="BY78" s="7">
        <f t="shared" si="60"/>
        <v>1.3565767266774659E-2</v>
      </c>
      <c r="BZ78" s="9">
        <f t="shared" si="61"/>
        <v>0.20480059783029078</v>
      </c>
      <c r="CA78" s="4">
        <f t="shared" si="101"/>
        <v>951.50856269820838</v>
      </c>
      <c r="CB78" s="6">
        <f t="shared" si="62"/>
        <v>5.4030171253964173E-6</v>
      </c>
      <c r="CC78" s="8">
        <f t="shared" si="63"/>
        <v>26.831348471029393</v>
      </c>
      <c r="CD78" s="7">
        <f t="shared" si="64"/>
        <v>1.352209608781337E-2</v>
      </c>
      <c r="CE78" s="9">
        <f t="shared" si="65"/>
        <v>0.2055664479910648</v>
      </c>
      <c r="CF78" s="4">
        <f t="shared" si="102"/>
        <v>941.99134910755618</v>
      </c>
      <c r="CG78" s="6">
        <f t="shared" si="66"/>
        <v>5.3839826982151135E-6</v>
      </c>
      <c r="CH78" s="8">
        <f t="shared" si="67"/>
        <v>26.721900514736895</v>
      </c>
      <c r="CI78" s="7">
        <f t="shared" si="68"/>
        <v>1.3474458749757886E-2</v>
      </c>
      <c r="CJ78" s="9">
        <f t="shared" si="69"/>
        <v>0.20640841009636202</v>
      </c>
      <c r="CK78" s="4">
        <f t="shared" si="103"/>
        <v>930.63744101570433</v>
      </c>
      <c r="CL78" s="6">
        <f t="shared" si="70"/>
        <v>5.3612748820314096E-6</v>
      </c>
      <c r="CM78" s="8">
        <f t="shared" si="71"/>
        <v>26.591330571680601</v>
      </c>
      <c r="CN78" s="7">
        <f t="shared" si="72"/>
        <v>1.3417628044754723E-2</v>
      </c>
      <c r="CO78" s="9">
        <f t="shared" si="73"/>
        <v>0.20742192592175376</v>
      </c>
      <c r="CP78" s="4">
        <f t="shared" si="104"/>
        <v>912.37712295594031</v>
      </c>
      <c r="CQ78" s="6">
        <f t="shared" si="74"/>
        <v>5.3247542459118811E-6</v>
      </c>
      <c r="CR78" s="8">
        <f t="shared" si="75"/>
        <v>26.381336913993312</v>
      </c>
      <c r="CS78" s="7">
        <f t="shared" si="76"/>
        <v>1.3326228084448269E-2</v>
      </c>
      <c r="CT78" s="9">
        <f t="shared" si="77"/>
        <v>0.20907299042431685</v>
      </c>
      <c r="CU78" s="4">
        <f t="shared" si="105"/>
        <v>869.45081820593941</v>
      </c>
      <c r="CV78" s="6">
        <f t="shared" si="78"/>
        <v>5.2389016364118795E-6</v>
      </c>
      <c r="CW78" s="8">
        <f t="shared" si="79"/>
        <v>25.887684409368305</v>
      </c>
      <c r="CX78" s="7">
        <f t="shared" si="80"/>
        <v>1.3111365312758761E-2</v>
      </c>
      <c r="CY78" s="9">
        <f t="shared" si="81"/>
        <v>0.21305980530278679</v>
      </c>
      <c r="CZ78" s="5">
        <f t="shared" si="106"/>
        <v>763.79325303216285</v>
      </c>
      <c r="DA78" s="6">
        <f t="shared" si="82"/>
        <v>5.0275865060643261E-6</v>
      </c>
      <c r="DB78" s="8">
        <f t="shared" si="83"/>
        <v>24.672622409869874</v>
      </c>
      <c r="DC78" s="7">
        <f t="shared" si="84"/>
        <v>1.2582508299898789E-2</v>
      </c>
      <c r="DD78" s="9">
        <f t="shared" si="85"/>
        <v>0.22355244239435065</v>
      </c>
    </row>
    <row r="79" spans="2:108" x14ac:dyDescent="0.25">
      <c r="B79">
        <v>60</v>
      </c>
      <c r="C79">
        <f t="shared" si="86"/>
        <v>5.8656879980715088E-2</v>
      </c>
      <c r="D79" s="4">
        <f t="shared" si="3"/>
        <v>1019.0297306690908</v>
      </c>
      <c r="E79" s="6">
        <f t="shared" si="4"/>
        <v>5.5380594613381819E-6</v>
      </c>
      <c r="F79" s="8">
        <f t="shared" si="5"/>
        <v>27.607841902694545</v>
      </c>
      <c r="G79" s="7">
        <f t="shared" si="1"/>
        <v>1.38600656703905E-2</v>
      </c>
      <c r="H79" s="9">
        <f t="shared" si="6"/>
        <v>0.1997847212918758</v>
      </c>
      <c r="I79" s="4">
        <f t="shared" si="87"/>
        <v>1018.7066756673852</v>
      </c>
      <c r="J79" s="6">
        <f t="shared" si="7"/>
        <v>5.5374133513347707E-6</v>
      </c>
      <c r="K79" s="8">
        <f t="shared" si="8"/>
        <v>27.604126770174929</v>
      </c>
      <c r="L79" s="7">
        <f t="shared" si="9"/>
        <v>1.3858448655055059E-2</v>
      </c>
      <c r="M79" s="9">
        <f t="shared" si="10"/>
        <v>0.19981160954380905</v>
      </c>
      <c r="N79" s="4">
        <f t="shared" si="88"/>
        <v>1017.8029205617316</v>
      </c>
      <c r="O79" s="6">
        <f t="shared" si="11"/>
        <v>5.5356058411234638E-6</v>
      </c>
      <c r="P79" s="8">
        <f t="shared" si="12"/>
        <v>27.593733586459912</v>
      </c>
      <c r="Q79" s="7">
        <f t="shared" si="2"/>
        <v>1.38600656703905E-2</v>
      </c>
      <c r="R79" s="9">
        <f t="shared" si="13"/>
        <v>0.19988686861521654</v>
      </c>
      <c r="S79" s="4">
        <f t="shared" si="89"/>
        <v>1016.3023743032501</v>
      </c>
      <c r="T79" s="6">
        <f t="shared" si="14"/>
        <v>5.532604748606501E-6</v>
      </c>
      <c r="U79" s="8">
        <f t="shared" si="15"/>
        <v>27.576477304487376</v>
      </c>
      <c r="V79" s="7">
        <f t="shared" si="16"/>
        <v>1.3846414196042491E-2</v>
      </c>
      <c r="W79" s="9">
        <f t="shared" si="17"/>
        <v>0.20001195000720673</v>
      </c>
      <c r="X79" s="4">
        <f t="shared" si="90"/>
        <v>1014.2029883746832</v>
      </c>
      <c r="Y79" s="6">
        <f t="shared" si="18"/>
        <v>5.5284059767493666E-6</v>
      </c>
      <c r="Z79" s="8">
        <f t="shared" si="19"/>
        <v>27.552334366308855</v>
      </c>
      <c r="AA79" s="7">
        <f t="shared" si="20"/>
        <v>1.383590595681517E-2</v>
      </c>
      <c r="AB79" s="9">
        <f t="shared" si="21"/>
        <v>0.20018721196794623</v>
      </c>
      <c r="AC79" s="4">
        <f t="shared" si="91"/>
        <v>1011.5037854516437</v>
      </c>
      <c r="AD79" s="6">
        <f t="shared" si="22"/>
        <v>5.5230075709032874E-6</v>
      </c>
      <c r="AE79" s="8">
        <f t="shared" si="23"/>
        <v>27.521293532693903</v>
      </c>
      <c r="AF79" s="7">
        <f t="shared" si="24"/>
        <v>1.3822395401346343E-2</v>
      </c>
      <c r="AG79" s="9">
        <f t="shared" si="25"/>
        <v>0.20041299997210221</v>
      </c>
      <c r="AH79" s="4">
        <f t="shared" si="92"/>
        <v>1008.2047705422389</v>
      </c>
      <c r="AI79" s="6">
        <f t="shared" si="26"/>
        <v>5.5164095410844788E-6</v>
      </c>
      <c r="AJ79" s="8">
        <f t="shared" si="27"/>
        <v>27.483354861235746</v>
      </c>
      <c r="AK79" s="7">
        <f t="shared" si="28"/>
        <v>1.3805882554703525E-2</v>
      </c>
      <c r="AL79" s="9">
        <f t="shared" si="29"/>
        <v>0.20068965480555595</v>
      </c>
      <c r="AM79" s="4">
        <f t="shared" si="93"/>
        <v>1004.3059633086672</v>
      </c>
      <c r="AN79" s="6">
        <f t="shared" si="30"/>
        <v>5.5086119266173349E-6</v>
      </c>
      <c r="AO79" s="8">
        <f t="shared" si="31"/>
        <v>27.438518578049674</v>
      </c>
      <c r="AP79" s="7">
        <f t="shared" si="32"/>
        <v>1.3786367515303625E-2</v>
      </c>
      <c r="AQ79" s="9">
        <f t="shared" si="33"/>
        <v>0.20101759445615267</v>
      </c>
      <c r="AR79" s="4">
        <f t="shared" si="94"/>
        <v>999.80737021546042</v>
      </c>
      <c r="AS79" s="6">
        <f t="shared" si="34"/>
        <v>5.4996147404309216E-6</v>
      </c>
      <c r="AT79" s="8">
        <f t="shared" si="35"/>
        <v>27.386784757477795</v>
      </c>
      <c r="AU79" s="7">
        <f t="shared" si="36"/>
        <v>1.3763850315504133E-2</v>
      </c>
      <c r="AV79" s="9">
        <f t="shared" si="37"/>
        <v>0.20139731804384201</v>
      </c>
      <c r="AW79" s="4">
        <f t="shared" si="95"/>
        <v>994.70899268982532</v>
      </c>
      <c r="AX79" s="6">
        <f t="shared" si="38"/>
        <v>5.489417985379651E-6</v>
      </c>
      <c r="AY79" s="8">
        <f t="shared" si="39"/>
        <v>27.328153415932988</v>
      </c>
      <c r="AZ79" s="7">
        <f t="shared" si="40"/>
        <v>1.3738330962448768E-2</v>
      </c>
      <c r="BA79" s="9">
        <f t="shared" si="41"/>
        <v>0.20182940706064151</v>
      </c>
      <c r="BB79" s="4">
        <f t="shared" si="96"/>
        <v>989.01083092110957</v>
      </c>
      <c r="BC79" s="6">
        <f t="shared" si="42"/>
        <v>5.4780216618422197E-6</v>
      </c>
      <c r="BD79" s="8">
        <f t="shared" si="43"/>
        <v>27.262624555592758</v>
      </c>
      <c r="BE79" s="7">
        <f t="shared" si="44"/>
        <v>1.370980945708529E-2</v>
      </c>
      <c r="BF79" s="9">
        <f t="shared" si="45"/>
        <v>0.20231452730285659</v>
      </c>
      <c r="BG79" s="4">
        <f t="shared" si="97"/>
        <v>982.71288333104883</v>
      </c>
      <c r="BH79" s="6">
        <f t="shared" si="46"/>
        <v>5.4654257666620976E-6</v>
      </c>
      <c r="BI79" s="8">
        <f t="shared" si="47"/>
        <v>27.190198158307062</v>
      </c>
      <c r="BJ79" s="7">
        <f t="shared" si="48"/>
        <v>1.3678285791513872E-2</v>
      </c>
      <c r="BK79" s="9">
        <f t="shared" si="49"/>
        <v>0.2028534315155362</v>
      </c>
      <c r="BL79" s="4">
        <f t="shared" si="98"/>
        <v>975.81512779883246</v>
      </c>
      <c r="BM79" s="6">
        <f t="shared" si="50"/>
        <v>5.4516302555976654E-6</v>
      </c>
      <c r="BN79" s="8">
        <f t="shared" si="51"/>
        <v>27.110873969686573</v>
      </c>
      <c r="BO79" s="7">
        <f t="shared" si="52"/>
        <v>1.3643759855011301E-2</v>
      </c>
      <c r="BP79" s="9">
        <f t="shared" si="53"/>
        <v>0.20344696398084305</v>
      </c>
      <c r="BQ79" s="4">
        <f t="shared" si="99"/>
        <v>968.31730357755987</v>
      </c>
      <c r="BR79" s="6">
        <f t="shared" si="54"/>
        <v>5.4366346071551201E-6</v>
      </c>
      <c r="BS79" s="8">
        <f t="shared" si="55"/>
        <v>27.024648991141937</v>
      </c>
      <c r="BT79" s="7">
        <f t="shared" si="56"/>
        <v>1.3606230342438401E-2</v>
      </c>
      <c r="BU79" s="9">
        <f t="shared" si="57"/>
        <v>0.20409608286893555</v>
      </c>
      <c r="BV79" s="4">
        <f t="shared" si="100"/>
        <v>960.21672480758002</v>
      </c>
      <c r="BW79" s="6">
        <f t="shared" si="58"/>
        <v>5.4204334496151606E-6</v>
      </c>
      <c r="BX79" s="8">
        <f t="shared" si="59"/>
        <v>26.931492335287167</v>
      </c>
      <c r="BY79" s="7">
        <f t="shared" si="60"/>
        <v>1.3565683810027943E-2</v>
      </c>
      <c r="BZ79" s="9">
        <f t="shared" si="61"/>
        <v>0.20480205594745729</v>
      </c>
      <c r="CA79" s="4">
        <f t="shared" si="101"/>
        <v>951.48956468516678</v>
      </c>
      <c r="CB79" s="6">
        <f t="shared" si="62"/>
        <v>5.4029791293703344E-6</v>
      </c>
      <c r="CC79" s="8">
        <f t="shared" si="63"/>
        <v>26.831129993879415</v>
      </c>
      <c r="CD79" s="7">
        <f t="shared" si="64"/>
        <v>1.3522000995404125E-2</v>
      </c>
      <c r="CE79" s="9">
        <f t="shared" si="65"/>
        <v>0.20556812185167742</v>
      </c>
      <c r="CF79" s="4">
        <f t="shared" si="102"/>
        <v>941.95769396867752</v>
      </c>
      <c r="CG79" s="6">
        <f t="shared" si="66"/>
        <v>5.3839153879373557E-6</v>
      </c>
      <c r="CH79" s="8">
        <f t="shared" si="67"/>
        <v>26.721513480639793</v>
      </c>
      <c r="CI79" s="7">
        <f t="shared" si="68"/>
        <v>1.3474290292760174E-2</v>
      </c>
      <c r="CJ79" s="9">
        <f t="shared" si="69"/>
        <v>0.20641139971342445</v>
      </c>
      <c r="CK79" s="4">
        <f t="shared" si="103"/>
        <v>930.53264584644637</v>
      </c>
      <c r="CL79" s="6">
        <f t="shared" si="70"/>
        <v>5.3610652916928931E-6</v>
      </c>
      <c r="CM79" s="8">
        <f t="shared" si="71"/>
        <v>26.590125427234135</v>
      </c>
      <c r="CN79" s="7">
        <f t="shared" si="72"/>
        <v>1.3417103504367247E-2</v>
      </c>
      <c r="CO79" s="9">
        <f t="shared" si="73"/>
        <v>0.20743132690719793</v>
      </c>
      <c r="CP79" s="4">
        <f t="shared" si="104"/>
        <v>912.02337276916558</v>
      </c>
      <c r="CQ79" s="6">
        <f t="shared" si="74"/>
        <v>5.3240467455383316E-6</v>
      </c>
      <c r="CR79" s="8">
        <f t="shared" si="75"/>
        <v>26.377268786845406</v>
      </c>
      <c r="CS79" s="7">
        <f t="shared" si="76"/>
        <v>1.3324457427829704E-2</v>
      </c>
      <c r="CT79" s="9">
        <f t="shared" si="77"/>
        <v>0.20910523544237053</v>
      </c>
      <c r="CU79" s="4">
        <f t="shared" si="105"/>
        <v>868.56285821152187</v>
      </c>
      <c r="CV79" s="6">
        <f t="shared" si="78"/>
        <v>5.2371257164230437E-6</v>
      </c>
      <c r="CW79" s="8">
        <f t="shared" si="79"/>
        <v>25.877472869432502</v>
      </c>
      <c r="CX79" s="7">
        <f t="shared" si="80"/>
        <v>1.3106920729264768E-2</v>
      </c>
      <c r="CY79" s="9">
        <f t="shared" si="81"/>
        <v>0.21314388108257956</v>
      </c>
      <c r="CZ79" s="5">
        <f t="shared" si="106"/>
        <v>762.53826630126525</v>
      </c>
      <c r="DA79" s="6">
        <f t="shared" si="82"/>
        <v>5.0250765326025305E-6</v>
      </c>
      <c r="DB79" s="8">
        <f t="shared" si="83"/>
        <v>24.658190062464548</v>
      </c>
      <c r="DC79" s="7">
        <f t="shared" si="84"/>
        <v>1.2576226605515713E-2</v>
      </c>
      <c r="DD79" s="9">
        <f t="shared" si="85"/>
        <v>0.22368328681171346</v>
      </c>
    </row>
    <row r="80" spans="2:108" x14ac:dyDescent="0.25">
      <c r="B80">
        <v>61</v>
      </c>
      <c r="C80">
        <f t="shared" si="86"/>
        <v>5.9634494647060339E-2</v>
      </c>
      <c r="D80" s="4">
        <f t="shared" si="3"/>
        <v>1019.0132371126692</v>
      </c>
      <c r="E80" s="6">
        <f t="shared" si="4"/>
        <v>5.538026474225339E-6</v>
      </c>
      <c r="F80" s="8">
        <f t="shared" si="5"/>
        <v>27.607652226795693</v>
      </c>
      <c r="G80" s="7">
        <f t="shared" si="1"/>
        <v>1.3859983113756094E-2</v>
      </c>
      <c r="H80" s="9">
        <f t="shared" si="6"/>
        <v>0.19978609389488736</v>
      </c>
      <c r="I80" s="4">
        <f t="shared" si="87"/>
        <v>1018.6901253900644</v>
      </c>
      <c r="J80" s="6">
        <f t="shared" si="7"/>
        <v>5.537380250780129E-6</v>
      </c>
      <c r="K80" s="8">
        <f t="shared" si="8"/>
        <v>27.603936441985738</v>
      </c>
      <c r="L80" s="7">
        <f t="shared" si="9"/>
        <v>1.3858365814510594E-2</v>
      </c>
      <c r="M80" s="9">
        <f t="shared" si="10"/>
        <v>0.19981298723796162</v>
      </c>
      <c r="N80" s="4">
        <f t="shared" si="88"/>
        <v>1017.7863200896628</v>
      </c>
      <c r="O80" s="6">
        <f t="shared" si="11"/>
        <v>5.535572640179326E-6</v>
      </c>
      <c r="P80" s="8">
        <f t="shared" si="12"/>
        <v>27.593542681031121</v>
      </c>
      <c r="Q80" s="7">
        <f t="shared" si="2"/>
        <v>1.3859983113756094E-2</v>
      </c>
      <c r="R80" s="9">
        <f t="shared" si="13"/>
        <v>0.19988825152892223</v>
      </c>
      <c r="S80" s="4">
        <f t="shared" si="89"/>
        <v>1016.2857585623143</v>
      </c>
      <c r="T80" s="6">
        <f t="shared" si="14"/>
        <v>5.5325715171246291E-6</v>
      </c>
      <c r="U80" s="8">
        <f t="shared" si="15"/>
        <v>27.576286223466614</v>
      </c>
      <c r="V80" s="7">
        <f t="shared" si="16"/>
        <v>1.3846331027827292E-2</v>
      </c>
      <c r="W80" s="9">
        <f t="shared" si="17"/>
        <v>0.20001333592579135</v>
      </c>
      <c r="X80" s="4">
        <f t="shared" si="90"/>
        <v>1014.1863777538084</v>
      </c>
      <c r="Y80" s="6">
        <f t="shared" si="18"/>
        <v>5.5283727555076174E-6</v>
      </c>
      <c r="Z80" s="8">
        <f t="shared" si="19"/>
        <v>27.552143344168798</v>
      </c>
      <c r="AA80" s="7">
        <f t="shared" si="20"/>
        <v>1.383582281422786E-2</v>
      </c>
      <c r="AB80" s="9">
        <f t="shared" si="21"/>
        <v>0.20018859988863044</v>
      </c>
      <c r="AC80" s="4">
        <f t="shared" si="91"/>
        <v>1011.4871875313654</v>
      </c>
      <c r="AD80" s="6">
        <f t="shared" si="22"/>
        <v>5.5229743750627306E-6</v>
      </c>
      <c r="AE80" s="8">
        <f t="shared" si="23"/>
        <v>27.521102656610701</v>
      </c>
      <c r="AF80" s="7">
        <f t="shared" si="24"/>
        <v>1.3822312322330431E-2</v>
      </c>
      <c r="AG80" s="9">
        <f t="shared" si="25"/>
        <v>0.20041438996177433</v>
      </c>
      <c r="AH80" s="4">
        <f t="shared" si="92"/>
        <v>1008.1881891465973</v>
      </c>
      <c r="AI80" s="6">
        <f t="shared" si="26"/>
        <v>5.5163763782931953E-6</v>
      </c>
      <c r="AJ80" s="8">
        <f t="shared" si="27"/>
        <v>27.48316417518587</v>
      </c>
      <c r="AK80" s="7">
        <f t="shared" si="28"/>
        <v>1.3805799558399818E-2</v>
      </c>
      <c r="AL80" s="9">
        <f t="shared" si="29"/>
        <v>0.20069104724775372</v>
      </c>
      <c r="AM80" s="4">
        <f t="shared" si="93"/>
        <v>1004.2894018691881</v>
      </c>
      <c r="AN80" s="6">
        <f t="shared" si="30"/>
        <v>5.5085788037383768E-6</v>
      </c>
      <c r="AO80" s="8">
        <f t="shared" si="31"/>
        <v>27.438328121495662</v>
      </c>
      <c r="AP80" s="7">
        <f t="shared" si="32"/>
        <v>1.3786284618888237E-2</v>
      </c>
      <c r="AQ80" s="9">
        <f t="shared" si="33"/>
        <v>0.20101898977142721</v>
      </c>
      <c r="AR80" s="4">
        <f t="shared" si="94"/>
        <v>999.79083225603813</v>
      </c>
      <c r="AS80" s="6">
        <f t="shared" si="34"/>
        <v>5.4995816645120765E-6</v>
      </c>
      <c r="AT80" s="8">
        <f t="shared" si="35"/>
        <v>27.386594570944439</v>
      </c>
      <c r="AU80" s="7">
        <f t="shared" si="36"/>
        <v>1.3763767536615516E-2</v>
      </c>
      <c r="AV80" s="9">
        <f t="shared" si="37"/>
        <v>0.20139871664992451</v>
      </c>
      <c r="AW80" s="4">
        <f t="shared" si="95"/>
        <v>994.69248178465102</v>
      </c>
      <c r="AX80" s="6">
        <f t="shared" si="38"/>
        <v>5.489384963569302E-6</v>
      </c>
      <c r="AY80" s="8">
        <f t="shared" si="39"/>
        <v>27.327963540523484</v>
      </c>
      <c r="AZ80" s="7">
        <f t="shared" si="40"/>
        <v>1.3738248318977134E-2</v>
      </c>
      <c r="BA80" s="9">
        <f t="shared" si="41"/>
        <v>0.20183080937667061</v>
      </c>
      <c r="BB80" s="4">
        <f t="shared" si="96"/>
        <v>988.99435063809608</v>
      </c>
      <c r="BC80" s="6">
        <f t="shared" si="42"/>
        <v>5.4779887012761932E-6</v>
      </c>
      <c r="BD80" s="8">
        <f t="shared" si="43"/>
        <v>27.262435032338104</v>
      </c>
      <c r="BE80" s="7">
        <f t="shared" si="44"/>
        <v>1.3709726966889428E-2</v>
      </c>
      <c r="BF80" s="9">
        <f t="shared" si="45"/>
        <v>0.20231593375490803</v>
      </c>
      <c r="BG80" s="4">
        <f t="shared" si="97"/>
        <v>982.69643696943194</v>
      </c>
      <c r="BH80" s="6">
        <f t="shared" si="46"/>
        <v>5.4653928739388641E-6</v>
      </c>
      <c r="BI80" s="8">
        <f t="shared" si="47"/>
        <v>27.190009025148466</v>
      </c>
      <c r="BJ80" s="7">
        <f t="shared" si="48"/>
        <v>1.3678203471107731E-2</v>
      </c>
      <c r="BK80" s="9">
        <f t="shared" si="49"/>
        <v>0.2028548425599459</v>
      </c>
      <c r="BL80" s="4">
        <f t="shared" si="98"/>
        <v>975.79871553433384</v>
      </c>
      <c r="BM80" s="6">
        <f t="shared" si="50"/>
        <v>5.4515974310686683E-6</v>
      </c>
      <c r="BN80" s="8">
        <f t="shared" si="51"/>
        <v>27.11068522864484</v>
      </c>
      <c r="BO80" s="7">
        <f t="shared" si="52"/>
        <v>1.3643677705274432E-2</v>
      </c>
      <c r="BP80" s="9">
        <f t="shared" si="53"/>
        <v>0.20344838035197479</v>
      </c>
      <c r="BQ80" s="4">
        <f t="shared" si="99"/>
        <v>968.30089442018004</v>
      </c>
      <c r="BR80" s="6">
        <f t="shared" si="54"/>
        <v>5.4366017888403599E-6</v>
      </c>
      <c r="BS80" s="8">
        <f t="shared" si="55"/>
        <v>27.02446028583207</v>
      </c>
      <c r="BT80" s="7">
        <f t="shared" si="56"/>
        <v>1.3606148208253864E-2</v>
      </c>
      <c r="BU80" s="9">
        <f t="shared" si="57"/>
        <v>0.20409750802282031</v>
      </c>
      <c r="BV80" s="4">
        <f t="shared" si="100"/>
        <v>960.2000222806422</v>
      </c>
      <c r="BW80" s="6">
        <f t="shared" si="58"/>
        <v>5.4204000445612851E-6</v>
      </c>
      <c r="BX80" s="8">
        <f t="shared" si="59"/>
        <v>26.931300256227384</v>
      </c>
      <c r="BY80" s="7">
        <f t="shared" si="60"/>
        <v>1.3565600207415211E-2</v>
      </c>
      <c r="BZ80" s="9">
        <f t="shared" si="61"/>
        <v>0.20480351663394381</v>
      </c>
      <c r="CA80" s="4">
        <f t="shared" si="101"/>
        <v>951.47039181254706</v>
      </c>
      <c r="CB80" s="6">
        <f t="shared" si="62"/>
        <v>5.4029407836250949E-6</v>
      </c>
      <c r="CC80" s="8">
        <f t="shared" si="63"/>
        <v>26.830909505844289</v>
      </c>
      <c r="CD80" s="7">
        <f t="shared" si="64"/>
        <v>1.3521905027755004E-2</v>
      </c>
      <c r="CE80" s="9">
        <f t="shared" si="65"/>
        <v>0.20556981114630463</v>
      </c>
      <c r="CF80" s="4">
        <f t="shared" si="102"/>
        <v>941.92323905777732</v>
      </c>
      <c r="CG80" s="6">
        <f t="shared" si="66"/>
        <v>5.383846478115555E-6</v>
      </c>
      <c r="CH80" s="8">
        <f t="shared" si="67"/>
        <v>26.721117249164436</v>
      </c>
      <c r="CI80" s="7">
        <f t="shared" si="68"/>
        <v>1.3474117832593908E-2</v>
      </c>
      <c r="CJ80" s="9">
        <f t="shared" si="69"/>
        <v>0.20641446046469006</v>
      </c>
      <c r="CK80" s="4">
        <f t="shared" si="103"/>
        <v>930.42532926549995</v>
      </c>
      <c r="CL80" s="6">
        <f t="shared" si="70"/>
        <v>5.3608506585310009E-6</v>
      </c>
      <c r="CM80" s="8">
        <f t="shared" si="71"/>
        <v>26.588891286553249</v>
      </c>
      <c r="CN80" s="7">
        <f t="shared" si="72"/>
        <v>1.3416566343338253E-2</v>
      </c>
      <c r="CO80" s="9">
        <f t="shared" si="73"/>
        <v>0.20744095496713724</v>
      </c>
      <c r="CP80" s="4">
        <f t="shared" si="104"/>
        <v>911.66551773340984</v>
      </c>
      <c r="CQ80" s="6">
        <f t="shared" si="74"/>
        <v>5.3233310354668206E-6</v>
      </c>
      <c r="CR80" s="8">
        <f t="shared" si="75"/>
        <v>26.373153453934215</v>
      </c>
      <c r="CS80" s="7">
        <f t="shared" si="76"/>
        <v>1.3322666224853036E-2</v>
      </c>
      <c r="CT80" s="9">
        <f t="shared" si="77"/>
        <v>0.20913786474697083</v>
      </c>
      <c r="CU80" s="4">
        <f t="shared" si="105"/>
        <v>867.67692893920662</v>
      </c>
      <c r="CV80" s="6">
        <f t="shared" si="78"/>
        <v>5.2353538578784135E-6</v>
      </c>
      <c r="CW80" s="8">
        <f t="shared" si="79"/>
        <v>25.867284682800875</v>
      </c>
      <c r="CX80" s="7">
        <f t="shared" si="80"/>
        <v>1.3102486310320972E-2</v>
      </c>
      <c r="CY80" s="9">
        <f t="shared" si="81"/>
        <v>0.21322783073815754</v>
      </c>
      <c r="CZ80" s="5">
        <f t="shared" si="106"/>
        <v>761.29857454370278</v>
      </c>
      <c r="DA80" s="6">
        <f t="shared" si="82"/>
        <v>5.0225971490874059E-6</v>
      </c>
      <c r="DB80" s="8">
        <f t="shared" si="83"/>
        <v>24.643933607252581</v>
      </c>
      <c r="DC80" s="7">
        <f t="shared" si="84"/>
        <v>1.2570021468394739E-2</v>
      </c>
      <c r="DD80" s="9">
        <f t="shared" si="85"/>
        <v>0.22381268704509008</v>
      </c>
    </row>
    <row r="81" spans="2:108" x14ac:dyDescent="0.25">
      <c r="B81">
        <v>62</v>
      </c>
      <c r="C81">
        <f t="shared" si="86"/>
        <v>6.061210931340559E-2</v>
      </c>
      <c r="D81" s="4">
        <f t="shared" si="3"/>
        <v>1018.9967406603652</v>
      </c>
      <c r="E81" s="6">
        <f t="shared" si="4"/>
        <v>5.5379934813207313E-6</v>
      </c>
      <c r="F81" s="8">
        <f t="shared" si="5"/>
        <v>27.6074625175942</v>
      </c>
      <c r="G81" s="7">
        <f t="shared" si="1"/>
        <v>1.3859900542626672E-2</v>
      </c>
      <c r="H81" s="9">
        <f t="shared" si="6"/>
        <v>0.19978746675776157</v>
      </c>
      <c r="I81" s="4">
        <f t="shared" si="87"/>
        <v>1018.6735745608739</v>
      </c>
      <c r="J81" s="6">
        <f t="shared" si="7"/>
        <v>5.5373471491217484E-6</v>
      </c>
      <c r="K81" s="8">
        <f t="shared" si="8"/>
        <v>27.60374610745005</v>
      </c>
      <c r="L81" s="7">
        <f t="shared" si="9"/>
        <v>1.3858282971203806E-2</v>
      </c>
      <c r="M81" s="9">
        <f t="shared" si="10"/>
        <v>0.19981436499705282</v>
      </c>
      <c r="N81" s="4">
        <f t="shared" si="88"/>
        <v>1017.7697199740386</v>
      </c>
      <c r="O81" s="6">
        <f t="shared" si="11"/>
        <v>5.5355394399480774E-6</v>
      </c>
      <c r="P81" s="8">
        <f t="shared" si="12"/>
        <v>27.593351779701443</v>
      </c>
      <c r="Q81" s="7">
        <f t="shared" si="2"/>
        <v>1.3859900542626672E-2</v>
      </c>
      <c r="R81" s="9">
        <f t="shared" si="13"/>
        <v>0.19988963443206892</v>
      </c>
      <c r="S81" s="4">
        <f t="shared" si="89"/>
        <v>1016.2691431795121</v>
      </c>
      <c r="T81" s="6">
        <f t="shared" si="14"/>
        <v>5.5325382863590244E-6</v>
      </c>
      <c r="U81" s="8">
        <f t="shared" si="15"/>
        <v>27.576095146564388</v>
      </c>
      <c r="V81" s="7">
        <f t="shared" si="16"/>
        <v>1.3846247861404688E-2</v>
      </c>
      <c r="W81" s="9">
        <f t="shared" si="17"/>
        <v>0.20001472183371014</v>
      </c>
      <c r="X81" s="4">
        <f t="shared" si="90"/>
        <v>1014.169767368509</v>
      </c>
      <c r="Y81" s="6">
        <f t="shared" si="18"/>
        <v>5.5283395347370183E-6</v>
      </c>
      <c r="Z81" s="8">
        <f t="shared" si="19"/>
        <v>27.551952324737854</v>
      </c>
      <c r="AA81" s="7">
        <f t="shared" si="20"/>
        <v>1.3835739672819692E-2</v>
      </c>
      <c r="AB81" s="9">
        <f t="shared" si="21"/>
        <v>0.20018998780887587</v>
      </c>
      <c r="AC81" s="4">
        <f t="shared" si="91"/>
        <v>1011.47058980417</v>
      </c>
      <c r="AD81" s="6">
        <f t="shared" si="22"/>
        <v>5.5229411796083404E-6</v>
      </c>
      <c r="AE81" s="8">
        <f t="shared" si="23"/>
        <v>27.520911782747952</v>
      </c>
      <c r="AF81" s="7">
        <f t="shared" si="24"/>
        <v>1.3822229244280978E-2</v>
      </c>
      <c r="AG81" s="9">
        <f t="shared" si="25"/>
        <v>0.20041577995455742</v>
      </c>
      <c r="AH81" s="4">
        <f t="shared" si="92"/>
        <v>1008.171607940069</v>
      </c>
      <c r="AI81" s="6">
        <f t="shared" si="26"/>
        <v>5.516343215880139E-6</v>
      </c>
      <c r="AJ81" s="8">
        <f t="shared" si="27"/>
        <v>27.482973491310794</v>
      </c>
      <c r="AK81" s="7">
        <f t="shared" si="28"/>
        <v>1.3805716563042697E-2</v>
      </c>
      <c r="AL81" s="9">
        <f t="shared" si="29"/>
        <v>0.20069243969339265</v>
      </c>
      <c r="AM81" s="4">
        <f t="shared" si="93"/>
        <v>1004.2728406207534</v>
      </c>
      <c r="AN81" s="6">
        <f t="shared" si="30"/>
        <v>5.5085456812415067E-6</v>
      </c>
      <c r="AO81" s="8">
        <f t="shared" si="31"/>
        <v>27.438137667138662</v>
      </c>
      <c r="AP81" s="7">
        <f t="shared" si="32"/>
        <v>1.3786201723429098E-2</v>
      </c>
      <c r="AQ81" s="9">
        <f t="shared" si="33"/>
        <v>0.20102038508997638</v>
      </c>
      <c r="AR81" s="4">
        <f t="shared" si="94"/>
        <v>999.77429448887358</v>
      </c>
      <c r="AS81" s="6">
        <f t="shared" si="34"/>
        <v>5.499548588977748E-6</v>
      </c>
      <c r="AT81" s="8">
        <f t="shared" si="35"/>
        <v>27.386404386622047</v>
      </c>
      <c r="AU81" s="7">
        <f t="shared" si="36"/>
        <v>1.3763684758689228E-2</v>
      </c>
      <c r="AV81" s="9">
        <f t="shared" si="37"/>
        <v>0.20140011525917295</v>
      </c>
      <c r="AW81" s="4">
        <f t="shared" si="95"/>
        <v>994.67597107198628</v>
      </c>
      <c r="AX81" s="6">
        <f t="shared" si="38"/>
        <v>5.4893519421439734E-6</v>
      </c>
      <c r="AY81" s="8">
        <f t="shared" si="39"/>
        <v>27.32777366732784</v>
      </c>
      <c r="AZ81" s="7">
        <f t="shared" si="40"/>
        <v>1.3738165676469089E-2</v>
      </c>
      <c r="BA81" s="9">
        <f t="shared" si="41"/>
        <v>0.20183221169583582</v>
      </c>
      <c r="BB81" s="4">
        <f t="shared" si="96"/>
        <v>988.97787054388084</v>
      </c>
      <c r="BC81" s="6">
        <f t="shared" si="42"/>
        <v>5.4779557410877621E-6</v>
      </c>
      <c r="BD81" s="8">
        <f t="shared" si="43"/>
        <v>27.262245511254626</v>
      </c>
      <c r="BE81" s="7">
        <f t="shared" si="44"/>
        <v>1.3709644477638571E-2</v>
      </c>
      <c r="BF81" s="9">
        <f t="shared" si="45"/>
        <v>0.20231734021040174</v>
      </c>
      <c r="BG81" s="4">
        <f t="shared" si="97"/>
        <v>982.67999075156604</v>
      </c>
      <c r="BH81" s="6">
        <f t="shared" si="46"/>
        <v>5.4653599815031323E-6</v>
      </c>
      <c r="BI81" s="8">
        <f t="shared" si="47"/>
        <v>27.189819893643008</v>
      </c>
      <c r="BJ81" s="7">
        <f t="shared" si="48"/>
        <v>1.3678121151421118E-2</v>
      </c>
      <c r="BK81" s="9">
        <f t="shared" si="49"/>
        <v>0.20285625361165249</v>
      </c>
      <c r="BL81" s="4">
        <f t="shared" si="98"/>
        <v>975.7823029659279</v>
      </c>
      <c r="BM81" s="6">
        <f t="shared" si="50"/>
        <v>5.4515646059318564E-6</v>
      </c>
      <c r="BN81" s="8">
        <f t="shared" si="51"/>
        <v>27.110496484108168</v>
      </c>
      <c r="BO81" s="7">
        <f t="shared" si="52"/>
        <v>1.3643595554016393E-2</v>
      </c>
      <c r="BP81" s="9">
        <f t="shared" si="53"/>
        <v>0.20344979676905547</v>
      </c>
      <c r="BQ81" s="4">
        <f t="shared" si="99"/>
        <v>968.28448116427876</v>
      </c>
      <c r="BR81" s="6">
        <f t="shared" si="54"/>
        <v>5.4365689623285586E-6</v>
      </c>
      <c r="BS81" s="8">
        <f t="shared" si="55"/>
        <v>27.024271533389204</v>
      </c>
      <c r="BT81" s="7">
        <f t="shared" si="56"/>
        <v>1.3606066053554645E-2</v>
      </c>
      <c r="BU81" s="9">
        <f t="shared" si="57"/>
        <v>0.20409893355257697</v>
      </c>
      <c r="BV81" s="4">
        <f t="shared" si="100"/>
        <v>960.1832888914995</v>
      </c>
      <c r="BW81" s="6">
        <f t="shared" si="58"/>
        <v>5.420366577782999E-6</v>
      </c>
      <c r="BX81" s="8">
        <f t="shared" si="59"/>
        <v>26.931107822252244</v>
      </c>
      <c r="BY81" s="7">
        <f t="shared" si="60"/>
        <v>1.3565516450325193E-2</v>
      </c>
      <c r="BZ81" s="9">
        <f t="shared" si="61"/>
        <v>0.20480498004031716</v>
      </c>
      <c r="CA81" s="4">
        <f t="shared" si="101"/>
        <v>951.45103723373643</v>
      </c>
      <c r="CB81" s="6">
        <f t="shared" si="62"/>
        <v>5.4029020744674733E-6</v>
      </c>
      <c r="CC81" s="8">
        <f t="shared" si="63"/>
        <v>26.830686928187966</v>
      </c>
      <c r="CD81" s="7">
        <f t="shared" si="64"/>
        <v>1.352180815059606E-2</v>
      </c>
      <c r="CE81" s="9">
        <f t="shared" si="65"/>
        <v>0.20557151647896713</v>
      </c>
      <c r="CF81" s="4">
        <f t="shared" si="102"/>
        <v>941.88796856729653</v>
      </c>
      <c r="CG81" s="6">
        <f t="shared" si="66"/>
        <v>5.3837759371345938E-6</v>
      </c>
      <c r="CH81" s="8">
        <f t="shared" si="67"/>
        <v>26.720711638523909</v>
      </c>
      <c r="CI81" s="7">
        <f t="shared" si="68"/>
        <v>1.3473941290136139E-2</v>
      </c>
      <c r="CJ81" s="9">
        <f t="shared" si="69"/>
        <v>0.20641759376078844</v>
      </c>
      <c r="CK81" s="4">
        <f t="shared" si="103"/>
        <v>930.31549192307659</v>
      </c>
      <c r="CL81" s="6">
        <f t="shared" si="70"/>
        <v>5.360630983846154E-6</v>
      </c>
      <c r="CM81" s="8">
        <f t="shared" si="71"/>
        <v>26.587628157115383</v>
      </c>
      <c r="CN81" s="7">
        <f t="shared" si="72"/>
        <v>1.3416016564922303E-2</v>
      </c>
      <c r="CO81" s="9">
        <f t="shared" si="73"/>
        <v>0.20745081010635047</v>
      </c>
      <c r="CP81" s="4">
        <f t="shared" si="104"/>
        <v>911.3036637736875</v>
      </c>
      <c r="CQ81" s="6">
        <f t="shared" si="74"/>
        <v>5.3226073275473752E-6</v>
      </c>
      <c r="CR81" s="8">
        <f t="shared" si="75"/>
        <v>26.368992133397406</v>
      </c>
      <c r="CS81" s="7">
        <f t="shared" si="76"/>
        <v>1.3320855005713965E-2</v>
      </c>
      <c r="CT81" s="9">
        <f t="shared" si="77"/>
        <v>0.20917086903045626</v>
      </c>
      <c r="CU81" s="4">
        <f t="shared" si="105"/>
        <v>866.79313296389955</v>
      </c>
      <c r="CV81" s="6">
        <f t="shared" si="78"/>
        <v>5.2335862659277999E-6</v>
      </c>
      <c r="CW81" s="8">
        <f t="shared" si="79"/>
        <v>25.857121029084844</v>
      </c>
      <c r="CX81" s="7">
        <f t="shared" si="80"/>
        <v>1.3098062569354488E-2</v>
      </c>
      <c r="CY81" s="9">
        <f t="shared" si="81"/>
        <v>0.2133116441616166</v>
      </c>
      <c r="CZ81" s="5">
        <f t="shared" si="106"/>
        <v>760.07374383688375</v>
      </c>
      <c r="DA81" s="6">
        <f t="shared" si="82"/>
        <v>5.0201474876737677E-6</v>
      </c>
      <c r="DB81" s="8">
        <f t="shared" si="83"/>
        <v>24.62984805412416</v>
      </c>
      <c r="DC81" s="7">
        <f t="shared" si="84"/>
        <v>1.2563890716585325E-2</v>
      </c>
      <c r="DD81" s="9">
        <f t="shared" si="85"/>
        <v>0.22394068318567775</v>
      </c>
    </row>
    <row r="82" spans="2:108" x14ac:dyDescent="0.25">
      <c r="B82">
        <v>63</v>
      </c>
      <c r="C82">
        <f t="shared" si="86"/>
        <v>6.1589723979750842E-2</v>
      </c>
      <c r="D82" s="4">
        <f t="shared" si="3"/>
        <v>1018.9802414318519</v>
      </c>
      <c r="E82" s="6">
        <f t="shared" si="4"/>
        <v>5.5379604828637049E-6</v>
      </c>
      <c r="F82" s="8">
        <f t="shared" si="5"/>
        <v>27.607272776466296</v>
      </c>
      <c r="G82" s="7">
        <f t="shared" si="1"/>
        <v>1.385981795760125E-2</v>
      </c>
      <c r="H82" s="9">
        <f t="shared" si="6"/>
        <v>0.19978883987054932</v>
      </c>
      <c r="I82" s="4">
        <f t="shared" si="87"/>
        <v>1018.6570231824779</v>
      </c>
      <c r="J82" s="6">
        <f t="shared" si="7"/>
        <v>5.5373140463649567E-6</v>
      </c>
      <c r="K82" s="8">
        <f t="shared" si="8"/>
        <v>27.603555766598497</v>
      </c>
      <c r="L82" s="7">
        <f t="shared" si="9"/>
        <v>1.3858200125148035E-2</v>
      </c>
      <c r="M82" s="9">
        <f t="shared" si="10"/>
        <v>0.19981574282086317</v>
      </c>
      <c r="N82" s="4">
        <f t="shared" si="88"/>
        <v>1017.7531202054478</v>
      </c>
      <c r="O82" s="6">
        <f t="shared" si="11"/>
        <v>5.5355062404108969E-6</v>
      </c>
      <c r="P82" s="8">
        <f t="shared" si="12"/>
        <v>27.593160882362646</v>
      </c>
      <c r="Q82" s="7">
        <f t="shared" si="2"/>
        <v>1.385981795760125E-2</v>
      </c>
      <c r="R82" s="9">
        <f t="shared" si="13"/>
        <v>0.19989101732543982</v>
      </c>
      <c r="S82" s="4">
        <f t="shared" si="89"/>
        <v>1016.2525281528557</v>
      </c>
      <c r="T82" s="6">
        <f t="shared" si="14"/>
        <v>5.5325050563057117E-6</v>
      </c>
      <c r="U82" s="8">
        <f t="shared" si="15"/>
        <v>27.57590407375784</v>
      </c>
      <c r="V82" s="7">
        <f t="shared" si="16"/>
        <v>1.3846164696764734E-2</v>
      </c>
      <c r="W82" s="9">
        <f t="shared" si="17"/>
        <v>0.20001610773112802</v>
      </c>
      <c r="X82" s="4">
        <f t="shared" si="90"/>
        <v>1014.1531572196043</v>
      </c>
      <c r="Y82" s="6">
        <f t="shared" si="18"/>
        <v>5.5283063144392085E-6</v>
      </c>
      <c r="Z82" s="8">
        <f t="shared" si="19"/>
        <v>27.551761308025448</v>
      </c>
      <c r="AA82" s="7">
        <f t="shared" si="20"/>
        <v>1.3835656532594772E-2</v>
      </c>
      <c r="AB82" s="9">
        <f t="shared" si="21"/>
        <v>0.20019137572861356</v>
      </c>
      <c r="AC82" s="4">
        <f t="shared" si="91"/>
        <v>1011.4539922705237</v>
      </c>
      <c r="AD82" s="6">
        <f t="shared" si="22"/>
        <v>5.5229079845410476E-6</v>
      </c>
      <c r="AE82" s="8">
        <f t="shared" si="23"/>
        <v>27.52072091111102</v>
      </c>
      <c r="AF82" s="7">
        <f t="shared" si="24"/>
        <v>1.382214616720031E-2</v>
      </c>
      <c r="AG82" s="9">
        <f t="shared" si="25"/>
        <v>0.2004171699504122</v>
      </c>
      <c r="AH82" s="4">
        <f t="shared" si="92"/>
        <v>1008.1550269227307</v>
      </c>
      <c r="AI82" s="6">
        <f t="shared" si="26"/>
        <v>5.5163100538454617E-6</v>
      </c>
      <c r="AJ82" s="8">
        <f t="shared" si="27"/>
        <v>27.4827828096114</v>
      </c>
      <c r="AK82" s="7">
        <f t="shared" si="28"/>
        <v>1.3805633568632542E-2</v>
      </c>
      <c r="AL82" s="9">
        <f t="shared" si="29"/>
        <v>0.20069383214246597</v>
      </c>
      <c r="AM82" s="4">
        <f t="shared" si="93"/>
        <v>1004.2562795633544</v>
      </c>
      <c r="AN82" s="6">
        <f t="shared" si="30"/>
        <v>5.5085125591267087E-6</v>
      </c>
      <c r="AO82" s="8">
        <f t="shared" si="31"/>
        <v>27.437947214978575</v>
      </c>
      <c r="AP82" s="7">
        <f t="shared" si="32"/>
        <v>1.3786118828926167E-2</v>
      </c>
      <c r="AQ82" s="9">
        <f t="shared" si="33"/>
        <v>0.20102178041180063</v>
      </c>
      <c r="AR82" s="4">
        <f t="shared" si="94"/>
        <v>999.75775691395256</v>
      </c>
      <c r="AS82" s="6">
        <f t="shared" si="34"/>
        <v>5.4995155138279055E-6</v>
      </c>
      <c r="AT82" s="8">
        <f t="shared" si="35"/>
        <v>27.386214204510452</v>
      </c>
      <c r="AU82" s="7">
        <f t="shared" si="36"/>
        <v>1.3763601981725188E-2</v>
      </c>
      <c r="AV82" s="9">
        <f t="shared" si="37"/>
        <v>0.20140151387158828</v>
      </c>
      <c r="AW82" s="4">
        <f t="shared" si="95"/>
        <v>994.65946055177164</v>
      </c>
      <c r="AX82" s="6">
        <f t="shared" si="38"/>
        <v>5.4893189211035435E-6</v>
      </c>
      <c r="AY82" s="8">
        <f t="shared" si="39"/>
        <v>27.327583796345372</v>
      </c>
      <c r="AZ82" s="7">
        <f t="shared" si="40"/>
        <v>1.3738083034924329E-2</v>
      </c>
      <c r="BA82" s="9">
        <f t="shared" si="41"/>
        <v>0.20183361401814187</v>
      </c>
      <c r="BB82" s="4">
        <f t="shared" si="96"/>
        <v>988.96139063786018</v>
      </c>
      <c r="BC82" s="6">
        <f t="shared" si="42"/>
        <v>5.4779227812757211E-6</v>
      </c>
      <c r="BD82" s="8">
        <f t="shared" si="43"/>
        <v>27.262055992335391</v>
      </c>
      <c r="BE82" s="7">
        <f t="shared" si="44"/>
        <v>1.3709561989329705E-2</v>
      </c>
      <c r="BF82" s="9">
        <f t="shared" si="45"/>
        <v>0.20231874666938893</v>
      </c>
      <c r="BG82" s="4">
        <f t="shared" si="97"/>
        <v>982.66354467162284</v>
      </c>
      <c r="BH82" s="6">
        <f t="shared" si="46"/>
        <v>5.465327089343246E-6</v>
      </c>
      <c r="BI82" s="8">
        <f t="shared" si="47"/>
        <v>27.189630763723663</v>
      </c>
      <c r="BJ82" s="7">
        <f t="shared" si="48"/>
        <v>1.367803883242486E-2</v>
      </c>
      <c r="BK82" s="9">
        <f t="shared" si="49"/>
        <v>0.20285766467115593</v>
      </c>
      <c r="BL82" s="4">
        <f t="shared" si="98"/>
        <v>975.76589004542109</v>
      </c>
      <c r="BM82" s="6">
        <f t="shared" si="50"/>
        <v>5.4515317800908433E-6</v>
      </c>
      <c r="BN82" s="8">
        <f t="shared" si="51"/>
        <v>27.110307735522341</v>
      </c>
      <c r="BO82" s="7">
        <f t="shared" si="52"/>
        <v>1.3643513400995955E-2</v>
      </c>
      <c r="BP82" s="9">
        <f t="shared" si="53"/>
        <v>0.20345121323624582</v>
      </c>
      <c r="BQ82" s="4">
        <f t="shared" si="99"/>
        <v>968.26806348049445</v>
      </c>
      <c r="BR82" s="6">
        <f t="shared" si="54"/>
        <v>5.4365361269609889E-6</v>
      </c>
      <c r="BS82" s="8">
        <f t="shared" si="55"/>
        <v>27.024082730025686</v>
      </c>
      <c r="BT82" s="7">
        <f t="shared" si="56"/>
        <v>1.3605983876692153E-2</v>
      </c>
      <c r="BU82" s="9">
        <f t="shared" si="57"/>
        <v>0.20410035948682717</v>
      </c>
      <c r="BV82" s="4">
        <f t="shared" si="100"/>
        <v>960.16652286601402</v>
      </c>
      <c r="BW82" s="6">
        <f t="shared" si="58"/>
        <v>5.4203330457320287E-6</v>
      </c>
      <c r="BX82" s="8">
        <f t="shared" si="59"/>
        <v>26.930915012959161</v>
      </c>
      <c r="BY82" s="7">
        <f t="shared" si="60"/>
        <v>1.3565432529877651E-2</v>
      </c>
      <c r="BZ82" s="9">
        <f t="shared" si="61"/>
        <v>0.2048064463218528</v>
      </c>
      <c r="CA82" s="4">
        <f t="shared" si="101"/>
        <v>951.43149404387816</v>
      </c>
      <c r="CB82" s="6">
        <f t="shared" si="62"/>
        <v>5.4028629880877564E-6</v>
      </c>
      <c r="CC82" s="8">
        <f t="shared" si="63"/>
        <v>26.8304621815046</v>
      </c>
      <c r="CD82" s="7">
        <f t="shared" si="64"/>
        <v>1.3521710329365812E-2</v>
      </c>
      <c r="CE82" s="9">
        <f t="shared" si="65"/>
        <v>0.20557323845886483</v>
      </c>
      <c r="CF82" s="4">
        <f t="shared" si="102"/>
        <v>941.85186703714544</v>
      </c>
      <c r="CG82" s="6">
        <f t="shared" si="66"/>
        <v>5.3837037340742907E-6</v>
      </c>
      <c r="CH82" s="8">
        <f t="shared" si="67"/>
        <v>26.720296470927174</v>
      </c>
      <c r="CI82" s="7">
        <f t="shared" si="68"/>
        <v>1.3473760588003128E-2</v>
      </c>
      <c r="CJ82" s="9">
        <f t="shared" si="69"/>
        <v>0.20642080098180182</v>
      </c>
      <c r="CK82" s="4">
        <f t="shared" si="103"/>
        <v>930.20313571724421</v>
      </c>
      <c r="CL82" s="6">
        <f t="shared" si="70"/>
        <v>5.3604062714344889E-6</v>
      </c>
      <c r="CM82" s="8">
        <f t="shared" si="71"/>
        <v>26.586336060748309</v>
      </c>
      <c r="CN82" s="7">
        <f t="shared" si="72"/>
        <v>1.3415454178619958E-2</v>
      </c>
      <c r="CO82" s="9">
        <f t="shared" si="73"/>
        <v>0.20746089221911215</v>
      </c>
      <c r="CP82" s="4">
        <f t="shared" si="104"/>
        <v>910.9379153938678</v>
      </c>
      <c r="CQ82" s="6">
        <f t="shared" si="74"/>
        <v>5.321875830787736E-6</v>
      </c>
      <c r="CR82" s="8">
        <f t="shared" si="75"/>
        <v>26.364786027029481</v>
      </c>
      <c r="CS82" s="7">
        <f t="shared" si="76"/>
        <v>1.3319024293494811E-2</v>
      </c>
      <c r="CT82" s="9">
        <f t="shared" si="77"/>
        <v>0.20920423910686467</v>
      </c>
      <c r="CU82" s="4">
        <f t="shared" si="105"/>
        <v>865.91156548508229</v>
      </c>
      <c r="CV82" s="6">
        <f t="shared" si="78"/>
        <v>5.2318231309701647E-6</v>
      </c>
      <c r="CW82" s="8">
        <f t="shared" si="79"/>
        <v>25.846983003078446</v>
      </c>
      <c r="CX82" s="7">
        <f t="shared" si="80"/>
        <v>1.3093649982875561E-2</v>
      </c>
      <c r="CY82" s="9">
        <f t="shared" si="81"/>
        <v>0.21339531191485961</v>
      </c>
      <c r="CZ82" s="5">
        <f t="shared" si="106"/>
        <v>758.86335715761288</v>
      </c>
      <c r="DA82" s="6">
        <f t="shared" si="82"/>
        <v>5.0177267143152262E-6</v>
      </c>
      <c r="DB82" s="8">
        <f t="shared" si="83"/>
        <v>24.615928607312547</v>
      </c>
      <c r="DC82" s="7">
        <f t="shared" si="84"/>
        <v>1.2557832262724954E-2</v>
      </c>
      <c r="DD82" s="9">
        <f t="shared" si="85"/>
        <v>0.22406731381084269</v>
      </c>
    </row>
    <row r="83" spans="2:108" x14ac:dyDescent="0.25">
      <c r="B83">
        <v>64</v>
      </c>
      <c r="C83">
        <f t="shared" si="86"/>
        <v>6.2567338646096093E-2</v>
      </c>
      <c r="D83" s="4">
        <f t="shared" si="3"/>
        <v>1018.9637395408291</v>
      </c>
      <c r="E83" s="6">
        <f t="shared" si="4"/>
        <v>5.5379274790816584E-6</v>
      </c>
      <c r="F83" s="8">
        <f t="shared" si="5"/>
        <v>27.607083004719534</v>
      </c>
      <c r="G83" s="7">
        <f t="shared" ref="G83:G146" si="107">($E83*$M$8)/($D$6^2)</f>
        <v>1.3859735359248934E-2</v>
      </c>
      <c r="H83" s="9">
        <f t="shared" si="6"/>
        <v>0.19979021322379778</v>
      </c>
      <c r="I83" s="4">
        <f t="shared" si="87"/>
        <v>1018.6404712580996</v>
      </c>
      <c r="J83" s="6">
        <f t="shared" si="7"/>
        <v>5.5372809425161997E-6</v>
      </c>
      <c r="K83" s="8">
        <f t="shared" si="8"/>
        <v>27.603365419468147</v>
      </c>
      <c r="L83" s="7">
        <f t="shared" si="9"/>
        <v>1.3858117276359409E-2</v>
      </c>
      <c r="M83" s="9">
        <f t="shared" si="10"/>
        <v>0.19981712070912669</v>
      </c>
      <c r="N83" s="4">
        <f t="shared" si="88"/>
        <v>1017.7365207747334</v>
      </c>
      <c r="O83" s="6">
        <f t="shared" si="11"/>
        <v>5.5354730415494674E-6</v>
      </c>
      <c r="P83" s="8">
        <f t="shared" si="12"/>
        <v>27.592969988909434</v>
      </c>
      <c r="Q83" s="7">
        <f t="shared" ref="Q83:Q146" si="108">($E83*$M$8)/($D$6^2)</f>
        <v>1.3859735359248934E-2</v>
      </c>
      <c r="R83" s="9">
        <f t="shared" si="13"/>
        <v>0.1998924002097969</v>
      </c>
      <c r="S83" s="4">
        <f t="shared" si="89"/>
        <v>1016.2359134803165</v>
      </c>
      <c r="T83" s="6">
        <f t="shared" si="14"/>
        <v>5.5324718269606328E-6</v>
      </c>
      <c r="U83" s="8">
        <f t="shared" si="15"/>
        <v>27.575713005023637</v>
      </c>
      <c r="V83" s="7">
        <f t="shared" si="16"/>
        <v>1.3846081533897273E-2</v>
      </c>
      <c r="W83" s="9">
        <f t="shared" si="17"/>
        <v>0.20001749361821342</v>
      </c>
      <c r="X83" s="4">
        <f t="shared" si="90"/>
        <v>1014.1365473078738</v>
      </c>
      <c r="Y83" s="6">
        <f t="shared" si="18"/>
        <v>5.5282730946157482E-6</v>
      </c>
      <c r="Z83" s="8">
        <f t="shared" si="19"/>
        <v>27.551570294040548</v>
      </c>
      <c r="AA83" s="7">
        <f t="shared" si="20"/>
        <v>1.3835573393557005E-2</v>
      </c>
      <c r="AB83" s="9">
        <f t="shared" si="21"/>
        <v>0.20019276364777797</v>
      </c>
      <c r="AC83" s="4">
        <f t="shared" si="91"/>
        <v>1011.4373949308912</v>
      </c>
      <c r="AD83" s="6">
        <f t="shared" si="22"/>
        <v>5.5228747898617823E-6</v>
      </c>
      <c r="AE83" s="8">
        <f t="shared" si="23"/>
        <v>27.52053004170525</v>
      </c>
      <c r="AF83" s="7">
        <f t="shared" si="24"/>
        <v>1.3822063091090757E-2</v>
      </c>
      <c r="AG83" s="9">
        <f t="shared" si="25"/>
        <v>0.20041855994929944</v>
      </c>
      <c r="AH83" s="4">
        <f t="shared" si="92"/>
        <v>1008.1384460946632</v>
      </c>
      <c r="AI83" s="6">
        <f t="shared" si="26"/>
        <v>5.5162768921893267E-6</v>
      </c>
      <c r="AJ83" s="8">
        <f t="shared" si="27"/>
        <v>27.482592130088626</v>
      </c>
      <c r="AK83" s="7">
        <f t="shared" si="28"/>
        <v>1.3805550575169764E-2</v>
      </c>
      <c r="AL83" s="9">
        <f t="shared" si="29"/>
        <v>0.20069522459496666</v>
      </c>
      <c r="AM83" s="4">
        <f t="shared" si="93"/>
        <v>1004.2397186969828</v>
      </c>
      <c r="AN83" s="6">
        <f t="shared" si="30"/>
        <v>5.5084794373939666E-6</v>
      </c>
      <c r="AO83" s="8">
        <f t="shared" si="31"/>
        <v>27.437756765015301</v>
      </c>
      <c r="AP83" s="7">
        <f t="shared" si="32"/>
        <v>1.3786035935379406E-2</v>
      </c>
      <c r="AQ83" s="9">
        <f t="shared" si="33"/>
        <v>0.20102317573690046</v>
      </c>
      <c r="AR83" s="4">
        <f t="shared" si="94"/>
        <v>999.74121953126019</v>
      </c>
      <c r="AS83" s="6">
        <f t="shared" si="34"/>
        <v>5.4994824390625212E-6</v>
      </c>
      <c r="AT83" s="8">
        <f t="shared" si="35"/>
        <v>27.38602402460949</v>
      </c>
      <c r="AU83" s="7">
        <f t="shared" si="36"/>
        <v>1.3763519205723331E-2</v>
      </c>
      <c r="AV83" s="9">
        <f t="shared" si="37"/>
        <v>0.20140291248717146</v>
      </c>
      <c r="AW83" s="4">
        <f t="shared" si="95"/>
        <v>994.64295022394037</v>
      </c>
      <c r="AX83" s="6">
        <f t="shared" si="38"/>
        <v>5.4892859004478807E-6</v>
      </c>
      <c r="AY83" s="8">
        <f t="shared" si="39"/>
        <v>27.327393927575315</v>
      </c>
      <c r="AZ83" s="7">
        <f t="shared" si="40"/>
        <v>1.3738000394342522E-2</v>
      </c>
      <c r="BA83" s="9">
        <f t="shared" si="41"/>
        <v>0.20183501634359419</v>
      </c>
      <c r="BB83" s="4">
        <f t="shared" si="96"/>
        <v>988.9449109193622</v>
      </c>
      <c r="BC83" s="6">
        <f t="shared" si="42"/>
        <v>5.4778898218387243E-6</v>
      </c>
      <c r="BD83" s="8">
        <f t="shared" si="43"/>
        <v>27.261866475572667</v>
      </c>
      <c r="BE83" s="7">
        <f t="shared" si="44"/>
        <v>1.3709479501959457E-2</v>
      </c>
      <c r="BF83" s="9">
        <f t="shared" si="45"/>
        <v>0.20232015313192667</v>
      </c>
      <c r="BG83" s="4">
        <f t="shared" si="97"/>
        <v>982.64709872323533</v>
      </c>
      <c r="BH83" s="6">
        <f t="shared" si="46"/>
        <v>5.4652941974464711E-6</v>
      </c>
      <c r="BI83" s="8">
        <f t="shared" si="47"/>
        <v>27.189441635317205</v>
      </c>
      <c r="BJ83" s="7">
        <f t="shared" si="48"/>
        <v>1.3677956514087092E-2</v>
      </c>
      <c r="BK83" s="9">
        <f t="shared" si="49"/>
        <v>0.20285907573900247</v>
      </c>
      <c r="BL83" s="4">
        <f t="shared" si="98"/>
        <v>975.74947672117014</v>
      </c>
      <c r="BM83" s="6">
        <f t="shared" si="50"/>
        <v>5.4514989534423411E-6</v>
      </c>
      <c r="BN83" s="8">
        <f t="shared" si="51"/>
        <v>27.110118982293457</v>
      </c>
      <c r="BO83" s="7">
        <f t="shared" si="52"/>
        <v>1.3643431245954615E-2</v>
      </c>
      <c r="BP83" s="9">
        <f t="shared" si="53"/>
        <v>0.20345262975800449</v>
      </c>
      <c r="BQ83" s="4">
        <f t="shared" si="99"/>
        <v>968.25164102269048</v>
      </c>
      <c r="BR83" s="6">
        <f t="shared" si="54"/>
        <v>5.4365032820453809E-6</v>
      </c>
      <c r="BS83" s="8">
        <f t="shared" si="55"/>
        <v>27.02389387176094</v>
      </c>
      <c r="BT83" s="7">
        <f t="shared" si="56"/>
        <v>1.3605901675933847E-2</v>
      </c>
      <c r="BU83" s="9">
        <f t="shared" si="57"/>
        <v>0.20410178585565134</v>
      </c>
      <c r="BV83" s="4">
        <f t="shared" si="100"/>
        <v>960.14972237673658</v>
      </c>
      <c r="BW83" s="6">
        <f t="shared" si="58"/>
        <v>5.4202994447534736E-6</v>
      </c>
      <c r="BX83" s="8">
        <f t="shared" si="59"/>
        <v>26.930721807332468</v>
      </c>
      <c r="BY83" s="7">
        <f t="shared" si="60"/>
        <v>1.3565348436925488E-2</v>
      </c>
      <c r="BZ83" s="9">
        <f t="shared" si="61"/>
        <v>0.20480791563849776</v>
      </c>
      <c r="CA83" s="4">
        <f t="shared" si="101"/>
        <v>951.41175528562087</v>
      </c>
      <c r="CB83" s="6">
        <f t="shared" si="62"/>
        <v>5.4028235105712417E-6</v>
      </c>
      <c r="CC83" s="8">
        <f t="shared" si="63"/>
        <v>26.830235185784638</v>
      </c>
      <c r="CD83" s="7">
        <f t="shared" si="64"/>
        <v>1.3521611529240024E-2</v>
      </c>
      <c r="CE83" s="9">
        <f t="shared" si="65"/>
        <v>0.20557497769987207</v>
      </c>
      <c r="CF83" s="4">
        <f t="shared" si="102"/>
        <v>941.81491936195005</v>
      </c>
      <c r="CG83" s="6">
        <f t="shared" si="66"/>
        <v>5.3836298387239011E-6</v>
      </c>
      <c r="CH83" s="8">
        <f t="shared" si="67"/>
        <v>26.719871572662427</v>
      </c>
      <c r="CI83" s="7">
        <f t="shared" si="68"/>
        <v>1.3473575650586642E-2</v>
      </c>
      <c r="CJ83" s="9">
        <f t="shared" si="69"/>
        <v>0.20642408347662619</v>
      </c>
      <c r="CK83" s="4">
        <f t="shared" si="103"/>
        <v>930.08826374510738</v>
      </c>
      <c r="CL83" s="6">
        <f t="shared" si="70"/>
        <v>5.3601765274902153E-6</v>
      </c>
      <c r="CM83" s="8">
        <f t="shared" si="71"/>
        <v>26.585015033068736</v>
      </c>
      <c r="CN83" s="7">
        <f t="shared" si="72"/>
        <v>1.3414879199933427E-2</v>
      </c>
      <c r="CO83" s="9">
        <f t="shared" si="73"/>
        <v>0.20747120109351791</v>
      </c>
      <c r="CP83" s="4">
        <f t="shared" si="104"/>
        <v>910.56837562886358</v>
      </c>
      <c r="CQ83" s="6">
        <f t="shared" si="74"/>
        <v>5.3211367512577273E-6</v>
      </c>
      <c r="CR83" s="8">
        <f t="shared" si="75"/>
        <v>26.360536319731928</v>
      </c>
      <c r="CS83" s="7">
        <f t="shared" si="76"/>
        <v>1.3317174603925192E-2</v>
      </c>
      <c r="CT83" s="9">
        <f t="shared" si="77"/>
        <v>0.20923796591616883</v>
      </c>
      <c r="CU83" s="4">
        <f t="shared" si="105"/>
        <v>865.03231473976473</v>
      </c>
      <c r="CV83" s="6">
        <f t="shared" si="78"/>
        <v>5.2300646294795295E-6</v>
      </c>
      <c r="CW83" s="8">
        <f t="shared" si="79"/>
        <v>25.836871619507292</v>
      </c>
      <c r="CX83" s="7">
        <f t="shared" si="80"/>
        <v>1.3089248992544591E-2</v>
      </c>
      <c r="CY83" s="9">
        <f t="shared" si="81"/>
        <v>0.21347882519320205</v>
      </c>
      <c r="CZ83" s="5">
        <f t="shared" si="106"/>
        <v>757.66701362645915</v>
      </c>
      <c r="DA83" s="6">
        <f t="shared" si="82"/>
        <v>5.0153340272529181E-6</v>
      </c>
      <c r="DB83" s="8">
        <f t="shared" si="83"/>
        <v>24.602170656704281</v>
      </c>
      <c r="DC83" s="7">
        <f t="shared" si="84"/>
        <v>1.2551844100256891E-2</v>
      </c>
      <c r="DD83" s="9">
        <f t="shared" si="85"/>
        <v>0.22419261604857413</v>
      </c>
    </row>
    <row r="84" spans="2:108" x14ac:dyDescent="0.25">
      <c r="B84">
        <v>65</v>
      </c>
      <c r="C84">
        <f t="shared" si="86"/>
        <v>6.3544953312441338E-2</v>
      </c>
      <c r="D84" s="4">
        <f t="shared" ref="D84:D147" si="109">D83+(4*$H$7*(I83-D83))</f>
        <v>1018.9472350953559</v>
      </c>
      <c r="E84" s="6">
        <f t="shared" ref="E84:E147" si="110">IF($D84&gt;=650,((0.00002*$D84)+0.035)/10000,IF($D84&lt;650,((-0.0000000000003*($D84^4))+(0.0000000004*($D84^3))-(0.0000002*($D84^2))-(0.0001*$D84)+0.1409)/10000))</f>
        <v>5.5378944701907133E-6</v>
      </c>
      <c r="F84" s="8">
        <f t="shared" ref="F84:F147" si="111">IF($D84&lt;650,(53.495-(0.029*D84)),IF(D84&lt;700,((0.00000000000000006*(D84^2))-(0.2008*D84) + 164.43),IF(D84&lt;1250,((0.0115*D84)+ 15.889))))</f>
        <v>27.606893203596591</v>
      </c>
      <c r="G84" s="7">
        <f t="shared" si="107"/>
        <v>1.385965274811061E-2</v>
      </c>
      <c r="H84" s="9">
        <f t="shared" ref="H84:H147" si="112">($C$8*$D$6)/F84</f>
        <v>0.1997915868085233</v>
      </c>
      <c r="I84" s="4">
        <f t="shared" si="87"/>
        <v>1018.6239187914698</v>
      </c>
      <c r="J84" s="6">
        <f t="shared" ref="J84:J147" si="113">IF($I84&gt;=650,((0.00002*$I84)+0.035)/10000,IF($I84&lt;650,((-0.0000000000003*($I84^4))+(0.0000000004*($I84^3))-(0.0000002*($I84^2))-(0.0001*$I84)+0.1409)/10000))</f>
        <v>5.5372478375829398E-6</v>
      </c>
      <c r="K84" s="8">
        <f t="shared" ref="K84:K147" si="114">IF($I84&lt;650,(53.495-(0.029*I84)),IF(I84&lt;700,((0.00000000000000006*(I84^2))-(0.2008*I84) + 164.43),IF(I84&lt;1250,((0.0115*I84)+ 15.889))))</f>
        <v>27.603175066101901</v>
      </c>
      <c r="L84" s="7">
        <f t="shared" ref="L84:L147" si="115">($J84*$M$8)/($D$6^2)</f>
        <v>1.3858034424856603E-2</v>
      </c>
      <c r="M84" s="9">
        <f t="shared" ref="M84:M147" si="116">($C$8*$D$6)/K84</f>
        <v>0.19981849866153503</v>
      </c>
      <c r="N84" s="4">
        <f t="shared" si="88"/>
        <v>1017.7199216729908</v>
      </c>
      <c r="O84" s="6">
        <f t="shared" ref="O84:O147" si="117">IF($N84&gt;=650,((0.00002*$N84)+0.035)/10000,IF($N84&lt;650,((-0.0000000000003*($N84^4))+(0.0000000004*($N84^3))-(0.0000002*($N84^2))-(0.0001*$N84)+0.1409)/10000))</f>
        <v>5.5354398433459827E-6</v>
      </c>
      <c r="P84" s="8">
        <f t="shared" ref="P84:P147" si="118">IF($N84&lt;650,(53.495-(0.029*$N84)),IF($N84&lt;700,((0.00000000000000006*($N84^2))-(0.2008*$N84) + 164.43),IF($N84&lt;1250,((0.0115*$N84)+ 15.889))))</f>
        <v>27.592779099239394</v>
      </c>
      <c r="Q84" s="7">
        <f t="shared" si="108"/>
        <v>1.385965274811061E-2</v>
      </c>
      <c r="R84" s="9">
        <f t="shared" ref="R84:R147" si="119">($C$8*$D$6)/P84</f>
        <v>0.19989378308588135</v>
      </c>
      <c r="S84" s="4">
        <f t="shared" si="89"/>
        <v>1016.2192991598284</v>
      </c>
      <c r="T84" s="6">
        <f t="shared" ref="T84:T147" si="120">IF($S84&gt;=650,((0.00002*$S84)+0.035)/10000,IF($S84&lt;650,((-0.0000000000003*($S84^4))+(0.0000000004*($S84^3))-(0.0000002*($S84^2))-(0.0001*$S84)+0.1409)/10000))</f>
        <v>5.5324385983196569E-6</v>
      </c>
      <c r="U84" s="8">
        <f t="shared" ref="U84:U147" si="121">IF($S84&lt;650,(53.495-(0.029*$S84)),IF($S84&lt;700,((0.00000000000000006*($S84^2))-(0.2008*$S84) + 164.43),IF($S84&lt;1250,((0.0115*$S84)+ 15.889))))</f>
        <v>27.575521940338028</v>
      </c>
      <c r="V84" s="7">
        <f t="shared" ref="V84:V147" si="122">($T84*$M$8)/($D$6^2)</f>
        <v>1.3845998372791966E-2</v>
      </c>
      <c r="W84" s="9">
        <f t="shared" ref="W84:W147" si="123">($C$8*$D$6)/U84</f>
        <v>0.20001887949513777</v>
      </c>
      <c r="X84" s="4">
        <f t="shared" si="90"/>
        <v>1014.1199376340584</v>
      </c>
      <c r="Y84" s="6">
        <f t="shared" ref="Y84:Y147" si="124">IF($X84&gt;=650,((0.00002*$X84)+0.035)/10000,IF($X84&lt;650,((-0.0000000000003*($X84^4))+(0.0000000004*($X84^3))-(0.0000002*($X84^2))-(0.0001*$X84)+0.1409)/10000))</f>
        <v>5.528239875268117E-6</v>
      </c>
      <c r="Z84" s="8">
        <f t="shared" ref="Z84:Z147" si="125">IF($X84&lt;650,(53.495-(0.029*$X84)),IF($X84&lt;700,((0.00000000000000006*($X84^2))-(0.2008*$X84) + 164.43),IF($X84&lt;1250,((0.0115*$X84)+ 15.889))))</f>
        <v>27.551379282791672</v>
      </c>
      <c r="AA84" s="7">
        <f t="shared" ref="AA84:AA147" si="126">($Y84*$M$8)/($D$6^2)</f>
        <v>1.3835490255710093E-2</v>
      </c>
      <c r="AB84" s="9">
        <f t="shared" ref="AB84:AB147" si="127">($C$8*$D$6)/Z84</f>
        <v>0.20019415156630677</v>
      </c>
      <c r="AC84" s="4">
        <f t="shared" si="91"/>
        <v>1011.4207977857351</v>
      </c>
      <c r="AD84" s="6">
        <f t="shared" ref="AD84:AD147" si="128">IF(AC84&gt;=650,((0.00002*AC84)+0.035)/10000,IF(AC84&lt;650,((-0.0000000000003*(AC84^4))+(0.0000000004*(AC84^3))-(0.0000002*(AC84^2))-(0.0001*AC84)+0.1409)/10000))</f>
        <v>5.5228415955714704E-6</v>
      </c>
      <c r="AE84" s="8">
        <f t="shared" ref="AE84:AE147" si="129">IF(AC84&lt;650,(53.495-(0.029*AC84)),IF(AC84&lt;700,((0.00000000000000006*(AC84^2))-(0.2008*AC84) + 164.43),IF(AC84&lt;1250,((0.0115*AC84)+ 15.889))))</f>
        <v>27.520339174535952</v>
      </c>
      <c r="AF84" s="7">
        <f t="shared" ref="AF84:AF147" si="130">(AD84*$M$8)/($D$6^2)</f>
        <v>1.3821980015954635E-2</v>
      </c>
      <c r="AG84" s="9">
        <f t="shared" ref="AG84:AG147" si="131">($C$8*$D$6)/AE84</f>
        <v>0.20041994995118023</v>
      </c>
      <c r="AH84" s="4">
        <f t="shared" si="92"/>
        <v>1008.1218654559506</v>
      </c>
      <c r="AI84" s="6">
        <f t="shared" ref="AI84:AI147" si="132">IF(AH84&gt;=650,((0.00002*AH84)+0.035)/10000,IF(AH84&lt;650,((-0.0000000000003*(AH84^4))+(0.0000000004*(AH84^3))-(0.0000002*(AH84^2))-(0.0001*AH84)+0.1409)/10000))</f>
        <v>5.5162437309119019E-6</v>
      </c>
      <c r="AJ84" s="8">
        <f t="shared" ref="AJ84:AJ147" si="133">IF(AH84&lt;650,(53.495-(0.029*AH84)),IF(AH84&lt;700,((0.00000000000000006*(AH84^2))-(0.2008*AH84) + 164.43),IF(AH84&lt;1250,((0.0115*AH84)+ 15.889))))</f>
        <v>27.482401452743431</v>
      </c>
      <c r="AK84" s="7">
        <f t="shared" ref="AK84:AK147" si="134">(AI84*$M$8)/($D$6^2)</f>
        <v>1.380546758265478E-2</v>
      </c>
      <c r="AL84" s="9">
        <f t="shared" ref="AL84:AL147" si="135">($C$8*$D$6)/AJ84</f>
        <v>0.2006966170508874</v>
      </c>
      <c r="AM84" s="4">
        <f t="shared" si="93"/>
        <v>1004.2231580216317</v>
      </c>
      <c r="AN84" s="6">
        <f t="shared" ref="AN84:AN147" si="136">IF(AM84&gt;=650,((0.00002*AM84)+0.035)/10000,IF(AM84&lt;650,((-0.0000000000003*(AM84^4))+(0.0000000004*(AM84^3))-(0.0000002*(AM84^2))-(0.0001*AM84)+0.1409)/10000))</f>
        <v>5.5084463160432643E-6</v>
      </c>
      <c r="AO84" s="8">
        <f t="shared" ref="AO84:AO147" si="137">IF(AM84&lt;650,(53.495-(0.029*AM84)),IF(AM84&lt;700,((0.00000000000000006*(AM84^2))-(0.2008*AM84) + 164.43),IF(AM84&lt;1250,((0.0115*AM84)+ 15.889))))</f>
        <v>27.437566317248763</v>
      </c>
      <c r="AP84" s="7">
        <f t="shared" ref="AP84:AP147" si="138">(AN84*$M$8)/($D$6^2)</f>
        <v>1.3785953042788774E-2</v>
      </c>
      <c r="AQ84" s="9">
        <f t="shared" ref="AQ84:AQ147" si="139">($C$8*$D$6)/AO84</f>
        <v>0.2010245710652761</v>
      </c>
      <c r="AR84" s="4">
        <f t="shared" si="94"/>
        <v>999.72468234078087</v>
      </c>
      <c r="AS84" s="6">
        <f t="shared" ref="AS84:AS147" si="140">IF(AR84&gt;=650,((0.00002*AR84)+0.035)/10000,IF(AR84&lt;650,((-0.0000000000003*(AR84^4))+(0.0000000004*(AR84^3))-(0.0000002*(AR84^2))-(0.0001*AR84)+0.1409)/10000))</f>
        <v>5.4994493646815618E-6</v>
      </c>
      <c r="AT84" s="8">
        <f t="shared" ref="AT84:AT147" si="141">IF(AR84&lt;650,(53.495-(0.029*AR84)),IF(AR84&lt;700,((0.00000000000000006*(AR84^2))-(0.2008*AR84) + 164.43),IF(AR84&lt;1250,((0.0115*AR84)+ 15.889))))</f>
        <v>27.385833846918977</v>
      </c>
      <c r="AU84" s="7">
        <f t="shared" ref="AU84:AU147" si="142">(AS84*$M$8)/($D$6^2)</f>
        <v>1.3763436430683571E-2</v>
      </c>
      <c r="AV84" s="9">
        <f t="shared" ref="AV84:AV147" si="143">($C$8*$D$6)/AT84</f>
        <v>0.20140431110592352</v>
      </c>
      <c r="AW84" s="4">
        <f t="shared" si="95"/>
        <v>994.62644008841755</v>
      </c>
      <c r="AX84" s="6">
        <f t="shared" ref="AX84:AX147" si="144">IF(AW84&gt;=650,((0.00002*AW84)+0.035)/10000,IF(AW84&lt;650,((-0.0000000000003*(AW84^4))+(0.0000000004*(AW84^3))-(0.0000002*(AW84^2))-(0.0001*AW84)+0.1409)/10000))</f>
        <v>5.4892528801768354E-6</v>
      </c>
      <c r="AY84" s="8">
        <f t="shared" ref="AY84:AY147" si="145">IF(AW84&lt;650,(53.495-(0.029*AW84)),IF(AW84&lt;700,((0.00000000000000006*(AW84^2))-(0.2008*AW84) + 164.43),IF(AW84&lt;1250,((0.0115*AW84)+ 15.889))))</f>
        <v>27.327204061016801</v>
      </c>
      <c r="AZ84" s="7">
        <f t="shared" ref="AZ84:AZ147" si="146">(AX84*$M$8)/($D$6^2)</f>
        <v>1.3737917754723295E-2</v>
      </c>
      <c r="BA84" s="9">
        <f t="shared" ref="BA84:BA147" si="147">($C$8*$D$6)/AY84</f>
        <v>0.20183641867219887</v>
      </c>
      <c r="BB84" s="4">
        <f t="shared" si="96"/>
        <v>988.9284313876409</v>
      </c>
      <c r="BC84" s="6">
        <f t="shared" ref="BC84:BC147" si="148">IF(BB84&gt;=650,((0.00002*BB84)+0.035)/10000,IF(BB84&lt;650,((-0.0000000000003*(BB84^4))+(0.0000000004*(BB84^3))-(0.0000002*(BB84^2))-(0.0001*BB84)+0.1409)/10000))</f>
        <v>5.4778568627752817E-6</v>
      </c>
      <c r="BD84" s="8">
        <f t="shared" ref="BD84:BD147" si="149">IF(BB84&lt;650,(53.495-(0.029*BB84)),IF(BB84&lt;700,((0.00000000000000006*(BB84^2))-(0.2008*BB84) + 164.43),IF(BB84&lt;1250,((0.0115*BB84)+ 15.889))))</f>
        <v>27.261676960957871</v>
      </c>
      <c r="BE84" s="7">
        <f t="shared" ref="BE84:BE147" si="150">(BC84*$M$8)/($D$6^2)</f>
        <v>1.3709397015524103E-2</v>
      </c>
      <c r="BF84" s="9">
        <f t="shared" ref="BF84:BF147" si="151">($C$8*$D$6)/BD84</f>
        <v>0.20232155959807846</v>
      </c>
      <c r="BG84" s="4">
        <f t="shared" si="97"/>
        <v>982.63065289946212</v>
      </c>
      <c r="BH84" s="6">
        <f t="shared" ref="BH84:BH147" si="152">IF(BG84&gt;=650,((0.00002*BG84)+0.035)/10000,IF(BG84&lt;650,((-0.0000000000003*(BG84^4))+(0.0000000004*(BG84^3))-(0.0000002*(BG84^2))-(0.0001*BG84)+0.1409)/10000))</f>
        <v>5.4652613057989246E-6</v>
      </c>
      <c r="BI84" s="8">
        <f t="shared" ref="BI84:BI147" si="153">IF(BG84&lt;650,(53.495-(0.029*BG84)),IF(BG84&lt;700,((0.00000000000000006*(BG84^2))-(0.2008*BG84) + 164.43),IF(BG84&lt;1250,((0.0115*BG84)+ 15.889))))</f>
        <v>27.189252508343813</v>
      </c>
      <c r="BJ84" s="7">
        <f t="shared" ref="BJ84:BJ147" si="154">(BH84*$M$8)/($D$6^2)</f>
        <v>1.3677874196373065E-2</v>
      </c>
      <c r="BK84" s="9">
        <f t="shared" ref="BK84:BK147" si="155">($C$8*$D$6)/BI84</f>
        <v>0.20286048681578761</v>
      </c>
      <c r="BL84" s="4">
        <f t="shared" si="98"/>
        <v>975.73306293793019</v>
      </c>
      <c r="BM84" s="6">
        <f t="shared" ref="BM84:BM147" si="156">IF(BL84&gt;=650,((0.00002*BL84)+0.035)/10000,IF(BL84&lt;650,((-0.0000000000003*(BL84^4))+(0.0000000004*(BL84^3))-(0.0000002*(BL84^2))-(0.0001*BL84)+0.1409)/10000))</f>
        <v>5.4514661258758601E-6</v>
      </c>
      <c r="BN84" s="8">
        <f t="shared" ref="BN84:BN147" si="157">IF(BL84&lt;650,(53.495-(0.029*BL84)),IF(BL84&lt;700,((0.00000000000000006*(BL84^2))-(0.2008*BL84) + 164.43),IF(BL84&lt;1250,((0.0115*BL84)+ 15.889))))</f>
        <v>27.109930223786197</v>
      </c>
      <c r="BO84" s="7">
        <f t="shared" ref="BO84:BO147" si="158">(BM84*$M$8)/($D$6^2)</f>
        <v>1.3643349088615857E-2</v>
      </c>
      <c r="BP84" s="9">
        <f t="shared" ref="BP84:BP147" si="159">($C$8*$D$6)/BN84</f>
        <v>0.2034540463391013</v>
      </c>
      <c r="BQ84" s="4">
        <f t="shared" si="99"/>
        <v>968.23521342761273</v>
      </c>
      <c r="BR84" s="6">
        <f t="shared" ref="BR84:BR147" si="160">IF(BQ84&gt;=650,((0.00002*BQ84)+0.035)/10000,IF(BQ84&lt;650,((-0.0000000000003*(BQ84^4))+(0.0000000004*(BQ84^3))-(0.0000002*(BQ84^2))-(0.0001*BQ84)+0.1409)/10000))</f>
        <v>5.4364704268552268E-6</v>
      </c>
      <c r="BS84" s="8">
        <f t="shared" ref="BS84:BS147" si="161">IF(BQ84&lt;650,(53.495-(0.029*BQ84)),IF(BQ84&lt;700,((0.00000000000000006*(BQ84^2))-(0.2008*BQ84) + 164.43),IF(BQ84&lt;1250,((0.0115*BQ84)+ 15.889))))</f>
        <v>27.023704954417546</v>
      </c>
      <c r="BT84" s="7">
        <f t="shared" ref="BT84:BT147" si="162">(BR84*$M$8)/($D$6^2)</f>
        <v>1.3605819449461503E-2</v>
      </c>
      <c r="BU84" s="9">
        <f t="shared" ref="BU84:BU147" si="163">($C$8*$D$6)/BS84</f>
        <v>0.20410321269061829</v>
      </c>
      <c r="BV84" s="4">
        <f t="shared" si="100"/>
        <v>960.13288554339886</v>
      </c>
      <c r="BW84" s="6">
        <f t="shared" ref="BW84:BW147" si="164">IF(BV84&gt;=650,((0.00002*BV84)+0.035)/10000,IF(BV84&lt;650,((-0.0000000000003*(BV84^4))+(0.0000000004*(BV84^3))-(0.0000002*(BV84^2))-(0.0001*BV84)+0.1409)/10000))</f>
        <v>5.420265771086798E-6</v>
      </c>
      <c r="BX84" s="8">
        <f t="shared" ref="BX84:BX147" si="165">IF(BV84&lt;650,(53.495-(0.029*BV84)),IF(BV84&lt;700,((0.00000000000000006*(BV84^2))-(0.2008*BV84) + 164.43),IF(BV84&lt;1250,((0.0115*BV84)+ 15.889))))</f>
        <v>26.930528183749086</v>
      </c>
      <c r="BY84" s="7">
        <f t="shared" ref="BY84:BY147" si="166">(BW84*$M$8)/($D$6^2)</f>
        <v>1.3565264162057234E-2</v>
      </c>
      <c r="BZ84" s="9">
        <f t="shared" ref="BZ84:BZ147" si="167">($C$8*$D$6)/BX84</f>
        <v>0.20480938815482794</v>
      </c>
      <c r="CA84" s="4">
        <f t="shared" si="101"/>
        <v>951.39181395481819</v>
      </c>
      <c r="CB84" s="6">
        <f t="shared" ref="CB84:CB147" si="168">IF(CA84&gt;=650,((0.00002*CA84)+0.035)/10000,IF(CA84&lt;650,((-0.0000000000003*(CA84^4))+(0.0000000004*(CA84^3))-(0.0000002*(CA84^2))-(0.0001*CA84)+0.1409)/10000))</f>
        <v>5.4027836279096365E-6</v>
      </c>
      <c r="CC84" s="8">
        <f t="shared" ref="CC84:CC147" si="169">IF(CA84&lt;650,(53.495-(0.029*CA84)),IF(CA84&lt;700,((0.00000000000000006*(CA84^2))-(0.2008*CA84) + 164.43),IF(CA84&lt;1250,((0.0115*CA84)+ 15.889))))</f>
        <v>26.830005860480409</v>
      </c>
      <c r="CD84" s="7">
        <f t="shared" ref="CD84:CD147" si="170">(CB84*$M$8)/($D$6^2)</f>
        <v>1.3521511715160233E-2</v>
      </c>
      <c r="CE84" s="9">
        <f t="shared" ref="CE84:CE147" si="171">($C$8*$D$6)/CC84</f>
        <v>0.20557673482003627</v>
      </c>
      <c r="CF84" s="4">
        <f t="shared" si="102"/>
        <v>941.77711079749656</v>
      </c>
      <c r="CG84" s="6">
        <f t="shared" ref="CG84:CG147" si="172">IF(CF84&gt;=650,((0.00002*CF84)+0.035)/10000,IF(CF84&lt;650,((-0.0000000000003*(CF84^4))+(0.0000000004*(CF84^3))-(0.0000002*(CF84^2))-(0.0001*CF84)+0.1409)/10000))</f>
        <v>5.3835542215949935E-6</v>
      </c>
      <c r="CH84" s="8">
        <f t="shared" ref="CH84:CH147" si="173">IF(CF84&lt;650,(53.495-(0.029*CF84)),IF(CF84&lt;700,((0.00000000000000006*(CF84^2))-(0.2008*CF84) + 164.43),IF(CF84&lt;1250,((0.0115*CF84)+ 15.889))))</f>
        <v>26.719436774171207</v>
      </c>
      <c r="CI84" s="7">
        <f t="shared" ref="CI84:CI147" si="174">(CG84*$M$8)/($D$6^2)</f>
        <v>1.3473386404086169E-2</v>
      </c>
      <c r="CJ84" s="9">
        <f t="shared" ref="CJ84:CJ147" si="175">($C$8*$D$6)/CH84</f>
        <v>0.20642744256240356</v>
      </c>
      <c r="CK84" s="4">
        <f t="shared" si="103"/>
        <v>929.97088025473226</v>
      </c>
      <c r="CL84" s="6">
        <f t="shared" ref="CL84:CL147" si="176">IF(CK84&gt;=650,((0.00002*CK84)+0.035)/10000,IF(CK84&lt;650,((-0.0000000000003*(CK84^4))+(0.0000000004*(CK84^3))-(0.0000002*(CK84^2))-(0.0001*CK84)+0.1409)/10000))</f>
        <v>5.3599417605094649E-6</v>
      </c>
      <c r="CM84" s="8">
        <f t="shared" ref="CM84:CM147" si="177">IF(CK84&lt;650,(53.495-(0.029*CK84)),IF(CK84&lt;700,((0.00000000000000006*(CK84^2))-(0.2008*CK84) + 164.43),IF(CK84&lt;1250,((0.0115*CK84)+ 15.889))))</f>
        <v>26.583665122929418</v>
      </c>
      <c r="CN84" s="7">
        <f t="shared" ref="CN84:CN147" si="178">(CL84*$M$8)/($D$6^2)</f>
        <v>1.3414291650125925E-2</v>
      </c>
      <c r="CO84" s="9">
        <f t="shared" ref="CO84:CO147" si="179">($C$8*$D$6)/CM84</f>
        <v>0.20748173641574219</v>
      </c>
      <c r="CP84" s="4">
        <f t="shared" si="104"/>
        <v>910.19514600318143</v>
      </c>
      <c r="CQ84" s="6">
        <f t="shared" ref="CQ84:CQ147" si="180">IF(CP84&gt;=650,((0.00002*CP84)+0.035)/10000,IF(CP84&lt;650,((-0.0000000000003*(CP84^4))+(0.0000000004*(CP84^3))-(0.0000002*(CP84^2))-(0.0001*CP84)+0.1409)/10000))</f>
        <v>5.3203902920063636E-6</v>
      </c>
      <c r="CR84" s="8">
        <f t="shared" ref="CR84:CR147" si="181">IF(CP84&lt;650,(53.495-(0.029*CP84)),IF(CP84&lt;700,((0.00000000000000006*(CP84^2))-(0.2008*CP84) + 164.43),IF(CP84&lt;1250,((0.0115*CP84)+ 15.889))))</f>
        <v>26.356244179036587</v>
      </c>
      <c r="CS84" s="7">
        <f t="shared" ref="CS84:CS147" si="182">(CQ84*$M$8)/($D$6^2)</f>
        <v>1.3315306445174568E-2</v>
      </c>
      <c r="CT84" s="9">
        <f t="shared" ref="CT84:CT147" si="183">($C$8*$D$6)/CR84</f>
        <v>0.20927204052795415</v>
      </c>
      <c r="CU84" s="4">
        <f t="shared" si="105"/>
        <v>864.15546239335583</v>
      </c>
      <c r="CV84" s="6">
        <f t="shared" ref="CV84:CV147" si="184">IF(CU84&gt;=650,((0.00002*CU84)+0.035)/10000,IF(CU84&lt;650,((-0.0000000000003*(CU84^4))+(0.0000000004*(CU84^3))-(0.0000002*(CU84^2))-(0.0001*CU84)+0.1409)/10000))</f>
        <v>5.2283109247867121E-6</v>
      </c>
      <c r="CW84" s="8">
        <f t="shared" ref="CW84:CW147" si="185">IF(CU84&lt;650,(53.495-(0.029*CU84)),IF(CU84&lt;700,((0.00000000000000006*(CU84^2))-(0.2008*CU84) + 164.43),IF(CU84&lt;1250,((0.0115*CU84)+ 15.889))))</f>
        <v>25.826787817523591</v>
      </c>
      <c r="CX84" s="7">
        <f t="shared" ref="CX84:CX147" si="186">(CV84*$M$8)/($D$6^2)</f>
        <v>1.3084860007128562E-2</v>
      </c>
      <c r="CY84" s="9">
        <f t="shared" ref="CY84:CY147" si="187">($C$8*$D$6)/CW84</f>
        <v>0.2135621757908904</v>
      </c>
      <c r="CZ84" s="5">
        <f t="shared" si="106"/>
        <v>756.48432778828362</v>
      </c>
      <c r="DA84" s="6">
        <f t="shared" ref="DA84:DA147" si="188">IF(CZ84&gt;=650,((0.00002*CZ84)+0.035)/10000,IF(CZ84&lt;650,((-0.0000000000003*(CZ84^4))+(0.0000000004*(CZ84^3))-(0.0000002*(CZ84^2))-(0.0001*CZ84)+0.1409)/10000))</f>
        <v>5.0129686555765673E-6</v>
      </c>
      <c r="DB84" s="8">
        <f t="shared" ref="DB84:DB147" si="189">IF(CZ84&lt;650,(53.495-(0.029*CZ84)),IF(CZ84&lt;700,((0.00000000000000006*(CZ84^2))-(0.2008*CZ84) + 164.43),IF(CZ84&lt;1250,((0.0115*CZ84)+ 15.889))))</f>
        <v>24.588569769565261</v>
      </c>
      <c r="DC84" s="7">
        <f t="shared" ref="DC84:DC147" si="190">(DA84*$M$8)/($D$6^2)</f>
        <v>1.2545924299828965E-2</v>
      </c>
      <c r="DD84" s="9">
        <f t="shared" ref="DD84:DD147" si="191">($C$8*$D$6)/DB84</f>
        <v>0.22431662563908122</v>
      </c>
    </row>
    <row r="85" spans="2:108" x14ac:dyDescent="0.25">
      <c r="B85">
        <v>66</v>
      </c>
      <c r="C85">
        <f t="shared" ref="C85:C148" si="192">$B85*$M$8</f>
        <v>6.4522567978786596E-2</v>
      </c>
      <c r="D85" s="4">
        <f t="shared" si="109"/>
        <v>1018.9307281981651</v>
      </c>
      <c r="E85" s="6">
        <f t="shared" si="110"/>
        <v>5.5378614563963308E-6</v>
      </c>
      <c r="F85" s="8">
        <f t="shared" si="111"/>
        <v>27.606703374278897</v>
      </c>
      <c r="G85" s="7">
        <f t="shared" si="107"/>
        <v>1.3859570124700484E-2</v>
      </c>
      <c r="H85" s="9">
        <f t="shared" si="112"/>
        <v>0.19979296061618482</v>
      </c>
      <c r="I85" s="4">
        <f t="shared" ref="I85:I148" si="193">I84+(G85*(D84+N84-(2*I84))+((G85/(2*$I$18))*(N84-D84)))</f>
        <v>1018.6073657867788</v>
      </c>
      <c r="J85" s="6">
        <f t="shared" si="113"/>
        <v>5.5372147315735576E-6</v>
      </c>
      <c r="K85" s="8">
        <f t="shared" si="114"/>
        <v>27.602984706547957</v>
      </c>
      <c r="L85" s="7">
        <f t="shared" si="115"/>
        <v>1.3857951570660594E-2</v>
      </c>
      <c r="M85" s="9">
        <f t="shared" si="116"/>
        <v>0.19981987667774159</v>
      </c>
      <c r="N85" s="4">
        <f t="shared" ref="N85:N148" si="194">N84+(L85*(I84+S84-(2*N84))+((L85/(2*N$18))*(S84-I84)))</f>
        <v>1017.7033228915652</v>
      </c>
      <c r="O85" s="6">
        <f t="shared" si="117"/>
        <v>5.5354066457831309E-6</v>
      </c>
      <c r="P85" s="8">
        <f t="shared" si="118"/>
        <v>27.592588213252998</v>
      </c>
      <c r="Q85" s="7">
        <f t="shared" si="108"/>
        <v>1.3859570124700484E-2</v>
      </c>
      <c r="R85" s="9">
        <f t="shared" si="119"/>
        <v>0.19989516595441342</v>
      </c>
      <c r="S85" s="4">
        <f t="shared" ref="S85:S148" si="195">S84+(Q85*(N84+X84-(2*S84))+((Q85/(2*S$18))*(X84-N84)))</f>
        <v>1016.2026851892909</v>
      </c>
      <c r="T85" s="6">
        <f t="shared" si="120"/>
        <v>5.5324053703785818E-6</v>
      </c>
      <c r="U85" s="8">
        <f t="shared" si="121"/>
        <v>27.575330879676844</v>
      </c>
      <c r="V85" s="7">
        <f t="shared" si="122"/>
        <v>1.3845915213438295E-2</v>
      </c>
      <c r="W85" s="9">
        <f t="shared" si="123"/>
        <v>0.20002026536207559</v>
      </c>
      <c r="X85" s="4">
        <f t="shared" ref="X85:X148" si="196">X84+(V85*(S84+AC84-(2*X84))+((V85/(2*X$18))*(AC84-S84)))</f>
        <v>1014.1033281988603</v>
      </c>
      <c r="Y85" s="6">
        <f t="shared" si="124"/>
        <v>5.5282066563977212E-6</v>
      </c>
      <c r="Z85" s="8">
        <f t="shared" si="125"/>
        <v>27.551188274286893</v>
      </c>
      <c r="AA85" s="7">
        <f t="shared" si="126"/>
        <v>1.3835407119057551E-2</v>
      </c>
      <c r="AB85" s="9">
        <f t="shared" si="127"/>
        <v>0.20019553948414084</v>
      </c>
      <c r="AC85" s="4">
        <f t="shared" ref="AC85:AC148" si="197">AC84+(AA85*(X84+AH84-(2*AC84))+((AA85/(2*AC$18))*(AH84-X84)))</f>
        <v>1011.4042008355158</v>
      </c>
      <c r="AD85" s="6">
        <f t="shared" si="128"/>
        <v>5.5228084016710324E-6</v>
      </c>
      <c r="AE85" s="8">
        <f t="shared" si="129"/>
        <v>27.52014830960843</v>
      </c>
      <c r="AF85" s="7">
        <f t="shared" si="130"/>
        <v>1.3821896941794245E-2</v>
      </c>
      <c r="AG85" s="9">
        <f t="shared" si="131"/>
        <v>0.20042133995601563</v>
      </c>
      <c r="AH85" s="4">
        <f t="shared" ref="AH85:AH148" si="198">AH84+(AF85*(AC84+AM84-(2*AH84))+((AF85/(2*AH$18))*(AM84-AC84)))</f>
        <v>1008.1052850066804</v>
      </c>
      <c r="AI85" s="6">
        <f t="shared" si="132"/>
        <v>5.5162105700133618E-6</v>
      </c>
      <c r="AJ85" s="8">
        <f t="shared" si="133"/>
        <v>27.482210777576825</v>
      </c>
      <c r="AK85" s="7">
        <f t="shared" si="134"/>
        <v>1.380538459108803E-2</v>
      </c>
      <c r="AL85" s="9">
        <f t="shared" si="135"/>
        <v>0.20069800951022057</v>
      </c>
      <c r="AM85" s="4">
        <f t="shared" ref="AM85:AM148" si="199">AM84+(AK85*(AH84+AR84-(2*AM84))+((AK85/(2*AM$18))*(AR84-AH84)))</f>
        <v>1004.2065975372951</v>
      </c>
      <c r="AN85" s="6">
        <f t="shared" si="136"/>
        <v>5.5084131950745907E-6</v>
      </c>
      <c r="AO85" s="8">
        <f t="shared" si="137"/>
        <v>27.437375871678896</v>
      </c>
      <c r="AP85" s="7">
        <f t="shared" si="138"/>
        <v>1.3785870151154242E-2</v>
      </c>
      <c r="AQ85" s="9">
        <f t="shared" si="139"/>
        <v>0.20102596639692782</v>
      </c>
      <c r="AR85" s="4">
        <f t="shared" ref="AR85:AR148" si="200">AR84+(AP85*(AM84+AW84-(2*AR84))+((AP85/(2*AR$18))*(AW84-AM84)))</f>
        <v>999.70814534249848</v>
      </c>
      <c r="AS85" s="6">
        <f t="shared" si="140"/>
        <v>5.4994162906849979E-6</v>
      </c>
      <c r="AT85" s="8">
        <f t="shared" si="141"/>
        <v>27.385643671438732</v>
      </c>
      <c r="AU85" s="7">
        <f t="shared" si="142"/>
        <v>1.3763353656605835E-2</v>
      </c>
      <c r="AV85" s="9">
        <f t="shared" si="143"/>
        <v>0.20140570972784555</v>
      </c>
      <c r="AW85" s="4">
        <f t="shared" ref="AW85:AW148" si="201">AW84+(AU85*(AR84+BB84-(2*AW84))+((AU85/(2*AW$18))*(BB84-AR84)))</f>
        <v>994.60993014511928</v>
      </c>
      <c r="AX85" s="6">
        <f t="shared" si="144"/>
        <v>5.4892198602902387E-6</v>
      </c>
      <c r="AY85" s="8">
        <f t="shared" si="145"/>
        <v>27.32701419666887</v>
      </c>
      <c r="AZ85" s="7">
        <f t="shared" si="146"/>
        <v>1.3737835116066226E-2</v>
      </c>
      <c r="BA85" s="9">
        <f t="shared" si="147"/>
        <v>0.20183782100396275</v>
      </c>
      <c r="BB85" s="4">
        <f t="shared" ref="BB85:BB148" si="202">BB84+(AZ85*(AW84+BG84-(2*BB84))+((AZ85/(2*BB$18))*(BG84-AW84)))</f>
        <v>988.91195204186954</v>
      </c>
      <c r="BC85" s="6">
        <f t="shared" si="148"/>
        <v>5.4778239040837391E-6</v>
      </c>
      <c r="BD85" s="8">
        <f t="shared" si="149"/>
        <v>27.2614874484815</v>
      </c>
      <c r="BE85" s="7">
        <f t="shared" si="150"/>
        <v>1.3709314530019499E-2</v>
      </c>
      <c r="BF85" s="9">
        <f t="shared" si="151"/>
        <v>0.20232296606791453</v>
      </c>
      <c r="BG85" s="4">
        <f t="shared" ref="BG85:BG148" si="203">BG84+(BE85*(BB84+BL84-(2*BG84))+((BE85/(2*BG$18))*(BL84-BB84)))</f>
        <v>982.61420719275077</v>
      </c>
      <c r="BH85" s="6">
        <f t="shared" si="152"/>
        <v>5.4652284143855022E-6</v>
      </c>
      <c r="BI85" s="8">
        <f t="shared" si="153"/>
        <v>27.189063382716633</v>
      </c>
      <c r="BJ85" s="7">
        <f t="shared" si="154"/>
        <v>1.3677791879244979E-2</v>
      </c>
      <c r="BK85" s="9">
        <f t="shared" si="155"/>
        <v>0.2028618979021593</v>
      </c>
      <c r="BL85" s="4">
        <f t="shared" ref="BL85:BL148" si="204">BL84+(BJ85*(BG84+BQ84-(2*BL84))+((BJ85/(2*BL$18))*(BQ84-BG84)))</f>
        <v>975.7166486367023</v>
      </c>
      <c r="BM85" s="6">
        <f t="shared" si="156"/>
        <v>5.4514332972734053E-6</v>
      </c>
      <c r="BN85" s="8">
        <f t="shared" si="157"/>
        <v>27.109741459322073</v>
      </c>
      <c r="BO85" s="7">
        <f t="shared" si="158"/>
        <v>1.3643266928684375E-2</v>
      </c>
      <c r="BP85" s="9">
        <f t="shared" si="159"/>
        <v>0.20345546298463033</v>
      </c>
      <c r="BQ85" s="4">
        <f t="shared" ref="BQ85:BQ148" si="205">BQ84+(BO85*(BL84+BV84-(2*BQ84))+((BO85/(2*BQ$18))*(BV84-BL84)))</f>
        <v>968.21878031456163</v>
      </c>
      <c r="BR85" s="6">
        <f t="shared" si="160"/>
        <v>5.4364375606291236E-6</v>
      </c>
      <c r="BS85" s="8">
        <f t="shared" si="161"/>
        <v>27.023515973617457</v>
      </c>
      <c r="BT85" s="7">
        <f t="shared" si="162"/>
        <v>1.3605737195369557E-2</v>
      </c>
      <c r="BU85" s="9">
        <f t="shared" si="163"/>
        <v>0.20410464002481393</v>
      </c>
      <c r="BV85" s="4">
        <f t="shared" ref="BV85:BV148" si="206">BV84+(BT85*(BQ84+CA84-(2*BV84))+((BT85/(2*BV$18))*(CA84-BQ84)))</f>
        <v>960.11601043346832</v>
      </c>
      <c r="BW85" s="6">
        <f t="shared" si="164"/>
        <v>5.4202320208669373E-6</v>
      </c>
      <c r="BX85" s="8">
        <f t="shared" si="165"/>
        <v>26.930334119984884</v>
      </c>
      <c r="BY85" s="7">
        <f t="shared" si="166"/>
        <v>1.3565179695599817E-2</v>
      </c>
      <c r="BZ85" s="9">
        <f t="shared" si="167"/>
        <v>0.2048108640400001</v>
      </c>
      <c r="CA85" s="4">
        <f t="shared" ref="CA85:CA148" si="207">CA84+(BY85*(BV84+CF84-(2*CA84))+((BY85/(2*CA$18))*(CF84-BV84)))</f>
        <v>951.37166300617116</v>
      </c>
      <c r="CB85" s="6">
        <f t="shared" si="168"/>
        <v>5.4027433260123428E-6</v>
      </c>
      <c r="CC85" s="8">
        <f t="shared" si="169"/>
        <v>26.829774124570967</v>
      </c>
      <c r="CD85" s="7">
        <f t="shared" si="170"/>
        <v>1.3521410851861992E-2</v>
      </c>
      <c r="CE85" s="9">
        <f t="shared" si="171"/>
        <v>0.20557851044108258</v>
      </c>
      <c r="CF85" s="4">
        <f t="shared" ref="CF85:CF148" si="208">CF84+(CD85*(CA84+CK84-(2*CF84))+((CD85/(2*CF$18))*(CK84-CA84)))</f>
        <v>941.73842696640645</v>
      </c>
      <c r="CG85" s="6">
        <f t="shared" si="172"/>
        <v>5.3834768539328128E-6</v>
      </c>
      <c r="CH85" s="8">
        <f t="shared" si="173"/>
        <v>26.718991910113672</v>
      </c>
      <c r="CI85" s="7">
        <f t="shared" si="174"/>
        <v>1.3473192776537371E-2</v>
      </c>
      <c r="CJ85" s="9">
        <f t="shared" si="175"/>
        <v>0.20643087952402223</v>
      </c>
      <c r="CK85" s="4">
        <f t="shared" ref="CK85:CK148" si="209">CK84+(CI85*(CF84+CP84-(2*CK84))+((CI85/(2*CK$18))*(CP84-CF84)))</f>
        <v>929.85099059787353</v>
      </c>
      <c r="CL85" s="6">
        <f t="shared" si="176"/>
        <v>5.3597019811957476E-6</v>
      </c>
      <c r="CM85" s="8">
        <f t="shared" si="177"/>
        <v>26.582286391875545</v>
      </c>
      <c r="CN85" s="7">
        <f t="shared" si="178"/>
        <v>1.341369155598506E-2</v>
      </c>
      <c r="CO85" s="9">
        <f t="shared" si="179"/>
        <v>0.20749249777422318</v>
      </c>
      <c r="CP85" s="4">
        <f t="shared" ref="CP85:CP148" si="210">CP84+(CN85*(CK84+CU84-(2*CP84))+((CN85/(2*CP$18))*(CU84-CK84)))</f>
        <v>909.81832649536921</v>
      </c>
      <c r="CQ85" s="6">
        <f t="shared" si="180"/>
        <v>5.3196366529907391E-6</v>
      </c>
      <c r="CR85" s="8">
        <f t="shared" si="181"/>
        <v>26.351910754696746</v>
      </c>
      <c r="CS85" s="7">
        <f t="shared" si="182"/>
        <v>1.331342031767427E-2</v>
      </c>
      <c r="CT85" s="9">
        <f t="shared" si="183"/>
        <v>0.20930645414458005</v>
      </c>
      <c r="CU85" s="4">
        <f t="shared" ref="CU85:CU148" si="211">CU84+(CS85*(CP84+CZ84-(2*CU84))+((CS85/(2*CU$18))*(CZ84-CP84)))</f>
        <v>863.28108390961881</v>
      </c>
      <c r="CV85" s="6">
        <f t="shared" si="184"/>
        <v>5.2265621678192381E-6</v>
      </c>
      <c r="CW85" s="8">
        <f t="shared" si="185"/>
        <v>25.816732464960616</v>
      </c>
      <c r="CX85" s="7">
        <f t="shared" si="186"/>
        <v>1.3080483404352816E-2</v>
      </c>
      <c r="CY85" s="9">
        <f t="shared" si="187"/>
        <v>0.2136453560684336</v>
      </c>
      <c r="CZ85" s="5">
        <f t="shared" ref="CZ85:CZ148" si="212">CZ84+((2*$CX85)*(CU84-CZ84))+((2*$CX85*$CY85)*($C$14-CZ84))+((($CX85*$CY85)/$C$5)*($C$14-CZ84))+(((CZ84-$C$14)*$CX85*($D$6^2))/($CW85*($D$4/(2*$C$8))))</f>
        <v>755.31492892713595</v>
      </c>
      <c r="DA85" s="6">
        <f t="shared" si="188"/>
        <v>5.0106298578542718E-6</v>
      </c>
      <c r="DB85" s="8">
        <f t="shared" si="189"/>
        <v>24.575121682662065</v>
      </c>
      <c r="DC85" s="7">
        <f t="shared" si="190"/>
        <v>1.2540071005864342E-2</v>
      </c>
      <c r="DD85" s="9">
        <f t="shared" si="191"/>
        <v>0.2244393769936576</v>
      </c>
    </row>
    <row r="86" spans="2:108" x14ac:dyDescent="0.25">
      <c r="B86">
        <v>67</v>
      </c>
      <c r="C86">
        <f t="shared" si="192"/>
        <v>6.5500182645131855E-2</v>
      </c>
      <c r="D86" s="4">
        <f t="shared" si="109"/>
        <v>1018.9142189469582</v>
      </c>
      <c r="E86" s="6">
        <f t="shared" si="110"/>
        <v>5.5378284378939174E-6</v>
      </c>
      <c r="F86" s="8">
        <f t="shared" si="111"/>
        <v>27.606513517890019</v>
      </c>
      <c r="G86" s="7">
        <f t="shared" si="107"/>
        <v>1.3859487489507601E-2</v>
      </c>
      <c r="H86" s="9">
        <f t="shared" si="112"/>
        <v>0.19979433463865967</v>
      </c>
      <c r="I86" s="4">
        <f t="shared" si="193"/>
        <v>1018.5908122486321</v>
      </c>
      <c r="J86" s="6">
        <f t="shared" si="113"/>
        <v>5.5371816244972646E-6</v>
      </c>
      <c r="K86" s="8">
        <f t="shared" si="114"/>
        <v>27.602794340859269</v>
      </c>
      <c r="L86" s="7">
        <f t="shared" si="115"/>
        <v>1.3857868713794434E-2</v>
      </c>
      <c r="M86" s="9">
        <f t="shared" si="116"/>
        <v>0.19982125475736526</v>
      </c>
      <c r="N86" s="4">
        <f t="shared" si="194"/>
        <v>1017.686724422049</v>
      </c>
      <c r="O86" s="6">
        <f t="shared" si="117"/>
        <v>5.5353734488440986E-6</v>
      </c>
      <c r="P86" s="8">
        <f t="shared" si="118"/>
        <v>27.592397330853565</v>
      </c>
      <c r="Q86" s="7">
        <f t="shared" si="108"/>
        <v>1.3859487489507601E-2</v>
      </c>
      <c r="R86" s="9">
        <f t="shared" si="119"/>
        <v>0.19989654881609287</v>
      </c>
      <c r="S86" s="4">
        <f t="shared" si="195"/>
        <v>1016.1860715665728</v>
      </c>
      <c r="T86" s="6">
        <f t="shared" si="120"/>
        <v>5.532372143133146E-6</v>
      </c>
      <c r="U86" s="8">
        <f t="shared" si="121"/>
        <v>27.575139823015586</v>
      </c>
      <c r="V86" s="7">
        <f t="shared" si="122"/>
        <v>1.3845832055825598E-2</v>
      </c>
      <c r="W86" s="9">
        <f t="shared" si="123"/>
        <v>0.20002165121920376</v>
      </c>
      <c r="X86" s="4">
        <f t="shared" si="196"/>
        <v>1014.0867190029442</v>
      </c>
      <c r="Y86" s="6">
        <f t="shared" si="124"/>
        <v>5.5281734380058889E-6</v>
      </c>
      <c r="Z86" s="8">
        <f t="shared" si="125"/>
        <v>27.550997268533855</v>
      </c>
      <c r="AA86" s="7">
        <f t="shared" si="126"/>
        <v>1.383532398360271E-2</v>
      </c>
      <c r="AB86" s="9">
        <f t="shared" si="127"/>
        <v>0.20019692740122425</v>
      </c>
      <c r="AC86" s="4">
        <f t="shared" si="197"/>
        <v>1011.3876040806909</v>
      </c>
      <c r="AD86" s="6">
        <f t="shared" si="128"/>
        <v>5.5227752081613824E-6</v>
      </c>
      <c r="AE86" s="8">
        <f t="shared" si="129"/>
        <v>27.519957446927947</v>
      </c>
      <c r="AF86" s="7">
        <f t="shared" si="130"/>
        <v>1.3821813868611883E-2</v>
      </c>
      <c r="AG86" s="9">
        <f t="shared" si="131"/>
        <v>0.20042272996376706</v>
      </c>
      <c r="AH86" s="4">
        <f t="shared" si="198"/>
        <v>1008.0887047469438</v>
      </c>
      <c r="AI86" s="6">
        <f t="shared" si="132"/>
        <v>5.5161774094938883E-6</v>
      </c>
      <c r="AJ86" s="8">
        <f t="shared" si="133"/>
        <v>27.482020104589854</v>
      </c>
      <c r="AK86" s="7">
        <f t="shared" si="134"/>
        <v>1.3805301600469968E-2</v>
      </c>
      <c r="AL86" s="9">
        <f t="shared" si="135"/>
        <v>0.20069940197295827</v>
      </c>
      <c r="AM86" s="4">
        <f t="shared" si="199"/>
        <v>1004.1900372439683</v>
      </c>
      <c r="AN86" s="6">
        <f t="shared" si="136"/>
        <v>5.5083800744879367E-6</v>
      </c>
      <c r="AO86" s="8">
        <f t="shared" si="137"/>
        <v>27.437185428305632</v>
      </c>
      <c r="AP86" s="7">
        <f t="shared" si="138"/>
        <v>1.3785787260475789E-2</v>
      </c>
      <c r="AQ86" s="9">
        <f t="shared" si="139"/>
        <v>0.20102736173185584</v>
      </c>
      <c r="AR86" s="4">
        <f t="shared" si="200"/>
        <v>999.69160853639585</v>
      </c>
      <c r="AS86" s="6">
        <f t="shared" si="140"/>
        <v>5.4993832170727921E-6</v>
      </c>
      <c r="AT86" s="8">
        <f t="shared" si="141"/>
        <v>27.385453498168552</v>
      </c>
      <c r="AU86" s="7">
        <f t="shared" si="142"/>
        <v>1.376327088349003E-2</v>
      </c>
      <c r="AV86" s="9">
        <f t="shared" si="143"/>
        <v>0.20140710835293879</v>
      </c>
      <c r="AW86" s="4">
        <f t="shared" si="201"/>
        <v>994.59342039395176</v>
      </c>
      <c r="AX86" s="6">
        <f t="shared" si="144"/>
        <v>5.4891868407879037E-6</v>
      </c>
      <c r="AY86" s="8">
        <f t="shared" si="145"/>
        <v>27.326824334530443</v>
      </c>
      <c r="AZ86" s="7">
        <f t="shared" si="146"/>
        <v>1.3737752478370845E-2</v>
      </c>
      <c r="BA86" s="9">
        <f t="shared" si="147"/>
        <v>0.20183922333889351</v>
      </c>
      <c r="BB86" s="4">
        <f t="shared" si="202"/>
        <v>988.89547288113408</v>
      </c>
      <c r="BC86" s="6">
        <f t="shared" si="148"/>
        <v>5.4777909457622686E-6</v>
      </c>
      <c r="BD86" s="8">
        <f t="shared" si="149"/>
        <v>27.26129793813304</v>
      </c>
      <c r="BE86" s="7">
        <f t="shared" si="150"/>
        <v>1.3709232045441075E-2</v>
      </c>
      <c r="BF86" s="9">
        <f t="shared" si="151"/>
        <v>0.20232437254151264</v>
      </c>
      <c r="BG86" s="4">
        <f t="shared" si="203"/>
        <v>982.59776159489968</v>
      </c>
      <c r="BH86" s="6">
        <f t="shared" si="152"/>
        <v>5.4651955231898003E-6</v>
      </c>
      <c r="BI86" s="8">
        <f t="shared" si="153"/>
        <v>27.188874258341343</v>
      </c>
      <c r="BJ86" s="7">
        <f t="shared" si="154"/>
        <v>1.3677709562661781E-2</v>
      </c>
      <c r="BK86" s="9">
        <f t="shared" si="155"/>
        <v>0.20286330899882138</v>
      </c>
      <c r="BL86" s="4">
        <f t="shared" si="204"/>
        <v>975.70023375457947</v>
      </c>
      <c r="BM86" s="6">
        <f t="shared" si="156"/>
        <v>5.4514004675091601E-6</v>
      </c>
      <c r="BN86" s="8">
        <f t="shared" si="157"/>
        <v>27.109552688177665</v>
      </c>
      <c r="BO86" s="7">
        <f t="shared" si="158"/>
        <v>1.3643184765845286E-2</v>
      </c>
      <c r="BP86" s="9">
        <f t="shared" si="159"/>
        <v>0.20345687970002307</v>
      </c>
      <c r="BQ86" s="4">
        <f t="shared" si="205"/>
        <v>968.20234128507877</v>
      </c>
      <c r="BR86" s="6">
        <f t="shared" si="160"/>
        <v>5.4364046825701574E-6</v>
      </c>
      <c r="BS86" s="8">
        <f t="shared" si="161"/>
        <v>27.023326924778406</v>
      </c>
      <c r="BT86" s="7">
        <f t="shared" si="162"/>
        <v>1.3605654911663583E-2</v>
      </c>
      <c r="BU86" s="9">
        <f t="shared" si="163"/>
        <v>0.20410606789286839</v>
      </c>
      <c r="BV86" s="4">
        <f t="shared" si="206"/>
        <v>960.0990950627629</v>
      </c>
      <c r="BW86" s="6">
        <f t="shared" si="164"/>
        <v>5.4201981901255258E-6</v>
      </c>
      <c r="BX86" s="8">
        <f t="shared" si="165"/>
        <v>26.930139593221774</v>
      </c>
      <c r="BY86" s="7">
        <f t="shared" si="166"/>
        <v>1.3565095027621635E-2</v>
      </c>
      <c r="BZ86" s="9">
        <f t="shared" si="167"/>
        <v>0.20481234346769833</v>
      </c>
      <c r="CA86" s="4">
        <f t="shared" si="207"/>
        <v>951.35129535880378</v>
      </c>
      <c r="CB86" s="6">
        <f t="shared" si="168"/>
        <v>5.4027025907176074E-6</v>
      </c>
      <c r="CC86" s="8">
        <f t="shared" si="169"/>
        <v>26.829539896626244</v>
      </c>
      <c r="CD86" s="7">
        <f t="shared" si="170"/>
        <v>1.352130890390277E-2</v>
      </c>
      <c r="CE86" s="9">
        <f t="shared" si="171"/>
        <v>0.20558030518792378</v>
      </c>
      <c r="CF86" s="4">
        <f t="shared" si="208"/>
        <v>941.69885386307203</v>
      </c>
      <c r="CG86" s="6">
        <f t="shared" si="172"/>
        <v>5.3833977077261447E-6</v>
      </c>
      <c r="CH86" s="8">
        <f t="shared" si="173"/>
        <v>26.718536819425328</v>
      </c>
      <c r="CI86" s="7">
        <f t="shared" si="174"/>
        <v>1.3472994697836764E-2</v>
      </c>
      <c r="CJ86" s="9">
        <f t="shared" si="175"/>
        <v>0.20643439561368288</v>
      </c>
      <c r="CK86" s="4">
        <f t="shared" si="209"/>
        <v>929.72860118355402</v>
      </c>
      <c r="CL86" s="6">
        <f t="shared" si="176"/>
        <v>5.3594572023671088E-6</v>
      </c>
      <c r="CM86" s="8">
        <f t="shared" si="177"/>
        <v>26.580878913610871</v>
      </c>
      <c r="CN86" s="7">
        <f t="shared" si="178"/>
        <v>1.3413078949590467E-2</v>
      </c>
      <c r="CO86" s="9">
        <f t="shared" si="179"/>
        <v>0.20750348466377072</v>
      </c>
      <c r="CP86" s="4">
        <f t="shared" si="210"/>
        <v>909.43801550792341</v>
      </c>
      <c r="CQ86" s="6">
        <f t="shared" si="180"/>
        <v>5.3188760310158471E-6</v>
      </c>
      <c r="CR86" s="8">
        <f t="shared" si="181"/>
        <v>26.347537178341121</v>
      </c>
      <c r="CS86" s="7">
        <f t="shared" si="182"/>
        <v>1.3311516713966881E-2</v>
      </c>
      <c r="CT86" s="9">
        <f t="shared" si="183"/>
        <v>0.20934119810386284</v>
      </c>
      <c r="CU86" s="4">
        <f t="shared" si="211"/>
        <v>862.4092489008159</v>
      </c>
      <c r="CV86" s="6">
        <f t="shared" si="184"/>
        <v>5.224818497801632E-6</v>
      </c>
      <c r="CW86" s="8">
        <f t="shared" si="185"/>
        <v>25.806706362359382</v>
      </c>
      <c r="CX86" s="7">
        <f t="shared" si="186"/>
        <v>1.3076119532653672E-2</v>
      </c>
      <c r="CY86" s="9">
        <f t="shared" si="187"/>
        <v>0.21372835892165098</v>
      </c>
      <c r="CZ86" s="5">
        <f t="shared" si="212"/>
        <v>754.15846041382201</v>
      </c>
      <c r="DA86" s="6">
        <f t="shared" si="188"/>
        <v>5.0083169208276447E-6</v>
      </c>
      <c r="DB86" s="8">
        <f t="shared" si="189"/>
        <v>24.561822294758954</v>
      </c>
      <c r="DC86" s="7">
        <f t="shared" si="190"/>
        <v>1.253428243329586E-2</v>
      </c>
      <c r="DD86" s="9">
        <f t="shared" si="191"/>
        <v>0.22456090325093403</v>
      </c>
    </row>
    <row r="87" spans="2:108" x14ac:dyDescent="0.25">
      <c r="B87">
        <v>68</v>
      </c>
      <c r="C87">
        <f t="shared" si="192"/>
        <v>6.6477797311477099E-2</v>
      </c>
      <c r="D87" s="4">
        <f t="shared" si="109"/>
        <v>1018.8977074346839</v>
      </c>
      <c r="E87" s="6">
        <f t="shared" si="110"/>
        <v>5.5377954148693686E-6</v>
      </c>
      <c r="F87" s="8">
        <f t="shared" si="111"/>
        <v>27.606323635498864</v>
      </c>
      <c r="G87" s="7">
        <f t="shared" si="107"/>
        <v>1.3859404842997199E-2</v>
      </c>
      <c r="H87" s="9">
        <f t="shared" si="112"/>
        <v>0.19979570886822029</v>
      </c>
      <c r="I87" s="4">
        <f t="shared" si="193"/>
        <v>1018.5742581820093</v>
      </c>
      <c r="J87" s="6">
        <f t="shared" si="113"/>
        <v>5.5371485163640193E-6</v>
      </c>
      <c r="K87" s="8">
        <f t="shared" si="114"/>
        <v>27.602603969093106</v>
      </c>
      <c r="L87" s="7">
        <f t="shared" si="115"/>
        <v>1.3857785854283045E-2</v>
      </c>
      <c r="M87" s="9">
        <f t="shared" si="116"/>
        <v>0.19982263289999366</v>
      </c>
      <c r="N87" s="4">
        <f t="shared" si="194"/>
        <v>1017.6701262562786</v>
      </c>
      <c r="O87" s="6">
        <f t="shared" si="117"/>
        <v>5.5353402525125575E-6</v>
      </c>
      <c r="P87" s="8">
        <f t="shared" si="118"/>
        <v>27.592206451947206</v>
      </c>
      <c r="Q87" s="7">
        <f t="shared" si="108"/>
        <v>1.3859404842997199E-2</v>
      </c>
      <c r="R87" s="9">
        <f t="shared" si="119"/>
        <v>0.19989793167159917</v>
      </c>
      <c r="S87" s="4">
        <f t="shared" si="195"/>
        <v>1016.1694582895148</v>
      </c>
      <c r="T87" s="6">
        <f t="shared" si="120"/>
        <v>5.5323389165790297E-6</v>
      </c>
      <c r="U87" s="8">
        <f t="shared" si="121"/>
        <v>27.574948770329421</v>
      </c>
      <c r="V87" s="7">
        <f t="shared" si="122"/>
        <v>1.3845748899943059E-2</v>
      </c>
      <c r="W87" s="9">
        <f t="shared" si="123"/>
        <v>0.20002303706670163</v>
      </c>
      <c r="X87" s="4">
        <f t="shared" si="196"/>
        <v>1014.0701100469378</v>
      </c>
      <c r="Y87" s="6">
        <f t="shared" si="124"/>
        <v>5.5281402200938761E-6</v>
      </c>
      <c r="Z87" s="8">
        <f t="shared" si="125"/>
        <v>27.550806265539784</v>
      </c>
      <c r="AA87" s="7">
        <f t="shared" si="126"/>
        <v>1.383524084934871E-2</v>
      </c>
      <c r="AB87" s="9">
        <f t="shared" si="127"/>
        <v>0.20019831531750407</v>
      </c>
      <c r="AC87" s="4">
        <f t="shared" si="197"/>
        <v>1011.3710075217153</v>
      </c>
      <c r="AD87" s="6">
        <f t="shared" si="128"/>
        <v>5.5227420150434309E-6</v>
      </c>
      <c r="AE87" s="8">
        <f t="shared" si="129"/>
        <v>27.519766586499728</v>
      </c>
      <c r="AF87" s="7">
        <f t="shared" si="130"/>
        <v>1.3821730796409819E-2</v>
      </c>
      <c r="AG87" s="9">
        <f t="shared" si="131"/>
        <v>0.20042411997439616</v>
      </c>
      <c r="AH87" s="4">
        <f t="shared" si="198"/>
        <v>1008.0721246768346</v>
      </c>
      <c r="AI87" s="6">
        <f t="shared" si="132"/>
        <v>5.5161442493536696E-6</v>
      </c>
      <c r="AJ87" s="8">
        <f t="shared" si="133"/>
        <v>27.481829433783595</v>
      </c>
      <c r="AK87" s="7">
        <f t="shared" si="134"/>
        <v>1.3805218610801064E-2</v>
      </c>
      <c r="AL87" s="9">
        <f t="shared" si="135"/>
        <v>0.20070079443909239</v>
      </c>
      <c r="AM87" s="4">
        <f t="shared" si="199"/>
        <v>1004.1734771416473</v>
      </c>
      <c r="AN87" s="6">
        <f t="shared" si="136"/>
        <v>5.5083469542832954E-6</v>
      </c>
      <c r="AO87" s="8">
        <f t="shared" si="137"/>
        <v>27.436994987128941</v>
      </c>
      <c r="AP87" s="7">
        <f t="shared" si="138"/>
        <v>1.3785704370753398E-2</v>
      </c>
      <c r="AQ87" s="9">
        <f t="shared" si="139"/>
        <v>0.20102875707006007</v>
      </c>
      <c r="AR87" s="4">
        <f t="shared" si="200"/>
        <v>999.67507192245478</v>
      </c>
      <c r="AS87" s="6">
        <f t="shared" si="140"/>
        <v>5.4993501438449098E-6</v>
      </c>
      <c r="AT87" s="8">
        <f t="shared" si="141"/>
        <v>27.385263327108227</v>
      </c>
      <c r="AU87" s="7">
        <f t="shared" si="142"/>
        <v>1.376318811133607E-2</v>
      </c>
      <c r="AV87" s="9">
        <f t="shared" si="143"/>
        <v>0.20140850698120447</v>
      </c>
      <c r="AW87" s="4">
        <f t="shared" si="201"/>
        <v>994.57691083481029</v>
      </c>
      <c r="AX87" s="6">
        <f t="shared" si="144"/>
        <v>5.489153821669621E-6</v>
      </c>
      <c r="AY87" s="8">
        <f t="shared" si="145"/>
        <v>27.326634474600318</v>
      </c>
      <c r="AZ87" s="7">
        <f t="shared" si="146"/>
        <v>1.3737669841636629E-2</v>
      </c>
      <c r="BA87" s="9">
        <f t="shared" si="147"/>
        <v>0.20184062567699976</v>
      </c>
      <c r="BB87" s="4">
        <f t="shared" si="202"/>
        <v>988.87899390442624</v>
      </c>
      <c r="BC87" s="6">
        <f t="shared" si="148"/>
        <v>5.4777579878088526E-6</v>
      </c>
      <c r="BD87" s="8">
        <f t="shared" si="149"/>
        <v>27.261108429900901</v>
      </c>
      <c r="BE87" s="7">
        <f t="shared" si="150"/>
        <v>1.3709149561783776E-2</v>
      </c>
      <c r="BF87" s="9">
        <f t="shared" si="151"/>
        <v>0.20232577901895862</v>
      </c>
      <c r="BG87" s="4">
        <f t="shared" si="203"/>
        <v>982.58131609701877</v>
      </c>
      <c r="BH87" s="6">
        <f t="shared" si="152"/>
        <v>5.4651626321940381E-6</v>
      </c>
      <c r="BI87" s="8">
        <f t="shared" si="153"/>
        <v>27.188685135115715</v>
      </c>
      <c r="BJ87" s="7">
        <f t="shared" si="154"/>
        <v>1.3677627246578972E-2</v>
      </c>
      <c r="BK87" s="9">
        <f t="shared" si="155"/>
        <v>0.20286472010653653</v>
      </c>
      <c r="BL87" s="4">
        <f t="shared" si="204"/>
        <v>975.68381822459219</v>
      </c>
      <c r="BM87" s="6">
        <f t="shared" si="156"/>
        <v>5.4513676364491849E-6</v>
      </c>
      <c r="BN87" s="8">
        <f t="shared" si="157"/>
        <v>27.109363909582811</v>
      </c>
      <c r="BO87" s="7">
        <f t="shared" si="158"/>
        <v>1.3643102599763384E-2</v>
      </c>
      <c r="BP87" s="9">
        <f t="shared" si="159"/>
        <v>0.20345829649106217</v>
      </c>
      <c r="BQ87" s="4">
        <f t="shared" si="205"/>
        <v>968.18589592264902</v>
      </c>
      <c r="BR87" s="6">
        <f t="shared" si="160"/>
        <v>5.4363717918452982E-6</v>
      </c>
      <c r="BS87" s="8">
        <f t="shared" si="161"/>
        <v>27.023137803110465</v>
      </c>
      <c r="BT87" s="7">
        <f t="shared" si="162"/>
        <v>1.3605572596258759E-2</v>
      </c>
      <c r="BU87" s="9">
        <f t="shared" si="163"/>
        <v>0.20410749633098235</v>
      </c>
      <c r="BV87" s="4">
        <f t="shared" si="206"/>
        <v>960.08213739612358</v>
      </c>
      <c r="BW87" s="6">
        <f t="shared" si="164"/>
        <v>5.4201642747922477E-6</v>
      </c>
      <c r="BX87" s="8">
        <f t="shared" si="165"/>
        <v>26.92994458005542</v>
      </c>
      <c r="BY87" s="7">
        <f t="shared" si="166"/>
        <v>1.3565010147935935E-2</v>
      </c>
      <c r="BZ87" s="9">
        <f t="shared" si="167"/>
        <v>0.20481382661607578</v>
      </c>
      <c r="CA87" s="4">
        <f t="shared" si="207"/>
        <v>951.33070390176488</v>
      </c>
      <c r="CB87" s="6">
        <f t="shared" si="168"/>
        <v>5.4026614078035304E-6</v>
      </c>
      <c r="CC87" s="8">
        <f t="shared" si="169"/>
        <v>26.829303094870298</v>
      </c>
      <c r="CD87" s="7">
        <f t="shared" si="170"/>
        <v>1.3521205835689509E-2</v>
      </c>
      <c r="CE87" s="9">
        <f t="shared" si="171"/>
        <v>0.20558211968817688</v>
      </c>
      <c r="CF87" s="4">
        <f t="shared" si="208"/>
        <v>941.65837785788449</v>
      </c>
      <c r="CG87" s="6">
        <f t="shared" si="172"/>
        <v>5.3833167557157696E-6</v>
      </c>
      <c r="CH87" s="8">
        <f t="shared" si="173"/>
        <v>26.718071345365672</v>
      </c>
      <c r="CI87" s="7">
        <f t="shared" si="174"/>
        <v>1.3472792099762876E-2</v>
      </c>
      <c r="CJ87" s="9">
        <f t="shared" si="175"/>
        <v>0.20643799205052657</v>
      </c>
      <c r="CK87" s="4">
        <f t="shared" si="209"/>
        <v>929.60371943254006</v>
      </c>
      <c r="CL87" s="6">
        <f t="shared" si="176"/>
        <v>5.3592074388650811E-6</v>
      </c>
      <c r="CM87" s="8">
        <f t="shared" si="177"/>
        <v>26.579442773474209</v>
      </c>
      <c r="CN87" s="7">
        <f t="shared" si="178"/>
        <v>1.3412453868085955E-2</v>
      </c>
      <c r="CO87" s="9">
        <f t="shared" si="179"/>
        <v>0.20751469648959275</v>
      </c>
      <c r="CP87" s="4">
        <f t="shared" si="210"/>
        <v>909.05430984224893</v>
      </c>
      <c r="CQ87" s="6">
        <f t="shared" si="180"/>
        <v>5.3181086196844983E-6</v>
      </c>
      <c r="CR87" s="8">
        <f t="shared" si="181"/>
        <v>26.34312456318586</v>
      </c>
      <c r="CS87" s="7">
        <f t="shared" si="182"/>
        <v>1.3309596118580907E-2</v>
      </c>
      <c r="CT87" s="9">
        <f t="shared" si="183"/>
        <v>0.20937626388131675</v>
      </c>
      <c r="CU87" s="4">
        <f t="shared" si="211"/>
        <v>861.54002145909021</v>
      </c>
      <c r="CV87" s="6">
        <f t="shared" si="184"/>
        <v>5.2230800429181806E-6</v>
      </c>
      <c r="CW87" s="8">
        <f t="shared" si="185"/>
        <v>25.796710246779536</v>
      </c>
      <c r="CX87" s="7">
        <f t="shared" si="186"/>
        <v>1.3071768712837115E-2</v>
      </c>
      <c r="CY87" s="9">
        <f t="shared" si="187"/>
        <v>0.21381117775234815</v>
      </c>
      <c r="CZ87" s="5">
        <f t="shared" si="212"/>
        <v>753.0145790845263</v>
      </c>
      <c r="DA87" s="6">
        <f t="shared" si="188"/>
        <v>5.0060291581690526E-6</v>
      </c>
      <c r="DB87" s="8">
        <f t="shared" si="189"/>
        <v>24.548667659472052</v>
      </c>
      <c r="DC87" s="7">
        <f t="shared" si="190"/>
        <v>1.2528556864455778E-2</v>
      </c>
      <c r="DD87" s="9">
        <f t="shared" si="191"/>
        <v>0.22468123633063269</v>
      </c>
    </row>
    <row r="88" spans="2:108" x14ac:dyDescent="0.25">
      <c r="B88">
        <v>69</v>
      </c>
      <c r="C88">
        <f t="shared" si="192"/>
        <v>6.7455411977822344E-2</v>
      </c>
      <c r="D88" s="4">
        <f t="shared" si="109"/>
        <v>1018.8811937497995</v>
      </c>
      <c r="E88" s="6">
        <f t="shared" si="110"/>
        <v>5.5377623874995993E-6</v>
      </c>
      <c r="F88" s="8">
        <f t="shared" si="111"/>
        <v>27.606133728122693</v>
      </c>
      <c r="G88" s="7">
        <f t="shared" si="107"/>
        <v>1.385932218561204E-2</v>
      </c>
      <c r="H88" s="9">
        <f t="shared" si="112"/>
        <v>0.19979708329751253</v>
      </c>
      <c r="I88" s="4">
        <f t="shared" si="193"/>
        <v>1018.5577035922256</v>
      </c>
      <c r="J88" s="6">
        <f t="shared" si="113"/>
        <v>5.537115407184452E-6</v>
      </c>
      <c r="K88" s="8">
        <f t="shared" si="114"/>
        <v>27.602413591310594</v>
      </c>
      <c r="L88" s="7">
        <f t="shared" si="115"/>
        <v>1.3857702992153035E-2</v>
      </c>
      <c r="M88" s="9">
        <f t="shared" si="116"/>
        <v>0.19982401110518655</v>
      </c>
      <c r="N88" s="4">
        <f t="shared" si="194"/>
        <v>1017.6535283863315</v>
      </c>
      <c r="O88" s="6">
        <f t="shared" si="117"/>
        <v>5.535307056772663E-6</v>
      </c>
      <c r="P88" s="8">
        <f t="shared" si="118"/>
        <v>27.592015576442812</v>
      </c>
      <c r="Q88" s="7">
        <f t="shared" si="108"/>
        <v>1.385932218561204E-2</v>
      </c>
      <c r="R88" s="9">
        <f t="shared" si="119"/>
        <v>0.19989931452159174</v>
      </c>
      <c r="S88" s="4">
        <f t="shared" si="195"/>
        <v>1016.152845355933</v>
      </c>
      <c r="T88" s="6">
        <f t="shared" si="120"/>
        <v>5.5323056907118664E-6</v>
      </c>
      <c r="U88" s="8">
        <f t="shared" si="121"/>
        <v>27.57475772159323</v>
      </c>
      <c r="V88" s="7">
        <f t="shared" si="122"/>
        <v>1.3845665745779756E-2</v>
      </c>
      <c r="W88" s="9">
        <f t="shared" si="123"/>
        <v>0.20002442290475056</v>
      </c>
      <c r="X88" s="4">
        <f t="shared" si="196"/>
        <v>1014.0535013314321</v>
      </c>
      <c r="Y88" s="6">
        <f t="shared" si="124"/>
        <v>5.5281070026628645E-6</v>
      </c>
      <c r="Z88" s="8">
        <f t="shared" si="125"/>
        <v>27.550615265311471</v>
      </c>
      <c r="AA88" s="7">
        <f t="shared" si="126"/>
        <v>1.3835157716298506E-2</v>
      </c>
      <c r="AB88" s="9">
        <f t="shared" si="127"/>
        <v>0.20019970323293046</v>
      </c>
      <c r="AC88" s="4">
        <f t="shared" si="197"/>
        <v>1011.3544111590402</v>
      </c>
      <c r="AD88" s="6">
        <f t="shared" si="128"/>
        <v>5.5227088223180809E-6</v>
      </c>
      <c r="AE88" s="8">
        <f t="shared" si="129"/>
        <v>27.519575728328959</v>
      </c>
      <c r="AF88" s="7">
        <f t="shared" si="130"/>
        <v>1.3821647725190317E-2</v>
      </c>
      <c r="AG88" s="9">
        <f t="shared" si="131"/>
        <v>0.20042550998786487</v>
      </c>
      <c r="AH88" s="4">
        <f t="shared" si="198"/>
        <v>1008.0555447964501</v>
      </c>
      <c r="AI88" s="6">
        <f t="shared" si="132"/>
        <v>5.5161110895929014E-6</v>
      </c>
      <c r="AJ88" s="8">
        <f t="shared" si="133"/>
        <v>27.481638765159175</v>
      </c>
      <c r="AK88" s="7">
        <f t="shared" si="134"/>
        <v>1.3805135622081806E-2</v>
      </c>
      <c r="AL88" s="9">
        <f t="shared" si="135"/>
        <v>0.20070218690861441</v>
      </c>
      <c r="AM88" s="4">
        <f t="shared" si="199"/>
        <v>1004.1569172303292</v>
      </c>
      <c r="AN88" s="6">
        <f t="shared" si="136"/>
        <v>5.5083138344606591E-6</v>
      </c>
      <c r="AO88" s="8">
        <f t="shared" si="137"/>
        <v>27.436804548148785</v>
      </c>
      <c r="AP88" s="7">
        <f t="shared" si="138"/>
        <v>1.3785621481987045E-2</v>
      </c>
      <c r="AQ88" s="9">
        <f t="shared" si="139"/>
        <v>0.20103015241154057</v>
      </c>
      <c r="AR88" s="4">
        <f t="shared" si="200"/>
        <v>999.65853550065617</v>
      </c>
      <c r="AS88" s="6">
        <f t="shared" si="140"/>
        <v>5.4993170710013127E-6</v>
      </c>
      <c r="AT88" s="8">
        <f t="shared" si="141"/>
        <v>27.385073158257548</v>
      </c>
      <c r="AU88" s="7">
        <f t="shared" si="142"/>
        <v>1.3763105340143855E-2</v>
      </c>
      <c r="AV88" s="9">
        <f t="shared" si="143"/>
        <v>0.20140990561264388</v>
      </c>
      <c r="AW88" s="4">
        <f t="shared" si="201"/>
        <v>994.56040146757812</v>
      </c>
      <c r="AX88" s="6">
        <f t="shared" si="144"/>
        <v>5.4891208029351569E-6</v>
      </c>
      <c r="AY88" s="8">
        <f t="shared" si="145"/>
        <v>27.326444616877147</v>
      </c>
      <c r="AZ88" s="7">
        <f t="shared" si="146"/>
        <v>1.3737587205862994E-2</v>
      </c>
      <c r="BA88" s="9">
        <f t="shared" si="147"/>
        <v>0.20184202801829121</v>
      </c>
      <c r="BB88" s="4">
        <f t="shared" si="202"/>
        <v>988.86251511063563</v>
      </c>
      <c r="BC88" s="6">
        <f t="shared" si="148"/>
        <v>5.4777250302212709E-6</v>
      </c>
      <c r="BD88" s="8">
        <f t="shared" si="149"/>
        <v>27.260918923772309</v>
      </c>
      <c r="BE88" s="7">
        <f t="shared" si="150"/>
        <v>1.3709067079042047E-2</v>
      </c>
      <c r="BF88" s="9">
        <f t="shared" si="151"/>
        <v>0.20232718550034701</v>
      </c>
      <c r="BG88" s="4">
        <f t="shared" si="203"/>
        <v>982.56487068948866</v>
      </c>
      <c r="BH88" s="6">
        <f t="shared" si="152"/>
        <v>5.4651297413789784E-6</v>
      </c>
      <c r="BI88" s="8">
        <f t="shared" si="153"/>
        <v>27.188496012929118</v>
      </c>
      <c r="BJ88" s="7">
        <f t="shared" si="154"/>
        <v>1.3677544930948403E-2</v>
      </c>
      <c r="BK88" s="9">
        <f t="shared" si="155"/>
        <v>0.20286613122613034</v>
      </c>
      <c r="BL88" s="4">
        <f t="shared" si="204"/>
        <v>975.66740197555339</v>
      </c>
      <c r="BM88" s="6">
        <f t="shared" si="156"/>
        <v>5.451334803951107E-6</v>
      </c>
      <c r="BN88" s="8">
        <f t="shared" si="157"/>
        <v>27.109175122718863</v>
      </c>
      <c r="BO88" s="7">
        <f t="shared" si="158"/>
        <v>1.3643020430082349E-2</v>
      </c>
      <c r="BP88" s="9">
        <f t="shared" si="159"/>
        <v>0.20345971336389451</v>
      </c>
      <c r="BQ88" s="4">
        <f t="shared" si="205"/>
        <v>968.16944379241795</v>
      </c>
      <c r="BR88" s="6">
        <f t="shared" si="160"/>
        <v>5.4363388875848365E-6</v>
      </c>
      <c r="BS88" s="8">
        <f t="shared" si="161"/>
        <v>27.022948603612804</v>
      </c>
      <c r="BT88" s="7">
        <f t="shared" si="162"/>
        <v>1.3605490246978472E-2</v>
      </c>
      <c r="BU88" s="9">
        <f t="shared" si="163"/>
        <v>0.20410892537695144</v>
      </c>
      <c r="BV88" s="4">
        <f t="shared" si="206"/>
        <v>960.06513534814223</v>
      </c>
      <c r="BW88" s="6">
        <f t="shared" si="164"/>
        <v>5.4201302706962847E-6</v>
      </c>
      <c r="BX88" s="8">
        <f t="shared" si="165"/>
        <v>26.929749056503635</v>
      </c>
      <c r="BY88" s="7">
        <f t="shared" si="166"/>
        <v>1.3564925046104436E-2</v>
      </c>
      <c r="BZ88" s="9">
        <f t="shared" si="167"/>
        <v>0.2048153136676911</v>
      </c>
      <c r="CA88" s="4">
        <f t="shared" si="207"/>
        <v>951.30988149944835</v>
      </c>
      <c r="CB88" s="6">
        <f t="shared" si="168"/>
        <v>5.4026197629988975E-6</v>
      </c>
      <c r="CC88" s="8">
        <f t="shared" si="169"/>
        <v>26.829063637243657</v>
      </c>
      <c r="CD88" s="7">
        <f t="shared" si="170"/>
        <v>1.3521101611505737E-2</v>
      </c>
      <c r="CE88" s="9">
        <f t="shared" si="171"/>
        <v>0.20558395457168702</v>
      </c>
      <c r="CF88" s="4">
        <f t="shared" si="208"/>
        <v>941.61698570078488</v>
      </c>
      <c r="CG88" s="6">
        <f t="shared" si="172"/>
        <v>5.3832339714015699E-6</v>
      </c>
      <c r="CH88" s="8">
        <f t="shared" si="173"/>
        <v>26.717595335559025</v>
      </c>
      <c r="CI88" s="7">
        <f t="shared" si="174"/>
        <v>1.3472584915994032E-2</v>
      </c>
      <c r="CJ88" s="9">
        <f t="shared" si="175"/>
        <v>0.2064416700203231</v>
      </c>
      <c r="CK88" s="4">
        <f t="shared" si="209"/>
        <v>929.47635373274932</v>
      </c>
      <c r="CL88" s="6">
        <f t="shared" si="176"/>
        <v>5.3589527074654992E-6</v>
      </c>
      <c r="CM88" s="8">
        <f t="shared" si="177"/>
        <v>26.577978067926615</v>
      </c>
      <c r="CN88" s="7">
        <f t="shared" si="178"/>
        <v>1.3411816353456295E-2</v>
      </c>
      <c r="CO88" s="9">
        <f t="shared" si="179"/>
        <v>0.2075261325712382</v>
      </c>
      <c r="CP88" s="4">
        <f t="shared" si="210"/>
        <v>908.667304678287</v>
      </c>
      <c r="CQ88" s="6">
        <f t="shared" si="180"/>
        <v>5.317334609356575E-6</v>
      </c>
      <c r="CR88" s="8">
        <f t="shared" si="181"/>
        <v>26.3386740038003</v>
      </c>
      <c r="CS88" s="7">
        <f t="shared" si="182"/>
        <v>1.3307659007928796E-2</v>
      </c>
      <c r="CT88" s="9">
        <f t="shared" si="183"/>
        <v>0.20941164309198607</v>
      </c>
      <c r="CU88" s="4">
        <f t="shared" si="211"/>
        <v>860.67346047007618</v>
      </c>
      <c r="CV88" s="6">
        <f t="shared" si="184"/>
        <v>5.2213469209401526E-6</v>
      </c>
      <c r="CW88" s="8">
        <f t="shared" si="185"/>
        <v>25.786744795405873</v>
      </c>
      <c r="CX88" s="7">
        <f t="shared" si="186"/>
        <v>1.3067431239648545E-2</v>
      </c>
      <c r="CY88" s="9">
        <f t="shared" si="187"/>
        <v>0.21389380644053432</v>
      </c>
      <c r="CZ88" s="5">
        <f t="shared" si="212"/>
        <v>751.88295464895418</v>
      </c>
      <c r="DA88" s="6">
        <f t="shared" si="188"/>
        <v>5.0037659092979084E-6</v>
      </c>
      <c r="DB88" s="8">
        <f t="shared" si="189"/>
        <v>24.535653978462975</v>
      </c>
      <c r="DC88" s="7">
        <f t="shared" si="190"/>
        <v>1.2522892646113327E-2</v>
      </c>
      <c r="DD88" s="9">
        <f t="shared" si="191"/>
        <v>0.22480040698493434</v>
      </c>
    </row>
    <row r="89" spans="2:108" x14ac:dyDescent="0.25">
      <c r="B89">
        <v>70</v>
      </c>
      <c r="C89">
        <f t="shared" si="192"/>
        <v>6.8433026644167602E-2</v>
      </c>
      <c r="D89" s="4">
        <f t="shared" si="109"/>
        <v>1018.8646779765177</v>
      </c>
      <c r="E89" s="6">
        <f t="shared" si="110"/>
        <v>5.537729355953036E-6</v>
      </c>
      <c r="F89" s="8">
        <f t="shared" si="111"/>
        <v>27.605943796729953</v>
      </c>
      <c r="G89" s="7">
        <f t="shared" si="107"/>
        <v>1.3859239517773648E-2</v>
      </c>
      <c r="H89" s="9">
        <f t="shared" si="112"/>
        <v>0.19979845791953507</v>
      </c>
      <c r="I89" s="4">
        <f t="shared" si="193"/>
        <v>1018.5411484848966</v>
      </c>
      <c r="J89" s="6">
        <f t="shared" si="113"/>
        <v>5.5370822969697935E-6</v>
      </c>
      <c r="K89" s="8">
        <f t="shared" si="114"/>
        <v>27.602223207576309</v>
      </c>
      <c r="L89" s="7">
        <f t="shared" si="115"/>
        <v>1.3857620127432507E-2</v>
      </c>
      <c r="M89" s="9">
        <f t="shared" si="116"/>
        <v>0.19982538937247857</v>
      </c>
      <c r="N89" s="4">
        <f t="shared" si="194"/>
        <v>1017.6369308045217</v>
      </c>
      <c r="O89" s="6">
        <f t="shared" si="117"/>
        <v>5.5352738616090439E-6</v>
      </c>
      <c r="P89" s="8">
        <f t="shared" si="118"/>
        <v>27.591824704251998</v>
      </c>
      <c r="Q89" s="7">
        <f t="shared" si="108"/>
        <v>1.3859239517773648E-2</v>
      </c>
      <c r="R89" s="9">
        <f t="shared" si="119"/>
        <v>0.19990069736671032</v>
      </c>
      <c r="S89" s="4">
        <f t="shared" si="195"/>
        <v>1016.1362327636217</v>
      </c>
      <c r="T89" s="6">
        <f t="shared" si="120"/>
        <v>5.532272465527244E-6</v>
      </c>
      <c r="U89" s="8">
        <f t="shared" si="121"/>
        <v>27.57456667678165</v>
      </c>
      <c r="V89" s="7">
        <f t="shared" si="122"/>
        <v>1.3845582593324642E-2</v>
      </c>
      <c r="W89" s="9">
        <f t="shared" si="123"/>
        <v>0.20002580873353376</v>
      </c>
      <c r="X89" s="4">
        <f t="shared" si="196"/>
        <v>1014.0368928569825</v>
      </c>
      <c r="Y89" s="6">
        <f t="shared" si="124"/>
        <v>5.5280737857139655E-6</v>
      </c>
      <c r="Z89" s="8">
        <f t="shared" si="125"/>
        <v>27.550424267855298</v>
      </c>
      <c r="AA89" s="7">
        <f t="shared" si="126"/>
        <v>1.3835074584454883E-2</v>
      </c>
      <c r="AB89" s="9">
        <f t="shared" si="127"/>
        <v>0.20020109114745663</v>
      </c>
      <c r="AC89" s="4">
        <f t="shared" si="197"/>
        <v>1011.3378149931133</v>
      </c>
      <c r="AD89" s="6">
        <f t="shared" si="128"/>
        <v>5.5226756299862276E-6</v>
      </c>
      <c r="AE89" s="8">
        <f t="shared" si="129"/>
        <v>27.519384872420801</v>
      </c>
      <c r="AF89" s="7">
        <f t="shared" si="130"/>
        <v>1.3821564654955614E-2</v>
      </c>
      <c r="AG89" s="9">
        <f t="shared" si="131"/>
        <v>0.20042690000413538</v>
      </c>
      <c r="AH89" s="4">
        <f t="shared" si="198"/>
        <v>1008.0389651058905</v>
      </c>
      <c r="AI89" s="6">
        <f t="shared" si="132"/>
        <v>5.5160779302117809E-6</v>
      </c>
      <c r="AJ89" s="8">
        <f t="shared" si="133"/>
        <v>27.481448098717742</v>
      </c>
      <c r="AK89" s="7">
        <f t="shared" si="134"/>
        <v>1.3805052634312693E-2</v>
      </c>
      <c r="AL89" s="9">
        <f t="shared" si="135"/>
        <v>0.2007035793815157</v>
      </c>
      <c r="AM89" s="4">
        <f t="shared" si="199"/>
        <v>1004.1403575100123</v>
      </c>
      <c r="AN89" s="6">
        <f t="shared" si="136"/>
        <v>5.5082807150200254E-6</v>
      </c>
      <c r="AO89" s="8">
        <f t="shared" si="137"/>
        <v>27.436614111365142</v>
      </c>
      <c r="AP89" s="7">
        <f t="shared" si="138"/>
        <v>1.378553859417673E-2</v>
      </c>
      <c r="AQ89" s="9">
        <f t="shared" si="139"/>
        <v>0.20103154775629722</v>
      </c>
      <c r="AR89" s="4">
        <f t="shared" si="200"/>
        <v>999.64199927097957</v>
      </c>
      <c r="AS89" s="6">
        <f t="shared" si="140"/>
        <v>5.4992839985419594E-6</v>
      </c>
      <c r="AT89" s="8">
        <f t="shared" si="141"/>
        <v>27.384882991616266</v>
      </c>
      <c r="AU89" s="7">
        <f t="shared" si="142"/>
        <v>1.3763022569913288E-2</v>
      </c>
      <c r="AV89" s="9">
        <f t="shared" si="143"/>
        <v>0.20141130424725856</v>
      </c>
      <c r="AW89" s="4">
        <f t="shared" si="201"/>
        <v>994.54389229212541</v>
      </c>
      <c r="AX89" s="6">
        <f t="shared" si="144"/>
        <v>5.4890877845842514E-6</v>
      </c>
      <c r="AY89" s="8">
        <f t="shared" si="145"/>
        <v>27.326254761359444</v>
      </c>
      <c r="AZ89" s="7">
        <f t="shared" si="146"/>
        <v>1.3737504571049287E-2</v>
      </c>
      <c r="BA89" s="9">
        <f t="shared" si="147"/>
        <v>0.20184343036277852</v>
      </c>
      <c r="BB89" s="4">
        <f t="shared" si="202"/>
        <v>988.84603649854228</v>
      </c>
      <c r="BC89" s="6">
        <f t="shared" si="148"/>
        <v>5.4776920729970858E-6</v>
      </c>
      <c r="BD89" s="8">
        <f t="shared" si="149"/>
        <v>27.260729419733238</v>
      </c>
      <c r="BE89" s="7">
        <f t="shared" si="150"/>
        <v>1.3708984597209791E-2</v>
      </c>
      <c r="BF89" s="9">
        <f t="shared" si="151"/>
        <v>0.20232859198578163</v>
      </c>
      <c r="BG89" s="4">
        <f t="shared" si="203"/>
        <v>982.54842536191927</v>
      </c>
      <c r="BH89" s="6">
        <f t="shared" si="152"/>
        <v>5.4650968507238394E-6</v>
      </c>
      <c r="BI89" s="8">
        <f t="shared" si="153"/>
        <v>27.188306891662073</v>
      </c>
      <c r="BJ89" s="7">
        <f t="shared" si="154"/>
        <v>1.367746261571807E-2</v>
      </c>
      <c r="BK89" s="9">
        <f t="shared" si="155"/>
        <v>0.20286754235849436</v>
      </c>
      <c r="BL89" s="4">
        <f t="shared" si="204"/>
        <v>975.65098493190305</v>
      </c>
      <c r="BM89" s="6">
        <f t="shared" si="156"/>
        <v>5.4513019698638064E-6</v>
      </c>
      <c r="BN89" s="8">
        <f t="shared" si="157"/>
        <v>27.108986326716884</v>
      </c>
      <c r="BO89" s="7">
        <f t="shared" si="158"/>
        <v>1.364293825642398E-2</v>
      </c>
      <c r="BP89" s="9">
        <f t="shared" si="159"/>
        <v>0.20346113032504473</v>
      </c>
      <c r="BQ89" s="4">
        <f t="shared" si="205"/>
        <v>968.15298444092582</v>
      </c>
      <c r="BR89" s="6">
        <f t="shared" si="160"/>
        <v>5.4363059688818523E-6</v>
      </c>
      <c r="BS89" s="8">
        <f t="shared" si="161"/>
        <v>27.022759321070644</v>
      </c>
      <c r="BT89" s="7">
        <f t="shared" si="162"/>
        <v>1.3605407861552976E-2</v>
      </c>
      <c r="BU89" s="9">
        <f t="shared" si="163"/>
        <v>0.20411035507018943</v>
      </c>
      <c r="BV89" s="4">
        <f t="shared" si="206"/>
        <v>960.04808678394227</v>
      </c>
      <c r="BW89" s="6">
        <f t="shared" si="164"/>
        <v>5.4200961735678852E-6</v>
      </c>
      <c r="BX89" s="8">
        <f t="shared" si="165"/>
        <v>26.929552998015335</v>
      </c>
      <c r="BY89" s="7">
        <f t="shared" si="166"/>
        <v>1.356483971144126E-2</v>
      </c>
      <c r="BZ89" s="9">
        <f t="shared" si="167"/>
        <v>0.20481680480944087</v>
      </c>
      <c r="CA89" s="4">
        <f t="shared" si="207"/>
        <v>951.28882099692566</v>
      </c>
      <c r="CB89" s="6">
        <f t="shared" si="168"/>
        <v>5.402577641993852E-6</v>
      </c>
      <c r="CC89" s="8">
        <f t="shared" si="169"/>
        <v>26.828821441464644</v>
      </c>
      <c r="CD89" s="7">
        <f t="shared" si="170"/>
        <v>1.3520996195538265E-2</v>
      </c>
      <c r="CE89" s="9">
        <f t="shared" si="171"/>
        <v>0.20558581047005881</v>
      </c>
      <c r="CF89" s="4">
        <f t="shared" si="208"/>
        <v>941.5746645241677</v>
      </c>
      <c r="CG89" s="6">
        <f t="shared" si="172"/>
        <v>5.383149329048335E-6</v>
      </c>
      <c r="CH89" s="8">
        <f t="shared" si="173"/>
        <v>26.717108642027927</v>
      </c>
      <c r="CI89" s="7">
        <f t="shared" si="174"/>
        <v>1.3472373082122884E-2</v>
      </c>
      <c r="CJ89" s="9">
        <f t="shared" si="175"/>
        <v>0.20644543067521634</v>
      </c>
      <c r="CK89" s="4">
        <f t="shared" si="209"/>
        <v>929.34651339562151</v>
      </c>
      <c r="CL89" s="6">
        <f t="shared" si="176"/>
        <v>5.3586930267912431E-6</v>
      </c>
      <c r="CM89" s="8">
        <f t="shared" si="177"/>
        <v>26.576484904049646</v>
      </c>
      <c r="CN89" s="7">
        <f t="shared" si="178"/>
        <v>1.3411166452308856E-2</v>
      </c>
      <c r="CO89" s="9">
        <f t="shared" si="179"/>
        <v>0.20753779214645296</v>
      </c>
      <c r="CP89" s="4">
        <f t="shared" si="210"/>
        <v>908.27709355845411</v>
      </c>
      <c r="CQ89" s="6">
        <f t="shared" si="180"/>
        <v>5.3165541871169092E-6</v>
      </c>
      <c r="CR89" s="8">
        <f t="shared" si="181"/>
        <v>26.334186575922221</v>
      </c>
      <c r="CS89" s="7">
        <f t="shared" si="182"/>
        <v>1.330570585022655E-2</v>
      </c>
      <c r="CT89" s="9">
        <f t="shared" si="183"/>
        <v>0.20944732749190084</v>
      </c>
      <c r="CU89" s="4">
        <f t="shared" si="211"/>
        <v>859.80961990967876</v>
      </c>
      <c r="CV89" s="6">
        <f t="shared" si="184"/>
        <v>5.2196192398193578E-6</v>
      </c>
      <c r="CW89" s="8">
        <f t="shared" si="185"/>
        <v>25.776810628961307</v>
      </c>
      <c r="CX89" s="7">
        <f t="shared" si="186"/>
        <v>1.3063107383258256E-2</v>
      </c>
      <c r="CY89" s="9">
        <f t="shared" si="187"/>
        <v>0.21397623931810122</v>
      </c>
      <c r="CZ89" s="5">
        <f t="shared" si="212"/>
        <v>750.76326912654008</v>
      </c>
      <c r="DA89" s="6">
        <f t="shared" si="188"/>
        <v>5.0015265382530805E-6</v>
      </c>
      <c r="DB89" s="8">
        <f t="shared" si="189"/>
        <v>24.522777594955208</v>
      </c>
      <c r="DC89" s="7">
        <f t="shared" si="190"/>
        <v>1.2517288186652686E-2</v>
      </c>
      <c r="DD89" s="9">
        <f t="shared" si="191"/>
        <v>0.22491844484756354</v>
      </c>
    </row>
    <row r="90" spans="2:108" x14ac:dyDescent="0.25">
      <c r="B90">
        <v>71</v>
      </c>
      <c r="C90">
        <f t="shared" si="192"/>
        <v>6.9410641310512861E-2</v>
      </c>
      <c r="D90" s="4">
        <f t="shared" si="109"/>
        <v>1018.8481601950381</v>
      </c>
      <c r="E90" s="6">
        <f t="shared" si="110"/>
        <v>5.5376963203900762E-6</v>
      </c>
      <c r="F90" s="8">
        <f t="shared" si="111"/>
        <v>27.605753842242937</v>
      </c>
      <c r="G90" s="7">
        <f t="shared" si="107"/>
        <v>1.3859156839883447E-2</v>
      </c>
      <c r="H90" s="9">
        <f t="shared" si="112"/>
        <v>0.19979983272762031</v>
      </c>
      <c r="I90" s="4">
        <f t="shared" si="193"/>
        <v>1018.5245928659053</v>
      </c>
      <c r="J90" s="6">
        <f t="shared" si="113"/>
        <v>5.5370491857318116E-6</v>
      </c>
      <c r="K90" s="8">
        <f t="shared" si="114"/>
        <v>27.602032817957912</v>
      </c>
      <c r="L90" s="7">
        <f t="shared" si="115"/>
        <v>1.3857537260150914E-2</v>
      </c>
      <c r="M90" s="9">
        <f t="shared" si="116"/>
        <v>0.19982676770138208</v>
      </c>
      <c r="N90" s="4">
        <f t="shared" si="194"/>
        <v>1017.6203335033971</v>
      </c>
      <c r="O90" s="6">
        <f t="shared" si="117"/>
        <v>5.5352406670067943E-6</v>
      </c>
      <c r="P90" s="8">
        <f t="shared" si="118"/>
        <v>27.591633835289066</v>
      </c>
      <c r="Q90" s="7">
        <f t="shared" si="108"/>
        <v>1.3859156839883447E-2</v>
      </c>
      <c r="R90" s="9">
        <f t="shared" si="119"/>
        <v>0.19990208020757519</v>
      </c>
      <c r="S90" s="4">
        <f t="shared" si="195"/>
        <v>1016.1196205103561</v>
      </c>
      <c r="T90" s="6">
        <f t="shared" si="120"/>
        <v>5.532239241020713E-6</v>
      </c>
      <c r="U90" s="8">
        <f t="shared" si="121"/>
        <v>27.574375635869096</v>
      </c>
      <c r="V90" s="7">
        <f t="shared" si="122"/>
        <v>1.3845499442566583E-2</v>
      </c>
      <c r="W90" s="9">
        <f t="shared" si="123"/>
        <v>0.20002719455323606</v>
      </c>
      <c r="X90" s="4">
        <f t="shared" si="196"/>
        <v>1014.0202846241091</v>
      </c>
      <c r="Y90" s="6">
        <f t="shared" si="124"/>
        <v>5.5280405692482191E-6</v>
      </c>
      <c r="Z90" s="8">
        <f t="shared" si="125"/>
        <v>27.550233273177255</v>
      </c>
      <c r="AA90" s="7">
        <f t="shared" si="126"/>
        <v>1.3834991453820446E-2</v>
      </c>
      <c r="AB90" s="9">
        <f t="shared" si="127"/>
        <v>0.20020247906103866</v>
      </c>
      <c r="AC90" s="4">
        <f t="shared" si="197"/>
        <v>1011.3212190243783</v>
      </c>
      <c r="AD90" s="6">
        <f t="shared" si="128"/>
        <v>5.5226424380487572E-6</v>
      </c>
      <c r="AE90" s="8">
        <f t="shared" si="129"/>
        <v>27.519194018780347</v>
      </c>
      <c r="AF90" s="7">
        <f t="shared" si="130"/>
        <v>1.3821481585707932E-2</v>
      </c>
      <c r="AG90" s="9">
        <f t="shared" si="131"/>
        <v>0.20042829002317028</v>
      </c>
      <c r="AH90" s="4">
        <f t="shared" si="198"/>
        <v>1008.0223856052589</v>
      </c>
      <c r="AI90" s="6">
        <f t="shared" si="132"/>
        <v>5.5160447712105183E-6</v>
      </c>
      <c r="AJ90" s="8">
        <f t="shared" si="133"/>
        <v>27.481257434460478</v>
      </c>
      <c r="AK90" s="7">
        <f t="shared" si="134"/>
        <v>1.3804969647494246E-2</v>
      </c>
      <c r="AL90" s="9">
        <f t="shared" si="135"/>
        <v>0.20070497185778738</v>
      </c>
      <c r="AM90" s="4">
        <f t="shared" si="199"/>
        <v>1004.1237979806959</v>
      </c>
      <c r="AN90" s="6">
        <f t="shared" si="136"/>
        <v>5.5082475959613926E-6</v>
      </c>
      <c r="AO90" s="8">
        <f t="shared" si="137"/>
        <v>27.436423676778002</v>
      </c>
      <c r="AP90" s="7">
        <f t="shared" si="138"/>
        <v>1.3785455707322444E-2</v>
      </c>
      <c r="AQ90" s="9">
        <f t="shared" si="139"/>
        <v>0.20103294310432984</v>
      </c>
      <c r="AR90" s="4">
        <f t="shared" si="200"/>
        <v>999.62546323340325</v>
      </c>
      <c r="AS90" s="6">
        <f t="shared" si="140"/>
        <v>5.4992509264668076E-6</v>
      </c>
      <c r="AT90" s="8">
        <f t="shared" si="141"/>
        <v>27.384692827184136</v>
      </c>
      <c r="AU90" s="7">
        <f t="shared" si="142"/>
        <v>1.3762939800644258E-2</v>
      </c>
      <c r="AV90" s="9">
        <f t="shared" si="143"/>
        <v>0.20141270288505006</v>
      </c>
      <c r="AW90" s="4">
        <f t="shared" si="201"/>
        <v>994.527383308308</v>
      </c>
      <c r="AX90" s="6">
        <f t="shared" si="144"/>
        <v>5.4890547666166164E-6</v>
      </c>
      <c r="AY90" s="8">
        <f t="shared" si="145"/>
        <v>27.326064908045542</v>
      </c>
      <c r="AZ90" s="7">
        <f t="shared" si="146"/>
        <v>1.3737421937194792E-2</v>
      </c>
      <c r="BA90" s="9">
        <f t="shared" si="147"/>
        <v>0.20184483271047376</v>
      </c>
      <c r="BB90" s="4">
        <f t="shared" si="202"/>
        <v>988.8295580668082</v>
      </c>
      <c r="BC90" s="6">
        <f t="shared" si="148"/>
        <v>5.4776591161336165E-6</v>
      </c>
      <c r="BD90" s="8">
        <f t="shared" si="149"/>
        <v>27.260539917768291</v>
      </c>
      <c r="BE90" s="7">
        <f t="shared" si="150"/>
        <v>1.3708902116280296E-2</v>
      </c>
      <c r="BF90" s="9">
        <f t="shared" si="151"/>
        <v>0.20232999847537655</v>
      </c>
      <c r="BG90" s="4">
        <f t="shared" si="203"/>
        <v>982.53198010310666</v>
      </c>
      <c r="BH90" s="6">
        <f t="shared" si="152"/>
        <v>5.4650639602062137E-6</v>
      </c>
      <c r="BI90" s="8">
        <f t="shared" si="153"/>
        <v>27.188117771185723</v>
      </c>
      <c r="BJ90" s="7">
        <f t="shared" si="154"/>
        <v>1.3677380300831887E-2</v>
      </c>
      <c r="BK90" s="9">
        <f t="shared" si="155"/>
        <v>0.20286895350459022</v>
      </c>
      <c r="BL90" s="4">
        <f t="shared" si="204"/>
        <v>975.63456701355267</v>
      </c>
      <c r="BM90" s="6">
        <f t="shared" si="156"/>
        <v>5.4512691340271066E-6</v>
      </c>
      <c r="BN90" s="8">
        <f t="shared" si="157"/>
        <v>27.108797520655855</v>
      </c>
      <c r="BO90" s="7">
        <f t="shared" si="158"/>
        <v>1.3642856078387397E-2</v>
      </c>
      <c r="BP90" s="9">
        <f t="shared" si="159"/>
        <v>0.20346254738142874</v>
      </c>
      <c r="BQ90" s="4">
        <f t="shared" si="205"/>
        <v>968.13651739585725</v>
      </c>
      <c r="BR90" s="6">
        <f t="shared" si="160"/>
        <v>5.4362730347917151E-6</v>
      </c>
      <c r="BS90" s="8">
        <f t="shared" si="161"/>
        <v>27.022569950052358</v>
      </c>
      <c r="BT90" s="7">
        <f t="shared" si="162"/>
        <v>1.360532543761815E-2</v>
      </c>
      <c r="BU90" s="9">
        <f t="shared" si="163"/>
        <v>0.20411178545175024</v>
      </c>
      <c r="BV90" s="4">
        <f t="shared" si="206"/>
        <v>960.03098952000971</v>
      </c>
      <c r="BW90" s="6">
        <f t="shared" si="164"/>
        <v>5.4200619790400192E-6</v>
      </c>
      <c r="BX90" s="8">
        <f t="shared" si="165"/>
        <v>26.929356379480112</v>
      </c>
      <c r="BY90" s="7">
        <f t="shared" si="166"/>
        <v>1.3564754133017066E-2</v>
      </c>
      <c r="BZ90" s="9">
        <f t="shared" si="167"/>
        <v>0.20481830023248712</v>
      </c>
      <c r="CA90" s="4">
        <f t="shared" si="207"/>
        <v>951.26751522518475</v>
      </c>
      <c r="CB90" s="6">
        <f t="shared" si="168"/>
        <v>5.4025350304503697E-6</v>
      </c>
      <c r="CC90" s="8">
        <f t="shared" si="169"/>
        <v>26.828576425089622</v>
      </c>
      <c r="CD90" s="7">
        <f t="shared" si="170"/>
        <v>1.3520889551903413E-2</v>
      </c>
      <c r="CE90" s="9">
        <f t="shared" si="171"/>
        <v>0.20558768801619615</v>
      </c>
      <c r="CF90" s="4">
        <f t="shared" si="208"/>
        <v>941.53140184516803</v>
      </c>
      <c r="CG90" s="6">
        <f t="shared" si="172"/>
        <v>5.3830628036903361E-6</v>
      </c>
      <c r="CH90" s="8">
        <f t="shared" si="173"/>
        <v>26.716611121219429</v>
      </c>
      <c r="CI90" s="7">
        <f t="shared" si="174"/>
        <v>1.3472156535667868E-2</v>
      </c>
      <c r="CJ90" s="9">
        <f t="shared" si="175"/>
        <v>0.2064492751335241</v>
      </c>
      <c r="CK90" s="4">
        <f t="shared" si="209"/>
        <v>929.21420861347838</v>
      </c>
      <c r="CL90" s="6">
        <f t="shared" si="176"/>
        <v>5.3584284172269568E-6</v>
      </c>
      <c r="CM90" s="8">
        <f t="shared" si="177"/>
        <v>26.574963399055001</v>
      </c>
      <c r="CN90" s="7">
        <f t="shared" si="178"/>
        <v>1.3410504215660146E-2</v>
      </c>
      <c r="CO90" s="9">
        <f t="shared" si="179"/>
        <v>0.20754967437494701</v>
      </c>
      <c r="CP90" s="4">
        <f t="shared" si="210"/>
        <v>907.88376837555609</v>
      </c>
      <c r="CQ90" s="6">
        <f t="shared" si="180"/>
        <v>5.3157675367511124E-6</v>
      </c>
      <c r="CR90" s="8">
        <f t="shared" si="181"/>
        <v>26.329663336318895</v>
      </c>
      <c r="CS90" s="7">
        <f t="shared" si="182"/>
        <v>1.3303737105433236E-2</v>
      </c>
      <c r="CT90" s="9">
        <f t="shared" si="183"/>
        <v>0.20948330897918463</v>
      </c>
      <c r="CU90" s="4">
        <f t="shared" si="211"/>
        <v>858.94854912491155</v>
      </c>
      <c r="CV90" s="6">
        <f t="shared" si="184"/>
        <v>5.2178970982498238E-6</v>
      </c>
      <c r="CW90" s="8">
        <f t="shared" si="185"/>
        <v>25.766908314936479</v>
      </c>
      <c r="CX90" s="7">
        <f t="shared" si="186"/>
        <v>1.3058797390667154E-2</v>
      </c>
      <c r="CY90" s="9">
        <f t="shared" si="187"/>
        <v>0.21405847114388651</v>
      </c>
      <c r="CZ90" s="5">
        <f t="shared" si="212"/>
        <v>749.65521630933415</v>
      </c>
      <c r="DA90" s="6">
        <f t="shared" si="188"/>
        <v>4.9993104326186689E-6</v>
      </c>
      <c r="DB90" s="8">
        <f t="shared" si="189"/>
        <v>24.51003498755734</v>
      </c>
      <c r="DC90" s="7">
        <f t="shared" si="190"/>
        <v>1.2511741953384536E-2</v>
      </c>
      <c r="DD90" s="9">
        <f t="shared" si="191"/>
        <v>0.22503537848069327</v>
      </c>
    </row>
    <row r="91" spans="2:108" x14ac:dyDescent="0.25">
      <c r="B91">
        <v>72</v>
      </c>
      <c r="C91">
        <f t="shared" si="192"/>
        <v>7.0388255976858105E-2</v>
      </c>
      <c r="D91" s="4">
        <f t="shared" si="109"/>
        <v>1018.8316404817663</v>
      </c>
      <c r="E91" s="6">
        <f t="shared" si="110"/>
        <v>5.5376632809635323E-6</v>
      </c>
      <c r="F91" s="8">
        <f t="shared" si="111"/>
        <v>27.605563865540311</v>
      </c>
      <c r="G91" s="7">
        <f t="shared" si="107"/>
        <v>1.3859074152323875E-2</v>
      </c>
      <c r="H91" s="9">
        <f t="shared" si="112"/>
        <v>0.19980120771541593</v>
      </c>
      <c r="I91" s="4">
        <f t="shared" si="193"/>
        <v>1018.5080367413723</v>
      </c>
      <c r="J91" s="6">
        <f t="shared" si="113"/>
        <v>5.5370160734827451E-6</v>
      </c>
      <c r="K91" s="8">
        <f t="shared" si="114"/>
        <v>27.601842422525781</v>
      </c>
      <c r="L91" s="7">
        <f t="shared" si="115"/>
        <v>1.3857454390338888E-2</v>
      </c>
      <c r="M91" s="9">
        <f t="shared" si="116"/>
        <v>0.19982814609138971</v>
      </c>
      <c r="N91" s="4">
        <f t="shared" si="194"/>
        <v>1017.6037364757343</v>
      </c>
      <c r="O91" s="6">
        <f t="shared" si="117"/>
        <v>5.5352074729514695E-6</v>
      </c>
      <c r="P91" s="8">
        <f t="shared" si="118"/>
        <v>27.591442969470943</v>
      </c>
      <c r="Q91" s="7">
        <f t="shared" si="108"/>
        <v>1.3859074152323875E-2</v>
      </c>
      <c r="R91" s="9">
        <f t="shared" si="119"/>
        <v>0.19990346304478762</v>
      </c>
      <c r="S91" s="4">
        <f t="shared" si="195"/>
        <v>1016.1030085938949</v>
      </c>
      <c r="T91" s="6">
        <f t="shared" si="120"/>
        <v>5.5322060171877909E-6</v>
      </c>
      <c r="U91" s="8">
        <f t="shared" si="121"/>
        <v>27.574184598829788</v>
      </c>
      <c r="V91" s="7">
        <f t="shared" si="122"/>
        <v>1.384541629349436E-2</v>
      </c>
      <c r="W91" s="9">
        <f t="shared" si="123"/>
        <v>0.2000285803640437</v>
      </c>
      <c r="X91" s="4">
        <f t="shared" si="196"/>
        <v>1014.0036766332977</v>
      </c>
      <c r="Y91" s="6">
        <f t="shared" si="124"/>
        <v>5.5280073532665961E-6</v>
      </c>
      <c r="Z91" s="8">
        <f t="shared" si="125"/>
        <v>27.55004228128292</v>
      </c>
      <c r="AA91" s="7">
        <f t="shared" si="126"/>
        <v>1.3834908324397618E-2</v>
      </c>
      <c r="AB91" s="9">
        <f t="shared" si="127"/>
        <v>0.20020386697363554</v>
      </c>
      <c r="AC91" s="4">
        <f t="shared" si="197"/>
        <v>1011.3046232532746</v>
      </c>
      <c r="AD91" s="6">
        <f t="shared" si="128"/>
        <v>5.5226092465065496E-6</v>
      </c>
      <c r="AE91" s="8">
        <f t="shared" si="129"/>
        <v>27.519003167412656</v>
      </c>
      <c r="AF91" s="7">
        <f t="shared" si="130"/>
        <v>1.3821398517449473E-2</v>
      </c>
      <c r="AG91" s="9">
        <f t="shared" si="131"/>
        <v>0.20042968004493239</v>
      </c>
      <c r="AH91" s="4">
        <f t="shared" si="198"/>
        <v>1008.0058062946611</v>
      </c>
      <c r="AI91" s="6">
        <f t="shared" si="132"/>
        <v>5.5160116125893219E-6</v>
      </c>
      <c r="AJ91" s="8">
        <f t="shared" si="133"/>
        <v>27.481066772388601</v>
      </c>
      <c r="AK91" s="7">
        <f t="shared" si="134"/>
        <v>1.3804886661626988E-2</v>
      </c>
      <c r="AL91" s="9">
        <f t="shared" si="135"/>
        <v>0.20070636433742026</v>
      </c>
      <c r="AM91" s="4">
        <f t="shared" si="199"/>
        <v>1004.1072386423803</v>
      </c>
      <c r="AN91" s="6">
        <f t="shared" si="136"/>
        <v>5.5082144772847606E-6</v>
      </c>
      <c r="AO91" s="8">
        <f t="shared" si="137"/>
        <v>27.436233244387374</v>
      </c>
      <c r="AP91" s="7">
        <f t="shared" si="138"/>
        <v>1.3785372821424191E-2</v>
      </c>
      <c r="AQ91" s="9">
        <f t="shared" si="139"/>
        <v>0.20103433845563806</v>
      </c>
      <c r="AR91" s="4">
        <f t="shared" si="200"/>
        <v>999.60892738790392</v>
      </c>
      <c r="AS91" s="6">
        <f t="shared" si="140"/>
        <v>5.499217854775808E-6</v>
      </c>
      <c r="AT91" s="8">
        <f t="shared" si="141"/>
        <v>27.384502664960895</v>
      </c>
      <c r="AU91" s="7">
        <f t="shared" si="142"/>
        <v>1.3762857032336642E-2</v>
      </c>
      <c r="AV91" s="9">
        <f t="shared" si="143"/>
        <v>0.20141410152602005</v>
      </c>
      <c r="AW91" s="4">
        <f t="shared" si="201"/>
        <v>994.51087451596572</v>
      </c>
      <c r="AX91" s="6">
        <f t="shared" si="144"/>
        <v>5.4890217490319318E-6</v>
      </c>
      <c r="AY91" s="8">
        <f t="shared" si="145"/>
        <v>27.325875056933604</v>
      </c>
      <c r="AZ91" s="7">
        <f t="shared" si="146"/>
        <v>1.3737339304298702E-2</v>
      </c>
      <c r="BA91" s="9">
        <f t="shared" si="147"/>
        <v>0.20184623506139021</v>
      </c>
      <c r="BB91" s="4">
        <f t="shared" si="202"/>
        <v>988.81307981396856</v>
      </c>
      <c r="BC91" s="6">
        <f t="shared" si="148"/>
        <v>5.4776261596279381E-6</v>
      </c>
      <c r="BD91" s="8">
        <f t="shared" si="149"/>
        <v>27.260350417860636</v>
      </c>
      <c r="BE91" s="7">
        <f t="shared" si="150"/>
        <v>1.370881963624624E-2</v>
      </c>
      <c r="BF91" s="9">
        <f t="shared" si="151"/>
        <v>0.20233140496925647</v>
      </c>
      <c r="BG91" s="4">
        <f t="shared" si="203"/>
        <v>982.51553490098888</v>
      </c>
      <c r="BH91" s="6">
        <f t="shared" si="152"/>
        <v>5.4650310698019786E-6</v>
      </c>
      <c r="BI91" s="8">
        <f t="shared" si="153"/>
        <v>27.187928651361371</v>
      </c>
      <c r="BJ91" s="7">
        <f t="shared" si="154"/>
        <v>1.3677297986229488E-2</v>
      </c>
      <c r="BK91" s="9">
        <f t="shared" si="155"/>
        <v>0.20287036466545302</v>
      </c>
      <c r="BL91" s="4">
        <f t="shared" si="204"/>
        <v>975.61814813573017</v>
      </c>
      <c r="BM91" s="6">
        <f t="shared" si="156"/>
        <v>5.4512362962714613E-6</v>
      </c>
      <c r="BN91" s="8">
        <f t="shared" si="157"/>
        <v>27.108608703560897</v>
      </c>
      <c r="BO91" s="7">
        <f t="shared" si="158"/>
        <v>1.3642773895548283E-2</v>
      </c>
      <c r="BP91" s="9">
        <f t="shared" si="159"/>
        <v>0.20346396454036705</v>
      </c>
      <c r="BQ91" s="4">
        <f t="shared" si="205"/>
        <v>968.12004216580772</v>
      </c>
      <c r="BR91" s="6">
        <f t="shared" si="160"/>
        <v>5.4362400843316158E-6</v>
      </c>
      <c r="BS91" s="8">
        <f t="shared" si="161"/>
        <v>27.02238048490679</v>
      </c>
      <c r="BT91" s="7">
        <f t="shared" si="162"/>
        <v>1.3605242972714328E-2</v>
      </c>
      <c r="BU91" s="9">
        <f t="shared" si="163"/>
        <v>0.20411321656434833</v>
      </c>
      <c r="BV91" s="4">
        <f t="shared" si="206"/>
        <v>960.01384132507224</v>
      </c>
      <c r="BW91" s="6">
        <f t="shared" si="164"/>
        <v>5.4200276826501453E-6</v>
      </c>
      <c r="BX91" s="8">
        <f t="shared" si="165"/>
        <v>26.929159175238329</v>
      </c>
      <c r="BY91" s="7">
        <f t="shared" si="166"/>
        <v>1.3564668299663482E-2</v>
      </c>
      <c r="BZ91" s="9">
        <f t="shared" si="167"/>
        <v>0.2048198001321809</v>
      </c>
      <c r="CA91" s="4">
        <f t="shared" si="207"/>
        <v>951.24595700626912</v>
      </c>
      <c r="CB91" s="6">
        <f t="shared" si="168"/>
        <v>5.4024919140125391E-6</v>
      </c>
      <c r="CC91" s="8">
        <f t="shared" si="169"/>
        <v>26.828328505572095</v>
      </c>
      <c r="CD91" s="7">
        <f t="shared" si="170"/>
        <v>1.3520781644672734E-2</v>
      </c>
      <c r="CE91" s="9">
        <f t="shared" si="171"/>
        <v>0.20558958784385079</v>
      </c>
      <c r="CF91" s="4">
        <f t="shared" si="208"/>
        <v>941.4871855673598</v>
      </c>
      <c r="CG91" s="6">
        <f t="shared" si="172"/>
        <v>5.38297437113472E-6</v>
      </c>
      <c r="CH91" s="8">
        <f t="shared" si="173"/>
        <v>26.716102634024637</v>
      </c>
      <c r="CI91" s="7">
        <f t="shared" si="174"/>
        <v>1.3471935216081686E-2</v>
      </c>
      <c r="CJ91" s="9">
        <f t="shared" si="175"/>
        <v>0.20645320447958995</v>
      </c>
      <c r="CK91" s="4">
        <f t="shared" si="209"/>
        <v>929.07945041789219</v>
      </c>
      <c r="CL91" s="6">
        <f t="shared" si="176"/>
        <v>5.3581589008357846E-6</v>
      </c>
      <c r="CM91" s="8">
        <f t="shared" si="177"/>
        <v>26.573413679805761</v>
      </c>
      <c r="CN91" s="7">
        <f t="shared" si="178"/>
        <v>1.3409829698727461E-2</v>
      </c>
      <c r="CO91" s="9">
        <f t="shared" si="179"/>
        <v>0.20756177834207098</v>
      </c>
      <c r="CP91" s="4">
        <f t="shared" si="210"/>
        <v>907.48741936436306</v>
      </c>
      <c r="CQ91" s="6">
        <f t="shared" si="180"/>
        <v>5.3149748387287265E-6</v>
      </c>
      <c r="CR91" s="8">
        <f t="shared" si="181"/>
        <v>26.325105322690174</v>
      </c>
      <c r="CS91" s="7">
        <f t="shared" si="182"/>
        <v>1.3301753225208808E-2</v>
      </c>
      <c r="CT91" s="9">
        <f t="shared" si="183"/>
        <v>0.20951957959484266</v>
      </c>
      <c r="CU91" s="4">
        <f t="shared" si="211"/>
        <v>858.09029309963785</v>
      </c>
      <c r="CV91" s="6">
        <f t="shared" si="184"/>
        <v>5.2161805861992762E-6</v>
      </c>
      <c r="CW91" s="8">
        <f t="shared" si="185"/>
        <v>25.757038370645834</v>
      </c>
      <c r="CX91" s="7">
        <f t="shared" si="186"/>
        <v>1.3054501487036884E-2</v>
      </c>
      <c r="CY91" s="9">
        <f t="shared" si="187"/>
        <v>0.21414049708004923</v>
      </c>
      <c r="CZ91" s="5">
        <f t="shared" si="212"/>
        <v>748.55850125025449</v>
      </c>
      <c r="DA91" s="6">
        <f t="shared" si="188"/>
        <v>4.9971170025005088E-6</v>
      </c>
      <c r="DB91" s="8">
        <f t="shared" si="189"/>
        <v>24.497422764377927</v>
      </c>
      <c r="DC91" s="7">
        <f t="shared" si="190"/>
        <v>1.2506252469984557E-2</v>
      </c>
      <c r="DD91" s="9">
        <f t="shared" si="191"/>
        <v>0.22515123541976645</v>
      </c>
    </row>
    <row r="92" spans="2:108" x14ac:dyDescent="0.25">
      <c r="B92">
        <v>73</v>
      </c>
      <c r="C92">
        <f t="shared" si="192"/>
        <v>7.136587064320335E-2</v>
      </c>
      <c r="D92" s="4">
        <f t="shared" si="109"/>
        <v>1018.8151189095194</v>
      </c>
      <c r="E92" s="6">
        <f t="shared" si="110"/>
        <v>5.537630237819039E-6</v>
      </c>
      <c r="F92" s="8">
        <f t="shared" si="111"/>
        <v>27.60537386745947</v>
      </c>
      <c r="G92" s="7">
        <f t="shared" si="107"/>
        <v>1.3858991455459418E-2</v>
      </c>
      <c r="H92" s="9">
        <f t="shared" si="112"/>
        <v>0.19980258287686811</v>
      </c>
      <c r="I92" s="4">
        <f t="shared" si="193"/>
        <v>1018.4914801176268</v>
      </c>
      <c r="J92" s="6">
        <f t="shared" si="113"/>
        <v>5.5369829602352538E-6</v>
      </c>
      <c r="K92" s="8">
        <f t="shared" si="114"/>
        <v>27.601652021352706</v>
      </c>
      <c r="L92" s="7">
        <f t="shared" si="115"/>
        <v>1.3857371518028109E-2</v>
      </c>
      <c r="M92" s="9">
        <f t="shared" si="116"/>
        <v>0.19982952454197664</v>
      </c>
      <c r="N92" s="4">
        <f t="shared" si="194"/>
        <v>1017.5871397145353</v>
      </c>
      <c r="O92" s="6">
        <f t="shared" si="117"/>
        <v>5.5351742794290708E-6</v>
      </c>
      <c r="P92" s="8">
        <f t="shared" si="118"/>
        <v>27.591252106717157</v>
      </c>
      <c r="Q92" s="7">
        <f t="shared" si="108"/>
        <v>1.3858991455459418E-2</v>
      </c>
      <c r="R92" s="9">
        <f t="shared" si="119"/>
        <v>0.19990484587893015</v>
      </c>
      <c r="S92" s="4">
        <f t="shared" si="195"/>
        <v>1016.0863970119829</v>
      </c>
      <c r="T92" s="6">
        <f t="shared" si="120"/>
        <v>5.5321727940239663E-6</v>
      </c>
      <c r="U92" s="8">
        <f t="shared" si="121"/>
        <v>27.573993565637799</v>
      </c>
      <c r="V92" s="7">
        <f t="shared" si="122"/>
        <v>1.3845333146096685E-2</v>
      </c>
      <c r="W92" s="9">
        <f t="shared" si="123"/>
        <v>0.20002996616614396</v>
      </c>
      <c r="X92" s="4">
        <f t="shared" si="196"/>
        <v>1013.9870688850003</v>
      </c>
      <c r="Y92" s="6">
        <f t="shared" si="124"/>
        <v>5.5279741377700012E-6</v>
      </c>
      <c r="Z92" s="8">
        <f t="shared" si="125"/>
        <v>27.5498512921775</v>
      </c>
      <c r="AA92" s="7">
        <f t="shared" si="126"/>
        <v>1.3834825196188668E-2</v>
      </c>
      <c r="AB92" s="9">
        <f t="shared" si="127"/>
        <v>0.20020525488520896</v>
      </c>
      <c r="AC92" s="4">
        <f t="shared" si="197"/>
        <v>1011.2880276802373</v>
      </c>
      <c r="AD92" s="6">
        <f t="shared" si="128"/>
        <v>5.5225760553604747E-6</v>
      </c>
      <c r="AE92" s="8">
        <f t="shared" si="129"/>
        <v>27.51881231832273</v>
      </c>
      <c r="AF92" s="7">
        <f t="shared" si="130"/>
        <v>1.3821315450182413E-2</v>
      </c>
      <c r="AG92" s="9">
        <f t="shared" si="131"/>
        <v>0.20043107006938507</v>
      </c>
      <c r="AH92" s="4">
        <f t="shared" si="198"/>
        <v>1007.9892271742054</v>
      </c>
      <c r="AI92" s="6">
        <f t="shared" si="132"/>
        <v>5.5159784543484111E-6</v>
      </c>
      <c r="AJ92" s="8">
        <f t="shared" si="133"/>
        <v>27.48087611250336</v>
      </c>
      <c r="AK92" s="7">
        <f t="shared" si="134"/>
        <v>1.3804803676711469E-2</v>
      </c>
      <c r="AL92" s="9">
        <f t="shared" si="135"/>
        <v>0.20070775682040495</v>
      </c>
      <c r="AM92" s="4">
        <f t="shared" si="199"/>
        <v>1004.0906794950666</v>
      </c>
      <c r="AN92" s="6">
        <f t="shared" si="136"/>
        <v>5.5081813589901336E-6</v>
      </c>
      <c r="AO92" s="8">
        <f t="shared" si="137"/>
        <v>27.436042814193264</v>
      </c>
      <c r="AP92" s="7">
        <f t="shared" si="138"/>
        <v>1.3785289936481978E-2</v>
      </c>
      <c r="AQ92" s="9">
        <f t="shared" si="139"/>
        <v>0.20103573381022158</v>
      </c>
      <c r="AR92" s="4">
        <f t="shared" si="200"/>
        <v>999.59239173445656</v>
      </c>
      <c r="AS92" s="6">
        <f t="shared" si="140"/>
        <v>5.4991847834689134E-6</v>
      </c>
      <c r="AT92" s="8">
        <f t="shared" si="141"/>
        <v>27.384312504946251</v>
      </c>
      <c r="AU92" s="7">
        <f t="shared" si="142"/>
        <v>1.3762774264990325E-2</v>
      </c>
      <c r="AV92" s="9">
        <f t="shared" si="143"/>
        <v>0.20141550017017035</v>
      </c>
      <c r="AW92" s="4">
        <f t="shared" si="201"/>
        <v>994.49436591492145</v>
      </c>
      <c r="AX92" s="6">
        <f t="shared" si="144"/>
        <v>5.4889887318298434E-6</v>
      </c>
      <c r="AY92" s="8">
        <f t="shared" si="145"/>
        <v>27.325685208021596</v>
      </c>
      <c r="AZ92" s="7">
        <f t="shared" si="146"/>
        <v>1.3737256672360133E-2</v>
      </c>
      <c r="BA92" s="9">
        <f t="shared" si="147"/>
        <v>0.20184763741554262</v>
      </c>
      <c r="BB92" s="4">
        <f t="shared" si="202"/>
        <v>988.79660173842285</v>
      </c>
      <c r="BC92" s="6">
        <f t="shared" si="148"/>
        <v>5.4775932034768464E-6</v>
      </c>
      <c r="BD92" s="8">
        <f t="shared" si="149"/>
        <v>27.260160919991861</v>
      </c>
      <c r="BE92" s="7">
        <f t="shared" si="150"/>
        <v>1.3708737157099606E-2</v>
      </c>
      <c r="BF92" s="9">
        <f t="shared" si="151"/>
        <v>0.2023328114675578</v>
      </c>
      <c r="BG92" s="4">
        <f t="shared" si="203"/>
        <v>982.49908974260097</v>
      </c>
      <c r="BH92" s="6">
        <f t="shared" si="152"/>
        <v>5.4649981794852021E-6</v>
      </c>
      <c r="BI92" s="8">
        <f t="shared" si="153"/>
        <v>27.18773953203991</v>
      </c>
      <c r="BJ92" s="7">
        <f t="shared" si="154"/>
        <v>1.3677215671845971E-2</v>
      </c>
      <c r="BK92" s="9">
        <f t="shared" si="155"/>
        <v>0.2028717758421956</v>
      </c>
      <c r="BL92" s="4">
        <f t="shared" si="204"/>
        <v>975.60172820882474</v>
      </c>
      <c r="BM92" s="6">
        <f t="shared" si="156"/>
        <v>5.4512034564176502E-6</v>
      </c>
      <c r="BN92" s="8">
        <f t="shared" si="157"/>
        <v>27.108419874401484</v>
      </c>
      <c r="BO92" s="7">
        <f t="shared" si="158"/>
        <v>1.3642691707458104E-2</v>
      </c>
      <c r="BP92" s="9">
        <f t="shared" si="159"/>
        <v>0.20346538180959828</v>
      </c>
      <c r="BQ92" s="4">
        <f t="shared" si="205"/>
        <v>968.10355824006683</v>
      </c>
      <c r="BR92" s="6">
        <f t="shared" si="160"/>
        <v>5.4362071164801336E-6</v>
      </c>
      <c r="BS92" s="8">
        <f t="shared" si="161"/>
        <v>27.022190919760767</v>
      </c>
      <c r="BT92" s="7">
        <f t="shared" si="162"/>
        <v>1.3605160464285202E-2</v>
      </c>
      <c r="BU92" s="9">
        <f t="shared" si="163"/>
        <v>0.20411464845237764</v>
      </c>
      <c r="BV92" s="4">
        <f t="shared" si="206"/>
        <v>959.99663992102353</v>
      </c>
      <c r="BW92" s="6">
        <f t="shared" si="164"/>
        <v>5.4199932798420478E-6</v>
      </c>
      <c r="BX92" s="8">
        <f t="shared" si="165"/>
        <v>26.928961359091769</v>
      </c>
      <c r="BY92" s="7">
        <f t="shared" si="166"/>
        <v>1.3564582199977698E-2</v>
      </c>
      <c r="BZ92" s="9">
        <f t="shared" si="167"/>
        <v>0.20482130470798168</v>
      </c>
      <c r="CA92" s="4">
        <f t="shared" si="207"/>
        <v>951.22413915831362</v>
      </c>
      <c r="CB92" s="6">
        <f t="shared" si="168"/>
        <v>5.4024482783166278E-6</v>
      </c>
      <c r="CC92" s="8">
        <f t="shared" si="169"/>
        <v>26.828077600320604</v>
      </c>
      <c r="CD92" s="7">
        <f t="shared" si="170"/>
        <v>1.3520672437898208E-2</v>
      </c>
      <c r="CE92" s="9">
        <f t="shared" si="171"/>
        <v>0.20559151058718</v>
      </c>
      <c r="CF92" s="4">
        <f t="shared" si="208"/>
        <v>941.44200398189594</v>
      </c>
      <c r="CG92" s="6">
        <f t="shared" si="172"/>
        <v>5.3828840079637921E-6</v>
      </c>
      <c r="CH92" s="8">
        <f t="shared" si="173"/>
        <v>26.715583045791803</v>
      </c>
      <c r="CI92" s="7">
        <f t="shared" si="174"/>
        <v>1.3471709064757023E-2</v>
      </c>
      <c r="CJ92" s="9">
        <f t="shared" si="175"/>
        <v>0.20645721976368442</v>
      </c>
      <c r="CK92" s="4">
        <f t="shared" si="209"/>
        <v>928.94225063907993</v>
      </c>
      <c r="CL92" s="6">
        <f t="shared" si="176"/>
        <v>5.3578845012781601E-6</v>
      </c>
      <c r="CM92" s="8">
        <f t="shared" si="177"/>
        <v>26.571835882349419</v>
      </c>
      <c r="CN92" s="7">
        <f t="shared" si="178"/>
        <v>1.3409142960725611E-2</v>
      </c>
      <c r="CO92" s="9">
        <f t="shared" si="179"/>
        <v>0.20757410306240087</v>
      </c>
      <c r="CP92" s="4">
        <f t="shared" si="210"/>
        <v>907.08813509655226</v>
      </c>
      <c r="CQ92" s="6">
        <f t="shared" si="180"/>
        <v>5.3141762701931053E-6</v>
      </c>
      <c r="CR92" s="8">
        <f t="shared" si="181"/>
        <v>26.32051355361035</v>
      </c>
      <c r="CS92" s="7">
        <f t="shared" si="182"/>
        <v>1.3299754652888796E-2</v>
      </c>
      <c r="CT92" s="9">
        <f t="shared" si="183"/>
        <v>0.2095561315232555</v>
      </c>
      <c r="CU92" s="4">
        <f t="shared" si="211"/>
        <v>857.23489270601351</v>
      </c>
      <c r="CV92" s="6">
        <f t="shared" si="184"/>
        <v>5.2144697854120279E-6</v>
      </c>
      <c r="CW92" s="8">
        <f t="shared" si="185"/>
        <v>25.747201266119156</v>
      </c>
      <c r="CX92" s="7">
        <f t="shared" si="186"/>
        <v>1.3050219876948415E-2</v>
      </c>
      <c r="CY92" s="9">
        <f t="shared" si="187"/>
        <v>0.21422231266968939</v>
      </c>
      <c r="CZ92" s="5">
        <f t="shared" si="212"/>
        <v>747.47283977545681</v>
      </c>
      <c r="DA92" s="6">
        <f t="shared" si="188"/>
        <v>4.9949456795509141E-6</v>
      </c>
      <c r="DB92" s="8">
        <f t="shared" si="189"/>
        <v>24.484937657417753</v>
      </c>
      <c r="DC92" s="7">
        <f t="shared" si="190"/>
        <v>1.2500818314052664E-2</v>
      </c>
      <c r="DD92" s="9">
        <f t="shared" si="191"/>
        <v>0.2252660422163269</v>
      </c>
    </row>
    <row r="93" spans="2:108" x14ac:dyDescent="0.25">
      <c r="B93">
        <v>74</v>
      </c>
      <c r="C93">
        <f t="shared" si="192"/>
        <v>7.2343485309548608E-2</v>
      </c>
      <c r="D93" s="4">
        <f t="shared" si="109"/>
        <v>1018.79859554772</v>
      </c>
      <c r="E93" s="6">
        <f t="shared" si="110"/>
        <v>5.5375971910954409E-6</v>
      </c>
      <c r="F93" s="8">
        <f t="shared" si="111"/>
        <v>27.605183848798781</v>
      </c>
      <c r="G93" s="7">
        <f t="shared" si="107"/>
        <v>1.3858908749637558E-2</v>
      </c>
      <c r="H93" s="9">
        <f t="shared" si="112"/>
        <v>0.19980395820620511</v>
      </c>
      <c r="I93" s="4">
        <f t="shared" si="193"/>
        <v>1018.4749230011815</v>
      </c>
      <c r="J93" s="6">
        <f t="shared" si="113"/>
        <v>5.5369498460023633E-6</v>
      </c>
      <c r="K93" s="8">
        <f t="shared" si="114"/>
        <v>27.601461614513589</v>
      </c>
      <c r="L93" s="7">
        <f t="shared" si="115"/>
        <v>1.3857288643251179E-2</v>
      </c>
      <c r="M93" s="9">
        <f t="shared" si="116"/>
        <v>0.1998309030526027</v>
      </c>
      <c r="N93" s="4">
        <f t="shared" si="194"/>
        <v>1017.5705432130227</v>
      </c>
      <c r="O93" s="6">
        <f t="shared" si="117"/>
        <v>5.5351410864260456E-6</v>
      </c>
      <c r="P93" s="8">
        <f t="shared" si="118"/>
        <v>27.59106124694976</v>
      </c>
      <c r="Q93" s="7">
        <f t="shared" si="108"/>
        <v>1.3858908749637558E-2</v>
      </c>
      <c r="R93" s="9">
        <f t="shared" si="119"/>
        <v>0.19990622871056699</v>
      </c>
      <c r="S93" s="4">
        <f t="shared" si="195"/>
        <v>1016.0697857623537</v>
      </c>
      <c r="T93" s="6">
        <f t="shared" si="120"/>
        <v>5.5321395715247077E-6</v>
      </c>
      <c r="U93" s="8">
        <f t="shared" si="121"/>
        <v>27.573802536267067</v>
      </c>
      <c r="V93" s="7">
        <f t="shared" si="122"/>
        <v>1.3845250000362212E-2</v>
      </c>
      <c r="W93" s="9">
        <f t="shared" si="123"/>
        <v>0.20003135195972516</v>
      </c>
      <c r="X93" s="4">
        <f t="shared" si="196"/>
        <v>1013.9704613796359</v>
      </c>
      <c r="Y93" s="6">
        <f t="shared" si="124"/>
        <v>5.5279409227592728E-6</v>
      </c>
      <c r="Z93" s="8">
        <f t="shared" si="125"/>
        <v>27.549660305865814</v>
      </c>
      <c r="AA93" s="7">
        <f t="shared" si="126"/>
        <v>1.3834742069195693E-2</v>
      </c>
      <c r="AB93" s="9">
        <f t="shared" si="127"/>
        <v>0.20020664279572351</v>
      </c>
      <c r="AC93" s="4">
        <f t="shared" si="197"/>
        <v>1011.2714323056965</v>
      </c>
      <c r="AD93" s="6">
        <f t="shared" si="128"/>
        <v>5.5225428646113932E-6</v>
      </c>
      <c r="AE93" s="8">
        <f t="shared" si="129"/>
        <v>27.518621471515509</v>
      </c>
      <c r="AF93" s="7">
        <f t="shared" si="130"/>
        <v>1.3821232383908906E-2</v>
      </c>
      <c r="AG93" s="9">
        <f t="shared" si="131"/>
        <v>0.20043246009649199</v>
      </c>
      <c r="AH93" s="4">
        <f t="shared" si="198"/>
        <v>1007.972648244003</v>
      </c>
      <c r="AI93" s="6">
        <f t="shared" si="132"/>
        <v>5.5159452964880062E-6</v>
      </c>
      <c r="AJ93" s="8">
        <f t="shared" si="133"/>
        <v>27.480685454806036</v>
      </c>
      <c r="AK93" s="7">
        <f t="shared" si="134"/>
        <v>1.380472069274824E-2</v>
      </c>
      <c r="AL93" s="9">
        <f t="shared" si="135"/>
        <v>0.20070914930673189</v>
      </c>
      <c r="AM93" s="4">
        <f t="shared" si="199"/>
        <v>1004.0741205387574</v>
      </c>
      <c r="AN93" s="6">
        <f t="shared" si="136"/>
        <v>5.5081482410775152E-6</v>
      </c>
      <c r="AO93" s="8">
        <f t="shared" si="137"/>
        <v>27.435852386195709</v>
      </c>
      <c r="AP93" s="7">
        <f t="shared" si="138"/>
        <v>1.3785207052495816E-2</v>
      </c>
      <c r="AQ93" s="9">
        <f t="shared" si="139"/>
        <v>0.20103712916807989</v>
      </c>
      <c r="AR93" s="4">
        <f t="shared" si="200"/>
        <v>999.57585627303433</v>
      </c>
      <c r="AS93" s="6">
        <f t="shared" si="140"/>
        <v>5.4991517125460686E-6</v>
      </c>
      <c r="AT93" s="8">
        <f t="shared" si="141"/>
        <v>27.384122347139893</v>
      </c>
      <c r="AU93" s="7">
        <f t="shared" si="142"/>
        <v>1.3762691498605165E-2</v>
      </c>
      <c r="AV93" s="9">
        <f t="shared" si="143"/>
        <v>0.20141689881750305</v>
      </c>
      <c r="AW93" s="4">
        <f t="shared" si="201"/>
        <v>994.47785750497917</v>
      </c>
      <c r="AX93" s="6">
        <f t="shared" si="144"/>
        <v>5.4889557150099593E-6</v>
      </c>
      <c r="AY93" s="8">
        <f t="shared" si="145"/>
        <v>27.325495361307262</v>
      </c>
      <c r="AZ93" s="7">
        <f t="shared" si="146"/>
        <v>1.3737174041378104E-2</v>
      </c>
      <c r="BA93" s="9">
        <f t="shared" si="147"/>
        <v>0.20184903977294744</v>
      </c>
      <c r="BB93" s="4">
        <f t="shared" si="202"/>
        <v>988.7801238384252</v>
      </c>
      <c r="BC93" s="6">
        <f t="shared" si="148"/>
        <v>5.4775602476768507E-6</v>
      </c>
      <c r="BD93" s="8">
        <f t="shared" si="149"/>
        <v>27.259971424141888</v>
      </c>
      <c r="BE93" s="7">
        <f t="shared" si="150"/>
        <v>1.3708654678831658E-2</v>
      </c>
      <c r="BF93" s="9">
        <f t="shared" si="151"/>
        <v>0.20233421797042933</v>
      </c>
      <c r="BG93" s="4">
        <f t="shared" si="203"/>
        <v>982.48264461402823</v>
      </c>
      <c r="BH93" s="6">
        <f t="shared" si="152"/>
        <v>5.4649652892280568E-6</v>
      </c>
      <c r="BI93" s="8">
        <f t="shared" si="153"/>
        <v>27.187550413061324</v>
      </c>
      <c r="BJ93" s="7">
        <f t="shared" si="154"/>
        <v>1.3677133357611691E-2</v>
      </c>
      <c r="BK93" s="9">
        <f t="shared" si="155"/>
        <v>0.20287318703601218</v>
      </c>
      <c r="BL93" s="4">
        <f t="shared" si="204"/>
        <v>975.58530713823234</v>
      </c>
      <c r="BM93" s="6">
        <f t="shared" si="156"/>
        <v>5.4511706142764655E-6</v>
      </c>
      <c r="BN93" s="8">
        <f t="shared" si="157"/>
        <v>27.10823103208967</v>
      </c>
      <c r="BO93" s="7">
        <f t="shared" si="158"/>
        <v>1.3642609513643331E-2</v>
      </c>
      <c r="BP93" s="9">
        <f t="shared" si="159"/>
        <v>0.20346679919729244</v>
      </c>
      <c r="BQ93" s="4">
        <f t="shared" si="205"/>
        <v>968.08706508841885</v>
      </c>
      <c r="BR93" s="6">
        <f t="shared" si="160"/>
        <v>5.4361741301768381E-6</v>
      </c>
      <c r="BS93" s="8">
        <f t="shared" si="161"/>
        <v>27.022001248516816</v>
      </c>
      <c r="BT93" s="7">
        <f t="shared" si="162"/>
        <v>1.3605077909676843E-2</v>
      </c>
      <c r="BU93" s="9">
        <f t="shared" si="163"/>
        <v>0.20411608116192881</v>
      </c>
      <c r="BV93" s="4">
        <f t="shared" si="206"/>
        <v>959.97938298389079</v>
      </c>
      <c r="BW93" s="6">
        <f t="shared" si="164"/>
        <v>5.4199587659677817E-6</v>
      </c>
      <c r="BX93" s="8">
        <f t="shared" si="165"/>
        <v>26.928762904314745</v>
      </c>
      <c r="BY93" s="7">
        <f t="shared" si="166"/>
        <v>1.3564495822327332E-2</v>
      </c>
      <c r="BZ93" s="9">
        <f t="shared" si="167"/>
        <v>0.20482281416337331</v>
      </c>
      <c r="CA93" s="4">
        <f t="shared" si="207"/>
        <v>951.20205450047081</v>
      </c>
      <c r="CB93" s="6">
        <f t="shared" si="168"/>
        <v>5.4024041090009424E-6</v>
      </c>
      <c r="CC93" s="8">
        <f t="shared" si="169"/>
        <v>26.827823626755414</v>
      </c>
      <c r="CD93" s="7">
        <f t="shared" si="170"/>
        <v>1.3520561895636917E-2</v>
      </c>
      <c r="CE93" s="9">
        <f t="shared" si="171"/>
        <v>0.20559345688031369</v>
      </c>
      <c r="CF93" s="4">
        <f t="shared" si="208"/>
        <v>941.39584576811603</v>
      </c>
      <c r="CG93" s="6">
        <f t="shared" si="172"/>
        <v>5.3827916915362328E-6</v>
      </c>
      <c r="CH93" s="8">
        <f t="shared" si="173"/>
        <v>26.715052226333334</v>
      </c>
      <c r="CI93" s="7">
        <f t="shared" si="174"/>
        <v>1.3471478025029597E-2</v>
      </c>
      <c r="CJ93" s="9">
        <f t="shared" si="175"/>
        <v>0.20646132200195308</v>
      </c>
      <c r="CK93" s="4">
        <f t="shared" si="209"/>
        <v>928.80262186633411</v>
      </c>
      <c r="CL93" s="6">
        <f t="shared" si="176"/>
        <v>5.3576052437326689E-6</v>
      </c>
      <c r="CM93" s="8">
        <f t="shared" si="177"/>
        <v>26.570230151462841</v>
      </c>
      <c r="CN93" s="7">
        <f t="shared" si="178"/>
        <v>1.3408444064668883E-2</v>
      </c>
      <c r="CO93" s="9">
        <f t="shared" si="179"/>
        <v>0.2075866474832298</v>
      </c>
      <c r="CP93" s="4">
        <f t="shared" si="210"/>
        <v>906.6860024787436</v>
      </c>
      <c r="CQ93" s="6">
        <f t="shared" si="180"/>
        <v>5.3133720049574881E-6</v>
      </c>
      <c r="CR93" s="8">
        <f t="shared" si="181"/>
        <v>26.315889028505552</v>
      </c>
      <c r="CS93" s="7">
        <f t="shared" si="182"/>
        <v>1.3297741823474468E-2</v>
      </c>
      <c r="CT93" s="9">
        <f t="shared" si="183"/>
        <v>0.20959295709240289</v>
      </c>
      <c r="CU93" s="4">
        <f t="shared" si="211"/>
        <v>856.38238494238885</v>
      </c>
      <c r="CV93" s="6">
        <f t="shared" si="184"/>
        <v>5.2127647698847783E-6</v>
      </c>
      <c r="CW93" s="8">
        <f t="shared" si="185"/>
        <v>25.737397426837472</v>
      </c>
      <c r="CX93" s="7">
        <f t="shared" si="186"/>
        <v>1.3045952745592802E-2</v>
      </c>
      <c r="CY93" s="9">
        <f t="shared" si="187"/>
        <v>0.21430391381564573</v>
      </c>
      <c r="CZ93" s="5">
        <f t="shared" si="212"/>
        <v>746.39795801963385</v>
      </c>
      <c r="DA93" s="6">
        <f t="shared" si="188"/>
        <v>4.9927959160392683E-6</v>
      </c>
      <c r="DB93" s="8">
        <f t="shared" si="189"/>
        <v>24.472576517225789</v>
      </c>
      <c r="DC93" s="7">
        <f t="shared" si="190"/>
        <v>1.2495438114786978E-2</v>
      </c>
      <c r="DD93" s="9">
        <f t="shared" si="191"/>
        <v>0.22537982447894911</v>
      </c>
    </row>
    <row r="94" spans="2:108" x14ac:dyDescent="0.25">
      <c r="B94">
        <v>75</v>
      </c>
      <c r="C94">
        <f t="shared" si="192"/>
        <v>7.3321099975893866E-2</v>
      </c>
      <c r="D94" s="4">
        <f t="shared" si="109"/>
        <v>1018.7820704625789</v>
      </c>
      <c r="E94" s="6">
        <f t="shared" si="110"/>
        <v>5.5375641409251583E-6</v>
      </c>
      <c r="F94" s="8">
        <f t="shared" si="111"/>
        <v>27.604993810319655</v>
      </c>
      <c r="G94" s="7">
        <f t="shared" si="107"/>
        <v>1.3858826035189703E-2</v>
      </c>
      <c r="H94" s="9">
        <f t="shared" si="112"/>
        <v>0.19980533369792236</v>
      </c>
      <c r="I94" s="4">
        <f t="shared" si="193"/>
        <v>1018.4583653987082</v>
      </c>
      <c r="J94" s="6">
        <f t="shared" si="113"/>
        <v>5.5369167307974169E-6</v>
      </c>
      <c r="K94" s="8">
        <f t="shared" si="114"/>
        <v>27.601271202085144</v>
      </c>
      <c r="L94" s="7">
        <f t="shared" si="115"/>
        <v>1.385720576604149E-2</v>
      </c>
      <c r="M94" s="9">
        <f t="shared" si="116"/>
        <v>0.19983228162271457</v>
      </c>
      <c r="N94" s="4">
        <f t="shared" si="194"/>
        <v>1017.5539469646355</v>
      </c>
      <c r="O94" s="6">
        <f t="shared" si="117"/>
        <v>5.5351078939292708E-6</v>
      </c>
      <c r="P94" s="8">
        <f t="shared" si="118"/>
        <v>27.590870390093308</v>
      </c>
      <c r="Q94" s="7">
        <f t="shared" si="108"/>
        <v>1.3858826035189703E-2</v>
      </c>
      <c r="R94" s="9">
        <f t="shared" si="119"/>
        <v>0.19990761154024425</v>
      </c>
      <c r="S94" s="4">
        <f t="shared" si="195"/>
        <v>1016.0531748427318</v>
      </c>
      <c r="T94" s="6">
        <f t="shared" si="120"/>
        <v>5.5321063496854648E-6</v>
      </c>
      <c r="U94" s="8">
        <f t="shared" si="121"/>
        <v>27.573611510691414</v>
      </c>
      <c r="V94" s="7">
        <f t="shared" si="122"/>
        <v>1.3845166856279557E-2</v>
      </c>
      <c r="W94" s="9">
        <f t="shared" si="123"/>
        <v>0.20003273774497646</v>
      </c>
      <c r="X94" s="4">
        <f t="shared" si="196"/>
        <v>1013.9538541175912</v>
      </c>
      <c r="Y94" s="6">
        <f t="shared" si="124"/>
        <v>5.5279077082351826E-6</v>
      </c>
      <c r="Z94" s="8">
        <f t="shared" si="125"/>
        <v>27.549469322352298</v>
      </c>
      <c r="AA94" s="7">
        <f t="shared" si="126"/>
        <v>1.3834658943420624E-2</v>
      </c>
      <c r="AB94" s="9">
        <f t="shared" si="127"/>
        <v>0.20020803070514648</v>
      </c>
      <c r="AC94" s="4">
        <f t="shared" si="197"/>
        <v>1011.2548371300776</v>
      </c>
      <c r="AD94" s="6">
        <f t="shared" si="128"/>
        <v>5.5225096742601554E-6</v>
      </c>
      <c r="AE94" s="8">
        <f t="shared" si="129"/>
        <v>27.518430626995894</v>
      </c>
      <c r="AF94" s="7">
        <f t="shared" si="130"/>
        <v>1.3821149318631078E-2</v>
      </c>
      <c r="AG94" s="9">
        <f t="shared" si="131"/>
        <v>0.2004338501262172</v>
      </c>
      <c r="AH94" s="4">
        <f t="shared" si="198"/>
        <v>1007.9560695041673</v>
      </c>
      <c r="AI94" s="6">
        <f t="shared" si="132"/>
        <v>5.5159121390083349E-6</v>
      </c>
      <c r="AJ94" s="8">
        <f t="shared" si="133"/>
        <v>27.480494799297922</v>
      </c>
      <c r="AK94" s="7">
        <f t="shared" si="134"/>
        <v>1.3804637709737869E-2</v>
      </c>
      <c r="AL94" s="9">
        <f t="shared" si="135"/>
        <v>0.20071054179639133</v>
      </c>
      <c r="AM94" s="4">
        <f t="shared" si="199"/>
        <v>1004.0575617734556</v>
      </c>
      <c r="AN94" s="6">
        <f t="shared" si="136"/>
        <v>5.508115123546912E-6</v>
      </c>
      <c r="AO94" s="8">
        <f t="shared" si="137"/>
        <v>27.435661960394739</v>
      </c>
      <c r="AP94" s="7">
        <f t="shared" si="138"/>
        <v>1.3785124169465722E-2</v>
      </c>
      <c r="AQ94" s="9">
        <f t="shared" si="139"/>
        <v>0.2010385245292125</v>
      </c>
      <c r="AR94" s="4">
        <f t="shared" si="200"/>
        <v>999.55932100360826</v>
      </c>
      <c r="AS94" s="6">
        <f t="shared" si="140"/>
        <v>5.4991186420072168E-6</v>
      </c>
      <c r="AT94" s="8">
        <f t="shared" si="141"/>
        <v>27.383932191541493</v>
      </c>
      <c r="AU94" s="7">
        <f t="shared" si="142"/>
        <v>1.3762608733181024E-2</v>
      </c>
      <c r="AV94" s="9">
        <f t="shared" si="143"/>
        <v>0.20141829746802023</v>
      </c>
      <c r="AW94" s="4">
        <f t="shared" si="201"/>
        <v>994.46134928592278</v>
      </c>
      <c r="AX94" s="6">
        <f t="shared" si="144"/>
        <v>5.4889226985718464E-6</v>
      </c>
      <c r="AY94" s="8">
        <f t="shared" si="145"/>
        <v>27.325305516788113</v>
      </c>
      <c r="AZ94" s="7">
        <f t="shared" si="146"/>
        <v>1.3737091411351533E-2</v>
      </c>
      <c r="BA94" s="9">
        <f t="shared" si="147"/>
        <v>0.20185044213362269</v>
      </c>
      <c r="BB94" s="4">
        <f t="shared" si="202"/>
        <v>988.76364611207453</v>
      </c>
      <c r="BC94" s="6">
        <f t="shared" si="148"/>
        <v>5.4775272922241495E-6</v>
      </c>
      <c r="BD94" s="8">
        <f t="shared" si="149"/>
        <v>27.259781930288856</v>
      </c>
      <c r="BE94" s="7">
        <f t="shared" si="150"/>
        <v>1.3708572201432883E-2</v>
      </c>
      <c r="BF94" s="9">
        <f t="shared" si="151"/>
        <v>0.20233562447803316</v>
      </c>
      <c r="BG94" s="4">
        <f t="shared" si="203"/>
        <v>982.46619950035927</v>
      </c>
      <c r="BH94" s="6">
        <f t="shared" si="152"/>
        <v>5.4649323990007186E-6</v>
      </c>
      <c r="BI94" s="8">
        <f t="shared" si="153"/>
        <v>27.187361294254131</v>
      </c>
      <c r="BJ94" s="7">
        <f t="shared" si="154"/>
        <v>1.3677051043452012E-2</v>
      </c>
      <c r="BK94" s="9">
        <f t="shared" si="155"/>
        <v>0.20287459824818271</v>
      </c>
      <c r="BL94" s="4">
        <f t="shared" si="204"/>
        <v>975.56888482420243</v>
      </c>
      <c r="BM94" s="6">
        <f t="shared" si="156"/>
        <v>5.4511377696484049E-6</v>
      </c>
      <c r="BN94" s="8">
        <f t="shared" si="157"/>
        <v>27.108042175478325</v>
      </c>
      <c r="BO94" s="7">
        <f t="shared" si="158"/>
        <v>1.3642527313604668E-2</v>
      </c>
      <c r="BP94" s="9">
        <f t="shared" si="159"/>
        <v>0.20346821671206419</v>
      </c>
      <c r="BQ94" s="4">
        <f t="shared" si="205"/>
        <v>968.07056216095987</v>
      </c>
      <c r="BR94" s="6">
        <f t="shared" si="160"/>
        <v>5.4361411243219208E-6</v>
      </c>
      <c r="BS94" s="8">
        <f t="shared" si="161"/>
        <v>27.021811464851037</v>
      </c>
      <c r="BT94" s="7">
        <f t="shared" si="162"/>
        <v>1.3604995306136767E-2</v>
      </c>
      <c r="BU94" s="9">
        <f t="shared" si="163"/>
        <v>0.20411751474080556</v>
      </c>
      <c r="BV94" s="4">
        <f t="shared" si="206"/>
        <v>959.96206814484231</v>
      </c>
      <c r="BW94" s="6">
        <f t="shared" si="164"/>
        <v>5.4199241362896843E-6</v>
      </c>
      <c r="BX94" s="8">
        <f t="shared" si="165"/>
        <v>26.928563783665687</v>
      </c>
      <c r="BY94" s="7">
        <f t="shared" si="166"/>
        <v>1.3564409154855463E-2</v>
      </c>
      <c r="BZ94" s="9">
        <f t="shared" si="167"/>
        <v>0.20482432870577616</v>
      </c>
      <c r="CA94" s="4">
        <f t="shared" si="207"/>
        <v>951.17969585772494</v>
      </c>
      <c r="CB94" s="6">
        <f t="shared" si="168"/>
        <v>5.4023593917154497E-6</v>
      </c>
      <c r="CC94" s="8">
        <f t="shared" si="169"/>
        <v>26.827566502363837</v>
      </c>
      <c r="CD94" s="7">
        <f t="shared" si="170"/>
        <v>1.3520449981975128E-2</v>
      </c>
      <c r="CE94" s="9">
        <f t="shared" si="171"/>
        <v>0.20559542735693176</v>
      </c>
      <c r="CF94" s="4">
        <f t="shared" si="208"/>
        <v>941.34869999365151</v>
      </c>
      <c r="CG94" s="6">
        <f t="shared" si="172"/>
        <v>5.382697399987303E-6</v>
      </c>
      <c r="CH94" s="8">
        <f t="shared" si="173"/>
        <v>26.714510049926993</v>
      </c>
      <c r="CI94" s="7">
        <f t="shared" si="174"/>
        <v>1.3471242042178659E-2</v>
      </c>
      <c r="CJ94" s="9">
        <f t="shared" si="175"/>
        <v>0.20646551217640891</v>
      </c>
      <c r="CK94" s="4">
        <f t="shared" si="209"/>
        <v>928.66057740949907</v>
      </c>
      <c r="CL94" s="6">
        <f t="shared" si="176"/>
        <v>5.3573211548189985E-6</v>
      </c>
      <c r="CM94" s="8">
        <f t="shared" si="177"/>
        <v>26.568596640209236</v>
      </c>
      <c r="CN94" s="7">
        <f t="shared" si="178"/>
        <v>1.3407733077178194E-2</v>
      </c>
      <c r="CO94" s="9">
        <f t="shared" si="179"/>
        <v>0.20759941048796632</v>
      </c>
      <c r="CP94" s="4">
        <f t="shared" si="210"/>
        <v>906.28110675337189</v>
      </c>
      <c r="CQ94" s="6">
        <f t="shared" si="180"/>
        <v>5.312562213506744E-6</v>
      </c>
      <c r="CR94" s="8">
        <f t="shared" si="181"/>
        <v>26.311232727663779</v>
      </c>
      <c r="CS94" s="7">
        <f t="shared" si="182"/>
        <v>1.3295715163637211E-2</v>
      </c>
      <c r="CT94" s="9">
        <f t="shared" si="183"/>
        <v>0.20963004877383951</v>
      </c>
      <c r="CU94" s="4">
        <f t="shared" si="211"/>
        <v>855.53280315838708</v>
      </c>
      <c r="CV94" s="6">
        <f t="shared" si="184"/>
        <v>5.211065606316775E-6</v>
      </c>
      <c r="CW94" s="8">
        <f t="shared" si="185"/>
        <v>25.727627236321453</v>
      </c>
      <c r="CX94" s="7">
        <f t="shared" si="186"/>
        <v>1.3041700259897829E-2</v>
      </c>
      <c r="CY94" s="9">
        <f t="shared" si="187"/>
        <v>0.21438529676041071</v>
      </c>
      <c r="CZ94" s="5">
        <f t="shared" si="212"/>
        <v>745.33359198311905</v>
      </c>
      <c r="DA94" s="6">
        <f t="shared" si="188"/>
        <v>4.9906671839662389E-6</v>
      </c>
      <c r="DB94" s="8">
        <f t="shared" si="189"/>
        <v>24.460336307805868</v>
      </c>
      <c r="DC94" s="7">
        <f t="shared" si="190"/>
        <v>1.2490110550766978E-2</v>
      </c>
      <c r="DD94" s="9">
        <f t="shared" si="191"/>
        <v>0.22549260691235201</v>
      </c>
    </row>
    <row r="95" spans="2:108" x14ac:dyDescent="0.25">
      <c r="B95">
        <v>76</v>
      </c>
      <c r="C95">
        <f t="shared" si="192"/>
        <v>7.4298714642239111E-2</v>
      </c>
      <c r="D95" s="4">
        <f t="shared" si="109"/>
        <v>1018.7655437172671</v>
      </c>
      <c r="E95" s="6">
        <f t="shared" si="110"/>
        <v>5.5375310874345344E-6</v>
      </c>
      <c r="F95" s="8">
        <f t="shared" si="111"/>
        <v>27.60480375274857</v>
      </c>
      <c r="G95" s="7">
        <f t="shared" si="107"/>
        <v>1.385874331243205E-2</v>
      </c>
      <c r="H95" s="9">
        <f t="shared" si="112"/>
        <v>0.19980670934676786</v>
      </c>
      <c r="I95" s="4">
        <f t="shared" si="193"/>
        <v>1018.4418073170156</v>
      </c>
      <c r="J95" s="6">
        <f t="shared" si="113"/>
        <v>5.5368836146340316E-6</v>
      </c>
      <c r="K95" s="8">
        <f t="shared" si="114"/>
        <v>27.60108078414568</v>
      </c>
      <c r="L95" s="7">
        <f t="shared" si="115"/>
        <v>1.3857122886433121E-2</v>
      </c>
      <c r="M95" s="9">
        <f t="shared" si="116"/>
        <v>0.19983366025174734</v>
      </c>
      <c r="N95" s="4">
        <f t="shared" si="194"/>
        <v>1017.5373509630247</v>
      </c>
      <c r="O95" s="6">
        <f t="shared" si="117"/>
        <v>5.5350747019260503E-6</v>
      </c>
      <c r="P95" s="8">
        <f t="shared" si="118"/>
        <v>27.590679536074781</v>
      </c>
      <c r="Q95" s="7">
        <f t="shared" si="108"/>
        <v>1.385874331243205E-2</v>
      </c>
      <c r="R95" s="9">
        <f t="shared" si="119"/>
        <v>0.19990899436849052</v>
      </c>
      <c r="S95" s="4">
        <f t="shared" si="195"/>
        <v>1016.0365642508348</v>
      </c>
      <c r="T95" s="6">
        <f t="shared" si="120"/>
        <v>5.5320731285016704E-6</v>
      </c>
      <c r="U95" s="8">
        <f t="shared" si="121"/>
        <v>27.573420488884601</v>
      </c>
      <c r="V95" s="7">
        <f t="shared" si="122"/>
        <v>1.3845083713837289E-2</v>
      </c>
      <c r="W95" s="9">
        <f t="shared" si="123"/>
        <v>0.20003412352208749</v>
      </c>
      <c r="X95" s="4">
        <f t="shared" si="196"/>
        <v>1013.9372470992208</v>
      </c>
      <c r="Y95" s="6">
        <f t="shared" si="124"/>
        <v>5.5278744941984429E-6</v>
      </c>
      <c r="Z95" s="8">
        <f t="shared" si="125"/>
        <v>27.549278341641038</v>
      </c>
      <c r="AA95" s="7">
        <f t="shared" si="126"/>
        <v>1.3834575818865245E-2</v>
      </c>
      <c r="AB95" s="9">
        <f t="shared" si="127"/>
        <v>0.20020941861344774</v>
      </c>
      <c r="AC95" s="4">
        <f t="shared" si="197"/>
        <v>1011.2382421538003</v>
      </c>
      <c r="AD95" s="6">
        <f t="shared" si="128"/>
        <v>5.5224764843076007E-6</v>
      </c>
      <c r="AE95" s="8">
        <f t="shared" si="129"/>
        <v>27.518239784768703</v>
      </c>
      <c r="AF95" s="7">
        <f t="shared" si="130"/>
        <v>1.3821066254351033E-2</v>
      </c>
      <c r="AG95" s="9">
        <f t="shared" si="131"/>
        <v>0.20043524015852529</v>
      </c>
      <c r="AH95" s="4">
        <f t="shared" si="198"/>
        <v>1007.9394909548139</v>
      </c>
      <c r="AI95" s="6">
        <f t="shared" si="132"/>
        <v>5.5158789819096286E-6</v>
      </c>
      <c r="AJ95" s="8">
        <f t="shared" si="133"/>
        <v>27.480304145980359</v>
      </c>
      <c r="AK95" s="7">
        <f t="shared" si="134"/>
        <v>1.3804554727680938E-2</v>
      </c>
      <c r="AL95" s="9">
        <f t="shared" si="135"/>
        <v>0.2007119342893732</v>
      </c>
      <c r="AM95" s="4">
        <f t="shared" si="199"/>
        <v>1004.0410031991655</v>
      </c>
      <c r="AN95" s="6">
        <f t="shared" si="136"/>
        <v>5.5080820063983316E-6</v>
      </c>
      <c r="AO95" s="8">
        <f t="shared" si="137"/>
        <v>27.435471536790402</v>
      </c>
      <c r="AP95" s="7">
        <f t="shared" si="138"/>
        <v>1.3785041287391712E-2</v>
      </c>
      <c r="AQ95" s="9">
        <f t="shared" si="139"/>
        <v>0.20103991989361875</v>
      </c>
      <c r="AR95" s="4">
        <f t="shared" si="200"/>
        <v>999.54278592614708</v>
      </c>
      <c r="AS95" s="6">
        <f t="shared" si="140"/>
        <v>5.4990855718522946E-6</v>
      </c>
      <c r="AT95" s="8">
        <f t="shared" si="141"/>
        <v>27.383742038150693</v>
      </c>
      <c r="AU95" s="7">
        <f t="shared" si="142"/>
        <v>1.3762525968717739E-2</v>
      </c>
      <c r="AV95" s="9">
        <f t="shared" si="143"/>
        <v>0.20141969612172431</v>
      </c>
      <c r="AW95" s="4">
        <f t="shared" si="201"/>
        <v>994.44484125751399</v>
      </c>
      <c r="AX95" s="6">
        <f t="shared" si="144"/>
        <v>5.4888896825150288E-6</v>
      </c>
      <c r="AY95" s="8">
        <f t="shared" si="145"/>
        <v>27.325115674461408</v>
      </c>
      <c r="AZ95" s="7">
        <f t="shared" si="146"/>
        <v>1.3737008782279226E-2</v>
      </c>
      <c r="BA95" s="9">
        <f t="shared" si="147"/>
        <v>0.20185184449758842</v>
      </c>
      <c r="BB95" s="4">
        <f t="shared" si="202"/>
        <v>988.74716855730401</v>
      </c>
      <c r="BC95" s="6">
        <f t="shared" si="148"/>
        <v>5.4774943371146084E-6</v>
      </c>
      <c r="BD95" s="8">
        <f t="shared" si="149"/>
        <v>27.259592438408994</v>
      </c>
      <c r="BE95" s="7">
        <f t="shared" si="150"/>
        <v>1.3708489724892933E-2</v>
      </c>
      <c r="BF95" s="9">
        <f t="shared" si="151"/>
        <v>0.20233703099054548</v>
      </c>
      <c r="BG95" s="4">
        <f t="shared" si="203"/>
        <v>982.44975438563711</v>
      </c>
      <c r="BH95" s="6">
        <f t="shared" si="152"/>
        <v>5.4648995087712746E-6</v>
      </c>
      <c r="BI95" s="8">
        <f t="shared" si="153"/>
        <v>27.187172175434824</v>
      </c>
      <c r="BJ95" s="7">
        <f t="shared" si="154"/>
        <v>1.3676968729287061E-2</v>
      </c>
      <c r="BK95" s="9">
        <f t="shared" si="155"/>
        <v>0.20287600948007697</v>
      </c>
      <c r="BL95" s="4">
        <f t="shared" si="204"/>
        <v>975.55246116168496</v>
      </c>
      <c r="BM95" s="6">
        <f t="shared" si="156"/>
        <v>5.4511049223233701E-6</v>
      </c>
      <c r="BN95" s="8">
        <f t="shared" si="157"/>
        <v>27.107853303359377</v>
      </c>
      <c r="BO95" s="7">
        <f t="shared" si="158"/>
        <v>1.3642445106816305E-2</v>
      </c>
      <c r="BP95" s="9">
        <f t="shared" si="159"/>
        <v>0.20346963436298621</v>
      </c>
      <c r="BQ95" s="4">
        <f t="shared" si="205"/>
        <v>968.05404888793248</v>
      </c>
      <c r="BR95" s="6">
        <f t="shared" si="160"/>
        <v>5.4361080977758656E-6</v>
      </c>
      <c r="BS95" s="8">
        <f t="shared" si="161"/>
        <v>27.021621562211223</v>
      </c>
      <c r="BT95" s="7">
        <f t="shared" si="162"/>
        <v>1.3604912650813112E-2</v>
      </c>
      <c r="BU95" s="9">
        <f t="shared" si="163"/>
        <v>0.20411894923853888</v>
      </c>
      <c r="BV95" s="4">
        <f t="shared" si="206"/>
        <v>959.94469299123341</v>
      </c>
      <c r="BW95" s="6">
        <f t="shared" si="164"/>
        <v>5.4198893859824671E-6</v>
      </c>
      <c r="BX95" s="8">
        <f t="shared" si="165"/>
        <v>26.928363969399186</v>
      </c>
      <c r="BY95" s="7">
        <f t="shared" si="166"/>
        <v>1.3564322185485872E-2</v>
      </c>
      <c r="BZ95" s="9">
        <f t="shared" si="167"/>
        <v>0.204825848546456</v>
      </c>
      <c r="CA95" s="4">
        <f t="shared" si="207"/>
        <v>951.1570560655905</v>
      </c>
      <c r="CB95" s="6">
        <f t="shared" si="168"/>
        <v>5.402314112131182E-6</v>
      </c>
      <c r="CC95" s="8">
        <f t="shared" si="169"/>
        <v>26.827306144754289</v>
      </c>
      <c r="CD95" s="7">
        <f t="shared" si="170"/>
        <v>1.3520336661051825E-2</v>
      </c>
      <c r="CE95" s="9">
        <f t="shared" si="171"/>
        <v>0.20559742264985129</v>
      </c>
      <c r="CF95" s="4">
        <f t="shared" si="208"/>
        <v>941.30055611405248</v>
      </c>
      <c r="CG95" s="6">
        <f t="shared" si="172"/>
        <v>5.3826011122281057E-6</v>
      </c>
      <c r="CH95" s="8">
        <f t="shared" si="173"/>
        <v>26.713956395311605</v>
      </c>
      <c r="CI95" s="7">
        <f t="shared" si="174"/>
        <v>1.3471001063425173E-2</v>
      </c>
      <c r="CJ95" s="9">
        <f t="shared" si="175"/>
        <v>0.20646979123496706</v>
      </c>
      <c r="CK95" s="4">
        <f t="shared" si="209"/>
        <v>928.51613126149687</v>
      </c>
      <c r="CL95" s="6">
        <f t="shared" si="176"/>
        <v>5.3570322625229938E-6</v>
      </c>
      <c r="CM95" s="8">
        <f t="shared" si="177"/>
        <v>26.566935509507211</v>
      </c>
      <c r="CN95" s="7">
        <f t="shared" si="178"/>
        <v>1.340701006829354E-2</v>
      </c>
      <c r="CO95" s="9">
        <f t="shared" si="179"/>
        <v>0.20761239089943909</v>
      </c>
      <c r="CP95" s="4">
        <f t="shared" si="210"/>
        <v>905.87353150215552</v>
      </c>
      <c r="CQ95" s="6">
        <f t="shared" si="180"/>
        <v>5.3117470630043119E-6</v>
      </c>
      <c r="CR95" s="8">
        <f t="shared" si="181"/>
        <v>26.306545612274789</v>
      </c>
      <c r="CS95" s="7">
        <f t="shared" si="182"/>
        <v>1.3293675091735884E-2</v>
      </c>
      <c r="CT95" s="9">
        <f t="shared" si="183"/>
        <v>0.20966739918244442</v>
      </c>
      <c r="CU95" s="4">
        <f t="shared" si="211"/>
        <v>854.68617726783816</v>
      </c>
      <c r="CV95" s="6">
        <f t="shared" si="184"/>
        <v>5.2093723545356771E-6</v>
      </c>
      <c r="CW95" s="8">
        <f t="shared" si="185"/>
        <v>25.717891038580138</v>
      </c>
      <c r="CX95" s="7">
        <f t="shared" si="186"/>
        <v>1.3037462569593787E-2</v>
      </c>
      <c r="CY95" s="9">
        <f t="shared" si="187"/>
        <v>0.21446645806710413</v>
      </c>
      <c r="CZ95" s="5">
        <f t="shared" si="212"/>
        <v>744.27948710972464</v>
      </c>
      <c r="DA95" s="6">
        <f t="shared" si="188"/>
        <v>4.9885589742194497E-6</v>
      </c>
      <c r="DB95" s="8">
        <f t="shared" si="189"/>
        <v>24.448214101761835</v>
      </c>
      <c r="DC95" s="7">
        <f t="shared" si="190"/>
        <v>1.2484834347840401E-2</v>
      </c>
      <c r="DD95" s="9">
        <f t="shared" si="191"/>
        <v>0.22560441335477843</v>
      </c>
    </row>
    <row r="96" spans="2:108" x14ac:dyDescent="0.25">
      <c r="B96">
        <v>77</v>
      </c>
      <c r="C96">
        <f t="shared" si="192"/>
        <v>7.5276329308584355E-2</v>
      </c>
      <c r="D96" s="4">
        <f t="shared" si="109"/>
        <v>1018.749015372078</v>
      </c>
      <c r="E96" s="6">
        <f t="shared" si="110"/>
        <v>5.5374980307441563E-6</v>
      </c>
      <c r="F96" s="8">
        <f t="shared" si="111"/>
        <v>27.604613676778897</v>
      </c>
      <c r="G96" s="7">
        <f t="shared" si="107"/>
        <v>1.3858660581666394E-2</v>
      </c>
      <c r="H96" s="9">
        <f t="shared" si="112"/>
        <v>0.19980808514772891</v>
      </c>
      <c r="I96" s="4">
        <f t="shared" si="193"/>
        <v>1018.4252487630288</v>
      </c>
      <c r="J96" s="6">
        <f t="shared" si="113"/>
        <v>5.5368504975260581E-6</v>
      </c>
      <c r="K96" s="8">
        <f t="shared" si="114"/>
        <v>27.60089036077483</v>
      </c>
      <c r="L96" s="7">
        <f t="shared" si="115"/>
        <v>1.385704000446074E-2</v>
      </c>
      <c r="M96" s="9">
        <f t="shared" si="116"/>
        <v>0.19983503893912652</v>
      </c>
      <c r="N96" s="4">
        <f t="shared" si="194"/>
        <v>1017.5207552020481</v>
      </c>
      <c r="O96" s="6">
        <f t="shared" si="117"/>
        <v>5.5350415104040969E-6</v>
      </c>
      <c r="P96" s="8">
        <f t="shared" si="118"/>
        <v>27.590488684823555</v>
      </c>
      <c r="Q96" s="7">
        <f t="shared" si="108"/>
        <v>1.3858660581666394E-2</v>
      </c>
      <c r="R96" s="9">
        <f t="shared" si="119"/>
        <v>0.19991037719581708</v>
      </c>
      <c r="S96" s="4">
        <f t="shared" si="195"/>
        <v>1016.0199539843758</v>
      </c>
      <c r="T96" s="6">
        <f t="shared" si="120"/>
        <v>5.5320399079687522E-6</v>
      </c>
      <c r="U96" s="8">
        <f t="shared" si="121"/>
        <v>27.573229470820323</v>
      </c>
      <c r="V96" s="7">
        <f t="shared" si="122"/>
        <v>1.3845000573023968E-2</v>
      </c>
      <c r="W96" s="9">
        <f t="shared" si="123"/>
        <v>0.2000355092912483</v>
      </c>
      <c r="X96" s="4">
        <f t="shared" si="196"/>
        <v>1013.920640324849</v>
      </c>
      <c r="Y96" s="6">
        <f t="shared" si="124"/>
        <v>5.5278412806496985E-6</v>
      </c>
      <c r="Z96" s="8">
        <f t="shared" si="125"/>
        <v>27.549087363735765</v>
      </c>
      <c r="AA96" s="7">
        <f t="shared" si="126"/>
        <v>1.3834492695531168E-2</v>
      </c>
      <c r="AB96" s="9">
        <f t="shared" si="127"/>
        <v>0.20021080652059972</v>
      </c>
      <c r="AC96" s="4">
        <f t="shared" si="197"/>
        <v>1011.2216473772793</v>
      </c>
      <c r="AD96" s="6">
        <f t="shared" si="128"/>
        <v>5.5224432947545585E-6</v>
      </c>
      <c r="AE96" s="8">
        <f t="shared" si="129"/>
        <v>27.518048944838711</v>
      </c>
      <c r="AF96" s="7">
        <f t="shared" si="130"/>
        <v>1.3820983191070843E-2</v>
      </c>
      <c r="AG96" s="9">
        <f t="shared" si="131"/>
        <v>0.20043663019338118</v>
      </c>
      <c r="AH96" s="4">
        <f t="shared" si="198"/>
        <v>1007.9229125960607</v>
      </c>
      <c r="AI96" s="6">
        <f t="shared" si="132"/>
        <v>5.5158458251921218E-6</v>
      </c>
      <c r="AJ96" s="8">
        <f t="shared" si="133"/>
        <v>27.480113494854699</v>
      </c>
      <c r="AK96" s="7">
        <f t="shared" si="134"/>
        <v>1.3804471746578034E-2</v>
      </c>
      <c r="AL96" s="9">
        <f t="shared" si="135"/>
        <v>0.20071332678566742</v>
      </c>
      <c r="AM96" s="4">
        <f t="shared" si="199"/>
        <v>1004.0244448158923</v>
      </c>
      <c r="AN96" s="6">
        <f t="shared" si="136"/>
        <v>5.5080488896317852E-6</v>
      </c>
      <c r="AO96" s="8">
        <f t="shared" si="137"/>
        <v>27.435281115382761</v>
      </c>
      <c r="AP96" s="7">
        <f t="shared" si="138"/>
        <v>1.3784958406273817E-2</v>
      </c>
      <c r="AQ96" s="9">
        <f t="shared" si="139"/>
        <v>0.20104131526129795</v>
      </c>
      <c r="AR96" s="4">
        <f t="shared" si="200"/>
        <v>999.52625104061678</v>
      </c>
      <c r="AS96" s="6">
        <f t="shared" si="140"/>
        <v>5.4990525020812333E-6</v>
      </c>
      <c r="AT96" s="8">
        <f t="shared" si="141"/>
        <v>27.383551886967091</v>
      </c>
      <c r="AU96" s="7">
        <f t="shared" si="142"/>
        <v>1.3762443205215143E-2</v>
      </c>
      <c r="AV96" s="9">
        <f t="shared" si="143"/>
        <v>0.20142109477861792</v>
      </c>
      <c r="AW96" s="4">
        <f t="shared" si="201"/>
        <v>994.42833341949063</v>
      </c>
      <c r="AX96" s="6">
        <f t="shared" si="144"/>
        <v>5.4888566668389813E-6</v>
      </c>
      <c r="AY96" s="8">
        <f t="shared" si="145"/>
        <v>27.324925834324141</v>
      </c>
      <c r="AZ96" s="7">
        <f t="shared" si="146"/>
        <v>1.3736926154159871E-2</v>
      </c>
      <c r="BA96" s="9">
        <f t="shared" si="147"/>
        <v>0.20185324686486653</v>
      </c>
      <c r="BB96" s="4">
        <f t="shared" si="202"/>
        <v>988.73069117187049</v>
      </c>
      <c r="BC96" s="6">
        <f t="shared" si="148"/>
        <v>5.4774613823437416E-6</v>
      </c>
      <c r="BD96" s="8">
        <f t="shared" si="149"/>
        <v>27.259402948476509</v>
      </c>
      <c r="BE96" s="7">
        <f t="shared" si="150"/>
        <v>1.3708407249200579E-2</v>
      </c>
      <c r="BF96" s="9">
        <f t="shared" si="151"/>
        <v>0.20233843750815755</v>
      </c>
      <c r="BG96" s="4">
        <f t="shared" si="203"/>
        <v>982.4333092528102</v>
      </c>
      <c r="BH96" s="6">
        <f t="shared" si="152"/>
        <v>5.4648666185056209E-6</v>
      </c>
      <c r="BI96" s="8">
        <f t="shared" si="153"/>
        <v>27.186983056407314</v>
      </c>
      <c r="BJ96" s="7">
        <f t="shared" si="154"/>
        <v>1.3676886415031488E-2</v>
      </c>
      <c r="BK96" s="9">
        <f t="shared" si="155"/>
        <v>0.20287742073315856</v>
      </c>
      <c r="BL96" s="4">
        <f t="shared" si="204"/>
        <v>975.53603604017906</v>
      </c>
      <c r="BM96" s="6">
        <f t="shared" si="156"/>
        <v>5.4510720720803586E-6</v>
      </c>
      <c r="BN96" s="8">
        <f t="shared" si="157"/>
        <v>27.107664414462057</v>
      </c>
      <c r="BO96" s="7">
        <f t="shared" si="158"/>
        <v>1.364236289272514E-2</v>
      </c>
      <c r="BP96" s="9">
        <f t="shared" si="159"/>
        <v>0.20347105215960215</v>
      </c>
      <c r="BQ96" s="4">
        <f t="shared" si="205"/>
        <v>968.03752467957793</v>
      </c>
      <c r="BR96" s="6">
        <f t="shared" si="160"/>
        <v>5.4360750493591563E-6</v>
      </c>
      <c r="BS96" s="8">
        <f t="shared" si="161"/>
        <v>27.021431533815147</v>
      </c>
      <c r="BT96" s="7">
        <f t="shared" si="162"/>
        <v>1.3604829940753915E-2</v>
      </c>
      <c r="BU96" s="9">
        <f t="shared" si="163"/>
        <v>0.20412038470640015</v>
      </c>
      <c r="BV96" s="4">
        <f t="shared" si="206"/>
        <v>959.92725506768761</v>
      </c>
      <c r="BW96" s="6">
        <f t="shared" si="164"/>
        <v>5.4198545101353761E-6</v>
      </c>
      <c r="BX96" s="8">
        <f t="shared" si="165"/>
        <v>26.928163433278407</v>
      </c>
      <c r="BY96" s="7">
        <f t="shared" si="166"/>
        <v>1.3564234901928453E-2</v>
      </c>
      <c r="BZ96" s="9">
        <f t="shared" si="167"/>
        <v>0.20482737390042988</v>
      </c>
      <c r="CA96" s="4">
        <f t="shared" si="207"/>
        <v>951.13412797469107</v>
      </c>
      <c r="CB96" s="6">
        <f t="shared" si="168"/>
        <v>5.402268255949383E-6</v>
      </c>
      <c r="CC96" s="8">
        <f t="shared" si="169"/>
        <v>26.827042471708946</v>
      </c>
      <c r="CD96" s="7">
        <f t="shared" si="170"/>
        <v>1.3520221897081597E-2</v>
      </c>
      <c r="CE96" s="9">
        <f t="shared" si="171"/>
        <v>0.20559944339062441</v>
      </c>
      <c r="CF96" s="4">
        <f t="shared" si="208"/>
        <v>941.25140397196435</v>
      </c>
      <c r="CG96" s="6">
        <f t="shared" si="172"/>
        <v>5.3825028079439295E-6</v>
      </c>
      <c r="CH96" s="8">
        <f t="shared" si="173"/>
        <v>26.713391145677591</v>
      </c>
      <c r="CI96" s="7">
        <f t="shared" si="174"/>
        <v>1.3470755037927639E-2</v>
      </c>
      <c r="CJ96" s="9">
        <f t="shared" si="175"/>
        <v>0.20647416009151898</v>
      </c>
      <c r="CK96" s="4">
        <f t="shared" si="209"/>
        <v>928.36929806190449</v>
      </c>
      <c r="CL96" s="6">
        <f t="shared" si="176"/>
        <v>5.3567385961238097E-6</v>
      </c>
      <c r="CM96" s="8">
        <f t="shared" si="177"/>
        <v>26.5652469277119</v>
      </c>
      <c r="CN96" s="7">
        <f t="shared" si="178"/>
        <v>1.3406275111291671E-2</v>
      </c>
      <c r="CO96" s="9">
        <f t="shared" si="179"/>
        <v>0.2076255874831075</v>
      </c>
      <c r="CP96" s="4">
        <f t="shared" si="210"/>
        <v>905.46335865193828</v>
      </c>
      <c r="CQ96" s="6">
        <f t="shared" si="180"/>
        <v>5.310926717303877E-6</v>
      </c>
      <c r="CR96" s="8">
        <f t="shared" si="181"/>
        <v>26.30182862449729</v>
      </c>
      <c r="CS96" s="7">
        <f t="shared" si="182"/>
        <v>1.3291622017846044E-2</v>
      </c>
      <c r="CT96" s="9">
        <f t="shared" si="183"/>
        <v>0.20970500107596304</v>
      </c>
      <c r="CU96" s="4">
        <f t="shared" si="211"/>
        <v>853.84253395021233</v>
      </c>
      <c r="CV96" s="6">
        <f t="shared" si="184"/>
        <v>5.2076850679004251E-6</v>
      </c>
      <c r="CW96" s="8">
        <f t="shared" si="185"/>
        <v>25.708189140427443</v>
      </c>
      <c r="CX96" s="7">
        <f t="shared" si="186"/>
        <v>1.3033239808221752E-2</v>
      </c>
      <c r="CY96" s="9">
        <f t="shared" si="187"/>
        <v>0.21454739460145006</v>
      </c>
      <c r="CZ96" s="5">
        <f t="shared" si="212"/>
        <v>743.23539788429639</v>
      </c>
      <c r="DA96" s="6">
        <f t="shared" si="188"/>
        <v>4.9864707957685931E-6</v>
      </c>
      <c r="DB96" s="8">
        <f t="shared" si="189"/>
        <v>24.436207075669408</v>
      </c>
      <c r="DC96" s="7">
        <f t="shared" si="190"/>
        <v>1.2479608277108872E-2</v>
      </c>
      <c r="DD96" s="9">
        <f t="shared" si="191"/>
        <v>0.22571526681371865</v>
      </c>
    </row>
    <row r="97" spans="2:108" x14ac:dyDescent="0.25">
      <c r="B97">
        <v>78</v>
      </c>
      <c r="C97">
        <f t="shared" si="192"/>
        <v>7.6253943974929614E-2</v>
      </c>
      <c r="D97" s="4">
        <f t="shared" si="109"/>
        <v>1018.7324854845804</v>
      </c>
      <c r="E97" s="6">
        <f t="shared" si="110"/>
        <v>5.5374649709691612E-6</v>
      </c>
      <c r="F97" s="8">
        <f t="shared" si="111"/>
        <v>27.604423583072673</v>
      </c>
      <c r="G97" s="7">
        <f t="shared" si="107"/>
        <v>1.3858577843180887E-2</v>
      </c>
      <c r="H97" s="9">
        <f t="shared" si="112"/>
        <v>0.19980946109601941</v>
      </c>
      <c r="I97" s="4">
        <f t="shared" si="193"/>
        <v>1018.4086897437708</v>
      </c>
      <c r="J97" s="6">
        <f t="shared" si="113"/>
        <v>5.5368173794875425E-6</v>
      </c>
      <c r="K97" s="8">
        <f t="shared" si="114"/>
        <v>27.600699932053363</v>
      </c>
      <c r="L97" s="7">
        <f t="shared" si="115"/>
        <v>1.3856957120159497E-2</v>
      </c>
      <c r="M97" s="9">
        <f t="shared" si="116"/>
        <v>0.19983641768426932</v>
      </c>
      <c r="N97" s="4">
        <f t="shared" si="194"/>
        <v>1017.5041596757667</v>
      </c>
      <c r="O97" s="6">
        <f t="shared" si="117"/>
        <v>5.5350083193515337E-6</v>
      </c>
      <c r="P97" s="8">
        <f t="shared" si="118"/>
        <v>27.590297836271318</v>
      </c>
      <c r="Q97" s="7">
        <f t="shared" si="108"/>
        <v>1.3858577843180887E-2</v>
      </c>
      <c r="R97" s="9">
        <f t="shared" si="119"/>
        <v>0.19991176002271846</v>
      </c>
      <c r="S97" s="4">
        <f t="shared" si="195"/>
        <v>1016.0033440410652</v>
      </c>
      <c r="T97" s="6">
        <f t="shared" si="120"/>
        <v>5.5320066880821303E-6</v>
      </c>
      <c r="U97" s="8">
        <f t="shared" si="121"/>
        <v>27.573038456472247</v>
      </c>
      <c r="V97" s="7">
        <f t="shared" si="122"/>
        <v>1.3844917433828124E-2</v>
      </c>
      <c r="W97" s="9">
        <f t="shared" si="123"/>
        <v>0.20003689505264921</v>
      </c>
      <c r="X97" s="4">
        <f t="shared" si="196"/>
        <v>1013.9040337947696</v>
      </c>
      <c r="Y97" s="6">
        <f t="shared" si="124"/>
        <v>5.5278080675895396E-6</v>
      </c>
      <c r="Z97" s="8">
        <f t="shared" si="125"/>
        <v>27.54889638863985</v>
      </c>
      <c r="AA97" s="7">
        <f t="shared" si="126"/>
        <v>1.383440957341987E-2</v>
      </c>
      <c r="AB97" s="9">
        <f t="shared" si="127"/>
        <v>0.20021219442657748</v>
      </c>
      <c r="AC97" s="4">
        <f t="shared" si="197"/>
        <v>1011.2050528009232</v>
      </c>
      <c r="AD97" s="6">
        <f t="shared" si="128"/>
        <v>5.522410105601847E-6</v>
      </c>
      <c r="AE97" s="8">
        <f t="shared" si="129"/>
        <v>27.517858107210614</v>
      </c>
      <c r="AF97" s="7">
        <f t="shared" si="130"/>
        <v>1.3820900128792562E-2</v>
      </c>
      <c r="AG97" s="9">
        <f t="shared" si="131"/>
        <v>0.20043802023075041</v>
      </c>
      <c r="AH97" s="4">
        <f t="shared" si="198"/>
        <v>1007.9063344280275</v>
      </c>
      <c r="AI97" s="6">
        <f t="shared" si="132"/>
        <v>5.515812668856056E-6</v>
      </c>
      <c r="AJ97" s="8">
        <f t="shared" si="133"/>
        <v>27.479922845922317</v>
      </c>
      <c r="AK97" s="7">
        <f t="shared" si="134"/>
        <v>1.3804388766429757E-2</v>
      </c>
      <c r="AL97" s="9">
        <f t="shared" si="135"/>
        <v>0.2007147192852636</v>
      </c>
      <c r="AM97" s="4">
        <f t="shared" si="199"/>
        <v>1004.0078866236416</v>
      </c>
      <c r="AN97" s="6">
        <f t="shared" si="136"/>
        <v>5.5080157732472836E-6</v>
      </c>
      <c r="AO97" s="8">
        <f t="shared" si="137"/>
        <v>27.435090696171876</v>
      </c>
      <c r="AP97" s="7">
        <f t="shared" si="138"/>
        <v>1.3784875526112064E-2</v>
      </c>
      <c r="AQ97" s="9">
        <f t="shared" si="139"/>
        <v>0.20104271063224938</v>
      </c>
      <c r="AR97" s="4">
        <f t="shared" si="200"/>
        <v>999.50971634698078</v>
      </c>
      <c r="AS97" s="6">
        <f t="shared" si="140"/>
        <v>5.4990194326939618E-6</v>
      </c>
      <c r="AT97" s="8">
        <f t="shared" si="141"/>
        <v>27.383361737990278</v>
      </c>
      <c r="AU97" s="7">
        <f t="shared" si="142"/>
        <v>1.3762360442673052E-2</v>
      </c>
      <c r="AV97" s="9">
        <f t="shared" si="143"/>
        <v>0.20142249343870383</v>
      </c>
      <c r="AW97" s="4">
        <f t="shared" si="201"/>
        <v>994.41182577156485</v>
      </c>
      <c r="AX97" s="6">
        <f t="shared" si="144"/>
        <v>5.4888236515431304E-6</v>
      </c>
      <c r="AY97" s="8">
        <f t="shared" si="145"/>
        <v>27.324735996372993</v>
      </c>
      <c r="AZ97" s="7">
        <f t="shared" si="146"/>
        <v>1.373684352699203E-2</v>
      </c>
      <c r="BA97" s="9">
        <f t="shared" si="147"/>
        <v>0.2018546492354813</v>
      </c>
      <c r="BB97" s="4">
        <f t="shared" si="202"/>
        <v>988.71421395334301</v>
      </c>
      <c r="BC97" s="6">
        <f t="shared" si="148"/>
        <v>5.4774284279066863E-6</v>
      </c>
      <c r="BD97" s="8">
        <f t="shared" si="149"/>
        <v>27.259213460463442</v>
      </c>
      <c r="BE97" s="7">
        <f t="shared" si="150"/>
        <v>1.3708324774343654E-2</v>
      </c>
      <c r="BF97" s="9">
        <f t="shared" si="151"/>
        <v>0.20233984403107672</v>
      </c>
      <c r="BG97" s="4">
        <f t="shared" si="203"/>
        <v>982.41686408368173</v>
      </c>
      <c r="BH97" s="6">
        <f t="shared" si="152"/>
        <v>5.4648337281673637E-6</v>
      </c>
      <c r="BI97" s="8">
        <f t="shared" si="153"/>
        <v>27.186793936962339</v>
      </c>
      <c r="BJ97" s="7">
        <f t="shared" si="154"/>
        <v>1.3676804100594211E-2</v>
      </c>
      <c r="BK97" s="9">
        <f t="shared" si="155"/>
        <v>0.20287883200898962</v>
      </c>
      <c r="BL97" s="4">
        <f t="shared" si="204"/>
        <v>975.51960934358306</v>
      </c>
      <c r="BM97" s="6">
        <f t="shared" si="156"/>
        <v>5.4510392186871662E-6</v>
      </c>
      <c r="BN97" s="8">
        <f t="shared" si="157"/>
        <v>27.107475507451205</v>
      </c>
      <c r="BO97" s="7">
        <f t="shared" si="158"/>
        <v>1.3642280670750039E-2</v>
      </c>
      <c r="BP97" s="9">
        <f t="shared" si="159"/>
        <v>0.20347247011193959</v>
      </c>
      <c r="BQ97" s="4">
        <f t="shared" si="205"/>
        <v>968.0209889260052</v>
      </c>
      <c r="BR97" s="6">
        <f t="shared" si="160"/>
        <v>5.4360419778520112E-6</v>
      </c>
      <c r="BS97" s="8">
        <f t="shared" si="161"/>
        <v>27.021241372649058</v>
      </c>
      <c r="BT97" s="7">
        <f t="shared" si="162"/>
        <v>1.3604747172906431E-2</v>
      </c>
      <c r="BU97" s="9">
        <f t="shared" si="163"/>
        <v>0.20412182119741265</v>
      </c>
      <c r="BV97" s="4">
        <f t="shared" si="206"/>
        <v>959.90975187721153</v>
      </c>
      <c r="BW97" s="6">
        <f t="shared" si="164"/>
        <v>5.4198195037544238E-6</v>
      </c>
      <c r="BX97" s="8">
        <f t="shared" si="165"/>
        <v>26.92796214658793</v>
      </c>
      <c r="BY97" s="7">
        <f t="shared" si="166"/>
        <v>1.3564147291684779E-2</v>
      </c>
      <c r="BZ97" s="9">
        <f t="shared" si="167"/>
        <v>0.20482890498636899</v>
      </c>
      <c r="CA97" s="4">
        <f t="shared" si="207"/>
        <v>951.11090445521688</v>
      </c>
      <c r="CB97" s="6">
        <f t="shared" si="168"/>
        <v>5.4022218089104343E-6</v>
      </c>
      <c r="CC97" s="8">
        <f t="shared" si="169"/>
        <v>26.826775401234993</v>
      </c>
      <c r="CD97" s="7">
        <f t="shared" si="170"/>
        <v>1.3520105654376998E-2</v>
      </c>
      <c r="CE97" s="9">
        <f t="shared" si="171"/>
        <v>0.20560149020914692</v>
      </c>
      <c r="CF97" s="4">
        <f t="shared" si="208"/>
        <v>941.20123379587858</v>
      </c>
      <c r="CG97" s="6">
        <f t="shared" si="172"/>
        <v>5.3824024675917576E-6</v>
      </c>
      <c r="CH97" s="8">
        <f t="shared" si="173"/>
        <v>26.712814188652601</v>
      </c>
      <c r="CI97" s="7">
        <f t="shared" si="174"/>
        <v>1.347050391677587E-2</v>
      </c>
      <c r="CJ97" s="9">
        <f t="shared" si="175"/>
        <v>0.20647861962604433</v>
      </c>
      <c r="CK97" s="4">
        <f t="shared" si="209"/>
        <v>928.22009306158122</v>
      </c>
      <c r="CL97" s="6">
        <f t="shared" si="176"/>
        <v>5.3564401861231628E-6</v>
      </c>
      <c r="CM97" s="8">
        <f t="shared" si="177"/>
        <v>26.563531070208185</v>
      </c>
      <c r="CN97" s="7">
        <f t="shared" si="178"/>
        <v>1.3405528282509035E-2</v>
      </c>
      <c r="CO97" s="9">
        <f t="shared" si="179"/>
        <v>0.20763899895017882</v>
      </c>
      <c r="CP97" s="4">
        <f t="shared" si="210"/>
        <v>905.05066848269439</v>
      </c>
      <c r="CQ97" s="6">
        <f t="shared" si="180"/>
        <v>5.3101013369653897E-6</v>
      </c>
      <c r="CR97" s="8">
        <f t="shared" si="181"/>
        <v>26.297082687550983</v>
      </c>
      <c r="CS97" s="7">
        <f t="shared" si="182"/>
        <v>1.3289556343800047E-2</v>
      </c>
      <c r="CT97" s="9">
        <f t="shared" si="183"/>
        <v>0.20974284735436041</v>
      </c>
      <c r="CU97" s="4">
        <f t="shared" si="211"/>
        <v>853.00189684116287</v>
      </c>
      <c r="CV97" s="6">
        <f t="shared" si="184"/>
        <v>5.206003793682326E-6</v>
      </c>
      <c r="CW97" s="8">
        <f t="shared" si="185"/>
        <v>25.698521813673374</v>
      </c>
      <c r="CX97" s="7">
        <f t="shared" si="186"/>
        <v>1.3029032094087322E-2</v>
      </c>
      <c r="CY97" s="9">
        <f t="shared" si="187"/>
        <v>0.21462810351470527</v>
      </c>
      <c r="CZ97" s="5">
        <f t="shared" si="212"/>
        <v>742.20108744902154</v>
      </c>
      <c r="DA97" s="6">
        <f t="shared" si="188"/>
        <v>4.9844021748980435E-6</v>
      </c>
      <c r="DB97" s="8">
        <f t="shared" si="189"/>
        <v>24.42431250566375</v>
      </c>
      <c r="DC97" s="7">
        <f t="shared" si="190"/>
        <v>1.2474431153007351E-2</v>
      </c>
      <c r="DD97" s="9">
        <f t="shared" si="191"/>
        <v>0.22582518950005176</v>
      </c>
    </row>
    <row r="98" spans="2:108" x14ac:dyDescent="0.25">
      <c r="B98">
        <v>79</v>
      </c>
      <c r="C98">
        <f t="shared" si="192"/>
        <v>7.7231558641274872E-2</v>
      </c>
      <c r="D98" s="4">
        <f t="shared" si="109"/>
        <v>1018.7159541097622</v>
      </c>
      <c r="E98" s="6">
        <f t="shared" si="110"/>
        <v>5.5374319082195245E-6</v>
      </c>
      <c r="F98" s="8">
        <f t="shared" si="111"/>
        <v>27.604233472262266</v>
      </c>
      <c r="G98" s="7">
        <f t="shared" si="107"/>
        <v>1.3858495097250763E-2</v>
      </c>
      <c r="H98" s="9">
        <f t="shared" si="112"/>
        <v>0.19981083718706769</v>
      </c>
      <c r="I98" s="4">
        <f t="shared" si="193"/>
        <v>1018.3921302663449</v>
      </c>
      <c r="J98" s="6">
        <f t="shared" si="113"/>
        <v>5.5367842605326899E-6</v>
      </c>
      <c r="K98" s="8">
        <f t="shared" si="114"/>
        <v>27.600509498062966</v>
      </c>
      <c r="L98" s="7">
        <f t="shared" si="115"/>
        <v>1.3856874233564942E-2</v>
      </c>
      <c r="M98" s="9">
        <f t="shared" si="116"/>
        <v>0.19983779648658634</v>
      </c>
      <c r="N98" s="4">
        <f t="shared" si="194"/>
        <v>1017.4875643784391</v>
      </c>
      <c r="O98" s="6">
        <f t="shared" si="117"/>
        <v>5.5349751287568789E-6</v>
      </c>
      <c r="P98" s="8">
        <f t="shared" si="118"/>
        <v>27.590106990352048</v>
      </c>
      <c r="Q98" s="7">
        <f t="shared" si="108"/>
        <v>1.3858495097250763E-2</v>
      </c>
      <c r="R98" s="9">
        <f t="shared" si="119"/>
        <v>0.19991314284967263</v>
      </c>
      <c r="S98" s="4">
        <f t="shared" si="195"/>
        <v>1015.9867344186129</v>
      </c>
      <c r="T98" s="6">
        <f t="shared" si="120"/>
        <v>5.5319734688372256E-6</v>
      </c>
      <c r="U98" s="8">
        <f t="shared" si="121"/>
        <v>27.572847445814048</v>
      </c>
      <c r="V98" s="7">
        <f t="shared" si="122"/>
        <v>1.3844834296238303E-2</v>
      </c>
      <c r="W98" s="9">
        <f t="shared" si="123"/>
        <v>0.20003828080648053</v>
      </c>
      <c r="X98" s="4">
        <f t="shared" si="196"/>
        <v>1013.8874275092469</v>
      </c>
      <c r="Y98" s="6">
        <f t="shared" si="124"/>
        <v>5.5277748550184939E-6</v>
      </c>
      <c r="Z98" s="8">
        <f t="shared" si="125"/>
        <v>27.548705416356338</v>
      </c>
      <c r="AA98" s="7">
        <f t="shared" si="126"/>
        <v>1.3834326452532674E-2</v>
      </c>
      <c r="AB98" s="9">
        <f t="shared" si="127"/>
        <v>0.20021358233135844</v>
      </c>
      <c r="AC98" s="4">
        <f t="shared" si="197"/>
        <v>1011.1884584251353</v>
      </c>
      <c r="AD98" s="6">
        <f t="shared" si="128"/>
        <v>5.5223769168502707E-6</v>
      </c>
      <c r="AE98" s="8">
        <f t="shared" si="129"/>
        <v>27.517667271889053</v>
      </c>
      <c r="AF98" s="7">
        <f t="shared" si="130"/>
        <v>1.3820817067518197E-2</v>
      </c>
      <c r="AG98" s="9">
        <f t="shared" si="131"/>
        <v>0.20043941027059883</v>
      </c>
      <c r="AH98" s="4">
        <f t="shared" si="198"/>
        <v>1007.8897564508366</v>
      </c>
      <c r="AI98" s="6">
        <f t="shared" si="132"/>
        <v>5.5157795129016733E-6</v>
      </c>
      <c r="AJ98" s="8">
        <f t="shared" si="133"/>
        <v>27.479732199184618</v>
      </c>
      <c r="AK98" s="7">
        <f t="shared" si="134"/>
        <v>1.3804305787236718E-2</v>
      </c>
      <c r="AL98" s="9">
        <f t="shared" si="135"/>
        <v>0.2007161117881513</v>
      </c>
      <c r="AM98" s="4">
        <f t="shared" si="199"/>
        <v>1003.9913286224205</v>
      </c>
      <c r="AN98" s="6">
        <f t="shared" si="136"/>
        <v>5.5079826572448413E-6</v>
      </c>
      <c r="AO98" s="8">
        <f t="shared" si="137"/>
        <v>27.434900279157837</v>
      </c>
      <c r="AP98" s="7">
        <f t="shared" si="138"/>
        <v>1.3784792646906487E-2</v>
      </c>
      <c r="AQ98" s="9">
        <f t="shared" si="139"/>
        <v>0.20104410600647213</v>
      </c>
      <c r="AR98" s="4">
        <f t="shared" si="200"/>
        <v>999.49318184519927</v>
      </c>
      <c r="AS98" s="6">
        <f t="shared" si="140"/>
        <v>5.4989863636903987E-6</v>
      </c>
      <c r="AT98" s="8">
        <f t="shared" si="141"/>
        <v>27.383171591219792</v>
      </c>
      <c r="AU98" s="7">
        <f t="shared" si="142"/>
        <v>1.3762277681091268E-2</v>
      </c>
      <c r="AV98" s="9">
        <f t="shared" si="143"/>
        <v>0.20142389210198514</v>
      </c>
      <c r="AW98" s="4">
        <f t="shared" si="201"/>
        <v>994.39531831342072</v>
      </c>
      <c r="AX98" s="6">
        <f t="shared" si="144"/>
        <v>5.4887906366268418E-6</v>
      </c>
      <c r="AY98" s="8">
        <f t="shared" si="145"/>
        <v>27.324546160604335</v>
      </c>
      <c r="AZ98" s="7">
        <f t="shared" si="146"/>
        <v>1.3736760900774119E-2</v>
      </c>
      <c r="BA98" s="9">
        <f t="shared" si="147"/>
        <v>0.20185605160945924</v>
      </c>
      <c r="BB98" s="4">
        <f t="shared" si="202"/>
        <v>988.6977368990913</v>
      </c>
      <c r="BC98" s="6">
        <f t="shared" si="148"/>
        <v>5.4773954737981831E-6</v>
      </c>
      <c r="BD98" s="8">
        <f t="shared" si="149"/>
        <v>27.259023974339549</v>
      </c>
      <c r="BE98" s="7">
        <f t="shared" si="150"/>
        <v>1.3708242300308995E-2</v>
      </c>
      <c r="BF98" s="9">
        <f t="shared" si="151"/>
        <v>0.20234125055952729</v>
      </c>
      <c r="BG98" s="4">
        <f t="shared" si="203"/>
        <v>982.40041885885853</v>
      </c>
      <c r="BH98" s="6">
        <f t="shared" si="152"/>
        <v>5.4648008377177174E-6</v>
      </c>
      <c r="BI98" s="8">
        <f t="shared" si="153"/>
        <v>27.186604816876873</v>
      </c>
      <c r="BJ98" s="7">
        <f t="shared" si="154"/>
        <v>1.3676721785878162E-2</v>
      </c>
      <c r="BK98" s="9">
        <f t="shared" si="155"/>
        <v>0.20288024330923499</v>
      </c>
      <c r="BL98" s="4">
        <f t="shared" si="204"/>
        <v>975.50318095004582</v>
      </c>
      <c r="BM98" s="6">
        <f t="shared" si="156"/>
        <v>5.4510063619000916E-6</v>
      </c>
      <c r="BN98" s="8">
        <f t="shared" si="157"/>
        <v>27.107286580925525</v>
      </c>
      <c r="BO98" s="7">
        <f t="shared" si="158"/>
        <v>1.3642198440281089E-2</v>
      </c>
      <c r="BP98" s="9">
        <f t="shared" si="159"/>
        <v>0.20347388823052315</v>
      </c>
      <c r="BQ98" s="4">
        <f t="shared" si="205"/>
        <v>968.00444099707818</v>
      </c>
      <c r="BR98" s="6">
        <f t="shared" si="160"/>
        <v>5.4360088819941563E-6</v>
      </c>
      <c r="BS98" s="8">
        <f t="shared" si="161"/>
        <v>27.021051071466399</v>
      </c>
      <c r="BT98" s="7">
        <f t="shared" si="162"/>
        <v>1.3604664344116583E-2</v>
      </c>
      <c r="BU98" s="9">
        <f t="shared" si="163"/>
        <v>0.20412325876636131</v>
      </c>
      <c r="BV98" s="4">
        <f t="shared" si="206"/>
        <v>959.89218088233974</v>
      </c>
      <c r="BW98" s="6">
        <f t="shared" si="164"/>
        <v>5.4197843617646807E-6</v>
      </c>
      <c r="BX98" s="8">
        <f t="shared" si="165"/>
        <v>26.927760080146907</v>
      </c>
      <c r="BY98" s="7">
        <f t="shared" si="166"/>
        <v>1.3564059342053861E-2</v>
      </c>
      <c r="BZ98" s="9">
        <f t="shared" si="167"/>
        <v>0.2048304420264988</v>
      </c>
      <c r="CA98" s="4">
        <f t="shared" si="207"/>
        <v>951.08737840125843</v>
      </c>
      <c r="CB98" s="6">
        <f t="shared" si="168"/>
        <v>5.402174756802518E-6</v>
      </c>
      <c r="CC98" s="8">
        <f t="shared" si="169"/>
        <v>26.826504851614473</v>
      </c>
      <c r="CD98" s="7">
        <f t="shared" si="170"/>
        <v>1.3519987897370196E-2</v>
      </c>
      <c r="CE98" s="9">
        <f t="shared" si="171"/>
        <v>0.20560356373327771</v>
      </c>
      <c r="CF98" s="4">
        <f t="shared" si="208"/>
        <v>941.15003619848164</v>
      </c>
      <c r="CG98" s="6">
        <f t="shared" si="172"/>
        <v>5.3823000723969641E-6</v>
      </c>
      <c r="CH98" s="8">
        <f t="shared" si="173"/>
        <v>26.712225416282536</v>
      </c>
      <c r="CI98" s="7">
        <f t="shared" si="174"/>
        <v>1.3470247652982733E-2</v>
      </c>
      <c r="CJ98" s="9">
        <f t="shared" si="175"/>
        <v>0.20648317068475808</v>
      </c>
      <c r="CK98" s="4">
        <f t="shared" si="209"/>
        <v>928.06853208834264</v>
      </c>
      <c r="CL98" s="6">
        <f t="shared" si="176"/>
        <v>5.356137064176686E-6</v>
      </c>
      <c r="CM98" s="8">
        <f t="shared" si="177"/>
        <v>26.56178811901594</v>
      </c>
      <c r="CN98" s="7">
        <f t="shared" si="178"/>
        <v>1.3404769661169985E-2</v>
      </c>
      <c r="CO98" s="9">
        <f t="shared" si="179"/>
        <v>0.207652623960632</v>
      </c>
      <c r="CP98" s="4">
        <f t="shared" si="210"/>
        <v>904.63553963750292</v>
      </c>
      <c r="CQ98" s="6">
        <f t="shared" si="180"/>
        <v>5.3092710792750061E-6</v>
      </c>
      <c r="CR98" s="8">
        <f t="shared" si="181"/>
        <v>26.292308705831282</v>
      </c>
      <c r="CS98" s="7">
        <f t="shared" si="182"/>
        <v>1.3287478463236935E-2</v>
      </c>
      <c r="CT98" s="9">
        <f t="shared" si="183"/>
        <v>0.20978093105900236</v>
      </c>
      <c r="CU98" s="4">
        <f t="shared" si="211"/>
        <v>852.16428671275582</v>
      </c>
      <c r="CV98" s="6">
        <f t="shared" si="184"/>
        <v>5.2043285734255126E-6</v>
      </c>
      <c r="CW98" s="8">
        <f t="shared" si="185"/>
        <v>25.688889297196692</v>
      </c>
      <c r="CX98" s="7">
        <f t="shared" si="186"/>
        <v>1.302483953116273E-2</v>
      </c>
      <c r="CY98" s="9">
        <f t="shared" si="187"/>
        <v>0.21470858222748829</v>
      </c>
      <c r="CZ98" s="5">
        <f t="shared" si="212"/>
        <v>741.17632723757185</v>
      </c>
      <c r="DA98" s="6">
        <f t="shared" si="188"/>
        <v>4.9823526544751443E-6</v>
      </c>
      <c r="DB98" s="8">
        <f t="shared" si="189"/>
        <v>24.412527763232077</v>
      </c>
      <c r="DC98" s="7">
        <f t="shared" si="190"/>
        <v>1.2469301831472886E-2</v>
      </c>
      <c r="DD98" s="9">
        <f t="shared" si="191"/>
        <v>0.22593420286067759</v>
      </c>
    </row>
    <row r="99" spans="2:108" x14ac:dyDescent="0.25">
      <c r="B99">
        <v>80</v>
      </c>
      <c r="C99">
        <f t="shared" si="192"/>
        <v>7.8209173307620117E-2</v>
      </c>
      <c r="D99" s="4">
        <f t="shared" si="109"/>
        <v>1018.6994213001668</v>
      </c>
      <c r="E99" s="6">
        <f t="shared" si="110"/>
        <v>5.5373988426003341E-6</v>
      </c>
      <c r="F99" s="8">
        <f t="shared" si="111"/>
        <v>27.604043344951918</v>
      </c>
      <c r="G99" s="7">
        <f t="shared" si="107"/>
        <v>1.3858412344139025E-2</v>
      </c>
      <c r="H99" s="9">
        <f t="shared" si="112"/>
        <v>0.19981221341650546</v>
      </c>
      <c r="I99" s="4">
        <f t="shared" si="193"/>
        <v>1018.3755703379188</v>
      </c>
      <c r="J99" s="6">
        <f t="shared" si="113"/>
        <v>5.5367511406758386E-6</v>
      </c>
      <c r="K99" s="8">
        <f t="shared" si="114"/>
        <v>27.600319058886065</v>
      </c>
      <c r="L99" s="7">
        <f t="shared" si="115"/>
        <v>1.3856791344712962E-2</v>
      </c>
      <c r="M99" s="9">
        <f t="shared" si="116"/>
        <v>0.19983917534548268</v>
      </c>
      <c r="N99" s="4">
        <f t="shared" si="194"/>
        <v>1017.4709693045172</v>
      </c>
      <c r="O99" s="6">
        <f t="shared" si="117"/>
        <v>5.5349419386090349E-6</v>
      </c>
      <c r="P99" s="8">
        <f t="shared" si="118"/>
        <v>27.589916147001947</v>
      </c>
      <c r="Q99" s="7">
        <f t="shared" si="108"/>
        <v>1.3858412344139025E-2</v>
      </c>
      <c r="R99" s="9">
        <f t="shared" si="119"/>
        <v>0.19991452567714144</v>
      </c>
      <c r="S99" s="4">
        <f t="shared" si="195"/>
        <v>1015.9701251147296</v>
      </c>
      <c r="T99" s="6">
        <f t="shared" si="120"/>
        <v>5.53194025022946E-6</v>
      </c>
      <c r="U99" s="8">
        <f t="shared" si="121"/>
        <v>27.57265643881939</v>
      </c>
      <c r="V99" s="7">
        <f t="shared" si="122"/>
        <v>1.3844751160243047E-2</v>
      </c>
      <c r="W99" s="9">
        <f t="shared" si="123"/>
        <v>0.20003966655293257</v>
      </c>
      <c r="X99" s="4">
        <f t="shared" si="196"/>
        <v>1013.8708214685164</v>
      </c>
      <c r="Y99" s="6">
        <f t="shared" si="124"/>
        <v>5.5277416429370333E-6</v>
      </c>
      <c r="Z99" s="8">
        <f t="shared" si="125"/>
        <v>27.548514446887935</v>
      </c>
      <c r="AA99" s="7">
        <f t="shared" si="126"/>
        <v>1.3834243332870757E-2</v>
      </c>
      <c r="AB99" s="9">
        <f t="shared" si="127"/>
        <v>0.20021497023492249</v>
      </c>
      <c r="AC99" s="4">
        <f t="shared" si="197"/>
        <v>1011.1718642503125</v>
      </c>
      <c r="AD99" s="6">
        <f t="shared" si="128"/>
        <v>5.5223437285006251E-6</v>
      </c>
      <c r="AE99" s="8">
        <f t="shared" si="129"/>
        <v>27.517476438878592</v>
      </c>
      <c r="AF99" s="7">
        <f t="shared" si="130"/>
        <v>1.382073400724974E-2</v>
      </c>
      <c r="AG99" s="9">
        <f t="shared" si="131"/>
        <v>0.20044080031289294</v>
      </c>
      <c r="AH99" s="4">
        <f t="shared" si="198"/>
        <v>1007.8731786646113</v>
      </c>
      <c r="AI99" s="6">
        <f t="shared" si="132"/>
        <v>5.515746357329223E-6</v>
      </c>
      <c r="AJ99" s="8">
        <f t="shared" si="133"/>
        <v>27.479541554643028</v>
      </c>
      <c r="AK99" s="7">
        <f t="shared" si="134"/>
        <v>1.3804222808999537E-2</v>
      </c>
      <c r="AL99" s="9">
        <f t="shared" si="135"/>
        <v>0.20071750429431975</v>
      </c>
      <c r="AM99" s="4">
        <f t="shared" si="199"/>
        <v>1003.9747708122363</v>
      </c>
      <c r="AN99" s="6">
        <f t="shared" si="136"/>
        <v>5.5079495416244736E-6</v>
      </c>
      <c r="AO99" s="8">
        <f t="shared" si="137"/>
        <v>27.434709864340718</v>
      </c>
      <c r="AP99" s="7">
        <f t="shared" si="138"/>
        <v>1.3784709768657127E-2</v>
      </c>
      <c r="AQ99" s="9">
        <f t="shared" si="139"/>
        <v>0.20104550138396537</v>
      </c>
      <c r="AR99" s="4">
        <f t="shared" si="200"/>
        <v>999.47664753522884</v>
      </c>
      <c r="AS99" s="6">
        <f t="shared" si="140"/>
        <v>5.4989532950704578E-6</v>
      </c>
      <c r="AT99" s="8">
        <f t="shared" si="141"/>
        <v>27.38298144665513</v>
      </c>
      <c r="AU99" s="7">
        <f t="shared" si="142"/>
        <v>1.3762194920469572E-2</v>
      </c>
      <c r="AV99" s="9">
        <f t="shared" si="143"/>
        <v>0.2014252907684653</v>
      </c>
      <c r="AW99" s="4">
        <f t="shared" si="201"/>
        <v>994.37881104471262</v>
      </c>
      <c r="AX99" s="6">
        <f t="shared" si="144"/>
        <v>5.4887576220894252E-6</v>
      </c>
      <c r="AY99" s="8">
        <f t="shared" si="145"/>
        <v>27.324356327014193</v>
      </c>
      <c r="AZ99" s="7">
        <f t="shared" si="146"/>
        <v>1.3736678275504406E-2</v>
      </c>
      <c r="BA99" s="9">
        <f t="shared" si="147"/>
        <v>0.20185745398682947</v>
      </c>
      <c r="BB99" s="4">
        <f t="shared" si="202"/>
        <v>988.68126000627353</v>
      </c>
      <c r="BC99" s="6">
        <f t="shared" si="148"/>
        <v>5.4773625200125478E-6</v>
      </c>
      <c r="BD99" s="8">
        <f t="shared" si="149"/>
        <v>27.258834490072147</v>
      </c>
      <c r="BE99" s="7">
        <f t="shared" si="150"/>
        <v>1.3708159827082374E-2</v>
      </c>
      <c r="BF99" s="9">
        <f t="shared" si="151"/>
        <v>0.20234265709375168</v>
      </c>
      <c r="BG99" s="4">
        <f t="shared" si="203"/>
        <v>982.3839735576986</v>
      </c>
      <c r="BH99" s="6">
        <f t="shared" si="152"/>
        <v>5.4647679471153986E-6</v>
      </c>
      <c r="BI99" s="8">
        <f t="shared" si="153"/>
        <v>27.186415695913531</v>
      </c>
      <c r="BJ99" s="7">
        <f t="shared" si="154"/>
        <v>1.367663947078002E-2</v>
      </c>
      <c r="BK99" s="9">
        <f t="shared" si="155"/>
        <v>0.20288165463566679</v>
      </c>
      <c r="BL99" s="4">
        <f t="shared" si="204"/>
        <v>975.48675073182005</v>
      </c>
      <c r="BM99" s="6">
        <f t="shared" si="156"/>
        <v>5.4509735014636407E-6</v>
      </c>
      <c r="BN99" s="8">
        <f t="shared" si="157"/>
        <v>27.107097633415929</v>
      </c>
      <c r="BO99" s="7">
        <f t="shared" si="158"/>
        <v>1.364211620067887E-2</v>
      </c>
      <c r="BP99" s="9">
        <f t="shared" si="159"/>
        <v>0.20347530652638679</v>
      </c>
      <c r="BQ99" s="4">
        <f t="shared" si="205"/>
        <v>967.98788024231931</v>
      </c>
      <c r="BR99" s="6">
        <f t="shared" si="160"/>
        <v>5.4359757604846387E-6</v>
      </c>
      <c r="BS99" s="8">
        <f t="shared" si="161"/>
        <v>27.020860622786671</v>
      </c>
      <c r="BT99" s="7">
        <f t="shared" si="162"/>
        <v>1.3604581451128485E-2</v>
      </c>
      <c r="BU99" s="9">
        <f t="shared" si="163"/>
        <v>0.20412469746980144</v>
      </c>
      <c r="BV99" s="4">
        <f t="shared" si="206"/>
        <v>959.87453950630857</v>
      </c>
      <c r="BW99" s="6">
        <f t="shared" si="164"/>
        <v>5.4197490790126172E-6</v>
      </c>
      <c r="BX99" s="8">
        <f t="shared" si="165"/>
        <v>26.927557204322547</v>
      </c>
      <c r="BY99" s="7">
        <f t="shared" si="166"/>
        <v>1.3563971040137993E-2</v>
      </c>
      <c r="BZ99" s="9">
        <f t="shared" si="167"/>
        <v>0.20483198524649701</v>
      </c>
      <c r="CA99" s="4">
        <f t="shared" si="207"/>
        <v>951.06354273501415</v>
      </c>
      <c r="CB99" s="6">
        <f t="shared" si="168"/>
        <v>5.402127085470029E-6</v>
      </c>
      <c r="CC99" s="8">
        <f t="shared" si="169"/>
        <v>26.826230741452662</v>
      </c>
      <c r="CD99" s="7">
        <f t="shared" si="170"/>
        <v>1.3519868590634055E-2</v>
      </c>
      <c r="CE99" s="9">
        <f t="shared" si="171"/>
        <v>0.20560566458846929</v>
      </c>
      <c r="CF99" s="4">
        <f t="shared" si="208"/>
        <v>941.09780217462708</v>
      </c>
      <c r="CG99" s="6">
        <f t="shared" si="172"/>
        <v>5.382195604349255E-6</v>
      </c>
      <c r="CH99" s="8">
        <f t="shared" si="173"/>
        <v>26.71162472500821</v>
      </c>
      <c r="CI99" s="7">
        <f t="shared" si="174"/>
        <v>1.3469986201473985E-2</v>
      </c>
      <c r="CJ99" s="9">
        <f t="shared" si="175"/>
        <v>0.20648781408029102</v>
      </c>
      <c r="CK99" s="4">
        <f t="shared" si="209"/>
        <v>927.91463151367486</v>
      </c>
      <c r="CL99" s="6">
        <f t="shared" si="176"/>
        <v>5.3558292630273503E-6</v>
      </c>
      <c r="CM99" s="8">
        <f t="shared" si="177"/>
        <v>26.560018262407262</v>
      </c>
      <c r="CN99" s="7">
        <f t="shared" si="178"/>
        <v>1.3403999329220139E-2</v>
      </c>
      <c r="CO99" s="9">
        <f t="shared" si="179"/>
        <v>0.20766646112614881</v>
      </c>
      <c r="CP99" s="4">
        <f t="shared" si="210"/>
        <v>904.21804913430844</v>
      </c>
      <c r="CQ99" s="6">
        <f t="shared" si="180"/>
        <v>5.3084360982686172E-6</v>
      </c>
      <c r="CR99" s="8">
        <f t="shared" si="181"/>
        <v>26.287507565044546</v>
      </c>
      <c r="CS99" s="7">
        <f t="shared" si="182"/>
        <v>1.3285388761661342E-2</v>
      </c>
      <c r="CT99" s="9">
        <f t="shared" si="183"/>
        <v>0.20981924537168092</v>
      </c>
      <c r="CU99" s="4">
        <f t="shared" si="211"/>
        <v>851.32972164393368</v>
      </c>
      <c r="CV99" s="6">
        <f t="shared" si="184"/>
        <v>5.2026594432878681E-6</v>
      </c>
      <c r="CW99" s="8">
        <f t="shared" si="185"/>
        <v>25.679291798905236</v>
      </c>
      <c r="CX99" s="7">
        <f t="shared" si="186"/>
        <v>1.3020662209940071E-2</v>
      </c>
      <c r="CY99" s="9">
        <f t="shared" si="187"/>
        <v>0.21478882841446365</v>
      </c>
      <c r="CZ99" s="5">
        <f t="shared" si="212"/>
        <v>740.16089662621027</v>
      </c>
      <c r="DA99" s="6">
        <f t="shared" si="188"/>
        <v>4.9803217932524211E-6</v>
      </c>
      <c r="DB99" s="8">
        <f t="shared" si="189"/>
        <v>24.400850311201417</v>
      </c>
      <c r="DC99" s="7">
        <f t="shared" si="190"/>
        <v>1.2464219208198271E-2</v>
      </c>
      <c r="DD99" s="9">
        <f t="shared" si="191"/>
        <v>0.22604232760970652</v>
      </c>
    </row>
    <row r="100" spans="2:108" x14ac:dyDescent="0.25">
      <c r="B100">
        <v>81</v>
      </c>
      <c r="C100">
        <f t="shared" si="192"/>
        <v>7.9186787973965361E-2</v>
      </c>
      <c r="D100" s="4">
        <f t="shared" si="109"/>
        <v>1018.682887106021</v>
      </c>
      <c r="E100" s="6">
        <f t="shared" si="110"/>
        <v>5.5373657742120431E-6</v>
      </c>
      <c r="F100" s="8">
        <f t="shared" si="111"/>
        <v>27.60385320171924</v>
      </c>
      <c r="G100" s="7">
        <f t="shared" si="107"/>
        <v>1.3858329584097079E-2</v>
      </c>
      <c r="H100" s="9">
        <f t="shared" si="112"/>
        <v>0.19981358978015695</v>
      </c>
      <c r="I100" s="4">
        <f t="shared" si="193"/>
        <v>1018.3590099657098</v>
      </c>
      <c r="J100" s="6">
        <f t="shared" si="113"/>
        <v>5.5367180199314196E-6</v>
      </c>
      <c r="K100" s="8">
        <f t="shared" si="114"/>
        <v>27.600128614605662</v>
      </c>
      <c r="L100" s="7">
        <f t="shared" si="115"/>
        <v>1.385670845363967E-2</v>
      </c>
      <c r="M100" s="9">
        <f t="shared" si="116"/>
        <v>0.19984055426035938</v>
      </c>
      <c r="N100" s="4">
        <f t="shared" si="194"/>
        <v>1017.4543744486419</v>
      </c>
      <c r="O100" s="6">
        <f t="shared" si="117"/>
        <v>5.5349087488972841E-6</v>
      </c>
      <c r="P100" s="8">
        <f t="shared" si="118"/>
        <v>27.58972530615938</v>
      </c>
      <c r="Q100" s="7">
        <f t="shared" si="108"/>
        <v>1.3858329584097079E-2</v>
      </c>
      <c r="R100" s="9">
        <f t="shared" si="119"/>
        <v>0.19991590850557117</v>
      </c>
      <c r="S100" s="4">
        <f t="shared" si="195"/>
        <v>1015.9535161271293</v>
      </c>
      <c r="T100" s="6">
        <f t="shared" si="120"/>
        <v>5.5319070322542586E-6</v>
      </c>
      <c r="U100" s="8">
        <f t="shared" si="121"/>
        <v>27.572465435461986</v>
      </c>
      <c r="V100" s="7">
        <f t="shared" si="122"/>
        <v>1.3844668025830903E-2</v>
      </c>
      <c r="W100" s="9">
        <f t="shared" si="123"/>
        <v>0.20004105229219535</v>
      </c>
      <c r="X100" s="4">
        <f t="shared" si="196"/>
        <v>1013.8542156727856</v>
      </c>
      <c r="Y100" s="6">
        <f t="shared" si="124"/>
        <v>5.5277084313455719E-6</v>
      </c>
      <c r="Z100" s="8">
        <f t="shared" si="125"/>
        <v>27.548323480237034</v>
      </c>
      <c r="AA100" s="7">
        <f t="shared" si="126"/>
        <v>1.383416021443516E-2</v>
      </c>
      <c r="AB100" s="9">
        <f t="shared" si="127"/>
        <v>0.20021635813725178</v>
      </c>
      <c r="AC100" s="4">
        <f t="shared" si="197"/>
        <v>1011.1552702768456</v>
      </c>
      <c r="AD100" s="6">
        <f t="shared" si="128"/>
        <v>5.5223105405536921E-6</v>
      </c>
      <c r="AE100" s="8">
        <f t="shared" si="129"/>
        <v>27.517285608183723</v>
      </c>
      <c r="AF100" s="7">
        <f t="shared" si="130"/>
        <v>1.3820650947989151E-2</v>
      </c>
      <c r="AG100" s="9">
        <f t="shared" si="131"/>
        <v>0.20044219035759969</v>
      </c>
      <c r="AH100" s="4">
        <f t="shared" si="198"/>
        <v>1007.8566010694772</v>
      </c>
      <c r="AI100" s="6">
        <f t="shared" si="132"/>
        <v>5.5157132021389547E-6</v>
      </c>
      <c r="AJ100" s="8">
        <f t="shared" si="133"/>
        <v>27.479350912298987</v>
      </c>
      <c r="AK100" s="7">
        <f t="shared" si="134"/>
        <v>1.380413983171884E-2</v>
      </c>
      <c r="AL100" s="9">
        <f t="shared" si="135"/>
        <v>0.20071889680375823</v>
      </c>
      <c r="AM100" s="4">
        <f t="shared" si="199"/>
        <v>1003.9582131930975</v>
      </c>
      <c r="AN100" s="6">
        <f t="shared" si="136"/>
        <v>5.5079164263861957E-6</v>
      </c>
      <c r="AO100" s="8">
        <f t="shared" si="137"/>
        <v>27.434519451720622</v>
      </c>
      <c r="AP100" s="7">
        <f t="shared" si="138"/>
        <v>1.378462689136402E-2</v>
      </c>
      <c r="AQ100" s="9">
        <f t="shared" si="139"/>
        <v>0.20104689676472806</v>
      </c>
      <c r="AR100" s="4">
        <f t="shared" si="200"/>
        <v>999.46011341702251</v>
      </c>
      <c r="AS100" s="6">
        <f t="shared" si="140"/>
        <v>5.4989202268340457E-6</v>
      </c>
      <c r="AT100" s="8">
        <f t="shared" si="141"/>
        <v>27.382791304295758</v>
      </c>
      <c r="AU100" s="7">
        <f t="shared" si="142"/>
        <v>1.376211216080773E-2</v>
      </c>
      <c r="AV100" s="9">
        <f t="shared" si="143"/>
        <v>0.20142668943814795</v>
      </c>
      <c r="AW100" s="4">
        <f t="shared" si="201"/>
        <v>994.36230396506221</v>
      </c>
      <c r="AX100" s="6">
        <f t="shared" si="144"/>
        <v>5.4887246079301248E-6</v>
      </c>
      <c r="AY100" s="8">
        <f t="shared" si="145"/>
        <v>27.324166495598213</v>
      </c>
      <c r="AZ100" s="7">
        <f t="shared" si="146"/>
        <v>1.3736595651181006E-2</v>
      </c>
      <c r="BA100" s="9">
        <f t="shared" si="147"/>
        <v>0.20185885636762385</v>
      </c>
      <c r="BB100" s="4">
        <f t="shared" si="202"/>
        <v>988.66478327182381</v>
      </c>
      <c r="BC100" s="6">
        <f t="shared" si="148"/>
        <v>5.4773295665436486E-6</v>
      </c>
      <c r="BD100" s="8">
        <f t="shared" si="149"/>
        <v>27.258645007625972</v>
      </c>
      <c r="BE100" s="7">
        <f t="shared" si="150"/>
        <v>1.3708077354648447E-2</v>
      </c>
      <c r="BF100" s="9">
        <f t="shared" si="151"/>
        <v>0.2023440636340115</v>
      </c>
      <c r="BG100" s="4">
        <f t="shared" si="203"/>
        <v>982.36752815825832</v>
      </c>
      <c r="BH100" s="6">
        <f t="shared" si="152"/>
        <v>5.4647350563165172E-6</v>
      </c>
      <c r="BI100" s="8">
        <f t="shared" si="153"/>
        <v>27.186226573819972</v>
      </c>
      <c r="BJ100" s="7">
        <f t="shared" si="154"/>
        <v>1.367655715518994E-2</v>
      </c>
      <c r="BK100" s="9">
        <f t="shared" si="155"/>
        <v>0.20288306599016886</v>
      </c>
      <c r="BL100" s="4">
        <f t="shared" si="204"/>
        <v>975.47031855511796</v>
      </c>
      <c r="BM100" s="6">
        <f t="shared" si="156"/>
        <v>5.4509406371102368E-6</v>
      </c>
      <c r="BN100" s="8">
        <f t="shared" si="157"/>
        <v>27.106908663383855</v>
      </c>
      <c r="BO100" s="7">
        <f t="shared" si="158"/>
        <v>1.3642033951273717E-2</v>
      </c>
      <c r="BP100" s="9">
        <f t="shared" si="159"/>
        <v>0.20347672501108668</v>
      </c>
      <c r="BQ100" s="4">
        <f t="shared" si="205"/>
        <v>967.97130599083152</v>
      </c>
      <c r="BR100" s="6">
        <f t="shared" si="160"/>
        <v>5.4359426119816633E-6</v>
      </c>
      <c r="BS100" s="8">
        <f t="shared" si="161"/>
        <v>27.020670018894563</v>
      </c>
      <c r="BT100" s="7">
        <f t="shared" si="162"/>
        <v>1.3604498490584033E-2</v>
      </c>
      <c r="BU100" s="9">
        <f t="shared" si="163"/>
        <v>0.20412613736606552</v>
      </c>
      <c r="BV100" s="4">
        <f t="shared" si="206"/>
        <v>959.85682513425559</v>
      </c>
      <c r="BW100" s="6">
        <f t="shared" si="164"/>
        <v>5.4197136502685113E-6</v>
      </c>
      <c r="BX100" s="8">
        <f t="shared" si="165"/>
        <v>26.927353489043938</v>
      </c>
      <c r="BY100" s="7">
        <f t="shared" si="166"/>
        <v>1.3563882372848781E-2</v>
      </c>
      <c r="BZ100" s="9">
        <f t="shared" si="167"/>
        <v>0.20483353487538866</v>
      </c>
      <c r="CA100" s="4">
        <f t="shared" si="207"/>
        <v>951.03939041087108</v>
      </c>
      <c r="CB100" s="6">
        <f t="shared" si="168"/>
        <v>5.4020787808217423E-6</v>
      </c>
      <c r="CC100" s="8">
        <f t="shared" si="169"/>
        <v>26.825952989725018</v>
      </c>
      <c r="CD100" s="7">
        <f t="shared" si="170"/>
        <v>1.3519747698902554E-2</v>
      </c>
      <c r="CE100" s="9">
        <f t="shared" si="171"/>
        <v>0.20560779339740945</v>
      </c>
      <c r="CF100" s="4">
        <f t="shared" si="208"/>
        <v>941.04452309895305</v>
      </c>
      <c r="CG100" s="6">
        <f t="shared" si="172"/>
        <v>5.3820890461979058E-6</v>
      </c>
      <c r="CH100" s="8">
        <f t="shared" si="173"/>
        <v>26.711012015637959</v>
      </c>
      <c r="CI100" s="7">
        <f t="shared" si="174"/>
        <v>1.3469719519076348E-2</v>
      </c>
      <c r="CJ100" s="9">
        <f t="shared" si="175"/>
        <v>0.20649255059190114</v>
      </c>
      <c r="CK100" s="4">
        <f t="shared" si="209"/>
        <v>927.75840822048087</v>
      </c>
      <c r="CL100" s="6">
        <f t="shared" si="176"/>
        <v>5.3555168164409626E-6</v>
      </c>
      <c r="CM100" s="8">
        <f t="shared" si="177"/>
        <v>26.558221694535529</v>
      </c>
      <c r="CN100" s="7">
        <f t="shared" si="178"/>
        <v>1.3403217371164965E-2</v>
      </c>
      <c r="CO100" s="9">
        <f t="shared" si="179"/>
        <v>0.20768050901295337</v>
      </c>
      <c r="CP100" s="4">
        <f t="shared" si="210"/>
        <v>903.79827237929931</v>
      </c>
      <c r="CQ100" s="6">
        <f t="shared" si="180"/>
        <v>5.3075965447585993E-6</v>
      </c>
      <c r="CR100" s="8">
        <f t="shared" si="181"/>
        <v>26.282680132361939</v>
      </c>
      <c r="CS100" s="7">
        <f t="shared" si="182"/>
        <v>1.3283287616510431E-2</v>
      </c>
      <c r="CT100" s="9">
        <f t="shared" si="183"/>
        <v>0.20985778361349819</v>
      </c>
      <c r="CU100" s="4">
        <f t="shared" si="211"/>
        <v>850.49821718173109</v>
      </c>
      <c r="CV100" s="6">
        <f t="shared" si="184"/>
        <v>5.2009964343634629E-6</v>
      </c>
      <c r="CW100" s="8">
        <f t="shared" si="185"/>
        <v>25.669729497589906</v>
      </c>
      <c r="CX100" s="7">
        <f t="shared" si="186"/>
        <v>1.3016500208238283E-2</v>
      </c>
      <c r="CY100" s="9">
        <f t="shared" si="187"/>
        <v>0.21486883998983528</v>
      </c>
      <c r="CZ100" s="5">
        <f t="shared" si="212"/>
        <v>739.15458260103503</v>
      </c>
      <c r="DA100" s="6">
        <f t="shared" si="188"/>
        <v>4.9783091652020702E-6</v>
      </c>
      <c r="DB100" s="8">
        <f t="shared" si="189"/>
        <v>24.389277699911901</v>
      </c>
      <c r="DC100" s="7">
        <f t="shared" si="190"/>
        <v>1.2459182216966474E-2</v>
      </c>
      <c r="DD100" s="9">
        <f t="shared" si="191"/>
        <v>0.22614958375827274</v>
      </c>
    </row>
    <row r="101" spans="2:108" x14ac:dyDescent="0.25">
      <c r="B101">
        <v>82</v>
      </c>
      <c r="C101">
        <f t="shared" si="192"/>
        <v>8.016440264031062E-2</v>
      </c>
      <c r="D101" s="4">
        <f t="shared" si="109"/>
        <v>1018.6663515753554</v>
      </c>
      <c r="E101" s="6">
        <f t="shared" si="110"/>
        <v>5.5373327031507118E-6</v>
      </c>
      <c r="F101" s="8">
        <f t="shared" si="111"/>
        <v>27.603663043116587</v>
      </c>
      <c r="G101" s="7">
        <f t="shared" si="107"/>
        <v>1.3858246817365329E-2</v>
      </c>
      <c r="H101" s="9">
        <f t="shared" si="112"/>
        <v>0.19981496627402895</v>
      </c>
      <c r="I101" s="4">
        <f t="shared" si="193"/>
        <v>1018.3424491569714</v>
      </c>
      <c r="J101" s="6">
        <f t="shared" si="113"/>
        <v>5.5366848983139434E-6</v>
      </c>
      <c r="K101" s="8">
        <f t="shared" si="114"/>
        <v>27.599938165305169</v>
      </c>
      <c r="L101" s="7">
        <f t="shared" si="115"/>
        <v>1.3856625560381383E-2</v>
      </c>
      <c r="M101" s="9">
        <f t="shared" si="116"/>
        <v>0.19984193323061433</v>
      </c>
      <c r="N101" s="4">
        <f t="shared" si="194"/>
        <v>1017.4377798056379</v>
      </c>
      <c r="O101" s="6">
        <f t="shared" si="117"/>
        <v>5.5348755596112767E-6</v>
      </c>
      <c r="P101" s="8">
        <f t="shared" si="118"/>
        <v>27.589534467764835</v>
      </c>
      <c r="Q101" s="7">
        <f t="shared" si="108"/>
        <v>1.3858246817365329E-2</v>
      </c>
      <c r="R101" s="9">
        <f t="shared" si="119"/>
        <v>0.19991729133539266</v>
      </c>
      <c r="S101" s="4">
        <f t="shared" si="195"/>
        <v>1015.9369074535304</v>
      </c>
      <c r="T101" s="6">
        <f t="shared" si="120"/>
        <v>5.5318738149070609E-6</v>
      </c>
      <c r="U101" s="8">
        <f t="shared" si="121"/>
        <v>27.572274435715599</v>
      </c>
      <c r="V101" s="7">
        <f t="shared" si="122"/>
        <v>1.3844584892990463E-2</v>
      </c>
      <c r="W101" s="9">
        <f t="shared" si="123"/>
        <v>0.20004243802445854</v>
      </c>
      <c r="X101" s="4">
        <f t="shared" si="196"/>
        <v>1013.8376101222345</v>
      </c>
      <c r="Y101" s="6">
        <f t="shared" si="124"/>
        <v>5.5276752202444697E-6</v>
      </c>
      <c r="Z101" s="8">
        <f t="shared" si="125"/>
        <v>27.548132516405694</v>
      </c>
      <c r="AA101" s="7">
        <f t="shared" si="126"/>
        <v>1.3834077097226781E-2</v>
      </c>
      <c r="AB101" s="9">
        <f t="shared" si="127"/>
        <v>0.20021774603833087</v>
      </c>
      <c r="AC101" s="4">
        <f t="shared" si="197"/>
        <v>1011.1386765051191</v>
      </c>
      <c r="AD101" s="6">
        <f t="shared" si="128"/>
        <v>5.522277353010238E-6</v>
      </c>
      <c r="AE101" s="8">
        <f t="shared" si="129"/>
        <v>27.517094779808868</v>
      </c>
      <c r="AF101" s="7">
        <f t="shared" si="130"/>
        <v>1.3820567889738348E-2</v>
      </c>
      <c r="AG101" s="9">
        <f t="shared" si="131"/>
        <v>0.20044358040468657</v>
      </c>
      <c r="AH101" s="4">
        <f t="shared" si="198"/>
        <v>1007.8400236655614</v>
      </c>
      <c r="AI101" s="6">
        <f t="shared" si="132"/>
        <v>5.5156800473311227E-6</v>
      </c>
      <c r="AJ101" s="8">
        <f t="shared" si="133"/>
        <v>27.479160272153955</v>
      </c>
      <c r="AK101" s="7">
        <f t="shared" si="134"/>
        <v>1.3804056855395265E-2</v>
      </c>
      <c r="AL101" s="9">
        <f t="shared" si="135"/>
        <v>0.2007202893164558</v>
      </c>
      <c r="AM101" s="4">
        <f t="shared" si="199"/>
        <v>1003.941655765013</v>
      </c>
      <c r="AN101" s="6">
        <f t="shared" si="136"/>
        <v>5.5078833115300262E-6</v>
      </c>
      <c r="AO101" s="8">
        <f t="shared" si="137"/>
        <v>27.434329041297651</v>
      </c>
      <c r="AP101" s="7">
        <f t="shared" si="138"/>
        <v>1.3784544015027213E-2</v>
      </c>
      <c r="AQ101" s="9">
        <f t="shared" si="139"/>
        <v>0.20104829214875924</v>
      </c>
      <c r="AR101" s="4">
        <f t="shared" si="200"/>
        <v>999.44357949052915</v>
      </c>
      <c r="AS101" s="6">
        <f t="shared" si="140"/>
        <v>5.4988871589810583E-6</v>
      </c>
      <c r="AT101" s="8">
        <f t="shared" si="141"/>
        <v>27.382601164141086</v>
      </c>
      <c r="AU101" s="7">
        <f t="shared" si="142"/>
        <v>1.3762029402105485E-2</v>
      </c>
      <c r="AV101" s="9">
        <f t="shared" si="143"/>
        <v>0.20142808811103718</v>
      </c>
      <c r="AW101" s="4">
        <f t="shared" si="201"/>
        <v>994.3457970740568</v>
      </c>
      <c r="AX101" s="6">
        <f t="shared" si="144"/>
        <v>5.4886915941481142E-6</v>
      </c>
      <c r="AY101" s="8">
        <f t="shared" si="145"/>
        <v>27.323976666351655</v>
      </c>
      <c r="AZ101" s="7">
        <f t="shared" si="146"/>
        <v>1.3736513027801843E-2</v>
      </c>
      <c r="BA101" s="9">
        <f t="shared" si="147"/>
        <v>0.20186025875187719</v>
      </c>
      <c r="BB101" s="4">
        <f t="shared" si="202"/>
        <v>988.64830669243895</v>
      </c>
      <c r="BC101" s="6">
        <f t="shared" si="148"/>
        <v>5.4772966133848786E-6</v>
      </c>
      <c r="BD101" s="8">
        <f t="shared" si="149"/>
        <v>27.258455526963047</v>
      </c>
      <c r="BE101" s="7">
        <f t="shared" si="150"/>
        <v>1.3707994882990678E-2</v>
      </c>
      <c r="BF101" s="9">
        <f t="shared" si="151"/>
        <v>0.20234547018058854</v>
      </c>
      <c r="BG101" s="4">
        <f t="shared" si="203"/>
        <v>982.35108263723885</v>
      </c>
      <c r="BH101" s="6">
        <f t="shared" si="152"/>
        <v>5.4647021652744781E-6</v>
      </c>
      <c r="BI101" s="8">
        <f t="shared" si="153"/>
        <v>27.186037450328246</v>
      </c>
      <c r="BJ101" s="7">
        <f t="shared" si="154"/>
        <v>1.3676474838991313E-2</v>
      </c>
      <c r="BK101" s="9">
        <f t="shared" si="155"/>
        <v>0.20288447737474163</v>
      </c>
      <c r="BL101" s="4">
        <f t="shared" si="204"/>
        <v>975.45388427996807</v>
      </c>
      <c r="BM101" s="6">
        <f t="shared" si="156"/>
        <v>5.4509077685599362E-6</v>
      </c>
      <c r="BN101" s="8">
        <f t="shared" si="157"/>
        <v>27.106719669219633</v>
      </c>
      <c r="BO101" s="7">
        <f t="shared" si="158"/>
        <v>1.364195169136502E-2</v>
      </c>
      <c r="BP101" s="9">
        <f t="shared" si="159"/>
        <v>0.20347814369671341</v>
      </c>
      <c r="BQ101" s="4">
        <f t="shared" si="205"/>
        <v>967.95471755123663</v>
      </c>
      <c r="BR101" s="6">
        <f t="shared" si="160"/>
        <v>5.4359094351024736E-6</v>
      </c>
      <c r="BS101" s="8">
        <f t="shared" si="161"/>
        <v>27.02047925183922</v>
      </c>
      <c r="BT101" s="7">
        <f t="shared" si="162"/>
        <v>1.3604415459022615E-2</v>
      </c>
      <c r="BU101" s="9">
        <f t="shared" si="163"/>
        <v>0.20412757851526872</v>
      </c>
      <c r="BV101" s="4">
        <f t="shared" si="206"/>
        <v>959.8390351144435</v>
      </c>
      <c r="BW101" s="6">
        <f t="shared" si="164"/>
        <v>5.419678070228888E-6</v>
      </c>
      <c r="BX101" s="8">
        <f t="shared" si="165"/>
        <v>26.9271489038161</v>
      </c>
      <c r="BY101" s="7">
        <f t="shared" si="166"/>
        <v>1.3563793326913256E-2</v>
      </c>
      <c r="BZ101" s="9">
        <f t="shared" si="167"/>
        <v>0.2048350911454398</v>
      </c>
      <c r="CA101" s="4">
        <f t="shared" si="207"/>
        <v>951.01491441935684</v>
      </c>
      <c r="CB101" s="6">
        <f t="shared" si="168"/>
        <v>5.4020298288387146E-6</v>
      </c>
      <c r="CC101" s="8">
        <f t="shared" si="169"/>
        <v>26.825671515822602</v>
      </c>
      <c r="CD101" s="7">
        <f t="shared" si="170"/>
        <v>1.3519625187090574E-2</v>
      </c>
      <c r="CE101" s="9">
        <f t="shared" si="171"/>
        <v>0.20560995077967445</v>
      </c>
      <c r="CF101" s="4">
        <f t="shared" si="208"/>
        <v>940.99019072316776</v>
      </c>
      <c r="CG101" s="6">
        <f t="shared" si="172"/>
        <v>5.3819803814463357E-6</v>
      </c>
      <c r="CH101" s="8">
        <f t="shared" si="173"/>
        <v>26.710387193316429</v>
      </c>
      <c r="CI101" s="7">
        <f t="shared" si="174"/>
        <v>1.346944756450393E-2</v>
      </c>
      <c r="CJ101" s="9">
        <f t="shared" si="175"/>
        <v>0.20649738096571435</v>
      </c>
      <c r="CK101" s="4">
        <f t="shared" si="209"/>
        <v>927.59987957184944</v>
      </c>
      <c r="CL101" s="6">
        <f t="shared" si="176"/>
        <v>5.3551997591436996E-6</v>
      </c>
      <c r="CM101" s="8">
        <f t="shared" si="177"/>
        <v>26.556398615076269</v>
      </c>
      <c r="CN101" s="7">
        <f t="shared" si="178"/>
        <v>1.3402423873913442E-2</v>
      </c>
      <c r="CO101" s="9">
        <f t="shared" si="179"/>
        <v>0.20769476614456064</v>
      </c>
      <c r="CP101" s="4">
        <f t="shared" si="210"/>
        <v>903.37628318174518</v>
      </c>
      <c r="CQ101" s="6">
        <f t="shared" si="180"/>
        <v>5.3067525663634905E-6</v>
      </c>
      <c r="CR101" s="8">
        <f t="shared" si="181"/>
        <v>26.277827256590069</v>
      </c>
      <c r="CS101" s="7">
        <f t="shared" si="182"/>
        <v>1.3281175397228161E-2</v>
      </c>
      <c r="CT101" s="9">
        <f t="shared" si="183"/>
        <v>0.20989653924362286</v>
      </c>
      <c r="CU101" s="4">
        <f t="shared" si="211"/>
        <v>849.6697864937347</v>
      </c>
      <c r="CV101" s="6">
        <f t="shared" si="184"/>
        <v>5.1993395729874696E-6</v>
      </c>
      <c r="CW101" s="8">
        <f t="shared" si="185"/>
        <v>25.660202544677951</v>
      </c>
      <c r="CX101" s="7">
        <f t="shared" si="186"/>
        <v>1.3012353591966225E-2</v>
      </c>
      <c r="CY101" s="9">
        <f t="shared" si="187"/>
        <v>0.21494861509360794</v>
      </c>
      <c r="CZ101" s="5">
        <f t="shared" si="212"/>
        <v>738.1571794405744</v>
      </c>
      <c r="DA101" s="6">
        <f t="shared" si="188"/>
        <v>4.9763143588811496E-6</v>
      </c>
      <c r="DB101" s="8">
        <f t="shared" si="189"/>
        <v>24.377807563566606</v>
      </c>
      <c r="DC101" s="7">
        <f t="shared" si="190"/>
        <v>1.2454189828061898E-2</v>
      </c>
      <c r="DD101" s="9">
        <f t="shared" si="191"/>
        <v>0.22625599064303362</v>
      </c>
    </row>
    <row r="102" spans="2:108" x14ac:dyDescent="0.25">
      <c r="B102">
        <v>83</v>
      </c>
      <c r="C102">
        <f t="shared" si="192"/>
        <v>8.1142017306655878E-2</v>
      </c>
      <c r="D102" s="4">
        <f t="shared" si="109"/>
        <v>1018.6498147541191</v>
      </c>
      <c r="E102" s="6">
        <f t="shared" si="110"/>
        <v>5.5372996295082381E-6</v>
      </c>
      <c r="F102" s="8">
        <f t="shared" si="111"/>
        <v>27.60347286967237</v>
      </c>
      <c r="G102" s="7">
        <f t="shared" si="107"/>
        <v>1.3858164044173775E-2</v>
      </c>
      <c r="H102" s="9">
        <f t="shared" si="112"/>
        <v>0.19981634289430139</v>
      </c>
      <c r="I102" s="4">
        <f t="shared" si="193"/>
        <v>1018.3258879189807</v>
      </c>
      <c r="J102" s="6">
        <f t="shared" si="113"/>
        <v>5.536651775837962E-6</v>
      </c>
      <c r="K102" s="8">
        <f t="shared" si="114"/>
        <v>27.599747711068275</v>
      </c>
      <c r="L102" s="7">
        <f t="shared" si="115"/>
        <v>1.3856542664974523E-2</v>
      </c>
      <c r="M102" s="9">
        <f t="shared" si="116"/>
        <v>0.19984331225564353</v>
      </c>
      <c r="N102" s="4">
        <f t="shared" si="194"/>
        <v>1017.4211853705092</v>
      </c>
      <c r="O102" s="6">
        <f t="shared" si="117"/>
        <v>5.5348423707410193E-6</v>
      </c>
      <c r="P102" s="8">
        <f t="shared" si="118"/>
        <v>27.589343631760855</v>
      </c>
      <c r="Q102" s="7">
        <f t="shared" si="108"/>
        <v>1.3858164044173775E-2</v>
      </c>
      <c r="R102" s="9">
        <f t="shared" si="119"/>
        <v>0.19991867416702194</v>
      </c>
      <c r="S102" s="4">
        <f t="shared" si="195"/>
        <v>1015.9202990916574</v>
      </c>
      <c r="T102" s="6">
        <f t="shared" si="120"/>
        <v>5.5318405981833159E-6</v>
      </c>
      <c r="U102" s="8">
        <f t="shared" si="121"/>
        <v>27.57208343955406</v>
      </c>
      <c r="V102" s="7">
        <f t="shared" si="122"/>
        <v>1.3844501761710332E-2</v>
      </c>
      <c r="W102" s="9">
        <f t="shared" si="123"/>
        <v>0.20004382374991128</v>
      </c>
      <c r="X102" s="4">
        <f t="shared" si="196"/>
        <v>1013.8210048170168</v>
      </c>
      <c r="Y102" s="6">
        <f t="shared" si="124"/>
        <v>5.5276420096340343E-6</v>
      </c>
      <c r="Z102" s="8">
        <f t="shared" si="125"/>
        <v>27.547941555395695</v>
      </c>
      <c r="AA102" s="7">
        <f t="shared" si="126"/>
        <v>1.3833993981246391E-2</v>
      </c>
      <c r="AB102" s="9">
        <f t="shared" si="127"/>
        <v>0.20021913393814642</v>
      </c>
      <c r="AC102" s="4">
        <f t="shared" si="197"/>
        <v>1011.122082935511</v>
      </c>
      <c r="AD102" s="6">
        <f t="shared" si="128"/>
        <v>5.522244165871022E-6</v>
      </c>
      <c r="AE102" s="8">
        <f t="shared" si="129"/>
        <v>27.516903953758376</v>
      </c>
      <c r="AF102" s="7">
        <f t="shared" si="130"/>
        <v>1.3820484832499225E-2</v>
      </c>
      <c r="AG102" s="9">
        <f t="shared" si="131"/>
        <v>0.2004449704541216</v>
      </c>
      <c r="AH102" s="4">
        <f t="shared" si="198"/>
        <v>1007.8234464529924</v>
      </c>
      <c r="AI102" s="6">
        <f t="shared" si="132"/>
        <v>5.515646892905986E-6</v>
      </c>
      <c r="AJ102" s="8">
        <f t="shared" si="133"/>
        <v>27.478969634209413</v>
      </c>
      <c r="AK102" s="7">
        <f t="shared" si="134"/>
        <v>1.3803973880029461E-2</v>
      </c>
      <c r="AL102" s="9">
        <f t="shared" si="135"/>
        <v>0.20072168183240136</v>
      </c>
      <c r="AM102" s="4">
        <f t="shared" si="199"/>
        <v>1003.9250985279923</v>
      </c>
      <c r="AN102" s="6">
        <f t="shared" si="136"/>
        <v>5.5078501970559854E-6</v>
      </c>
      <c r="AO102" s="8">
        <f t="shared" si="137"/>
        <v>27.43413863307191</v>
      </c>
      <c r="AP102" s="7">
        <f t="shared" si="138"/>
        <v>1.3784461139646757E-2</v>
      </c>
      <c r="AQ102" s="9">
        <f t="shared" si="139"/>
        <v>0.20104968753605781</v>
      </c>
      <c r="AR102" s="4">
        <f t="shared" si="200"/>
        <v>999.42704575569303</v>
      </c>
      <c r="AS102" s="6">
        <f t="shared" si="140"/>
        <v>5.4988540915113864E-6</v>
      </c>
      <c r="AT102" s="8">
        <f t="shared" si="141"/>
        <v>27.382411026190468</v>
      </c>
      <c r="AU102" s="7">
        <f t="shared" si="142"/>
        <v>1.376194664436256E-2</v>
      </c>
      <c r="AV102" s="9">
        <f t="shared" si="143"/>
        <v>0.20142948678713746</v>
      </c>
      <c r="AW102" s="4">
        <f t="shared" si="201"/>
        <v>994.32929037124609</v>
      </c>
      <c r="AX102" s="6">
        <f t="shared" si="144"/>
        <v>5.4886585807424927E-6</v>
      </c>
      <c r="AY102" s="8">
        <f t="shared" si="145"/>
        <v>27.323786839269331</v>
      </c>
      <c r="AZ102" s="7">
        <f t="shared" si="146"/>
        <v>1.3736430405364666E-2</v>
      </c>
      <c r="BA102" s="9">
        <f t="shared" si="147"/>
        <v>0.20186166113962753</v>
      </c>
      <c r="BB102" s="4">
        <f t="shared" si="202"/>
        <v>988.63183026456534</v>
      </c>
      <c r="BC102" s="6">
        <f t="shared" si="148"/>
        <v>5.4772636605291313E-6</v>
      </c>
      <c r="BD102" s="8">
        <f t="shared" si="149"/>
        <v>27.258266048042501</v>
      </c>
      <c r="BE102" s="7">
        <f t="shared" si="150"/>
        <v>1.3707912412091284E-2</v>
      </c>
      <c r="BF102" s="9">
        <f t="shared" si="151"/>
        <v>0.20234687673378601</v>
      </c>
      <c r="BG102" s="4">
        <f t="shared" si="203"/>
        <v>982.33463696993113</v>
      </c>
      <c r="BH102" s="6">
        <f t="shared" si="152"/>
        <v>5.464669273939862E-6</v>
      </c>
      <c r="BI102" s="8">
        <f t="shared" si="153"/>
        <v>27.185848325154208</v>
      </c>
      <c r="BJ102" s="7">
        <f t="shared" si="154"/>
        <v>1.3676392522060455E-2</v>
      </c>
      <c r="BK102" s="9">
        <f t="shared" si="155"/>
        <v>0.20288588879150651</v>
      </c>
      <c r="BL102" s="4">
        <f t="shared" si="204"/>
        <v>975.43744776007543</v>
      </c>
      <c r="BM102" s="6">
        <f t="shared" si="156"/>
        <v>5.4508748955201509E-6</v>
      </c>
      <c r="BN102" s="8">
        <f t="shared" si="157"/>
        <v>27.106530649240867</v>
      </c>
      <c r="BO102" s="7">
        <f t="shared" si="158"/>
        <v>1.3641869420220517E-2</v>
      </c>
      <c r="BP102" s="9">
        <f t="shared" si="159"/>
        <v>0.20347956259590411</v>
      </c>
      <c r="BQ102" s="4">
        <f t="shared" si="205"/>
        <v>967.93811421163127</v>
      </c>
      <c r="BR102" s="6">
        <f t="shared" si="160"/>
        <v>5.4358762284232629E-6</v>
      </c>
      <c r="BS102" s="8">
        <f t="shared" si="161"/>
        <v>27.02028831343376</v>
      </c>
      <c r="BT102" s="7">
        <f t="shared" si="162"/>
        <v>1.3604332352880876E-2</v>
      </c>
      <c r="BU102" s="9">
        <f t="shared" si="163"/>
        <v>0.20412902097931279</v>
      </c>
      <c r="BV102" s="4">
        <f t="shared" si="206"/>
        <v>959.82116675950476</v>
      </c>
      <c r="BW102" s="6">
        <f t="shared" si="164"/>
        <v>5.4196423335190109E-6</v>
      </c>
      <c r="BX102" s="8">
        <f t="shared" si="165"/>
        <v>26.926943417734304</v>
      </c>
      <c r="BY102" s="7">
        <f t="shared" si="166"/>
        <v>1.3563703888880096E-2</v>
      </c>
      <c r="BZ102" s="9">
        <f t="shared" si="167"/>
        <v>0.20483665429204878</v>
      </c>
      <c r="CA102" s="4">
        <f t="shared" si="207"/>
        <v>950.99010779096272</v>
      </c>
      <c r="CB102" s="6">
        <f t="shared" si="168"/>
        <v>5.4019802155819261E-6</v>
      </c>
      <c r="CC102" s="8">
        <f t="shared" si="169"/>
        <v>26.825386239596071</v>
      </c>
      <c r="CD102" s="7">
        <f t="shared" si="170"/>
        <v>1.3519501020313022E-2</v>
      </c>
      <c r="CE102" s="9">
        <f t="shared" si="171"/>
        <v>0.20561213735139319</v>
      </c>
      <c r="CF102" s="4">
        <f t="shared" si="208"/>
        <v>940.93479717302444</v>
      </c>
      <c r="CG102" s="6">
        <f t="shared" si="172"/>
        <v>5.3818695943460491E-6</v>
      </c>
      <c r="CH102" s="8">
        <f t="shared" si="173"/>
        <v>26.70975016748978</v>
      </c>
      <c r="CI102" s="7">
        <f t="shared" si="174"/>
        <v>1.3469170298343082E-2</v>
      </c>
      <c r="CJ102" s="9">
        <f t="shared" si="175"/>
        <v>0.20650230591499263</v>
      </c>
      <c r="CK102" s="4">
        <f t="shared" si="209"/>
        <v>927.43906338083468</v>
      </c>
      <c r="CL102" s="6">
        <f t="shared" si="176"/>
        <v>5.3548781267616696E-6</v>
      </c>
      <c r="CM102" s="8">
        <f t="shared" si="177"/>
        <v>26.554549228879598</v>
      </c>
      <c r="CN102" s="7">
        <f t="shared" si="178"/>
        <v>1.3401618926626802E-2</v>
      </c>
      <c r="CO102" s="9">
        <f t="shared" si="179"/>
        <v>0.20770923100443525</v>
      </c>
      <c r="CP102" s="4">
        <f t="shared" si="210"/>
        <v>902.95215377014677</v>
      </c>
      <c r="CQ102" s="6">
        <f t="shared" si="180"/>
        <v>5.3059043075402943E-6</v>
      </c>
      <c r="CR102" s="8">
        <f t="shared" si="181"/>
        <v>26.272949768356689</v>
      </c>
      <c r="CS102" s="7">
        <f t="shared" si="182"/>
        <v>1.3279052465346143E-2</v>
      </c>
      <c r="CT102" s="9">
        <f t="shared" si="183"/>
        <v>0.20993550585793205</v>
      </c>
      <c r="CU102" s="4">
        <f t="shared" si="211"/>
        <v>848.84444051225046</v>
      </c>
      <c r="CV102" s="6">
        <f t="shared" si="184"/>
        <v>5.1976888810245013E-6</v>
      </c>
      <c r="CW102" s="8">
        <f t="shared" si="185"/>
        <v>25.650711065890881</v>
      </c>
      <c r="CX102" s="7">
        <f t="shared" si="186"/>
        <v>1.3008222415844329E-2</v>
      </c>
      <c r="CY102" s="9">
        <f t="shared" si="187"/>
        <v>0.21502815207857612</v>
      </c>
      <c r="CZ102" s="5">
        <f t="shared" si="212"/>
        <v>737.16848841298611</v>
      </c>
      <c r="DA102" s="6">
        <f t="shared" si="188"/>
        <v>4.9743369768259726E-6</v>
      </c>
      <c r="DB102" s="8">
        <f t="shared" si="189"/>
        <v>24.366437616749337</v>
      </c>
      <c r="DC102" s="7">
        <f t="shared" si="190"/>
        <v>1.2449241046754739E-2</v>
      </c>
      <c r="DD102" s="9">
        <f t="shared" si="191"/>
        <v>0.22636156695341439</v>
      </c>
    </row>
    <row r="103" spans="2:108" x14ac:dyDescent="0.25">
      <c r="B103">
        <v>84</v>
      </c>
      <c r="C103">
        <f t="shared" si="192"/>
        <v>8.2119631973001123E-2</v>
      </c>
      <c r="D103" s="4">
        <f t="shared" si="109"/>
        <v>1018.6332766862868</v>
      </c>
      <c r="E103" s="6">
        <f t="shared" si="110"/>
        <v>5.5372665533725738E-6</v>
      </c>
      <c r="F103" s="8">
        <f t="shared" si="111"/>
        <v>27.603282681892296</v>
      </c>
      <c r="G103" s="7">
        <f t="shared" si="107"/>
        <v>1.3858081264742526E-2</v>
      </c>
      <c r="H103" s="9">
        <f t="shared" si="112"/>
        <v>0.19981771963731837</v>
      </c>
      <c r="I103" s="4">
        <f t="shared" si="193"/>
        <v>1018.3093262590276</v>
      </c>
      <c r="J103" s="6">
        <f t="shared" si="113"/>
        <v>5.5366186525180555E-6</v>
      </c>
      <c r="K103" s="8">
        <f t="shared" si="114"/>
        <v>27.599557251978815</v>
      </c>
      <c r="L103" s="7">
        <f t="shared" si="115"/>
        <v>1.3856459767455575E-2</v>
      </c>
      <c r="M103" s="9">
        <f t="shared" si="116"/>
        <v>0.19984469133484176</v>
      </c>
      <c r="N103" s="4">
        <f t="shared" si="194"/>
        <v>1017.4045911384345</v>
      </c>
      <c r="O103" s="6">
        <f t="shared" si="117"/>
        <v>5.5348091822768692E-6</v>
      </c>
      <c r="P103" s="8">
        <f t="shared" si="118"/>
        <v>27.589152798091995</v>
      </c>
      <c r="Q103" s="7">
        <f t="shared" si="108"/>
        <v>1.3858081264742526E-2</v>
      </c>
      <c r="R103" s="9">
        <f t="shared" si="119"/>
        <v>0.19992005700086043</v>
      </c>
      <c r="S103" s="4">
        <f t="shared" si="195"/>
        <v>1015.9036910392426</v>
      </c>
      <c r="T103" s="6">
        <f t="shared" si="120"/>
        <v>5.5318073820784861E-6</v>
      </c>
      <c r="U103" s="8">
        <f t="shared" si="121"/>
        <v>27.571892446951288</v>
      </c>
      <c r="V103" s="7">
        <f t="shared" si="122"/>
        <v>1.3844418631979157E-2</v>
      </c>
      <c r="W103" s="9">
        <f t="shared" si="123"/>
        <v>0.20004520946874216</v>
      </c>
      <c r="X103" s="4">
        <f t="shared" si="196"/>
        <v>1013.8043997572601</v>
      </c>
      <c r="Y103" s="6">
        <f t="shared" si="124"/>
        <v>5.5276087995145205E-6</v>
      </c>
      <c r="Z103" s="8">
        <f t="shared" si="125"/>
        <v>27.547750597208491</v>
      </c>
      <c r="AA103" s="7">
        <f t="shared" si="126"/>
        <v>1.3833910866494627E-2</v>
      </c>
      <c r="AB103" s="9">
        <f t="shared" si="127"/>
        <v>0.20022052183668737</v>
      </c>
      <c r="AC103" s="4">
        <f t="shared" si="197"/>
        <v>1011.1054895683928</v>
      </c>
      <c r="AD103" s="6">
        <f t="shared" si="128"/>
        <v>5.5222109791367869E-6</v>
      </c>
      <c r="AE103" s="8">
        <f t="shared" si="129"/>
        <v>27.516713130036514</v>
      </c>
      <c r="AF103" s="7">
        <f t="shared" si="130"/>
        <v>1.3820401776273649E-2</v>
      </c>
      <c r="AG103" s="9">
        <f t="shared" si="131"/>
        <v>0.20044636050587342</v>
      </c>
      <c r="AH103" s="4">
        <f t="shared" si="198"/>
        <v>1007.8068694318999</v>
      </c>
      <c r="AI103" s="6">
        <f t="shared" si="132"/>
        <v>5.5156137388638006E-6</v>
      </c>
      <c r="AJ103" s="8">
        <f t="shared" si="133"/>
        <v>27.478778998466851</v>
      </c>
      <c r="AK103" s="7">
        <f t="shared" si="134"/>
        <v>1.3803890905622066E-2</v>
      </c>
      <c r="AL103" s="9">
        <f t="shared" si="135"/>
        <v>0.20072307435158376</v>
      </c>
      <c r="AM103" s="4">
        <f t="shared" si="199"/>
        <v>1003.9085414820456</v>
      </c>
      <c r="AN103" s="6">
        <f t="shared" si="136"/>
        <v>5.507817082964092E-6</v>
      </c>
      <c r="AO103" s="8">
        <f t="shared" si="137"/>
        <v>27.433948227043523</v>
      </c>
      <c r="AP103" s="7">
        <f t="shared" si="138"/>
        <v>1.3784378265222698E-2</v>
      </c>
      <c r="AQ103" s="9">
        <f t="shared" si="139"/>
        <v>0.20105108292662266</v>
      </c>
      <c r="AR103" s="4">
        <f t="shared" si="200"/>
        <v>999.41051221245345</v>
      </c>
      <c r="AS103" s="6">
        <f t="shared" si="140"/>
        <v>5.4988210244249071E-6</v>
      </c>
      <c r="AT103" s="8">
        <f t="shared" si="141"/>
        <v>27.382220890443215</v>
      </c>
      <c r="AU103" s="7">
        <f t="shared" si="142"/>
        <v>1.3761863887578647E-2</v>
      </c>
      <c r="AV103" s="9">
        <f t="shared" si="143"/>
        <v>0.2014308854664536</v>
      </c>
      <c r="AW103" s="4">
        <f t="shared" si="201"/>
        <v>994.31278385614007</v>
      </c>
      <c r="AX103" s="6">
        <f t="shared" si="144"/>
        <v>5.4886255677122814E-6</v>
      </c>
      <c r="AY103" s="8">
        <f t="shared" si="145"/>
        <v>27.323597014345609</v>
      </c>
      <c r="AZ103" s="7">
        <f t="shared" si="146"/>
        <v>1.373634778386703E-2</v>
      </c>
      <c r="BA103" s="9">
        <f t="shared" si="147"/>
        <v>0.20186306353091621</v>
      </c>
      <c r="BB103" s="4">
        <f t="shared" si="202"/>
        <v>988.61535398438468</v>
      </c>
      <c r="BC103" s="6">
        <f t="shared" si="148"/>
        <v>5.4772307079687697E-6</v>
      </c>
      <c r="BD103" s="8">
        <f t="shared" si="149"/>
        <v>27.258076570820421</v>
      </c>
      <c r="BE103" s="7">
        <f t="shared" si="150"/>
        <v>1.3707829941931145E-2</v>
      </c>
      <c r="BF103" s="9">
        <f t="shared" si="151"/>
        <v>0.20234828329392976</v>
      </c>
      <c r="BG103" s="4">
        <f t="shared" si="203"/>
        <v>982.31819113016127</v>
      </c>
      <c r="BH103" s="6">
        <f t="shared" si="152"/>
        <v>5.4646363822603231E-6</v>
      </c>
      <c r="BI103" s="8">
        <f t="shared" si="153"/>
        <v>27.185659197996856</v>
      </c>
      <c r="BJ103" s="7">
        <f t="shared" si="154"/>
        <v>1.3676310204266361E-2</v>
      </c>
      <c r="BK103" s="9">
        <f t="shared" si="155"/>
        <v>0.20288730024271079</v>
      </c>
      <c r="BL103" s="4">
        <f t="shared" si="204"/>
        <v>975.42100884268382</v>
      </c>
      <c r="BM103" s="6">
        <f t="shared" si="156"/>
        <v>5.4508420176853689E-6</v>
      </c>
      <c r="BN103" s="8">
        <f t="shared" si="157"/>
        <v>27.106341601690865</v>
      </c>
      <c r="BO103" s="7">
        <f t="shared" si="158"/>
        <v>1.3641787137075607E-2</v>
      </c>
      <c r="BP103" s="9">
        <f t="shared" si="159"/>
        <v>0.20348098172185439</v>
      </c>
      <c r="BQ103" s="4">
        <f t="shared" si="205"/>
        <v>967.92149523955959</v>
      </c>
      <c r="BR103" s="6">
        <f t="shared" si="160"/>
        <v>5.4358429904791199E-6</v>
      </c>
      <c r="BS103" s="8">
        <f t="shared" si="161"/>
        <v>27.020097195254934</v>
      </c>
      <c r="BT103" s="7">
        <f t="shared" si="162"/>
        <v>1.3604249168492592E-2</v>
      </c>
      <c r="BU103" s="9">
        <f t="shared" si="163"/>
        <v>0.20413046482188868</v>
      </c>
      <c r="BV103" s="4">
        <f t="shared" si="206"/>
        <v>959.80321734770655</v>
      </c>
      <c r="BW103" s="6">
        <f t="shared" si="164"/>
        <v>5.4196064346954132E-6</v>
      </c>
      <c r="BX103" s="8">
        <f t="shared" si="165"/>
        <v>26.926736999498623</v>
      </c>
      <c r="BY103" s="7">
        <f t="shared" si="166"/>
        <v>1.3563614045125974E-2</v>
      </c>
      <c r="BZ103" s="9">
        <f t="shared" si="167"/>
        <v>0.20483822455363609</v>
      </c>
      <c r="CA103" s="4">
        <f t="shared" si="207"/>
        <v>950.96496359983666</v>
      </c>
      <c r="CB103" s="6">
        <f t="shared" si="168"/>
        <v>5.4019299271996733E-6</v>
      </c>
      <c r="CC103" s="8">
        <f t="shared" si="169"/>
        <v>26.82509708139812</v>
      </c>
      <c r="CD103" s="7">
        <f t="shared" si="170"/>
        <v>1.3519375163903327E-2</v>
      </c>
      <c r="CE103" s="9">
        <f t="shared" si="171"/>
        <v>0.20561435372492329</v>
      </c>
      <c r="CF103" s="4">
        <f t="shared" si="208"/>
        <v>940.8783349450066</v>
      </c>
      <c r="CG103" s="6">
        <f t="shared" si="172"/>
        <v>5.3817566698900132E-6</v>
      </c>
      <c r="CH103" s="8">
        <f t="shared" si="173"/>
        <v>26.709100851867575</v>
      </c>
      <c r="CI103" s="7">
        <f t="shared" si="174"/>
        <v>1.3468887683035793E-2</v>
      </c>
      <c r="CJ103" s="9">
        <f t="shared" si="175"/>
        <v>0.2065073261204273</v>
      </c>
      <c r="CK103" s="4">
        <f t="shared" si="209"/>
        <v>927.27597788123387</v>
      </c>
      <c r="CL103" s="6">
        <f t="shared" si="176"/>
        <v>5.3545519557624684E-6</v>
      </c>
      <c r="CM103" s="8">
        <f t="shared" si="177"/>
        <v>26.552673745634188</v>
      </c>
      <c r="CN103" s="7">
        <f t="shared" si="178"/>
        <v>1.340080262057226E-2</v>
      </c>
      <c r="CO103" s="9">
        <f t="shared" si="179"/>
        <v>0.2077239020385615</v>
      </c>
      <c r="CP103" s="4">
        <f t="shared" si="210"/>
        <v>902.52595480956052</v>
      </c>
      <c r="CQ103" s="6">
        <f t="shared" si="180"/>
        <v>5.3050519096191211E-6</v>
      </c>
      <c r="CR103" s="8">
        <f t="shared" si="181"/>
        <v>26.268048480309943</v>
      </c>
      <c r="CS103" s="7">
        <f t="shared" si="182"/>
        <v>1.3276919174570334E-2</v>
      </c>
      <c r="CT103" s="9">
        <f t="shared" si="183"/>
        <v>0.20997467718755025</v>
      </c>
      <c r="CU103" s="4">
        <f t="shared" si="211"/>
        <v>848.02218807062047</v>
      </c>
      <c r="CV103" s="6">
        <f t="shared" si="184"/>
        <v>5.1960443761412418E-6</v>
      </c>
      <c r="CW103" s="8">
        <f t="shared" si="185"/>
        <v>25.641255162812136</v>
      </c>
      <c r="CX103" s="7">
        <f t="shared" si="186"/>
        <v>1.3004106724086887E-2</v>
      </c>
      <c r="CY103" s="9">
        <f t="shared" si="187"/>
        <v>0.2151074494980022</v>
      </c>
      <c r="CZ103" s="5">
        <f t="shared" si="212"/>
        <v>736.18831748715104</v>
      </c>
      <c r="DA103" s="6">
        <f t="shared" si="188"/>
        <v>4.9723766349743028E-6</v>
      </c>
      <c r="DB103" s="8">
        <f t="shared" si="189"/>
        <v>24.355165651102237</v>
      </c>
      <c r="DC103" s="7">
        <f t="shared" si="190"/>
        <v>1.2444334911854916E-2</v>
      </c>
      <c r="DD103" s="9">
        <f t="shared" si="191"/>
        <v>0.22646633075765513</v>
      </c>
    </row>
    <row r="104" spans="2:108" x14ac:dyDescent="0.25">
      <c r="B104">
        <v>85</v>
      </c>
      <c r="C104">
        <f t="shared" si="192"/>
        <v>8.3097246639346367E-2</v>
      </c>
      <c r="D104" s="4">
        <f t="shared" si="109"/>
        <v>1018.6167374139599</v>
      </c>
      <c r="E104" s="6">
        <f t="shared" si="110"/>
        <v>5.5372334748279198E-6</v>
      </c>
      <c r="F104" s="8">
        <f t="shared" si="111"/>
        <v>27.603092480260536</v>
      </c>
      <c r="G104" s="7">
        <f t="shared" si="107"/>
        <v>1.3857998479282315E-2</v>
      </c>
      <c r="H104" s="9">
        <f t="shared" si="112"/>
        <v>0.1998190964995796</v>
      </c>
      <c r="I104" s="4">
        <f t="shared" si="193"/>
        <v>1018.2927641844037</v>
      </c>
      <c r="J104" s="6">
        <f t="shared" si="113"/>
        <v>5.536585528368808E-6</v>
      </c>
      <c r="K104" s="8">
        <f t="shared" si="114"/>
        <v>27.599366788120641</v>
      </c>
      <c r="L104" s="7">
        <f t="shared" si="115"/>
        <v>1.3856376867861042E-2</v>
      </c>
      <c r="M104" s="9">
        <f t="shared" si="116"/>
        <v>0.19984607046760375</v>
      </c>
      <c r="N104" s="4">
        <f t="shared" si="194"/>
        <v>1017.3879971047627</v>
      </c>
      <c r="O104" s="6">
        <f t="shared" si="117"/>
        <v>5.5347759942095262E-6</v>
      </c>
      <c r="P104" s="8">
        <f t="shared" si="118"/>
        <v>27.588961966704773</v>
      </c>
      <c r="Q104" s="7">
        <f t="shared" si="108"/>
        <v>1.3857998479282315E-2</v>
      </c>
      <c r="R104" s="9">
        <f t="shared" si="119"/>
        <v>0.19992143983729543</v>
      </c>
      <c r="S104" s="4">
        <f t="shared" si="195"/>
        <v>1015.8870832940272</v>
      </c>
      <c r="T104" s="6">
        <f t="shared" si="120"/>
        <v>5.531774166588055E-6</v>
      </c>
      <c r="U104" s="8">
        <f t="shared" si="121"/>
        <v>27.571701457881311</v>
      </c>
      <c r="V104" s="7">
        <f t="shared" si="122"/>
        <v>1.3844335503785632E-2</v>
      </c>
      <c r="W104" s="9">
        <f t="shared" si="123"/>
        <v>0.2000465951811389</v>
      </c>
      <c r="X104" s="4">
        <f t="shared" si="196"/>
        <v>1013.7877949430666</v>
      </c>
      <c r="Y104" s="6">
        <f t="shared" si="124"/>
        <v>5.5275755898861342E-6</v>
      </c>
      <c r="Z104" s="8">
        <f t="shared" si="125"/>
        <v>27.547559641845265</v>
      </c>
      <c r="AA104" s="7">
        <f t="shared" si="126"/>
        <v>1.3833827752972006E-2</v>
      </c>
      <c r="AB104" s="9">
        <f t="shared" si="127"/>
        <v>0.20022190973394469</v>
      </c>
      <c r="AC104" s="4">
        <f t="shared" si="197"/>
        <v>1011.0888964041292</v>
      </c>
      <c r="AD104" s="6">
        <f t="shared" si="128"/>
        <v>5.5221777928082593E-6</v>
      </c>
      <c r="AE104" s="8">
        <f t="shared" si="129"/>
        <v>27.516522308647485</v>
      </c>
      <c r="AF104" s="7">
        <f t="shared" si="130"/>
        <v>1.3820318721063433E-2</v>
      </c>
      <c r="AG104" s="9">
        <f t="shared" si="131"/>
        <v>0.2004477505599111</v>
      </c>
      <c r="AH104" s="4">
        <f t="shared" si="198"/>
        <v>1007.7902926024154</v>
      </c>
      <c r="AI104" s="6">
        <f t="shared" si="132"/>
        <v>5.5155805852048307E-6</v>
      </c>
      <c r="AJ104" s="8">
        <f t="shared" si="133"/>
        <v>27.478588364927777</v>
      </c>
      <c r="AK104" s="7">
        <f t="shared" si="134"/>
        <v>1.3803807932173741E-2</v>
      </c>
      <c r="AL104" s="9">
        <f t="shared" si="135"/>
        <v>0.20072446687399173</v>
      </c>
      <c r="AM104" s="4">
        <f t="shared" si="199"/>
        <v>1003.8919846271837</v>
      </c>
      <c r="AN104" s="6">
        <f t="shared" si="136"/>
        <v>5.507783969254368E-6</v>
      </c>
      <c r="AO104" s="8">
        <f t="shared" si="137"/>
        <v>27.433757823212609</v>
      </c>
      <c r="AP104" s="7">
        <f t="shared" si="138"/>
        <v>1.3784295391755094E-2</v>
      </c>
      <c r="AQ104" s="9">
        <f t="shared" si="139"/>
        <v>0.20105247832045259</v>
      </c>
      <c r="AR104" s="4">
        <f t="shared" si="200"/>
        <v>999.39397886074448</v>
      </c>
      <c r="AS104" s="6">
        <f t="shared" si="140"/>
        <v>5.4987879577214891E-6</v>
      </c>
      <c r="AT104" s="8">
        <f t="shared" si="141"/>
        <v>27.382030756898558</v>
      </c>
      <c r="AU104" s="7">
        <f t="shared" si="142"/>
        <v>1.3761781131753421E-2</v>
      </c>
      <c r="AV104" s="9">
        <f t="shared" si="143"/>
        <v>0.20143228414899095</v>
      </c>
      <c r="AW104" s="4">
        <f t="shared" si="201"/>
        <v>994.29627752820591</v>
      </c>
      <c r="AX104" s="6">
        <f t="shared" si="144"/>
        <v>5.488592555056412E-6</v>
      </c>
      <c r="AY104" s="8">
        <f t="shared" si="145"/>
        <v>27.323407191574368</v>
      </c>
      <c r="AZ104" s="7">
        <f t="shared" si="146"/>
        <v>1.3736265163306253E-2</v>
      </c>
      <c r="BA104" s="9">
        <f t="shared" si="147"/>
        <v>0.20186446592578819</v>
      </c>
      <c r="BB104" s="4">
        <f t="shared" si="202"/>
        <v>988.59887784779983</v>
      </c>
      <c r="BC104" s="6">
        <f t="shared" si="148"/>
        <v>5.4771977556955998E-6</v>
      </c>
      <c r="BD104" s="8">
        <f t="shared" si="149"/>
        <v>27.257887095249696</v>
      </c>
      <c r="BE104" s="7">
        <f t="shared" si="150"/>
        <v>1.3707747472489762E-2</v>
      </c>
      <c r="BF104" s="9">
        <f t="shared" si="151"/>
        <v>0.20234968986136942</v>
      </c>
      <c r="BG104" s="4">
        <f t="shared" si="203"/>
        <v>982.30174509023402</v>
      </c>
      <c r="BH104" s="6">
        <f t="shared" si="152"/>
        <v>5.4646034901804679E-6</v>
      </c>
      <c r="BI104" s="8">
        <f t="shared" si="153"/>
        <v>27.18547006853769</v>
      </c>
      <c r="BJ104" s="7">
        <f t="shared" si="154"/>
        <v>1.3676227885470398E-2</v>
      </c>
      <c r="BK104" s="9">
        <f t="shared" si="155"/>
        <v>0.2028887117307325</v>
      </c>
      <c r="BL104" s="4">
        <f t="shared" si="204"/>
        <v>975.40456736844021</v>
      </c>
      <c r="BM104" s="6">
        <f t="shared" si="156"/>
        <v>5.4508091347368813E-6</v>
      </c>
      <c r="BN104" s="8">
        <f t="shared" si="157"/>
        <v>27.106152524737062</v>
      </c>
      <c r="BO104" s="7">
        <f t="shared" si="158"/>
        <v>1.3641704841132659E-2</v>
      </c>
      <c r="BP104" s="9">
        <f t="shared" si="159"/>
        <v>0.20348240108833016</v>
      </c>
      <c r="BQ104" s="4">
        <f t="shared" si="205"/>
        <v>967.90485988200328</v>
      </c>
      <c r="BR104" s="6">
        <f t="shared" si="160"/>
        <v>5.4358097197640075E-6</v>
      </c>
      <c r="BS104" s="8">
        <f t="shared" si="161"/>
        <v>27.019905888643038</v>
      </c>
      <c r="BT104" s="7">
        <f t="shared" si="162"/>
        <v>1.3604165902088614E-2</v>
      </c>
      <c r="BU104" s="9">
        <f t="shared" si="163"/>
        <v>0.20413191010847742</v>
      </c>
      <c r="BV104" s="4">
        <f t="shared" si="206"/>
        <v>959.78518412423182</v>
      </c>
      <c r="BW104" s="6">
        <f t="shared" si="164"/>
        <v>5.4195703682484634E-6</v>
      </c>
      <c r="BX104" s="8">
        <f t="shared" si="165"/>
        <v>26.926529617428663</v>
      </c>
      <c r="BY104" s="7">
        <f t="shared" si="166"/>
        <v>1.3563523781861972E-2</v>
      </c>
      <c r="BZ104" s="9">
        <f t="shared" si="167"/>
        <v>0.20483980217153258</v>
      </c>
      <c r="CA104" s="4">
        <f t="shared" si="207"/>
        <v>950.9394749673462</v>
      </c>
      <c r="CB104" s="6">
        <f t="shared" si="168"/>
        <v>5.4018789499346929E-6</v>
      </c>
      <c r="CC104" s="8">
        <f t="shared" si="169"/>
        <v>26.824803962124481</v>
      </c>
      <c r="CD104" s="7">
        <f t="shared" si="170"/>
        <v>1.3519247583431274E-2</v>
      </c>
      <c r="CE104" s="9">
        <f t="shared" si="171"/>
        <v>0.20561660050853811</v>
      </c>
      <c r="CF104" s="4">
        <f t="shared" si="208"/>
        <v>940.82079690274338</v>
      </c>
      <c r="CG104" s="6">
        <f t="shared" si="172"/>
        <v>5.3816415938054875E-6</v>
      </c>
      <c r="CH104" s="8">
        <f t="shared" si="173"/>
        <v>26.708439164381549</v>
      </c>
      <c r="CI104" s="7">
        <f t="shared" si="174"/>
        <v>1.346859968286177E-2</v>
      </c>
      <c r="CJ104" s="9">
        <f t="shared" si="175"/>
        <v>0.20651244223045626</v>
      </c>
      <c r="CK104" s="4">
        <f t="shared" si="209"/>
        <v>927.11064169934787</v>
      </c>
      <c r="CL104" s="6">
        <f t="shared" si="176"/>
        <v>5.3542212833986964E-6</v>
      </c>
      <c r="CM104" s="8">
        <f t="shared" si="177"/>
        <v>26.550772379542501</v>
      </c>
      <c r="CN104" s="7">
        <f t="shared" si="178"/>
        <v>1.3399975048981659E-2</v>
      </c>
      <c r="CO104" s="9">
        <f t="shared" si="179"/>
        <v>0.20773877765792667</v>
      </c>
      <c r="CP104" s="4">
        <f t="shared" si="210"/>
        <v>902.09775541997203</v>
      </c>
      <c r="CQ104" s="6">
        <f t="shared" si="180"/>
        <v>5.3041955108399441E-6</v>
      </c>
      <c r="CR104" s="8">
        <f t="shared" si="181"/>
        <v>26.26312418732968</v>
      </c>
      <c r="CS104" s="7">
        <f t="shared" si="182"/>
        <v>1.3274775870873017E-2</v>
      </c>
      <c r="CT104" s="9">
        <f t="shared" si="183"/>
        <v>0.2100140470972964</v>
      </c>
      <c r="CU104" s="4">
        <f t="shared" si="211"/>
        <v>847.20303603210562</v>
      </c>
      <c r="CV104" s="6">
        <f t="shared" si="184"/>
        <v>5.1944060720642116E-6</v>
      </c>
      <c r="CW104" s="8">
        <f t="shared" si="185"/>
        <v>25.631834914369215</v>
      </c>
      <c r="CX104" s="7">
        <f t="shared" si="186"/>
        <v>1.3000006551047173E-2</v>
      </c>
      <c r="CY104" s="9">
        <f t="shared" si="187"/>
        <v>0.21518650609394877</v>
      </c>
      <c r="CZ104" s="5">
        <f t="shared" si="212"/>
        <v>735.21648105698966</v>
      </c>
      <c r="DA104" s="6">
        <f t="shared" si="188"/>
        <v>4.9704329621139799E-6</v>
      </c>
      <c r="DB104" s="8">
        <f t="shared" si="189"/>
        <v>24.34398953215538</v>
      </c>
      <c r="DC104" s="7">
        <f t="shared" si="190"/>
        <v>1.2439470494332156E-2</v>
      </c>
      <c r="DD104" s="9">
        <f t="shared" si="191"/>
        <v>0.22657029952771487</v>
      </c>
    </row>
    <row r="105" spans="2:108" x14ac:dyDescent="0.25">
      <c r="B105">
        <v>86</v>
      </c>
      <c r="C105">
        <f t="shared" si="192"/>
        <v>8.4074861305691626E-2</v>
      </c>
      <c r="D105" s="4">
        <f t="shared" si="109"/>
        <v>1018.6001969774629</v>
      </c>
      <c r="E105" s="6">
        <f t="shared" si="110"/>
        <v>5.5372003939549265E-6</v>
      </c>
      <c r="F105" s="8">
        <f t="shared" si="111"/>
        <v>27.602902265240822</v>
      </c>
      <c r="G105" s="7">
        <f t="shared" si="107"/>
        <v>1.3857915687994982E-2</v>
      </c>
      <c r="H105" s="9">
        <f t="shared" si="112"/>
        <v>0.19982047347773266</v>
      </c>
      <c r="I105" s="4">
        <f t="shared" si="193"/>
        <v>1018.2762017023935</v>
      </c>
      <c r="J105" s="6">
        <f t="shared" si="113"/>
        <v>5.5365524034047876E-6</v>
      </c>
      <c r="K105" s="8">
        <f t="shared" si="114"/>
        <v>27.599176319577523</v>
      </c>
      <c r="L105" s="7">
        <f t="shared" si="115"/>
        <v>1.3856293966227382E-2</v>
      </c>
      <c r="M105" s="9">
        <f t="shared" si="116"/>
        <v>0.19984744965332468</v>
      </c>
      <c r="N105" s="4">
        <f t="shared" si="194"/>
        <v>1017.3714032650081</v>
      </c>
      <c r="O105" s="6">
        <f t="shared" si="117"/>
        <v>5.5347428065300175E-6</v>
      </c>
      <c r="P105" s="8">
        <f t="shared" si="118"/>
        <v>27.588771137547592</v>
      </c>
      <c r="Q105" s="7">
        <f t="shared" si="108"/>
        <v>1.3857915687994982E-2</v>
      </c>
      <c r="R105" s="9">
        <f t="shared" si="119"/>
        <v>0.1999228226767005</v>
      </c>
      <c r="S105" s="4">
        <f t="shared" si="195"/>
        <v>1015.8704758537629</v>
      </c>
      <c r="T105" s="6">
        <f t="shared" si="120"/>
        <v>5.5317409517075265E-6</v>
      </c>
      <c r="U105" s="8">
        <f t="shared" si="121"/>
        <v>27.571510472318273</v>
      </c>
      <c r="V105" s="7">
        <f t="shared" si="122"/>
        <v>1.3844252377118508E-2</v>
      </c>
      <c r="W105" s="9">
        <f t="shared" si="123"/>
        <v>0.20004798088728848</v>
      </c>
      <c r="X105" s="4">
        <f t="shared" si="196"/>
        <v>1013.7711903745143</v>
      </c>
      <c r="Y105" s="6">
        <f t="shared" si="124"/>
        <v>5.5275423807490287E-6</v>
      </c>
      <c r="Z105" s="8">
        <f t="shared" si="125"/>
        <v>27.547368689306914</v>
      </c>
      <c r="AA105" s="7">
        <f t="shared" si="126"/>
        <v>1.3833744640678908E-2</v>
      </c>
      <c r="AB105" s="9">
        <f t="shared" si="127"/>
        <v>0.20022329762991137</v>
      </c>
      <c r="AC105" s="4">
        <f t="shared" si="197"/>
        <v>1011.072303443078</v>
      </c>
      <c r="AD105" s="6">
        <f t="shared" si="128"/>
        <v>5.522144606886156E-6</v>
      </c>
      <c r="AE105" s="8">
        <f t="shared" si="129"/>
        <v>27.516331489595395</v>
      </c>
      <c r="AF105" s="7">
        <f t="shared" si="130"/>
        <v>1.3820235666870373E-2</v>
      </c>
      <c r="AG105" s="9">
        <f t="shared" si="131"/>
        <v>0.20044914061620439</v>
      </c>
      <c r="AH105" s="4">
        <f t="shared" si="198"/>
        <v>1007.7737159646711</v>
      </c>
      <c r="AI105" s="6">
        <f t="shared" si="132"/>
        <v>5.5155474319293423E-6</v>
      </c>
      <c r="AJ105" s="8">
        <f t="shared" si="133"/>
        <v>27.478397733593717</v>
      </c>
      <c r="AK105" s="7">
        <f t="shared" si="134"/>
        <v>1.3803724959685152E-2</v>
      </c>
      <c r="AL105" s="9">
        <f t="shared" si="135"/>
        <v>0.20072585939961385</v>
      </c>
      <c r="AM105" s="4">
        <f t="shared" si="199"/>
        <v>1003.8754279634173</v>
      </c>
      <c r="AN105" s="6">
        <f t="shared" si="136"/>
        <v>5.5077508559268355E-6</v>
      </c>
      <c r="AO105" s="8">
        <f t="shared" si="137"/>
        <v>27.433567421579298</v>
      </c>
      <c r="AP105" s="7">
        <f t="shared" si="138"/>
        <v>1.3784212519243997E-2</v>
      </c>
      <c r="AQ105" s="9">
        <f t="shared" si="139"/>
        <v>0.20105387371754643</v>
      </c>
      <c r="AR105" s="4">
        <f t="shared" si="200"/>
        <v>999.37744570049426</v>
      </c>
      <c r="AS105" s="6">
        <f t="shared" si="140"/>
        <v>5.4987548914009893E-6</v>
      </c>
      <c r="AT105" s="8">
        <f t="shared" si="141"/>
        <v>27.381840625555682</v>
      </c>
      <c r="AU105" s="7">
        <f t="shared" si="142"/>
        <v>1.3761698376886521E-2</v>
      </c>
      <c r="AV105" s="9">
        <f t="shared" si="143"/>
        <v>0.20143368283475527</v>
      </c>
      <c r="AW105" s="4">
        <f t="shared" si="201"/>
        <v>994.27977138686504</v>
      </c>
      <c r="AX105" s="6">
        <f t="shared" si="144"/>
        <v>5.488559542773731E-6</v>
      </c>
      <c r="AY105" s="8">
        <f t="shared" si="145"/>
        <v>27.323217370948946</v>
      </c>
      <c r="AZ105" s="7">
        <f t="shared" si="146"/>
        <v>1.3736182543679453E-2</v>
      </c>
      <c r="BA105" s="9">
        <f t="shared" si="147"/>
        <v>0.20186586832429246</v>
      </c>
      <c r="BB105" s="4">
        <f t="shared" si="202"/>
        <v>988.58240185041973</v>
      </c>
      <c r="BC105" s="6">
        <f t="shared" si="148"/>
        <v>5.4771648037008403E-6</v>
      </c>
      <c r="BD105" s="8">
        <f t="shared" si="149"/>
        <v>27.257697621279824</v>
      </c>
      <c r="BE105" s="7">
        <f t="shared" si="150"/>
        <v>1.3707665003745156E-2</v>
      </c>
      <c r="BF105" s="9">
        <f t="shared" si="151"/>
        <v>0.2023510964364798</v>
      </c>
      <c r="BG105" s="4">
        <f t="shared" si="203"/>
        <v>982.28529882087696</v>
      </c>
      <c r="BH105" s="6">
        <f t="shared" si="152"/>
        <v>5.4645705976417546E-6</v>
      </c>
      <c r="BI105" s="8">
        <f t="shared" si="153"/>
        <v>27.185280936440083</v>
      </c>
      <c r="BJ105" s="7">
        <f t="shared" si="154"/>
        <v>1.3676145565526054E-2</v>
      </c>
      <c r="BK105" s="9">
        <f t="shared" si="155"/>
        <v>0.20289012325808511</v>
      </c>
      <c r="BL105" s="4">
        <f t="shared" si="204"/>
        <v>975.38812317126315</v>
      </c>
      <c r="BM105" s="6">
        <f t="shared" si="156"/>
        <v>5.4507762463425274E-6</v>
      </c>
      <c r="BN105" s="8">
        <f t="shared" si="157"/>
        <v>27.105963416469525</v>
      </c>
      <c r="BO105" s="7">
        <f t="shared" si="158"/>
        <v>1.3641622531560376E-2</v>
      </c>
      <c r="BP105" s="9">
        <f t="shared" si="159"/>
        <v>0.20348382070967891</v>
      </c>
      <c r="BQ105" s="4">
        <f t="shared" si="205"/>
        <v>967.88820736538753</v>
      </c>
      <c r="BR105" s="6">
        <f t="shared" si="160"/>
        <v>5.435776414730775E-6</v>
      </c>
      <c r="BS105" s="8">
        <f t="shared" si="161"/>
        <v>27.019714384701956</v>
      </c>
      <c r="BT105" s="7">
        <f t="shared" si="162"/>
        <v>1.3604082549796899E-2</v>
      </c>
      <c r="BU105" s="9">
        <f t="shared" si="163"/>
        <v>0.20413335690634987</v>
      </c>
      <c r="BV105" s="4">
        <f t="shared" si="206"/>
        <v>959.7670643024768</v>
      </c>
      <c r="BW105" s="6">
        <f t="shared" si="164"/>
        <v>5.419534128604954E-6</v>
      </c>
      <c r="BX105" s="8">
        <f t="shared" si="165"/>
        <v>26.926321239478483</v>
      </c>
      <c r="BY105" s="7">
        <f t="shared" si="166"/>
        <v>1.3563433085140058E-2</v>
      </c>
      <c r="BZ105" s="9">
        <f t="shared" si="167"/>
        <v>0.20484138738986643</v>
      </c>
      <c r="CA105" s="4">
        <f t="shared" si="207"/>
        <v>950.9136350655109</v>
      </c>
      <c r="CB105" s="6">
        <f t="shared" si="168"/>
        <v>5.4018272701310222E-6</v>
      </c>
      <c r="CC105" s="8">
        <f t="shared" si="169"/>
        <v>26.824506803253374</v>
      </c>
      <c r="CD105" s="7">
        <f t="shared" si="170"/>
        <v>1.3519118244720178E-2</v>
      </c>
      <c r="CE105" s="9">
        <f t="shared" si="171"/>
        <v>0.20561887830612582</v>
      </c>
      <c r="CF105" s="4">
        <f t="shared" si="208"/>
        <v>940.7621762731751</v>
      </c>
      <c r="CG105" s="6">
        <f t="shared" si="172"/>
        <v>5.3815243525463501E-6</v>
      </c>
      <c r="CH105" s="8">
        <f t="shared" si="173"/>
        <v>26.707765027141512</v>
      </c>
      <c r="CI105" s="7">
        <f t="shared" si="174"/>
        <v>1.3468306263919219E-2</v>
      </c>
      <c r="CJ105" s="9">
        <f t="shared" si="175"/>
        <v>0.20651765486160292</v>
      </c>
      <c r="CK105" s="4">
        <f t="shared" si="209"/>
        <v>926.94307382671082</v>
      </c>
      <c r="CL105" s="6">
        <f t="shared" si="176"/>
        <v>5.3538861476534219E-6</v>
      </c>
      <c r="CM105" s="8">
        <f t="shared" si="177"/>
        <v>26.548845349007173</v>
      </c>
      <c r="CN105" s="7">
        <f t="shared" si="178"/>
        <v>1.3399136306914979E-2</v>
      </c>
      <c r="CO105" s="9">
        <f t="shared" si="179"/>
        <v>0.20775385624091797</v>
      </c>
      <c r="CP105" s="4">
        <f t="shared" si="210"/>
        <v>901.66762319559825</v>
      </c>
      <c r="CQ105" s="6">
        <f t="shared" si="180"/>
        <v>5.3033352463911969E-6</v>
      </c>
      <c r="CR105" s="8">
        <f t="shared" si="181"/>
        <v>26.258177666749379</v>
      </c>
      <c r="CS105" s="7">
        <f t="shared" si="182"/>
        <v>1.3272622892589419E-2</v>
      </c>
      <c r="CT105" s="9">
        <f t="shared" si="183"/>
        <v>0.2100536095840502</v>
      </c>
      <c r="CU105" s="4">
        <f t="shared" si="211"/>
        <v>846.38698941172993</v>
      </c>
      <c r="CV105" s="6">
        <f t="shared" si="184"/>
        <v>5.1927739788234599E-6</v>
      </c>
      <c r="CW105" s="8">
        <f t="shared" si="185"/>
        <v>25.622450378234895</v>
      </c>
      <c r="CX105" s="7">
        <f t="shared" si="186"/>
        <v>1.299592192182733E-2</v>
      </c>
      <c r="CY105" s="9">
        <f t="shared" si="187"/>
        <v>0.2152653207862302</v>
      </c>
      <c r="CZ105" s="5">
        <f t="shared" si="212"/>
        <v>734.25279967835752</v>
      </c>
      <c r="DA105" s="6">
        <f t="shared" si="188"/>
        <v>4.9685055993567148E-6</v>
      </c>
      <c r="DB105" s="8">
        <f t="shared" si="189"/>
        <v>24.332907196301111</v>
      </c>
      <c r="DC105" s="7">
        <f t="shared" si="190"/>
        <v>1.2434646895999048E-2</v>
      </c>
      <c r="DD105" s="9">
        <f t="shared" si="191"/>
        <v>0.22667349016308416</v>
      </c>
    </row>
    <row r="106" spans="2:108" x14ac:dyDescent="0.25">
      <c r="B106">
        <v>87</v>
      </c>
      <c r="C106">
        <f t="shared" si="192"/>
        <v>8.5052475972036884E-2</v>
      </c>
      <c r="D106" s="4">
        <f t="shared" si="109"/>
        <v>1018.5836554154334</v>
      </c>
      <c r="E106" s="6">
        <f t="shared" si="110"/>
        <v>5.5371673108308676E-6</v>
      </c>
      <c r="F106" s="8">
        <f t="shared" si="111"/>
        <v>27.602712037277485</v>
      </c>
      <c r="G106" s="7">
        <f t="shared" si="107"/>
        <v>1.3857832891073925E-2</v>
      </c>
      <c r="H106" s="9">
        <f t="shared" si="112"/>
        <v>0.1998218505685653</v>
      </c>
      <c r="I106" s="4">
        <f t="shared" si="193"/>
        <v>1018.2596388202651</v>
      </c>
      <c r="J106" s="6">
        <f t="shared" si="113"/>
        <v>5.5365192776405312E-6</v>
      </c>
      <c r="K106" s="8">
        <f t="shared" si="114"/>
        <v>27.598985846433045</v>
      </c>
      <c r="L106" s="7">
        <f t="shared" si="115"/>
        <v>1.3856211062590976E-2</v>
      </c>
      <c r="M106" s="9">
        <f t="shared" si="116"/>
        <v>0.19984882889140115</v>
      </c>
      <c r="N106" s="4">
        <f t="shared" si="194"/>
        <v>1017.3548096148464</v>
      </c>
      <c r="O106" s="6">
        <f t="shared" si="117"/>
        <v>5.5347096192296933E-6</v>
      </c>
      <c r="P106" s="8">
        <f t="shared" si="118"/>
        <v>27.588580310570734</v>
      </c>
      <c r="Q106" s="7">
        <f t="shared" si="108"/>
        <v>1.3857832891073925E-2</v>
      </c>
      <c r="R106" s="9">
        <f t="shared" si="119"/>
        <v>0.19992420551943568</v>
      </c>
      <c r="S106" s="4">
        <f t="shared" si="195"/>
        <v>1015.8538687162127</v>
      </c>
      <c r="T106" s="6">
        <f t="shared" si="120"/>
        <v>5.5317077374324259E-6</v>
      </c>
      <c r="U106" s="8">
        <f t="shared" si="121"/>
        <v>27.571319490236444</v>
      </c>
      <c r="V106" s="7">
        <f t="shared" si="122"/>
        <v>1.3844169251966583E-2</v>
      </c>
      <c r="W106" s="9">
        <f t="shared" si="123"/>
        <v>0.2000493665873769</v>
      </c>
      <c r="X106" s="4">
        <f t="shared" si="196"/>
        <v>1013.7545860516573</v>
      </c>
      <c r="Y106" s="6">
        <f t="shared" si="124"/>
        <v>5.527509172103315E-6</v>
      </c>
      <c r="Z106" s="8">
        <f t="shared" si="125"/>
        <v>27.547177739594058</v>
      </c>
      <c r="AA106" s="7">
        <f t="shared" si="126"/>
        <v>1.3833661529615614E-2</v>
      </c>
      <c r="AB106" s="9">
        <f t="shared" si="127"/>
        <v>0.2002246855245825</v>
      </c>
      <c r="AC106" s="4">
        <f t="shared" si="197"/>
        <v>1011.0557106855903</v>
      </c>
      <c r="AD106" s="6">
        <f t="shared" si="128"/>
        <v>5.5221114213711816E-6</v>
      </c>
      <c r="AE106" s="8">
        <f t="shared" si="129"/>
        <v>27.516140672884287</v>
      </c>
      <c r="AF106" s="7">
        <f t="shared" si="130"/>
        <v>1.382015261369623E-2</v>
      </c>
      <c r="AG106" s="9">
        <f t="shared" si="131"/>
        <v>0.20045053067472354</v>
      </c>
      <c r="AH106" s="4">
        <f t="shared" si="198"/>
        <v>1007.7571395188003</v>
      </c>
      <c r="AI106" s="6">
        <f t="shared" si="132"/>
        <v>5.5155142790376013E-6</v>
      </c>
      <c r="AJ106" s="8">
        <f t="shared" si="133"/>
        <v>27.4782071044662</v>
      </c>
      <c r="AK106" s="7">
        <f t="shared" si="134"/>
        <v>1.3803641988156966E-2</v>
      </c>
      <c r="AL106" s="9">
        <f t="shared" si="135"/>
        <v>0.20072725192843865</v>
      </c>
      <c r="AM106" s="4">
        <f t="shared" si="199"/>
        <v>1003.8588714907581</v>
      </c>
      <c r="AN106" s="6">
        <f t="shared" si="136"/>
        <v>5.5077177429815164E-6</v>
      </c>
      <c r="AO106" s="8">
        <f t="shared" si="137"/>
        <v>27.433377022143716</v>
      </c>
      <c r="AP106" s="7">
        <f t="shared" si="138"/>
        <v>1.3784129647689462E-2</v>
      </c>
      <c r="AQ106" s="9">
        <f t="shared" si="139"/>
        <v>0.20105526911790295</v>
      </c>
      <c r="AR106" s="4">
        <f t="shared" si="200"/>
        <v>999.36091273162447</v>
      </c>
      <c r="AS106" s="6">
        <f t="shared" si="140"/>
        <v>5.4987218254632494E-6</v>
      </c>
      <c r="AT106" s="8">
        <f t="shared" si="141"/>
        <v>27.38165049641368</v>
      </c>
      <c r="AU106" s="7">
        <f t="shared" si="142"/>
        <v>1.3761615622977553E-2</v>
      </c>
      <c r="AV106" s="9">
        <f t="shared" si="143"/>
        <v>0.20143508152375295</v>
      </c>
      <c r="AW106" s="4">
        <f t="shared" si="201"/>
        <v>994.26326543149003</v>
      </c>
      <c r="AX106" s="6">
        <f t="shared" si="144"/>
        <v>5.4885265308629804E-6</v>
      </c>
      <c r="AY106" s="8">
        <f t="shared" si="145"/>
        <v>27.323027552462136</v>
      </c>
      <c r="AZ106" s="7">
        <f t="shared" si="146"/>
        <v>1.3736099924983482E-2</v>
      </c>
      <c r="BA106" s="9">
        <f t="shared" si="147"/>
        <v>0.20186727072648197</v>
      </c>
      <c r="BB106" s="4">
        <f t="shared" si="202"/>
        <v>988.56592598754446</v>
      </c>
      <c r="BC106" s="6">
        <f t="shared" si="148"/>
        <v>5.4771318519750891E-6</v>
      </c>
      <c r="BD106" s="8">
        <f t="shared" si="149"/>
        <v>27.257508148856761</v>
      </c>
      <c r="BE106" s="7">
        <f t="shared" si="150"/>
        <v>1.3707582535673795E-2</v>
      </c>
      <c r="BF106" s="9">
        <f t="shared" si="151"/>
        <v>0.20235250301966201</v>
      </c>
      <c r="BG106" s="4">
        <f t="shared" si="203"/>
        <v>982.26885229118295</v>
      </c>
      <c r="BH106" s="6">
        <f t="shared" si="152"/>
        <v>5.464537704582366E-6</v>
      </c>
      <c r="BI106" s="8">
        <f t="shared" si="153"/>
        <v>27.185091801348605</v>
      </c>
      <c r="BJ106" s="7">
        <f t="shared" si="154"/>
        <v>1.367606324427862E-2</v>
      </c>
      <c r="BK106" s="9">
        <f t="shared" si="155"/>
        <v>0.20289153482742256</v>
      </c>
      <c r="BL106" s="4">
        <f t="shared" si="204"/>
        <v>975.371676078213</v>
      </c>
      <c r="BM106" s="6">
        <f t="shared" si="156"/>
        <v>5.4507433521564265E-6</v>
      </c>
      <c r="BN106" s="8">
        <f t="shared" si="157"/>
        <v>27.105774274899449</v>
      </c>
      <c r="BO106" s="7">
        <f t="shared" si="158"/>
        <v>1.3641540207493124E-2</v>
      </c>
      <c r="BP106" s="9">
        <f t="shared" si="159"/>
        <v>0.20348524060084097</v>
      </c>
      <c r="BQ106" s="4">
        <f t="shared" si="205"/>
        <v>967.87153689560409</v>
      </c>
      <c r="BR106" s="6">
        <f t="shared" si="160"/>
        <v>5.4357430737912094E-6</v>
      </c>
      <c r="BS106" s="8">
        <f t="shared" si="161"/>
        <v>27.019522674299445</v>
      </c>
      <c r="BT106" s="7">
        <f t="shared" si="162"/>
        <v>1.3603999107642636E-2</v>
      </c>
      <c r="BU106" s="9">
        <f t="shared" si="163"/>
        <v>0.20413480528456476</v>
      </c>
      <c r="BV106" s="4">
        <f t="shared" si="206"/>
        <v>959.74885506536054</v>
      </c>
      <c r="BW106" s="6">
        <f t="shared" si="164"/>
        <v>5.4194977101307216E-6</v>
      </c>
      <c r="BX106" s="8">
        <f t="shared" si="165"/>
        <v>26.926111833251646</v>
      </c>
      <c r="BY106" s="7">
        <f t="shared" si="166"/>
        <v>1.3563341940859647E-2</v>
      </c>
      <c r="BZ106" s="9">
        <f t="shared" si="167"/>
        <v>0.20484298045544896</v>
      </c>
      <c r="CA106" s="4">
        <f t="shared" si="207"/>
        <v>950.88743712030578</v>
      </c>
      <c r="CB106" s="6">
        <f t="shared" si="168"/>
        <v>5.4017748742406122E-6</v>
      </c>
      <c r="CC106" s="8">
        <f t="shared" si="169"/>
        <v>26.824205526883517</v>
      </c>
      <c r="CD106" s="7">
        <f t="shared" si="170"/>
        <v>1.351898711386342E-2</v>
      </c>
      <c r="CE106" s="9">
        <f t="shared" si="171"/>
        <v>0.20562118771689916</v>
      </c>
      <c r="CF106" s="4">
        <f t="shared" si="208"/>
        <v>940.70246664248612</v>
      </c>
      <c r="CG106" s="6">
        <f t="shared" si="172"/>
        <v>5.3814049332849722E-6</v>
      </c>
      <c r="CH106" s="8">
        <f t="shared" si="173"/>
        <v>26.70707836638859</v>
      </c>
      <c r="CI106" s="7">
        <f t="shared" si="174"/>
        <v>1.346800739410452E-2</v>
      </c>
      <c r="CJ106" s="9">
        <f t="shared" si="175"/>
        <v>0.20652296459883565</v>
      </c>
      <c r="CK106" s="4">
        <f t="shared" si="209"/>
        <v>926.77329359377063</v>
      </c>
      <c r="CL106" s="6">
        <f t="shared" si="176"/>
        <v>5.3535465871875418E-6</v>
      </c>
      <c r="CM106" s="8">
        <f t="shared" si="177"/>
        <v>26.546892876328361</v>
      </c>
      <c r="CN106" s="7">
        <f t="shared" si="178"/>
        <v>1.3398286491128595E-2</v>
      </c>
      <c r="CO106" s="9">
        <f t="shared" si="179"/>
        <v>0.20776913613563552</v>
      </c>
      <c r="CP106" s="4">
        <f t="shared" si="210"/>
        <v>901.23562422501004</v>
      </c>
      <c r="CQ106" s="6">
        <f t="shared" si="180"/>
        <v>5.3024712484500205E-6</v>
      </c>
      <c r="CR106" s="8">
        <f t="shared" si="181"/>
        <v>26.253209678587616</v>
      </c>
      <c r="CS106" s="7">
        <f t="shared" si="182"/>
        <v>1.3270460570518413E-2</v>
      </c>
      <c r="CT106" s="9">
        <f t="shared" si="183"/>
        <v>0.21009335877504531</v>
      </c>
      <c r="CU106" s="4">
        <f t="shared" si="211"/>
        <v>845.57405149146075</v>
      </c>
      <c r="CV106" s="6">
        <f t="shared" si="184"/>
        <v>5.191148102982922E-6</v>
      </c>
      <c r="CW106" s="8">
        <f t="shared" si="185"/>
        <v>25.6131015921518</v>
      </c>
      <c r="CX106" s="7">
        <f t="shared" si="186"/>
        <v>1.2991852852854872E-2</v>
      </c>
      <c r="CY106" s="9">
        <f t="shared" si="187"/>
        <v>0.21534389266195164</v>
      </c>
      <c r="CZ106" s="5">
        <f t="shared" si="212"/>
        <v>733.29709981791666</v>
      </c>
      <c r="DA106" s="6">
        <f t="shared" si="188"/>
        <v>4.9665941996358336E-6</v>
      </c>
      <c r="DB106" s="8">
        <f t="shared" si="189"/>
        <v>24.321916647906043</v>
      </c>
      <c r="DC106" s="7">
        <f t="shared" si="190"/>
        <v>1.2429863248254069E-2</v>
      </c>
      <c r="DD106" s="9">
        <f t="shared" si="191"/>
        <v>0.22677591901355598</v>
      </c>
    </row>
    <row r="107" spans="2:108" x14ac:dyDescent="0.25">
      <c r="B107">
        <v>88</v>
      </c>
      <c r="C107">
        <f t="shared" si="192"/>
        <v>8.6030090638382128E-2</v>
      </c>
      <c r="D107" s="4">
        <f t="shared" si="109"/>
        <v>1018.5671127649074</v>
      </c>
      <c r="E107" s="6">
        <f t="shared" si="110"/>
        <v>5.5371342255298147E-6</v>
      </c>
      <c r="F107" s="8">
        <f t="shared" si="111"/>
        <v>27.602521796796434</v>
      </c>
      <c r="G107" s="7">
        <f t="shared" si="107"/>
        <v>1.3857750088704518E-2</v>
      </c>
      <c r="H107" s="9">
        <f t="shared" si="112"/>
        <v>0.19982322776899852</v>
      </c>
      <c r="I107" s="4">
        <f t="shared" si="193"/>
        <v>1018.2430755452629</v>
      </c>
      <c r="J107" s="6">
        <f t="shared" si="113"/>
        <v>5.5364861510905263E-6</v>
      </c>
      <c r="K107" s="8">
        <f t="shared" si="114"/>
        <v>27.598795368770524</v>
      </c>
      <c r="L107" s="7">
        <f t="shared" si="115"/>
        <v>1.3856128156988085E-2</v>
      </c>
      <c r="M107" s="9">
        <f t="shared" si="116"/>
        <v>0.19985020818123161</v>
      </c>
      <c r="N107" s="4">
        <f t="shared" si="194"/>
        <v>1017.3382161501098</v>
      </c>
      <c r="O107" s="6">
        <f t="shared" si="117"/>
        <v>5.5346764323002204E-6</v>
      </c>
      <c r="P107" s="8">
        <f t="shared" si="118"/>
        <v>27.58838948572626</v>
      </c>
      <c r="Q107" s="7">
        <f t="shared" si="108"/>
        <v>1.3857750088704518E-2</v>
      </c>
      <c r="R107" s="9">
        <f t="shared" si="119"/>
        <v>0.19992558836584809</v>
      </c>
      <c r="S107" s="4">
        <f t="shared" si="195"/>
        <v>1015.8372618791525</v>
      </c>
      <c r="T107" s="6">
        <f t="shared" si="120"/>
        <v>5.5316745237583053E-6</v>
      </c>
      <c r="U107" s="8">
        <f t="shared" si="121"/>
        <v>27.571128511610254</v>
      </c>
      <c r="V107" s="7">
        <f t="shared" si="122"/>
        <v>1.3844086128318729E-2</v>
      </c>
      <c r="W107" s="9">
        <f t="shared" si="123"/>
        <v>0.20005075228158906</v>
      </c>
      <c r="X107" s="4">
        <f t="shared" si="196"/>
        <v>1013.7379819745265</v>
      </c>
      <c r="Y107" s="6">
        <f t="shared" si="124"/>
        <v>5.527475963949054E-6</v>
      </c>
      <c r="Z107" s="8">
        <f t="shared" si="125"/>
        <v>27.546986792707052</v>
      </c>
      <c r="AA107" s="7">
        <f t="shared" si="126"/>
        <v>1.3833578419782276E-2</v>
      </c>
      <c r="AB107" s="9">
        <f t="shared" si="127"/>
        <v>0.20022607341795504</v>
      </c>
      <c r="AC107" s="4">
        <f t="shared" si="197"/>
        <v>1011.0391181320099</v>
      </c>
      <c r="AD107" s="6">
        <f t="shared" si="128"/>
        <v>5.5220782362640205E-6</v>
      </c>
      <c r="AE107" s="8">
        <f t="shared" si="129"/>
        <v>27.515949858518113</v>
      </c>
      <c r="AF107" s="7">
        <f t="shared" si="130"/>
        <v>1.3820069561542718E-2</v>
      </c>
      <c r="AG107" s="9">
        <f t="shared" si="131"/>
        <v>0.20045192073543949</v>
      </c>
      <c r="AH107" s="4">
        <f t="shared" si="198"/>
        <v>1007.7405632649372</v>
      </c>
      <c r="AI107" s="6">
        <f t="shared" si="132"/>
        <v>5.5154811265298753E-6</v>
      </c>
      <c r="AJ107" s="8">
        <f t="shared" si="133"/>
        <v>27.478016477546777</v>
      </c>
      <c r="AK107" s="7">
        <f t="shared" si="134"/>
        <v>1.380355901758985E-2</v>
      </c>
      <c r="AL107" s="9">
        <f t="shared" si="135"/>
        <v>0.2007286444604546</v>
      </c>
      <c r="AM107" s="4">
        <f t="shared" si="199"/>
        <v>1003.8423152092176</v>
      </c>
      <c r="AN107" s="6">
        <f t="shared" si="136"/>
        <v>5.5076846304184353E-6</v>
      </c>
      <c r="AO107" s="8">
        <f t="shared" si="137"/>
        <v>27.433186624906</v>
      </c>
      <c r="AP107" s="7">
        <f t="shared" si="138"/>
        <v>1.3784046777091554E-2</v>
      </c>
      <c r="AQ107" s="9">
        <f t="shared" si="139"/>
        <v>0.20105666452152091</v>
      </c>
      <c r="AR107" s="4">
        <f t="shared" si="200"/>
        <v>999.34437995405017</v>
      </c>
      <c r="AS107" s="6">
        <f t="shared" si="140"/>
        <v>5.4986887599081006E-6</v>
      </c>
      <c r="AT107" s="8">
        <f t="shared" si="141"/>
        <v>27.381460369471576</v>
      </c>
      <c r="AU107" s="7">
        <f t="shared" si="142"/>
        <v>1.3761532870026091E-2</v>
      </c>
      <c r="AV107" s="9">
        <f t="shared" si="143"/>
        <v>0.20143648021599089</v>
      </c>
      <c r="AW107" s="4">
        <f t="shared" si="201"/>
        <v>994.2467596614016</v>
      </c>
      <c r="AX107" s="6">
        <f t="shared" si="144"/>
        <v>5.4884935193228042E-6</v>
      </c>
      <c r="AY107" s="8">
        <f t="shared" si="145"/>
        <v>27.322837736106116</v>
      </c>
      <c r="AZ107" s="7">
        <f t="shared" si="146"/>
        <v>1.3736017307214946E-2</v>
      </c>
      <c r="BA107" s="9">
        <f t="shared" si="147"/>
        <v>0.2018686731324143</v>
      </c>
      <c r="BB107" s="4">
        <f t="shared" si="202"/>
        <v>988.54945025414929</v>
      </c>
      <c r="BC107" s="6">
        <f t="shared" si="148"/>
        <v>5.4770989005082997E-6</v>
      </c>
      <c r="BD107" s="8">
        <f t="shared" si="149"/>
        <v>27.257318677922719</v>
      </c>
      <c r="BE107" s="7">
        <f t="shared" si="150"/>
        <v>1.3707500068250535E-2</v>
      </c>
      <c r="BF107" s="9">
        <f t="shared" si="151"/>
        <v>0.20235390961134503</v>
      </c>
      <c r="BG107" s="4">
        <f t="shared" si="203"/>
        <v>982.25240546855321</v>
      </c>
      <c r="BH107" s="6">
        <f t="shared" si="152"/>
        <v>5.4645048109371067E-6</v>
      </c>
      <c r="BI107" s="8">
        <f t="shared" si="153"/>
        <v>27.184902662888362</v>
      </c>
      <c r="BJ107" s="7">
        <f t="shared" si="154"/>
        <v>1.3675980921564929E-2</v>
      </c>
      <c r="BK107" s="9">
        <f t="shared" si="155"/>
        <v>0.20289294644154418</v>
      </c>
      <c r="BL107" s="4">
        <f t="shared" si="204"/>
        <v>975.3552259093658</v>
      </c>
      <c r="BM107" s="6">
        <f t="shared" si="156"/>
        <v>5.450710451818732E-6</v>
      </c>
      <c r="BN107" s="8">
        <f t="shared" si="157"/>
        <v>27.105585097957707</v>
      </c>
      <c r="BO107" s="7">
        <f t="shared" si="158"/>
        <v>1.364145786803032E-2</v>
      </c>
      <c r="BP107" s="9">
        <f t="shared" si="159"/>
        <v>0.20348666077736058</v>
      </c>
      <c r="BQ107" s="4">
        <f t="shared" si="205"/>
        <v>967.85484765805052</v>
      </c>
      <c r="BR107" s="6">
        <f t="shared" si="160"/>
        <v>5.4357096953161013E-6</v>
      </c>
      <c r="BS107" s="8">
        <f t="shared" si="161"/>
        <v>27.019330748067581</v>
      </c>
      <c r="BT107" s="7">
        <f t="shared" si="162"/>
        <v>1.3603915571548412E-2</v>
      </c>
      <c r="BU107" s="9">
        <f t="shared" si="163"/>
        <v>0.20413625531396543</v>
      </c>
      <c r="BV107" s="4">
        <f t="shared" si="206"/>
        <v>959.73055356664634</v>
      </c>
      <c r="BW107" s="6">
        <f t="shared" si="164"/>
        <v>5.4194611071332933E-6</v>
      </c>
      <c r="BX107" s="8">
        <f t="shared" si="165"/>
        <v>26.925901366016433</v>
      </c>
      <c r="BY107" s="7">
        <f t="shared" si="166"/>
        <v>1.3563250334774223E-2</v>
      </c>
      <c r="BZ107" s="9">
        <f t="shared" si="167"/>
        <v>0.20484458161765939</v>
      </c>
      <c r="CA107" s="4">
        <f t="shared" si="207"/>
        <v>950.86087441483426</v>
      </c>
      <c r="CB107" s="6">
        <f t="shared" si="168"/>
        <v>5.4017217488296688E-6</v>
      </c>
      <c r="CC107" s="8">
        <f t="shared" si="169"/>
        <v>26.823900055770594</v>
      </c>
      <c r="CD107" s="7">
        <f t="shared" si="170"/>
        <v>1.3518854157240332E-2</v>
      </c>
      <c r="CE107" s="9">
        <f t="shared" si="171"/>
        <v>0.20562352933511732</v>
      </c>
      <c r="CF107" s="4">
        <f t="shared" si="208"/>
        <v>940.64166195182429</v>
      </c>
      <c r="CG107" s="6">
        <f t="shared" si="172"/>
        <v>5.3812833239036488E-6</v>
      </c>
      <c r="CH107" s="8">
        <f t="shared" si="173"/>
        <v>26.70637911244598</v>
      </c>
      <c r="CI107" s="7">
        <f t="shared" si="174"/>
        <v>1.3467703043090768E-2</v>
      </c>
      <c r="CJ107" s="9">
        <f t="shared" si="175"/>
        <v>0.20652837199594579</v>
      </c>
      <c r="CK107" s="4">
        <f t="shared" si="209"/>
        <v>926.60132064450465</v>
      </c>
      <c r="CL107" s="6">
        <f t="shared" si="176"/>
        <v>5.3532026412890098E-6</v>
      </c>
      <c r="CM107" s="8">
        <f t="shared" si="177"/>
        <v>26.544915187411803</v>
      </c>
      <c r="CN107" s="7">
        <f t="shared" si="178"/>
        <v>1.3397425699948222E-2</v>
      </c>
      <c r="CO107" s="9">
        <f t="shared" si="179"/>
        <v>0.2077846156621225</v>
      </c>
      <c r="CP107" s="4">
        <f t="shared" si="210"/>
        <v>900.80182311197234</v>
      </c>
      <c r="CQ107" s="6">
        <f t="shared" si="180"/>
        <v>5.3016036462239454E-6</v>
      </c>
      <c r="CR107" s="8">
        <f t="shared" si="181"/>
        <v>26.248220965787681</v>
      </c>
      <c r="CS107" s="7">
        <f t="shared" si="182"/>
        <v>1.3268289228026857E-2</v>
      </c>
      <c r="CT107" s="9">
        <f t="shared" si="183"/>
        <v>0.21013328892610084</v>
      </c>
      <c r="CU107" s="4">
        <f t="shared" si="211"/>
        <v>844.76422392907898</v>
      </c>
      <c r="CV107" s="6">
        <f t="shared" si="184"/>
        <v>5.1895284478581583E-6</v>
      </c>
      <c r="CW107" s="8">
        <f t="shared" si="185"/>
        <v>25.60378857518441</v>
      </c>
      <c r="CX107" s="7">
        <f t="shared" si="186"/>
        <v>1.2987799352427633E-2</v>
      </c>
      <c r="CY107" s="9">
        <f t="shared" si="187"/>
        <v>0.21542222096560465</v>
      </c>
      <c r="CZ107" s="5">
        <f t="shared" si="212"/>
        <v>732.34921361339968</v>
      </c>
      <c r="DA107" s="6">
        <f t="shared" si="188"/>
        <v>4.9646984272267994E-6</v>
      </c>
      <c r="DB107" s="8">
        <f t="shared" si="189"/>
        <v>24.311015956554094</v>
      </c>
      <c r="DC107" s="7">
        <f t="shared" si="190"/>
        <v>1.2425118710881592E-2</v>
      </c>
      <c r="DD107" s="9">
        <f t="shared" si="191"/>
        <v>0.22687760190100253</v>
      </c>
    </row>
    <row r="108" spans="2:108" x14ac:dyDescent="0.25">
      <c r="B108">
        <v>89</v>
      </c>
      <c r="C108">
        <f t="shared" si="192"/>
        <v>8.7007705304727373E-2</v>
      </c>
      <c r="D108" s="4">
        <f t="shared" si="109"/>
        <v>1018.5505690613998</v>
      </c>
      <c r="E108" s="6">
        <f t="shared" si="110"/>
        <v>5.5371011381228007E-6</v>
      </c>
      <c r="F108" s="8">
        <f t="shared" si="111"/>
        <v>27.602331544206095</v>
      </c>
      <c r="G108" s="7">
        <f t="shared" si="107"/>
        <v>1.3857667281064535E-2</v>
      </c>
      <c r="H108" s="9">
        <f t="shared" si="112"/>
        <v>0.19982460507607969</v>
      </c>
      <c r="I108" s="4">
        <f t="shared" si="193"/>
        <v>1018.2265118845999</v>
      </c>
      <c r="J108" s="6">
        <f t="shared" si="113"/>
        <v>5.5364530237691997E-6</v>
      </c>
      <c r="K108" s="8">
        <f t="shared" si="114"/>
        <v>27.598604886672895</v>
      </c>
      <c r="L108" s="7">
        <f t="shared" si="115"/>
        <v>1.3856045249454808E-2</v>
      </c>
      <c r="M108" s="9">
        <f t="shared" si="116"/>
        <v>0.19985158752221721</v>
      </c>
      <c r="N108" s="4">
        <f t="shared" si="194"/>
        <v>1017.3216228667828</v>
      </c>
      <c r="O108" s="6">
        <f t="shared" si="117"/>
        <v>5.5346432457335665E-6</v>
      </c>
      <c r="P108" s="8">
        <f t="shared" si="118"/>
        <v>27.588198662968004</v>
      </c>
      <c r="Q108" s="7">
        <f t="shared" si="108"/>
        <v>1.3857667281064535E-2</v>
      </c>
      <c r="R108" s="9">
        <f t="shared" si="119"/>
        <v>0.19992697121627206</v>
      </c>
      <c r="S108" s="4">
        <f t="shared" si="195"/>
        <v>1015.8206553403722</v>
      </c>
      <c r="T108" s="6">
        <f t="shared" si="120"/>
        <v>5.531641310680745E-6</v>
      </c>
      <c r="U108" s="8">
        <f t="shared" si="121"/>
        <v>27.570937536414281</v>
      </c>
      <c r="V108" s="7">
        <f t="shared" si="122"/>
        <v>1.3844003006163881E-2</v>
      </c>
      <c r="W108" s="9">
        <f t="shared" si="123"/>
        <v>0.20005213797010876</v>
      </c>
      <c r="X108" s="4">
        <f t="shared" si="196"/>
        <v>1013.7213781431304</v>
      </c>
      <c r="Y108" s="6">
        <f t="shared" si="124"/>
        <v>5.5274427562862619E-6</v>
      </c>
      <c r="Z108" s="8">
        <f t="shared" si="125"/>
        <v>27.546795848645999</v>
      </c>
      <c r="AA108" s="7">
        <f t="shared" si="126"/>
        <v>1.3833495311178933E-2</v>
      </c>
      <c r="AB108" s="9">
        <f t="shared" si="127"/>
        <v>0.20022746131002775</v>
      </c>
      <c r="AC108" s="4">
        <f t="shared" si="197"/>
        <v>1011.0225257826737</v>
      </c>
      <c r="AD108" s="6">
        <f t="shared" si="128"/>
        <v>5.5220450515653486E-6</v>
      </c>
      <c r="AE108" s="8">
        <f t="shared" si="129"/>
        <v>27.515759046500747</v>
      </c>
      <c r="AF108" s="7">
        <f t="shared" si="130"/>
        <v>1.3819986510411532E-2</v>
      </c>
      <c r="AG108" s="9">
        <f t="shared" si="131"/>
        <v>0.20045331079832365</v>
      </c>
      <c r="AH108" s="4">
        <f t="shared" si="198"/>
        <v>1007.7239872032171</v>
      </c>
      <c r="AI108" s="6">
        <f t="shared" si="132"/>
        <v>5.5154479744064347E-6</v>
      </c>
      <c r="AJ108" s="8">
        <f t="shared" si="133"/>
        <v>27.477825852836997</v>
      </c>
      <c r="AK108" s="7">
        <f t="shared" si="134"/>
        <v>1.3803476047984486E-2</v>
      </c>
      <c r="AL108" s="9">
        <f t="shared" si="135"/>
        <v>0.20073003699565006</v>
      </c>
      <c r="AM108" s="4">
        <f t="shared" si="199"/>
        <v>1003.8257591188076</v>
      </c>
      <c r="AN108" s="6">
        <f t="shared" si="136"/>
        <v>5.5076515182376159E-6</v>
      </c>
      <c r="AO108" s="8">
        <f t="shared" si="137"/>
        <v>27.432996229866287</v>
      </c>
      <c r="AP108" s="7">
        <f t="shared" si="138"/>
        <v>1.3783963907450328E-2</v>
      </c>
      <c r="AQ108" s="9">
        <f t="shared" si="139"/>
        <v>0.20105805992839901</v>
      </c>
      <c r="AR108" s="4">
        <f t="shared" si="200"/>
        <v>999.32784736767871</v>
      </c>
      <c r="AS108" s="6">
        <f t="shared" si="140"/>
        <v>5.4986556947353576E-6</v>
      </c>
      <c r="AT108" s="8">
        <f t="shared" si="141"/>
        <v>27.381270244728306</v>
      </c>
      <c r="AU108" s="7">
        <f t="shared" si="142"/>
        <v>1.3761450118031676E-2</v>
      </c>
      <c r="AV108" s="9">
        <f t="shared" si="143"/>
        <v>0.20143787891147669</v>
      </c>
      <c r="AW108" s="4">
        <f t="shared" si="201"/>
        <v>994.2302540758651</v>
      </c>
      <c r="AX108" s="6">
        <f t="shared" si="144"/>
        <v>5.4884605081517311E-6</v>
      </c>
      <c r="AY108" s="8">
        <f t="shared" si="145"/>
        <v>27.322647921872449</v>
      </c>
      <c r="AZ108" s="7">
        <f t="shared" si="146"/>
        <v>1.3735934690370159E-2</v>
      </c>
      <c r="BA108" s="9">
        <f t="shared" si="147"/>
        <v>0.2018700755421515</v>
      </c>
      <c r="BB108" s="4">
        <f t="shared" si="202"/>
        <v>988.53297464486855</v>
      </c>
      <c r="BC108" s="6">
        <f t="shared" si="148"/>
        <v>5.4770659492897374E-6</v>
      </c>
      <c r="BD108" s="8">
        <f t="shared" si="149"/>
        <v>27.257129208415989</v>
      </c>
      <c r="BE108" s="7">
        <f t="shared" si="150"/>
        <v>1.370741760144851E-2</v>
      </c>
      <c r="BF108" s="9">
        <f t="shared" si="151"/>
        <v>0.20235531621198682</v>
      </c>
      <c r="BG108" s="4">
        <f t="shared" si="203"/>
        <v>982.23595831863895</v>
      </c>
      <c r="BH108" s="6">
        <f t="shared" si="152"/>
        <v>5.4644719166372781E-6</v>
      </c>
      <c r="BI108" s="8">
        <f t="shared" si="153"/>
        <v>27.184713520664346</v>
      </c>
      <c r="BJ108" s="7">
        <f t="shared" si="154"/>
        <v>1.3675898597213054E-2</v>
      </c>
      <c r="BK108" s="9">
        <f t="shared" si="155"/>
        <v>0.20289435810339956</v>
      </c>
      <c r="BL108" s="4">
        <f t="shared" si="204"/>
        <v>975.33877247769067</v>
      </c>
      <c r="BM108" s="6">
        <f t="shared" si="156"/>
        <v>5.450677544955382E-6</v>
      </c>
      <c r="BN108" s="8">
        <f t="shared" si="157"/>
        <v>27.105395883493443</v>
      </c>
      <c r="BO108" s="7">
        <f t="shared" si="158"/>
        <v>1.3641375512235801E-2</v>
      </c>
      <c r="BP108" s="9">
        <f t="shared" si="159"/>
        <v>0.20348808125539636</v>
      </c>
      <c r="BQ108" s="4">
        <f t="shared" si="205"/>
        <v>967.83813881768469</v>
      </c>
      <c r="BR108" s="6">
        <f t="shared" si="160"/>
        <v>5.4356762776353701E-6</v>
      </c>
      <c r="BS108" s="8">
        <f t="shared" si="161"/>
        <v>27.019138596403373</v>
      </c>
      <c r="BT108" s="7">
        <f t="shared" si="162"/>
        <v>1.360383193733453E-2</v>
      </c>
      <c r="BU108" s="9">
        <f t="shared" si="163"/>
        <v>0.20413770706717524</v>
      </c>
      <c r="BV108" s="4">
        <f t="shared" si="206"/>
        <v>959.71215693227202</v>
      </c>
      <c r="BW108" s="6">
        <f t="shared" si="164"/>
        <v>5.4194243138645442E-6</v>
      </c>
      <c r="BX108" s="8">
        <f t="shared" si="165"/>
        <v>26.925689804721127</v>
      </c>
      <c r="BY108" s="7">
        <f t="shared" si="166"/>
        <v>1.3563158252497997E-2</v>
      </c>
      <c r="BZ108" s="9">
        <f t="shared" si="167"/>
        <v>0.20484619112832886</v>
      </c>
      <c r="CA108" s="4">
        <f t="shared" si="207"/>
        <v>950.83394029237286</v>
      </c>
      <c r="CB108" s="6">
        <f t="shared" si="168"/>
        <v>5.4016678805847465E-6</v>
      </c>
      <c r="CC108" s="8">
        <f t="shared" si="169"/>
        <v>26.823590313362288</v>
      </c>
      <c r="CD108" s="7">
        <f t="shared" si="170"/>
        <v>1.3518719341531439E-2</v>
      </c>
      <c r="CE108" s="9">
        <f t="shared" si="171"/>
        <v>0.20562590374981859</v>
      </c>
      <c r="CF108" s="4">
        <f t="shared" si="208"/>
        <v>940.57975649282366</v>
      </c>
      <c r="CG108" s="6">
        <f t="shared" si="172"/>
        <v>5.3811595129856473E-6</v>
      </c>
      <c r="CH108" s="8">
        <f t="shared" si="173"/>
        <v>26.705667199667474</v>
      </c>
      <c r="CI108" s="7">
        <f t="shared" si="174"/>
        <v>1.346739318230538E-2</v>
      </c>
      <c r="CJ108" s="9">
        <f t="shared" si="175"/>
        <v>0.20653387757594305</v>
      </c>
      <c r="CK108" s="4">
        <f t="shared" si="209"/>
        <v>926.42717491195185</v>
      </c>
      <c r="CL108" s="6">
        <f t="shared" si="176"/>
        <v>5.3528543498239042E-6</v>
      </c>
      <c r="CM108" s="8">
        <f t="shared" si="177"/>
        <v>26.542912511487444</v>
      </c>
      <c r="CN108" s="7">
        <f t="shared" si="178"/>
        <v>1.339655403314643E-2</v>
      </c>
      <c r="CO108" s="9">
        <f t="shared" si="179"/>
        <v>0.20780029311451431</v>
      </c>
      <c r="CP108" s="4">
        <f t="shared" si="210"/>
        <v>900.36628299690733</v>
      </c>
      <c r="CQ108" s="6">
        <f t="shared" si="180"/>
        <v>5.3007325659938155E-6</v>
      </c>
      <c r="CR108" s="8">
        <f t="shared" si="181"/>
        <v>26.243212254464432</v>
      </c>
      <c r="CS108" s="7">
        <f t="shared" si="182"/>
        <v>1.3266109181156997E-2</v>
      </c>
      <c r="CT108" s="9">
        <f t="shared" si="183"/>
        <v>0.21017339441979688</v>
      </c>
      <c r="CU108" s="4">
        <f t="shared" si="211"/>
        <v>843.95750686107579</v>
      </c>
      <c r="CV108" s="6">
        <f t="shared" si="184"/>
        <v>5.1879150137221524E-6</v>
      </c>
      <c r="CW108" s="8">
        <f t="shared" si="185"/>
        <v>25.594511328902371</v>
      </c>
      <c r="CX108" s="7">
        <f t="shared" si="186"/>
        <v>1.2983761421228807E-2</v>
      </c>
      <c r="CY108" s="9">
        <f t="shared" si="187"/>
        <v>0.21550030508969048</v>
      </c>
      <c r="CZ108" s="5">
        <f t="shared" si="212"/>
        <v>731.4089786447222</v>
      </c>
      <c r="DA108" s="6">
        <f t="shared" si="188"/>
        <v>4.9628179572894447E-6</v>
      </c>
      <c r="DB108" s="8">
        <f t="shared" si="189"/>
        <v>24.300203254414306</v>
      </c>
      <c r="DC108" s="7">
        <f t="shared" si="190"/>
        <v>1.2420412470906221E-2</v>
      </c>
      <c r="DD108" s="9">
        <f t="shared" si="191"/>
        <v>0.2269785541402024</v>
      </c>
    </row>
    <row r="109" spans="2:108" x14ac:dyDescent="0.25">
      <c r="B109">
        <v>90</v>
      </c>
      <c r="C109">
        <f t="shared" si="192"/>
        <v>8.7985319971072631E-2</v>
      </c>
      <c r="D109" s="4">
        <f t="shared" si="109"/>
        <v>1018.5340243389805</v>
      </c>
      <c r="E109" s="6">
        <f t="shared" si="110"/>
        <v>5.5370680486779618E-6</v>
      </c>
      <c r="F109" s="8">
        <f t="shared" si="111"/>
        <v>27.602141279898277</v>
      </c>
      <c r="G109" s="7">
        <f t="shared" si="107"/>
        <v>1.3857584468324502E-2</v>
      </c>
      <c r="H109" s="9">
        <f t="shared" si="112"/>
        <v>0.19982598248697636</v>
      </c>
      <c r="I109" s="4">
        <f t="shared" si="193"/>
        <v>1018.2099478454516</v>
      </c>
      <c r="J109" s="6">
        <f t="shared" si="113"/>
        <v>5.5364198956909035E-6</v>
      </c>
      <c r="K109" s="8">
        <f t="shared" si="114"/>
        <v>27.598414400222694</v>
      </c>
      <c r="L109" s="7">
        <f t="shared" si="115"/>
        <v>1.385596234002707E-2</v>
      </c>
      <c r="M109" s="9">
        <f t="shared" si="116"/>
        <v>0.19985296691376203</v>
      </c>
      <c r="N109" s="4">
        <f t="shared" si="194"/>
        <v>1017.305029760998</v>
      </c>
      <c r="O109" s="6">
        <f t="shared" si="117"/>
        <v>5.5346100595219964E-6</v>
      </c>
      <c r="P109" s="8">
        <f t="shared" si="118"/>
        <v>27.588007842251475</v>
      </c>
      <c r="Q109" s="7">
        <f t="shared" si="108"/>
        <v>1.3857584468324502E-2</v>
      </c>
      <c r="R109" s="9">
        <f t="shared" si="119"/>
        <v>0.19992835407102982</v>
      </c>
      <c r="S109" s="4">
        <f t="shared" si="195"/>
        <v>1015.8040490976764</v>
      </c>
      <c r="T109" s="6">
        <f t="shared" si="120"/>
        <v>5.5316080981953538E-6</v>
      </c>
      <c r="U109" s="8">
        <f t="shared" si="121"/>
        <v>27.570746564623278</v>
      </c>
      <c r="V109" s="7">
        <f t="shared" si="122"/>
        <v>1.3843919885491052E-2</v>
      </c>
      <c r="W109" s="9">
        <f t="shared" si="123"/>
        <v>0.20005352365311854</v>
      </c>
      <c r="X109" s="4">
        <f t="shared" si="196"/>
        <v>1013.7047745574559</v>
      </c>
      <c r="Y109" s="6">
        <f t="shared" si="124"/>
        <v>5.5274095491149123E-6</v>
      </c>
      <c r="Z109" s="8">
        <f t="shared" si="125"/>
        <v>27.546604907410742</v>
      </c>
      <c r="AA109" s="7">
        <f t="shared" si="126"/>
        <v>1.3833412203805521E-2</v>
      </c>
      <c r="AB109" s="9">
        <f t="shared" si="127"/>
        <v>0.20022884920080136</v>
      </c>
      <c r="AC109" s="4">
        <f t="shared" si="197"/>
        <v>1011.0059336379114</v>
      </c>
      <c r="AD109" s="6">
        <f t="shared" si="128"/>
        <v>5.5220118672758233E-6</v>
      </c>
      <c r="AE109" s="8">
        <f t="shared" si="129"/>
        <v>27.515568236835982</v>
      </c>
      <c r="AF109" s="7">
        <f t="shared" si="130"/>
        <v>1.3819903460304315E-2</v>
      </c>
      <c r="AG109" s="9">
        <f t="shared" si="131"/>
        <v>0.20045470086334813</v>
      </c>
      <c r="AH109" s="4">
        <f t="shared" si="198"/>
        <v>1007.7074113337758</v>
      </c>
      <c r="AI109" s="6">
        <f t="shared" si="132"/>
        <v>5.515414822667553E-6</v>
      </c>
      <c r="AJ109" s="8">
        <f t="shared" si="133"/>
        <v>27.477635230338421</v>
      </c>
      <c r="AK109" s="7">
        <f t="shared" si="134"/>
        <v>1.3803393079341551E-2</v>
      </c>
      <c r="AL109" s="9">
        <f t="shared" si="135"/>
        <v>0.20073142953401338</v>
      </c>
      <c r="AM109" s="4">
        <f t="shared" si="199"/>
        <v>1003.8092032195398</v>
      </c>
      <c r="AN109" s="6">
        <f t="shared" si="136"/>
        <v>5.5076184064390795E-6</v>
      </c>
      <c r="AO109" s="8">
        <f t="shared" si="137"/>
        <v>27.432805837024706</v>
      </c>
      <c r="AP109" s="7">
        <f t="shared" si="138"/>
        <v>1.3783881038765839E-2</v>
      </c>
      <c r="AQ109" s="9">
        <f t="shared" si="139"/>
        <v>0.20105945533853606</v>
      </c>
      <c r="AR109" s="4">
        <f t="shared" si="200"/>
        <v>999.3113149724096</v>
      </c>
      <c r="AS109" s="6">
        <f t="shared" si="140"/>
        <v>5.4986226299448204E-6</v>
      </c>
      <c r="AT109" s="8">
        <f t="shared" si="141"/>
        <v>27.381080122182709</v>
      </c>
      <c r="AU109" s="7">
        <f t="shared" si="142"/>
        <v>1.3761367366993803E-2</v>
      </c>
      <c r="AV109" s="9">
        <f t="shared" si="143"/>
        <v>0.20143927761021857</v>
      </c>
      <c r="AW109" s="4">
        <f t="shared" si="201"/>
        <v>994.21374867408679</v>
      </c>
      <c r="AX109" s="6">
        <f t="shared" si="144"/>
        <v>5.4884274973481737E-6</v>
      </c>
      <c r="AY109" s="8">
        <f t="shared" si="145"/>
        <v>27.322458109751999</v>
      </c>
      <c r="AZ109" s="7">
        <f t="shared" si="146"/>
        <v>1.3735852074445153E-2</v>
      </c>
      <c r="BA109" s="9">
        <f t="shared" si="147"/>
        <v>0.20187147795576085</v>
      </c>
      <c r="BB109" s="4">
        <f t="shared" si="202"/>
        <v>988.51649915397911</v>
      </c>
      <c r="BC109" s="6">
        <f t="shared" si="148"/>
        <v>5.4770329983079582E-6</v>
      </c>
      <c r="BD109" s="8">
        <f t="shared" si="149"/>
        <v>27.256939740270759</v>
      </c>
      <c r="BE109" s="7">
        <f t="shared" si="150"/>
        <v>1.3707335135239081E-2</v>
      </c>
      <c r="BF109" s="9">
        <f t="shared" si="151"/>
        <v>0.20235672282207606</v>
      </c>
      <c r="BG109" s="4">
        <f t="shared" si="203"/>
        <v>982.21951080528333</v>
      </c>
      <c r="BH109" s="6">
        <f t="shared" si="152"/>
        <v>5.4644390216105673E-6</v>
      </c>
      <c r="BI109" s="8">
        <f t="shared" si="153"/>
        <v>27.184524374260757</v>
      </c>
      <c r="BJ109" s="7">
        <f t="shared" si="154"/>
        <v>1.3675816271042016E-2</v>
      </c>
      <c r="BK109" s="9">
        <f t="shared" si="155"/>
        <v>0.20289576981609372</v>
      </c>
      <c r="BL109" s="4">
        <f t="shared" si="204"/>
        <v>975.32231558892977</v>
      </c>
      <c r="BM109" s="6">
        <f t="shared" si="156"/>
        <v>5.4506446311778606E-6</v>
      </c>
      <c r="BN109" s="8">
        <f t="shared" si="157"/>
        <v>27.105206629272693</v>
      </c>
      <c r="BO109" s="7">
        <f t="shared" si="158"/>
        <v>1.3641293139137228E-2</v>
      </c>
      <c r="BP109" s="9">
        <f t="shared" si="159"/>
        <v>0.2034895020517318</v>
      </c>
      <c r="BQ109" s="4">
        <f t="shared" si="205"/>
        <v>967.82140951909605</v>
      </c>
      <c r="BR109" s="6">
        <f t="shared" si="160"/>
        <v>5.4356428190381932E-6</v>
      </c>
      <c r="BS109" s="8">
        <f t="shared" si="161"/>
        <v>27.018946209469604</v>
      </c>
      <c r="BT109" s="7">
        <f t="shared" si="162"/>
        <v>1.3603748200719322E-2</v>
      </c>
      <c r="BU109" s="9">
        <f t="shared" si="163"/>
        <v>0.20413916061859153</v>
      </c>
      <c r="BV109" s="4">
        <f t="shared" si="206"/>
        <v>959.69366226168802</v>
      </c>
      <c r="BW109" s="6">
        <f t="shared" si="164"/>
        <v>5.4193873245233769E-6</v>
      </c>
      <c r="BX109" s="8">
        <f t="shared" si="165"/>
        <v>26.925477116009411</v>
      </c>
      <c r="BY109" s="7">
        <f t="shared" si="166"/>
        <v>1.3563065679512591E-2</v>
      </c>
      <c r="BZ109" s="9">
        <f t="shared" si="167"/>
        <v>0.20484780924162369</v>
      </c>
      <c r="CA109" s="4">
        <f t="shared" si="207"/>
        <v>950.80662815928815</v>
      </c>
      <c r="CB109" s="6">
        <f t="shared" si="168"/>
        <v>5.4016132563185766E-6</v>
      </c>
      <c r="CC109" s="8">
        <f t="shared" si="169"/>
        <v>26.823276223831812</v>
      </c>
      <c r="CD109" s="7">
        <f t="shared" si="170"/>
        <v>1.351858263373305E-2</v>
      </c>
      <c r="CE109" s="9">
        <f t="shared" si="171"/>
        <v>0.2056283115445646</v>
      </c>
      <c r="CF109" s="4">
        <f t="shared" si="208"/>
        <v>940.5167449029459</v>
      </c>
      <c r="CG109" s="6">
        <f t="shared" si="172"/>
        <v>5.3810334898058922E-6</v>
      </c>
      <c r="CH109" s="8">
        <f t="shared" si="173"/>
        <v>26.704942566383878</v>
      </c>
      <c r="CI109" s="7">
        <f t="shared" si="174"/>
        <v>1.3467077784906781E-2</v>
      </c>
      <c r="CJ109" s="9">
        <f t="shared" si="175"/>
        <v>0.20653948183146653</v>
      </c>
      <c r="CK109" s="4">
        <f t="shared" si="209"/>
        <v>926.2508765946427</v>
      </c>
      <c r="CL109" s="6">
        <f t="shared" si="176"/>
        <v>5.3525017531892855E-6</v>
      </c>
      <c r="CM109" s="8">
        <f t="shared" si="177"/>
        <v>26.54088508083839</v>
      </c>
      <c r="CN109" s="7">
        <f t="shared" si="178"/>
        <v>1.3395671591824683E-2</v>
      </c>
      <c r="CO109" s="9">
        <f t="shared" si="179"/>
        <v>0.20781616676310816</v>
      </c>
      <c r="CP109" s="4">
        <f t="shared" si="210"/>
        <v>899.92906557889296</v>
      </c>
      <c r="CQ109" s="6">
        <f t="shared" si="180"/>
        <v>5.2998581311577867E-6</v>
      </c>
      <c r="CR109" s="8">
        <f t="shared" si="181"/>
        <v>26.238184254157268</v>
      </c>
      <c r="CS109" s="7">
        <f t="shared" si="182"/>
        <v>1.3263920738736607E-2</v>
      </c>
      <c r="CT109" s="9">
        <f t="shared" si="183"/>
        <v>0.21021366976360362</v>
      </c>
      <c r="CU109" s="4">
        <f t="shared" si="211"/>
        <v>843.15389899989384</v>
      </c>
      <c r="CV109" s="6">
        <f t="shared" si="184"/>
        <v>5.1863077979997886E-6</v>
      </c>
      <c r="CW109" s="8">
        <f t="shared" si="185"/>
        <v>25.585269838498778</v>
      </c>
      <c r="CX109" s="7">
        <f t="shared" si="186"/>
        <v>1.2979739052813667E-2</v>
      </c>
      <c r="CY109" s="9">
        <f t="shared" si="187"/>
        <v>0.21557814456584332</v>
      </c>
      <c r="CZ109" s="5">
        <f t="shared" si="212"/>
        <v>730.47623771541839</v>
      </c>
      <c r="DA109" s="6">
        <f t="shared" si="188"/>
        <v>4.9609524754308375E-6</v>
      </c>
      <c r="DB109" s="8">
        <f t="shared" si="189"/>
        <v>24.289476733727312</v>
      </c>
      <c r="DC109" s="7">
        <f t="shared" si="190"/>
        <v>1.2415743741498796E-2</v>
      </c>
      <c r="DD109" s="9">
        <f t="shared" si="191"/>
        <v>0.22707879055876254</v>
      </c>
    </row>
    <row r="110" spans="2:108" x14ac:dyDescent="0.25">
      <c r="B110">
        <v>91</v>
      </c>
      <c r="C110">
        <f t="shared" si="192"/>
        <v>8.896293463741789E-2</v>
      </c>
      <c r="D110" s="4">
        <f t="shared" si="109"/>
        <v>1018.5174786303468</v>
      </c>
      <c r="E110" s="6">
        <f t="shared" si="110"/>
        <v>5.537034957260694E-6</v>
      </c>
      <c r="F110" s="8">
        <f t="shared" si="111"/>
        <v>27.601951004248988</v>
      </c>
      <c r="G110" s="7">
        <f t="shared" si="107"/>
        <v>1.3857501650648082E-2</v>
      </c>
      <c r="H110" s="9">
        <f t="shared" si="112"/>
        <v>0.19982735999897022</v>
      </c>
      <c r="I110" s="4">
        <f t="shared" si="193"/>
        <v>1018.1933834349501</v>
      </c>
      <c r="J110" s="6">
        <f t="shared" si="113"/>
        <v>5.5363867668699008E-6</v>
      </c>
      <c r="K110" s="8">
        <f t="shared" si="114"/>
        <v>27.598223909501925</v>
      </c>
      <c r="L110" s="7">
        <f t="shared" si="115"/>
        <v>1.3855879428740567E-2</v>
      </c>
      <c r="M110" s="9">
        <f t="shared" si="116"/>
        <v>0.19985434635527394</v>
      </c>
      <c r="N110" s="4">
        <f t="shared" si="194"/>
        <v>1017.2884368290314</v>
      </c>
      <c r="O110" s="6">
        <f t="shared" si="117"/>
        <v>5.5345768736580631E-6</v>
      </c>
      <c r="P110" s="8">
        <f t="shared" si="118"/>
        <v>27.587817023533859</v>
      </c>
      <c r="Q110" s="7">
        <f t="shared" si="108"/>
        <v>1.3857501650648082E-2</v>
      </c>
      <c r="R110" s="9">
        <f t="shared" si="119"/>
        <v>0.19992973693043134</v>
      </c>
      <c r="S110" s="4">
        <f t="shared" si="195"/>
        <v>1015.7874431488854</v>
      </c>
      <c r="T110" s="6">
        <f t="shared" si="120"/>
        <v>5.5315748862977713E-6</v>
      </c>
      <c r="U110" s="8">
        <f t="shared" si="121"/>
        <v>27.570555596212181</v>
      </c>
      <c r="V110" s="7">
        <f t="shared" si="122"/>
        <v>1.3843836766289325E-2</v>
      </c>
      <c r="W110" s="9">
        <f t="shared" si="123"/>
        <v>0.2000549093307997</v>
      </c>
      <c r="X110" s="4">
        <f t="shared" si="196"/>
        <v>1013.6881712174687</v>
      </c>
      <c r="Y110" s="6">
        <f t="shared" si="124"/>
        <v>5.5273763424349376E-6</v>
      </c>
      <c r="Z110" s="8">
        <f t="shared" si="125"/>
        <v>27.546413969000888</v>
      </c>
      <c r="AA110" s="7">
        <f t="shared" si="126"/>
        <v>1.383332909766187E-2</v>
      </c>
      <c r="AB110" s="9">
        <f t="shared" si="127"/>
        <v>0.20023023709027823</v>
      </c>
      <c r="AC110" s="4">
        <f t="shared" si="197"/>
        <v>1010.9893416980455</v>
      </c>
      <c r="AD110" s="6">
        <f t="shared" si="128"/>
        <v>5.5219786833960918E-6</v>
      </c>
      <c r="AE110" s="8">
        <f t="shared" si="129"/>
        <v>27.515377429527522</v>
      </c>
      <c r="AF110" s="7">
        <f t="shared" si="130"/>
        <v>1.3819820411222683E-2</v>
      </c>
      <c r="AG110" s="9">
        <f t="shared" si="131"/>
        <v>0.20045609093048561</v>
      </c>
      <c r="AH110" s="4">
        <f t="shared" si="198"/>
        <v>1007.6908356567495</v>
      </c>
      <c r="AI110" s="6">
        <f t="shared" si="132"/>
        <v>5.5153816713134995E-6</v>
      </c>
      <c r="AJ110" s="8">
        <f t="shared" si="133"/>
        <v>27.477444610052618</v>
      </c>
      <c r="AK110" s="7">
        <f t="shared" si="134"/>
        <v>1.3803310111661726E-2</v>
      </c>
      <c r="AL110" s="9">
        <f t="shared" si="135"/>
        <v>0.20073282207553281</v>
      </c>
      <c r="AM110" s="4">
        <f t="shared" si="199"/>
        <v>1003.7926475114259</v>
      </c>
      <c r="AN110" s="6">
        <f t="shared" si="136"/>
        <v>5.5075852950228522E-6</v>
      </c>
      <c r="AO110" s="8">
        <f t="shared" si="137"/>
        <v>27.432615446381398</v>
      </c>
      <c r="AP110" s="7">
        <f t="shared" si="138"/>
        <v>1.3783798171038154E-2</v>
      </c>
      <c r="AQ110" s="9">
        <f t="shared" si="139"/>
        <v>0.20106085075193073</v>
      </c>
      <c r="AR110" s="4">
        <f t="shared" si="200"/>
        <v>999.29478276813347</v>
      </c>
      <c r="AS110" s="6">
        <f t="shared" si="140"/>
        <v>5.4985895655362671E-6</v>
      </c>
      <c r="AT110" s="8">
        <f t="shared" si="141"/>
        <v>27.380890001833535</v>
      </c>
      <c r="AU110" s="7">
        <f t="shared" si="142"/>
        <v>1.3761284616911919E-2</v>
      </c>
      <c r="AV110" s="9">
        <f t="shared" si="143"/>
        <v>0.20144067631222548</v>
      </c>
      <c r="AW110" s="4">
        <f t="shared" si="201"/>
        <v>994.19724345521047</v>
      </c>
      <c r="AX110" s="6">
        <f t="shared" si="144"/>
        <v>5.488394486910421E-6</v>
      </c>
      <c r="AY110" s="8">
        <f t="shared" si="145"/>
        <v>27.322268299734919</v>
      </c>
      <c r="AZ110" s="7">
        <f t="shared" si="146"/>
        <v>1.3735769459435644E-2</v>
      </c>
      <c r="BA110" s="9">
        <f t="shared" si="147"/>
        <v>0.20187288037331486</v>
      </c>
      <c r="BB110" s="4">
        <f t="shared" si="202"/>
        <v>988.5000237753834</v>
      </c>
      <c r="BC110" s="6">
        <f t="shared" si="148"/>
        <v>5.4770000475507672E-6</v>
      </c>
      <c r="BD110" s="8">
        <f t="shared" si="149"/>
        <v>27.256750273416909</v>
      </c>
      <c r="BE110" s="7">
        <f t="shared" si="150"/>
        <v>1.3707252669591729E-2</v>
      </c>
      <c r="BF110" s="9">
        <f t="shared" si="151"/>
        <v>0.20235812944213327</v>
      </c>
      <c r="BG110" s="4">
        <f t="shared" si="203"/>
        <v>982.20306289046277</v>
      </c>
      <c r="BH110" s="6">
        <f t="shared" si="152"/>
        <v>5.4644061257809261E-6</v>
      </c>
      <c r="BI110" s="8">
        <f t="shared" si="153"/>
        <v>27.184335223240321</v>
      </c>
      <c r="BJ110" s="7">
        <f t="shared" si="154"/>
        <v>1.3675733942861486E-2</v>
      </c>
      <c r="BK110" s="9">
        <f t="shared" si="155"/>
        <v>0.20289718158289205</v>
      </c>
      <c r="BL110" s="4">
        <f t="shared" si="204"/>
        <v>975.3058550414828</v>
      </c>
      <c r="BM110" s="6">
        <f t="shared" si="156"/>
        <v>5.4506117100829655E-6</v>
      </c>
      <c r="BN110" s="8">
        <f t="shared" si="157"/>
        <v>27.105017332977049</v>
      </c>
      <c r="BO110" s="7">
        <f t="shared" si="158"/>
        <v>1.3641210747725514E-2</v>
      </c>
      <c r="BP110" s="9">
        <f t="shared" si="159"/>
        <v>0.20349092318378523</v>
      </c>
      <c r="BQ110" s="4">
        <f t="shared" si="205"/>
        <v>967.80465888659171</v>
      </c>
      <c r="BR110" s="6">
        <f t="shared" si="160"/>
        <v>5.4356093177731834E-6</v>
      </c>
      <c r="BS110" s="8">
        <f t="shared" si="161"/>
        <v>27.018753577195803</v>
      </c>
      <c r="BT110" s="7">
        <f t="shared" si="162"/>
        <v>1.3603664357319602E-2</v>
      </c>
      <c r="BU110" s="9">
        <f t="shared" si="163"/>
        <v>0.20414061604437828</v>
      </c>
      <c r="BV110" s="4">
        <f t="shared" si="206"/>
        <v>959.67506662920027</v>
      </c>
      <c r="BW110" s="6">
        <f t="shared" si="164"/>
        <v>5.4193501332584005E-6</v>
      </c>
      <c r="BX110" s="8">
        <f t="shared" si="165"/>
        <v>26.925263266235802</v>
      </c>
      <c r="BY110" s="7">
        <f t="shared" si="166"/>
        <v>1.3562972601173773E-2</v>
      </c>
      <c r="BZ110" s="9">
        <f t="shared" si="167"/>
        <v>0.20484943621392837</v>
      </c>
      <c r="CA110" s="4">
        <f t="shared" si="207"/>
        <v>950.77893148782596</v>
      </c>
      <c r="CB110" s="6">
        <f t="shared" si="168"/>
        <v>5.4015578629756523E-6</v>
      </c>
      <c r="CC110" s="8">
        <f t="shared" si="169"/>
        <v>26.822957712109996</v>
      </c>
      <c r="CD110" s="7">
        <f t="shared" si="170"/>
        <v>1.3518444001171231E-2</v>
      </c>
      <c r="CE110" s="9">
        <f t="shared" si="171"/>
        <v>0.20563075329719557</v>
      </c>
      <c r="CF110" s="4">
        <f t="shared" si="208"/>
        <v>940.45262216065794</v>
      </c>
      <c r="CG110" s="6">
        <f t="shared" si="172"/>
        <v>5.3809052443213164E-6</v>
      </c>
      <c r="CH110" s="8">
        <f t="shared" si="173"/>
        <v>26.704205154847564</v>
      </c>
      <c r="CI110" s="7">
        <f t="shared" si="174"/>
        <v>1.346675682576025E-2</v>
      </c>
      <c r="CJ110" s="9">
        <f t="shared" si="175"/>
        <v>0.20654518522521009</v>
      </c>
      <c r="CK110" s="4">
        <f t="shared" si="209"/>
        <v>926.07244613390856</v>
      </c>
      <c r="CL110" s="6">
        <f t="shared" si="176"/>
        <v>5.352144892267818E-6</v>
      </c>
      <c r="CM110" s="8">
        <f t="shared" si="177"/>
        <v>26.538833130539949</v>
      </c>
      <c r="CN110" s="7">
        <f t="shared" si="178"/>
        <v>1.3394778478299762E-2</v>
      </c>
      <c r="CO110" s="9">
        <f t="shared" si="179"/>
        <v>0.20783223485635524</v>
      </c>
      <c r="CP110" s="4">
        <f t="shared" si="210"/>
        <v>899.49023113811631</v>
      </c>
      <c r="CQ110" s="6">
        <f t="shared" si="180"/>
        <v>5.2989804622762328E-6</v>
      </c>
      <c r="CR110" s="8">
        <f t="shared" si="181"/>
        <v>26.233137658088339</v>
      </c>
      <c r="CS110" s="7">
        <f t="shared" si="182"/>
        <v>1.3261724202491354E-2</v>
      </c>
      <c r="CT110" s="9">
        <f t="shared" si="183"/>
        <v>0.2102541095879697</v>
      </c>
      <c r="CU110" s="4">
        <f t="shared" si="211"/>
        <v>842.35339772581392</v>
      </c>
      <c r="CV110" s="6">
        <f t="shared" si="184"/>
        <v>5.1847067954516285E-6</v>
      </c>
      <c r="CW110" s="8">
        <f t="shared" si="185"/>
        <v>25.576064073846858</v>
      </c>
      <c r="CX110" s="7">
        <f t="shared" si="186"/>
        <v>1.2975732234069509E-2</v>
      </c>
      <c r="CY110" s="9">
        <f t="shared" si="187"/>
        <v>0.21565573905642796</v>
      </c>
      <c r="CZ110" s="5">
        <f t="shared" si="212"/>
        <v>729.55083864390781</v>
      </c>
      <c r="DA110" s="6">
        <f t="shared" si="188"/>
        <v>4.9591016772878156E-6</v>
      </c>
      <c r="DB110" s="8">
        <f t="shared" si="189"/>
        <v>24.278834644404938</v>
      </c>
      <c r="DC110" s="7">
        <f t="shared" si="190"/>
        <v>1.2411111760931596E-2</v>
      </c>
      <c r="DD110" s="9">
        <f t="shared" si="191"/>
        <v>0.22717832551617451</v>
      </c>
    </row>
    <row r="111" spans="2:108" x14ac:dyDescent="0.25">
      <c r="B111">
        <v>92</v>
      </c>
      <c r="C111">
        <f t="shared" si="192"/>
        <v>8.9940549303763134E-2</v>
      </c>
      <c r="D111" s="4">
        <f t="shared" si="109"/>
        <v>1018.5009319668901</v>
      </c>
      <c r="E111" s="6">
        <f t="shared" si="110"/>
        <v>5.5370018639337812E-6</v>
      </c>
      <c r="F111" s="8">
        <f t="shared" si="111"/>
        <v>27.601760717619236</v>
      </c>
      <c r="G111" s="7">
        <f t="shared" si="107"/>
        <v>1.3857418828192407E-2</v>
      </c>
      <c r="H111" s="9">
        <f t="shared" si="112"/>
        <v>0.1998287376094515</v>
      </c>
      <c r="I111" s="4">
        <f t="shared" si="193"/>
        <v>1018.1768186601785</v>
      </c>
      <c r="J111" s="6">
        <f t="shared" si="113"/>
        <v>5.5363536373203567E-6</v>
      </c>
      <c r="K111" s="8">
        <f t="shared" si="114"/>
        <v>27.598033414592052</v>
      </c>
      <c r="L111" s="7">
        <f t="shared" si="115"/>
        <v>1.3855796515630745E-2</v>
      </c>
      <c r="M111" s="9">
        <f t="shared" si="116"/>
        <v>0.19985572584616462</v>
      </c>
      <c r="N111" s="4">
        <f t="shared" si="194"/>
        <v>1017.2718440672991</v>
      </c>
      <c r="O111" s="6">
        <f t="shared" si="117"/>
        <v>5.5345436881345988E-6</v>
      </c>
      <c r="P111" s="8">
        <f t="shared" si="118"/>
        <v>27.58762620677394</v>
      </c>
      <c r="Q111" s="7">
        <f t="shared" si="108"/>
        <v>1.3857418828192407E-2</v>
      </c>
      <c r="R111" s="9">
        <f t="shared" si="119"/>
        <v>0.19993111979477518</v>
      </c>
      <c r="S111" s="4">
        <f t="shared" si="195"/>
        <v>1015.7708374918363</v>
      </c>
      <c r="T111" s="6">
        <f t="shared" si="120"/>
        <v>5.5315416749836734E-6</v>
      </c>
      <c r="U111" s="8">
        <f t="shared" si="121"/>
        <v>27.570364631156117</v>
      </c>
      <c r="V111" s="7">
        <f t="shared" si="122"/>
        <v>1.3843753648547884E-2</v>
      </c>
      <c r="W111" s="9">
        <f t="shared" si="123"/>
        <v>0.20005629500333205</v>
      </c>
      <c r="X111" s="4">
        <f t="shared" si="196"/>
        <v>1013.671568123114</v>
      </c>
      <c r="Y111" s="6">
        <f t="shared" si="124"/>
        <v>5.5273431362462284E-6</v>
      </c>
      <c r="Z111" s="8">
        <f t="shared" si="125"/>
        <v>27.54622303341581</v>
      </c>
      <c r="AA111" s="7">
        <f t="shared" si="126"/>
        <v>1.3833245992747704E-2</v>
      </c>
      <c r="AB111" s="9">
        <f t="shared" si="127"/>
        <v>0.2002316249784625</v>
      </c>
      <c r="AC111" s="4">
        <f t="shared" si="197"/>
        <v>1010.972749963391</v>
      </c>
      <c r="AD111" s="6">
        <f t="shared" si="128"/>
        <v>5.5219454999267824E-6</v>
      </c>
      <c r="AE111" s="8">
        <f t="shared" si="129"/>
        <v>27.515186624578995</v>
      </c>
      <c r="AF111" s="7">
        <f t="shared" si="130"/>
        <v>1.3819737363168215E-2</v>
      </c>
      <c r="AG111" s="9">
        <f t="shared" si="131"/>
        <v>0.20045748099970934</v>
      </c>
      <c r="AH111" s="4">
        <f t="shared" si="198"/>
        <v>1007.6742601722752</v>
      </c>
      <c r="AI111" s="6">
        <f t="shared" si="132"/>
        <v>5.5153485203445512E-6</v>
      </c>
      <c r="AJ111" s="8">
        <f t="shared" si="133"/>
        <v>27.477253991981165</v>
      </c>
      <c r="AK111" s="7">
        <f t="shared" si="134"/>
        <v>1.3803227144945701E-2</v>
      </c>
      <c r="AL111" s="9">
        <f t="shared" si="135"/>
        <v>0.20073421462019655</v>
      </c>
      <c r="AM111" s="4">
        <f t="shared" si="199"/>
        <v>1003.7760919944776</v>
      </c>
      <c r="AN111" s="6">
        <f t="shared" si="136"/>
        <v>5.5075521839889553E-6</v>
      </c>
      <c r="AO111" s="8">
        <f t="shared" si="137"/>
        <v>27.432425057936491</v>
      </c>
      <c r="AP111" s="7">
        <f t="shared" si="138"/>
        <v>1.3783715304267325E-2</v>
      </c>
      <c r="AQ111" s="9">
        <f t="shared" si="139"/>
        <v>0.20106224616858184</v>
      </c>
      <c r="AR111" s="4">
        <f t="shared" si="200"/>
        <v>999.27825075473174</v>
      </c>
      <c r="AS111" s="6">
        <f t="shared" si="140"/>
        <v>5.4985565015094639E-6</v>
      </c>
      <c r="AT111" s="8">
        <f t="shared" si="141"/>
        <v>27.380699883679412</v>
      </c>
      <c r="AU111" s="7">
        <f t="shared" si="142"/>
        <v>1.376120186778544E-2</v>
      </c>
      <c r="AV111" s="9">
        <f t="shared" si="143"/>
        <v>0.20144207501750724</v>
      </c>
      <c r="AW111" s="4">
        <f t="shared" si="201"/>
        <v>994.18073841831347</v>
      </c>
      <c r="AX111" s="6">
        <f t="shared" si="144"/>
        <v>5.4883614768366274E-6</v>
      </c>
      <c r="AY111" s="8">
        <f t="shared" si="145"/>
        <v>27.322078491810604</v>
      </c>
      <c r="AZ111" s="7">
        <f t="shared" si="146"/>
        <v>1.3735686845337014E-2</v>
      </c>
      <c r="BA111" s="9">
        <f t="shared" si="147"/>
        <v>0.20187428279489161</v>
      </c>
      <c r="BB111" s="4">
        <f t="shared" si="202"/>
        <v>988.48354850259182</v>
      </c>
      <c r="BC111" s="6">
        <f t="shared" si="148"/>
        <v>5.4769670970051836E-6</v>
      </c>
      <c r="BD111" s="8">
        <f t="shared" si="149"/>
        <v>27.256560807779806</v>
      </c>
      <c r="BE111" s="7">
        <f t="shared" si="150"/>
        <v>1.3707170204473965E-2</v>
      </c>
      <c r="BF111" s="9">
        <f t="shared" si="151"/>
        <v>0.20235953607271251</v>
      </c>
      <c r="BG111" s="4">
        <f t="shared" si="203"/>
        <v>982.18661453422794</v>
      </c>
      <c r="BH111" s="6">
        <f t="shared" si="152"/>
        <v>5.4643732290684563E-6</v>
      </c>
      <c r="BI111" s="8">
        <f t="shared" si="153"/>
        <v>27.184146067143622</v>
      </c>
      <c r="BJ111" s="7">
        <f t="shared" si="154"/>
        <v>1.3675651612471508E-2</v>
      </c>
      <c r="BK111" s="9">
        <f t="shared" si="155"/>
        <v>0.20289859340722544</v>
      </c>
      <c r="BL111" s="4">
        <f t="shared" si="204"/>
        <v>975.28939062629433</v>
      </c>
      <c r="BM111" s="6">
        <f t="shared" si="156"/>
        <v>5.4505787812525894E-6</v>
      </c>
      <c r="BN111" s="8">
        <f t="shared" si="157"/>
        <v>27.104827992202384</v>
      </c>
      <c r="BO111" s="7">
        <f t="shared" si="158"/>
        <v>1.3641128336954259E-2</v>
      </c>
      <c r="BP111" s="9">
        <f t="shared" si="159"/>
        <v>0.20349234466961957</v>
      </c>
      <c r="BQ111" s="4">
        <f t="shared" si="205"/>
        <v>967.78788602429802</v>
      </c>
      <c r="BR111" s="6">
        <f t="shared" si="160"/>
        <v>5.4355757720485967E-6</v>
      </c>
      <c r="BS111" s="8">
        <f t="shared" si="161"/>
        <v>27.018560689279425</v>
      </c>
      <c r="BT111" s="7">
        <f t="shared" si="162"/>
        <v>1.3603580402651191E-2</v>
      </c>
      <c r="BU111" s="9">
        <f t="shared" si="163"/>
        <v>0.20414207342245733</v>
      </c>
      <c r="BV111" s="4">
        <f t="shared" si="206"/>
        <v>959.65636708531792</v>
      </c>
      <c r="BW111" s="6">
        <f t="shared" si="164"/>
        <v>5.4193127341706362E-6</v>
      </c>
      <c r="BX111" s="8">
        <f t="shared" si="165"/>
        <v>26.925048221481156</v>
      </c>
      <c r="BY111" s="7">
        <f t="shared" si="166"/>
        <v>1.3562879002718204E-2</v>
      </c>
      <c r="BZ111" s="9">
        <f t="shared" si="167"/>
        <v>0.20485107230372804</v>
      </c>
      <c r="CA111" s="4">
        <f t="shared" si="207"/>
        <v>950.75084381877582</v>
      </c>
      <c r="CB111" s="6">
        <f t="shared" si="168"/>
        <v>5.4015016876375521E-6</v>
      </c>
      <c r="CC111" s="8">
        <f t="shared" si="169"/>
        <v>26.822634703915924</v>
      </c>
      <c r="CD111" s="7">
        <f t="shared" si="170"/>
        <v>1.3518303411515132E-2</v>
      </c>
      <c r="CE111" s="9">
        <f t="shared" si="171"/>
        <v>0.20563322957959668</v>
      </c>
      <c r="CF111" s="4">
        <f t="shared" si="208"/>
        <v>940.38738358045919</v>
      </c>
      <c r="CG111" s="6">
        <f t="shared" si="172"/>
        <v>5.3807747671609192E-6</v>
      </c>
      <c r="CH111" s="8">
        <f t="shared" si="173"/>
        <v>26.703454911175278</v>
      </c>
      <c r="CI111" s="7">
        <f t="shared" si="174"/>
        <v>1.3466430281413042E-2</v>
      </c>
      <c r="CJ111" s="9">
        <f t="shared" si="175"/>
        <v>0.20655098819036091</v>
      </c>
      <c r="CK111" s="4">
        <f t="shared" si="209"/>
        <v>925.89190419205067</v>
      </c>
      <c r="CL111" s="6">
        <f t="shared" si="176"/>
        <v>5.3517838083841014E-6</v>
      </c>
      <c r="CM111" s="8">
        <f t="shared" si="177"/>
        <v>26.53675689820858</v>
      </c>
      <c r="CN111" s="7">
        <f t="shared" si="178"/>
        <v>1.3393874795994475E-2</v>
      </c>
      <c r="CO111" s="9">
        <f t="shared" si="179"/>
        <v>0.20784849562277688</v>
      </c>
      <c r="CP111" s="4">
        <f t="shared" si="210"/>
        <v>899.04983855870569</v>
      </c>
      <c r="CQ111" s="6">
        <f t="shared" si="180"/>
        <v>5.298099677117412E-6</v>
      </c>
      <c r="CR111" s="8">
        <f t="shared" si="181"/>
        <v>26.228073143425114</v>
      </c>
      <c r="CS111" s="7">
        <f t="shared" si="182"/>
        <v>1.3259519867159099E-2</v>
      </c>
      <c r="CT111" s="9">
        <f t="shared" si="183"/>
        <v>0.21029470864437724</v>
      </c>
      <c r="CU111" s="4">
        <f t="shared" si="211"/>
        <v>841.55599917377299</v>
      </c>
      <c r="CV111" s="6">
        <f t="shared" si="184"/>
        <v>5.1831119983475462E-6</v>
      </c>
      <c r="CW111" s="8">
        <f t="shared" si="185"/>
        <v>25.566893990498389</v>
      </c>
      <c r="CX111" s="7">
        <f t="shared" si="186"/>
        <v>1.2971740945650191E-2</v>
      </c>
      <c r="CY111" s="9">
        <f t="shared" si="187"/>
        <v>0.21573308834658647</v>
      </c>
      <c r="CZ111" s="5">
        <f t="shared" si="212"/>
        <v>728.63263406411806</v>
      </c>
      <c r="DA111" s="6">
        <f t="shared" si="188"/>
        <v>4.9572652681282363E-6</v>
      </c>
      <c r="DB111" s="8">
        <f t="shared" si="189"/>
        <v>24.268275291737357</v>
      </c>
      <c r="DC111" s="7">
        <f t="shared" si="190"/>
        <v>1.2406515791580388E-2</v>
      </c>
      <c r="DD111" s="9">
        <f t="shared" si="191"/>
        <v>0.22727717292204569</v>
      </c>
    </row>
    <row r="112" spans="2:108" x14ac:dyDescent="0.25">
      <c r="B112">
        <v>93</v>
      </c>
      <c r="C112">
        <f t="shared" si="192"/>
        <v>9.0918163970108379E-2</v>
      </c>
      <c r="D112" s="4">
        <f t="shared" si="109"/>
        <v>1018.4843843787612</v>
      </c>
      <c r="E112" s="6">
        <f t="shared" si="110"/>
        <v>5.5369687687575235E-6</v>
      </c>
      <c r="F112" s="8">
        <f t="shared" si="111"/>
        <v>27.601570420355753</v>
      </c>
      <c r="G112" s="7">
        <f t="shared" si="107"/>
        <v>1.3857336001108387E-2</v>
      </c>
      <c r="H112" s="9">
        <f t="shared" si="112"/>
        <v>0.1998301153159136</v>
      </c>
      <c r="I112" s="4">
        <f t="shared" si="193"/>
        <v>1018.1602535281662</v>
      </c>
      <c r="J112" s="6">
        <f t="shared" si="113"/>
        <v>5.5363205070563334E-6</v>
      </c>
      <c r="K112" s="8">
        <f t="shared" si="114"/>
        <v>27.59784291557391</v>
      </c>
      <c r="L112" s="7">
        <f t="shared" si="115"/>
        <v>1.3855713600732801E-2</v>
      </c>
      <c r="M112" s="9">
        <f t="shared" si="116"/>
        <v>0.19985710538585041</v>
      </c>
      <c r="N112" s="4">
        <f t="shared" si="194"/>
        <v>1017.2552514723521</v>
      </c>
      <c r="O112" s="6">
        <f t="shared" si="117"/>
        <v>5.5345105029447046E-6</v>
      </c>
      <c r="P112" s="8">
        <f t="shared" si="118"/>
        <v>27.587435391932047</v>
      </c>
      <c r="Q112" s="7">
        <f t="shared" si="108"/>
        <v>1.3857336001108387E-2</v>
      </c>
      <c r="R112" s="9">
        <f t="shared" si="119"/>
        <v>0.19993250266434864</v>
      </c>
      <c r="S112" s="4">
        <f t="shared" si="195"/>
        <v>1015.754232124384</v>
      </c>
      <c r="T112" s="6">
        <f t="shared" si="120"/>
        <v>5.531508464248769E-6</v>
      </c>
      <c r="U112" s="8">
        <f t="shared" si="121"/>
        <v>27.570173669430417</v>
      </c>
      <c r="V112" s="7">
        <f t="shared" si="122"/>
        <v>1.3843670532255985E-2</v>
      </c>
      <c r="W112" s="9">
        <f t="shared" si="123"/>
        <v>0.20005768067089399</v>
      </c>
      <c r="X112" s="4">
        <f t="shared" si="196"/>
        <v>1013.6549652743172</v>
      </c>
      <c r="Y112" s="6">
        <f t="shared" si="124"/>
        <v>5.5273099305486349E-6</v>
      </c>
      <c r="Z112" s="8">
        <f t="shared" si="125"/>
        <v>27.546032100654649</v>
      </c>
      <c r="AA112" s="7">
        <f t="shared" si="126"/>
        <v>1.3833162889062653E-2</v>
      </c>
      <c r="AB112" s="9">
        <f t="shared" si="127"/>
        <v>0.20023301286535994</v>
      </c>
      <c r="AC112" s="4">
        <f t="shared" si="197"/>
        <v>1010.9561584342561</v>
      </c>
      <c r="AD112" s="6">
        <f t="shared" si="128"/>
        <v>5.5219123168685127E-6</v>
      </c>
      <c r="AE112" s="8">
        <f t="shared" si="129"/>
        <v>27.514995821993942</v>
      </c>
      <c r="AF112" s="7">
        <f t="shared" si="130"/>
        <v>1.3819654316142451E-2</v>
      </c>
      <c r="AG112" s="9">
        <f t="shared" si="131"/>
        <v>0.20045887107099319</v>
      </c>
      <c r="AH112" s="4">
        <f t="shared" si="198"/>
        <v>1007.6576848804903</v>
      </c>
      <c r="AI112" s="6">
        <f t="shared" si="132"/>
        <v>5.5153153697609817E-6</v>
      </c>
      <c r="AJ112" s="8">
        <f t="shared" si="133"/>
        <v>27.477063376125635</v>
      </c>
      <c r="AK112" s="7">
        <f t="shared" si="134"/>
        <v>1.3803144179194161E-2</v>
      </c>
      <c r="AL112" s="9">
        <f t="shared" si="135"/>
        <v>0.20073560716799288</v>
      </c>
      <c r="AM112" s="4">
        <f t="shared" si="199"/>
        <v>1003.759536668706</v>
      </c>
      <c r="AN112" s="6">
        <f t="shared" si="136"/>
        <v>5.5075190733374124E-6</v>
      </c>
      <c r="AO112" s="8">
        <f t="shared" si="137"/>
        <v>27.432234671690118</v>
      </c>
      <c r="AP112" s="7">
        <f t="shared" si="138"/>
        <v>1.378363243845341E-2</v>
      </c>
      <c r="AQ112" s="9">
        <f t="shared" si="139"/>
        <v>0.20106364158848816</v>
      </c>
      <c r="AR112" s="4">
        <f t="shared" si="200"/>
        <v>999.26171893207561</v>
      </c>
      <c r="AS112" s="6">
        <f t="shared" si="140"/>
        <v>5.4985234378641516E-6</v>
      </c>
      <c r="AT112" s="8">
        <f t="shared" si="141"/>
        <v>27.38050976771887</v>
      </c>
      <c r="AU112" s="7">
        <f t="shared" si="142"/>
        <v>1.3761119119613715E-2</v>
      </c>
      <c r="AV112" s="9">
        <f t="shared" si="143"/>
        <v>0.20144347372607441</v>
      </c>
      <c r="AW112" s="4">
        <f t="shared" si="201"/>
        <v>994.16423356240284</v>
      </c>
      <c r="AX112" s="6">
        <f t="shared" si="144"/>
        <v>5.4883284671248066E-6</v>
      </c>
      <c r="AY112" s="8">
        <f t="shared" si="145"/>
        <v>27.321888685967632</v>
      </c>
      <c r="AZ112" s="7">
        <f t="shared" si="146"/>
        <v>1.3735604232144288E-2</v>
      </c>
      <c r="BA112" s="9">
        <f t="shared" si="147"/>
        <v>0.20187568522057531</v>
      </c>
      <c r="BB112" s="4">
        <f t="shared" si="202"/>
        <v>988.46707332870494</v>
      </c>
      <c r="BC112" s="6">
        <f t="shared" si="148"/>
        <v>5.4769341466574102E-6</v>
      </c>
      <c r="BD112" s="8">
        <f t="shared" si="149"/>
        <v>27.256371343280108</v>
      </c>
      <c r="BE112" s="7">
        <f t="shared" si="150"/>
        <v>1.370708773985126E-2</v>
      </c>
      <c r="BF112" s="9">
        <f t="shared" si="151"/>
        <v>0.20236094271440294</v>
      </c>
      <c r="BG112" s="4">
        <f t="shared" si="203"/>
        <v>982.17016569464488</v>
      </c>
      <c r="BH112" s="6">
        <f t="shared" si="152"/>
        <v>5.4643403313892906E-6</v>
      </c>
      <c r="BI112" s="8">
        <f t="shared" si="153"/>
        <v>27.183956905488415</v>
      </c>
      <c r="BJ112" s="7">
        <f t="shared" si="154"/>
        <v>1.3675569279662186E-2</v>
      </c>
      <c r="BK112" s="9">
        <f t="shared" si="155"/>
        <v>0.20290000529269528</v>
      </c>
      <c r="BL112" s="4">
        <f t="shared" si="204"/>
        <v>975.27292212674513</v>
      </c>
      <c r="BM112" s="6">
        <f t="shared" si="156"/>
        <v>5.4505458442534903E-6</v>
      </c>
      <c r="BN112" s="8">
        <f t="shared" si="157"/>
        <v>27.10463860445757</v>
      </c>
      <c r="BO112" s="7">
        <f t="shared" si="158"/>
        <v>1.3641045905739193E-2</v>
      </c>
      <c r="BP112" s="9">
        <f t="shared" si="159"/>
        <v>0.20349376652795187</v>
      </c>
      <c r="BQ112" s="4">
        <f t="shared" si="205"/>
        <v>967.77109001627639</v>
      </c>
      <c r="BR112" s="6">
        <f t="shared" si="160"/>
        <v>5.4355421800325532E-6</v>
      </c>
      <c r="BS112" s="8">
        <f t="shared" si="161"/>
        <v>27.018367535187178</v>
      </c>
      <c r="BT112" s="7">
        <f t="shared" si="162"/>
        <v>1.3603496332129447E-2</v>
      </c>
      <c r="BU112" s="9">
        <f t="shared" si="163"/>
        <v>0.20414353283249867</v>
      </c>
      <c r="BV112" s="4">
        <f t="shared" si="206"/>
        <v>959.63756065810287</v>
      </c>
      <c r="BW112" s="6">
        <f t="shared" si="164"/>
        <v>5.4192751213162065E-6</v>
      </c>
      <c r="BX112" s="8">
        <f t="shared" si="165"/>
        <v>26.92483194756818</v>
      </c>
      <c r="BY112" s="7">
        <f t="shared" si="166"/>
        <v>1.3562784869270183E-2</v>
      </c>
      <c r="BZ112" s="9">
        <f t="shared" si="167"/>
        <v>0.20485271777149067</v>
      </c>
      <c r="CA112" s="4">
        <f t="shared" si="207"/>
        <v>950.72235876401044</v>
      </c>
      <c r="CB112" s="6">
        <f t="shared" si="168"/>
        <v>5.4014447175280217E-6</v>
      </c>
      <c r="CC112" s="8">
        <f t="shared" si="169"/>
        <v>26.822307125786118</v>
      </c>
      <c r="CD112" s="7">
        <f t="shared" si="170"/>
        <v>1.3518160832789703E-2</v>
      </c>
      <c r="CE112" s="9">
        <f t="shared" si="171"/>
        <v>0.20563574095747539</v>
      </c>
      <c r="CF112" s="4">
        <f t="shared" si="208"/>
        <v>940.32102480777382</v>
      </c>
      <c r="CG112" s="6">
        <f t="shared" si="172"/>
        <v>5.3806420496155483E-6</v>
      </c>
      <c r="CH112" s="8">
        <f t="shared" si="173"/>
        <v>26.702691785289396</v>
      </c>
      <c r="CI112" s="7">
        <f t="shared" si="174"/>
        <v>1.3466098130068823E-2</v>
      </c>
      <c r="CJ112" s="9">
        <f t="shared" si="175"/>
        <v>0.2065568911310498</v>
      </c>
      <c r="CK112" s="4">
        <f t="shared" si="209"/>
        <v>925.70927163134854</v>
      </c>
      <c r="CL112" s="6">
        <f t="shared" si="176"/>
        <v>5.3514185432626973E-6</v>
      </c>
      <c r="CM112" s="8">
        <f t="shared" si="177"/>
        <v>26.534656623760508</v>
      </c>
      <c r="CN112" s="7">
        <f t="shared" si="178"/>
        <v>1.3392960649332616E-2</v>
      </c>
      <c r="CO112" s="9">
        <f t="shared" si="179"/>
        <v>0.20786494727280636</v>
      </c>
      <c r="CP112" s="4">
        <f t="shared" si="210"/>
        <v>898.60794535187301</v>
      </c>
      <c r="CQ112" s="6">
        <f t="shared" si="180"/>
        <v>5.297215890703746E-6</v>
      </c>
      <c r="CR112" s="8">
        <f t="shared" si="181"/>
        <v>26.222991371546541</v>
      </c>
      <c r="CS112" s="7">
        <f t="shared" si="182"/>
        <v>1.3257308020605712E-2</v>
      </c>
      <c r="CT112" s="9">
        <f t="shared" si="183"/>
        <v>0.2103354618033689</v>
      </c>
      <c r="CU112" s="4">
        <f t="shared" si="211"/>
        <v>840.76169831538334</v>
      </c>
      <c r="CV112" s="6">
        <f t="shared" si="184"/>
        <v>5.1815233966307677E-6</v>
      </c>
      <c r="CW112" s="8">
        <f t="shared" si="185"/>
        <v>25.557759530626907</v>
      </c>
      <c r="CX112" s="7">
        <f t="shared" si="186"/>
        <v>1.2967765162386692E-2</v>
      </c>
      <c r="CY112" s="9">
        <f t="shared" si="187"/>
        <v>0.21581019233671095</v>
      </c>
      <c r="CZ112" s="5">
        <f t="shared" si="212"/>
        <v>727.72148123501972</v>
      </c>
      <c r="DA112" s="6">
        <f t="shared" si="188"/>
        <v>4.9554429624700396E-6</v>
      </c>
      <c r="DB112" s="8">
        <f t="shared" si="189"/>
        <v>24.257797034202724</v>
      </c>
      <c r="DC112" s="7">
        <f t="shared" si="190"/>
        <v>1.2401955118971065E-2</v>
      </c>
      <c r="DD112" s="9">
        <f t="shared" si="191"/>
        <v>0.22737534625354247</v>
      </c>
    </row>
    <row r="113" spans="2:108" x14ac:dyDescent="0.25">
      <c r="B113">
        <v>94</v>
      </c>
      <c r="C113">
        <f t="shared" si="192"/>
        <v>9.1895778636453637E-2</v>
      </c>
      <c r="D113" s="4">
        <f t="shared" si="109"/>
        <v>1018.4678358949302</v>
      </c>
      <c r="E113" s="6">
        <f t="shared" si="110"/>
        <v>5.5369356717898614E-6</v>
      </c>
      <c r="F113" s="8">
        <f t="shared" si="111"/>
        <v>27.601380112791695</v>
      </c>
      <c r="G113" s="7">
        <f t="shared" si="107"/>
        <v>1.3857253169541032E-2</v>
      </c>
      <c r="H113" s="9">
        <f t="shared" si="112"/>
        <v>0.19983149311594808</v>
      </c>
      <c r="I113" s="4">
        <f t="shared" si="193"/>
        <v>1018.143688045885</v>
      </c>
      <c r="J113" s="6">
        <f t="shared" si="113"/>
        <v>5.5362873760917707E-6</v>
      </c>
      <c r="K113" s="8">
        <f t="shared" si="114"/>
        <v>27.597652412527676</v>
      </c>
      <c r="L113" s="7">
        <f t="shared" si="115"/>
        <v>1.3855630684081622E-2</v>
      </c>
      <c r="M113" s="9">
        <f t="shared" si="116"/>
        <v>0.19985848497375225</v>
      </c>
      <c r="N113" s="4">
        <f t="shared" si="194"/>
        <v>1017.2386590408735</v>
      </c>
      <c r="O113" s="6">
        <f t="shared" si="117"/>
        <v>5.5344773180817474E-6</v>
      </c>
      <c r="P113" s="8">
        <f t="shared" si="118"/>
        <v>27.587244578970044</v>
      </c>
      <c r="Q113" s="7">
        <f t="shared" si="108"/>
        <v>1.3857253169541032E-2</v>
      </c>
      <c r="R113" s="9">
        <f t="shared" si="119"/>
        <v>0.19993388553942792</v>
      </c>
      <c r="S113" s="4">
        <f t="shared" si="195"/>
        <v>1015.7376270444012</v>
      </c>
      <c r="T113" s="6">
        <f t="shared" si="120"/>
        <v>5.5314752540888026E-6</v>
      </c>
      <c r="U113" s="8">
        <f t="shared" si="121"/>
        <v>27.56998271101061</v>
      </c>
      <c r="V113" s="7">
        <f t="shared" si="122"/>
        <v>1.3843587417402983E-2</v>
      </c>
      <c r="W113" s="9">
        <f t="shared" si="123"/>
        <v>0.20005906633366249</v>
      </c>
      <c r="X113" s="4">
        <f t="shared" si="196"/>
        <v>1013.638362670985</v>
      </c>
      <c r="Y113" s="6">
        <f t="shared" si="124"/>
        <v>5.5272767253419698E-6</v>
      </c>
      <c r="Z113" s="8">
        <f t="shared" si="125"/>
        <v>27.545841170716326</v>
      </c>
      <c r="AA113" s="7">
        <f t="shared" si="126"/>
        <v>1.3833079786606244E-2</v>
      </c>
      <c r="AB113" s="9">
        <f t="shared" si="127"/>
        <v>0.20023440075097793</v>
      </c>
      <c r="AC113" s="4">
        <f t="shared" si="197"/>
        <v>1010.939567110941</v>
      </c>
      <c r="AD113" s="6">
        <f t="shared" si="128"/>
        <v>5.5218791342218823E-6</v>
      </c>
      <c r="AE113" s="8">
        <f t="shared" si="129"/>
        <v>27.514805021775821</v>
      </c>
      <c r="AF113" s="7">
        <f t="shared" si="130"/>
        <v>1.3819571270146897E-2</v>
      </c>
      <c r="AG113" s="9">
        <f t="shared" si="131"/>
        <v>0.2004602611443117</v>
      </c>
      <c r="AH113" s="4">
        <f t="shared" si="198"/>
        <v>1007.6411097815321</v>
      </c>
      <c r="AI113" s="6">
        <f t="shared" si="132"/>
        <v>5.5152822195630647E-6</v>
      </c>
      <c r="AJ113" s="8">
        <f t="shared" si="133"/>
        <v>27.476872762487616</v>
      </c>
      <c r="AK113" s="7">
        <f t="shared" si="134"/>
        <v>1.380306121440779E-2</v>
      </c>
      <c r="AL113" s="9">
        <f t="shared" si="135"/>
        <v>0.2007369997189099</v>
      </c>
      <c r="AM113" s="4">
        <f t="shared" si="199"/>
        <v>1003.7429815341219</v>
      </c>
      <c r="AN113" s="6">
        <f t="shared" si="136"/>
        <v>5.507485963068244E-6</v>
      </c>
      <c r="AO113" s="8">
        <f t="shared" si="137"/>
        <v>27.432044287642402</v>
      </c>
      <c r="AP113" s="7">
        <f t="shared" si="138"/>
        <v>1.3783549573596459E-2</v>
      </c>
      <c r="AQ113" s="9">
        <f t="shared" si="139"/>
        <v>0.20106503701164849</v>
      </c>
      <c r="AR113" s="4">
        <f t="shared" si="200"/>
        <v>999.24518730002546</v>
      </c>
      <c r="AS113" s="6">
        <f t="shared" si="140"/>
        <v>5.4984903746000517E-6</v>
      </c>
      <c r="AT113" s="8">
        <f t="shared" si="141"/>
        <v>27.380319653950291</v>
      </c>
      <c r="AU113" s="7">
        <f t="shared" si="142"/>
        <v>1.3761036372396049E-2</v>
      </c>
      <c r="AV113" s="9">
        <f t="shared" si="143"/>
        <v>0.20144487243793863</v>
      </c>
      <c r="AW113" s="4">
        <f t="shared" si="201"/>
        <v>994.14772888641096</v>
      </c>
      <c r="AX113" s="6">
        <f t="shared" si="144"/>
        <v>5.4882954577728222E-6</v>
      </c>
      <c r="AY113" s="8">
        <f t="shared" si="145"/>
        <v>27.321698882193726</v>
      </c>
      <c r="AZ113" s="7">
        <f t="shared" si="146"/>
        <v>1.3735521619852127E-2</v>
      </c>
      <c r="BA113" s="9">
        <f t="shared" si="147"/>
        <v>0.20187708765045642</v>
      </c>
      <c r="BB113" s="4">
        <f t="shared" si="202"/>
        <v>988.45059824639543</v>
      </c>
      <c r="BC113" s="6">
        <f t="shared" si="148"/>
        <v>5.4769011964927916E-6</v>
      </c>
      <c r="BD113" s="8">
        <f t="shared" si="149"/>
        <v>27.256181879833548</v>
      </c>
      <c r="BE113" s="7">
        <f t="shared" si="150"/>
        <v>1.3707005275686933E-2</v>
      </c>
      <c r="BF113" s="9">
        <f t="shared" si="151"/>
        <v>0.20236234936783024</v>
      </c>
      <c r="BG113" s="4">
        <f t="shared" si="203"/>
        <v>982.15371632773554</v>
      </c>
      <c r="BH113" s="6">
        <f t="shared" si="152"/>
        <v>5.4643074326554716E-6</v>
      </c>
      <c r="BI113" s="8">
        <f t="shared" si="153"/>
        <v>27.18376773776896</v>
      </c>
      <c r="BJ113" s="7">
        <f t="shared" si="154"/>
        <v>1.3675486944213392E-2</v>
      </c>
      <c r="BK113" s="9">
        <f t="shared" si="155"/>
        <v>0.20290141724307864</v>
      </c>
      <c r="BL113" s="4">
        <f t="shared" si="204"/>
        <v>975.25644931854754</v>
      </c>
      <c r="BM113" s="6">
        <f t="shared" si="156"/>
        <v>5.4505128986370956E-6</v>
      </c>
      <c r="BN113" s="8">
        <f t="shared" si="157"/>
        <v>27.104449167163295</v>
      </c>
      <c r="BO113" s="7">
        <f t="shared" si="158"/>
        <v>1.3640963452957679E-2</v>
      </c>
      <c r="BP113" s="9">
        <f t="shared" si="159"/>
        <v>0.20349518877816233</v>
      </c>
      <c r="BQ113" s="4">
        <f t="shared" si="205"/>
        <v>967.7542699266545</v>
      </c>
      <c r="BR113" s="6">
        <f t="shared" si="160"/>
        <v>5.4355085398533091E-6</v>
      </c>
      <c r="BS113" s="8">
        <f t="shared" si="161"/>
        <v>27.018174104156525</v>
      </c>
      <c r="BT113" s="7">
        <f t="shared" si="162"/>
        <v>1.360341214106997E-2</v>
      </c>
      <c r="BU113" s="9">
        <f t="shared" si="163"/>
        <v>0.20414499435590899</v>
      </c>
      <c r="BV113" s="4">
        <f t="shared" si="206"/>
        <v>959.61864435451935</v>
      </c>
      <c r="BW113" s="6">
        <f t="shared" si="164"/>
        <v>5.4192372887090389E-6</v>
      </c>
      <c r="BX113" s="8">
        <f t="shared" si="165"/>
        <v>26.92461441007697</v>
      </c>
      <c r="BY113" s="7">
        <f t="shared" si="166"/>
        <v>1.3562690185848401E-2</v>
      </c>
      <c r="BZ113" s="9">
        <f t="shared" si="167"/>
        <v>0.20485437287954952</v>
      </c>
      <c r="CA113" s="4">
        <f t="shared" si="207"/>
        <v>950.69347000890298</v>
      </c>
      <c r="CB113" s="6">
        <f t="shared" si="168"/>
        <v>5.4013869400178065E-6</v>
      </c>
      <c r="CC113" s="8">
        <f t="shared" si="169"/>
        <v>26.821974905102383</v>
      </c>
      <c r="CD113" s="7">
        <f t="shared" si="170"/>
        <v>1.3518016233387792E-2</v>
      </c>
      <c r="CE113" s="9">
        <f t="shared" si="171"/>
        <v>0.20563828799014924</v>
      </c>
      <c r="CF113" s="4">
        <f t="shared" si="208"/>
        <v>940.25354181372131</v>
      </c>
      <c r="CG113" s="6">
        <f t="shared" si="172"/>
        <v>5.3805070836274438E-6</v>
      </c>
      <c r="CH113" s="8">
        <f t="shared" si="173"/>
        <v>26.701915730857792</v>
      </c>
      <c r="CI113" s="7">
        <f t="shared" si="174"/>
        <v>1.3465760351561485E-2</v>
      </c>
      <c r="CJ113" s="9">
        <f t="shared" si="175"/>
        <v>0.20656289442281198</v>
      </c>
      <c r="CK113" s="4">
        <f t="shared" si="209"/>
        <v>925.52456949388841</v>
      </c>
      <c r="CL113" s="6">
        <f t="shared" si="176"/>
        <v>5.3510491389877779E-6</v>
      </c>
      <c r="CM113" s="8">
        <f t="shared" si="177"/>
        <v>26.532532549179717</v>
      </c>
      <c r="CN113" s="7">
        <f t="shared" si="178"/>
        <v>1.3392036143637967E-2</v>
      </c>
      <c r="CO113" s="9">
        <f t="shared" si="179"/>
        <v>0.20788158800055903</v>
      </c>
      <c r="CP113" s="4">
        <f t="shared" si="210"/>
        <v>898.16460767930175</v>
      </c>
      <c r="CQ113" s="6">
        <f t="shared" si="180"/>
        <v>5.2963292153586043E-6</v>
      </c>
      <c r="CR113" s="8">
        <f t="shared" si="181"/>
        <v>26.21789298831197</v>
      </c>
      <c r="CS113" s="7">
        <f t="shared" si="182"/>
        <v>1.3255088943942167E-2</v>
      </c>
      <c r="CT113" s="9">
        <f t="shared" si="183"/>
        <v>0.21037636405255317</v>
      </c>
      <c r="CU113" s="4">
        <f t="shared" si="211"/>
        <v>839.97048903640928</v>
      </c>
      <c r="CV113" s="6">
        <f t="shared" si="184"/>
        <v>5.1799409780728198E-6</v>
      </c>
      <c r="CW113" s="8">
        <f t="shared" si="185"/>
        <v>25.548660623918707</v>
      </c>
      <c r="CX113" s="7">
        <f t="shared" si="186"/>
        <v>1.2963804853674892E-2</v>
      </c>
      <c r="CY113" s="9">
        <f t="shared" si="187"/>
        <v>0.21588705103531966</v>
      </c>
      <c r="CZ113" s="5">
        <f t="shared" si="212"/>
        <v>726.81724185864539</v>
      </c>
      <c r="DA113" s="6">
        <f t="shared" si="188"/>
        <v>4.9536344837172914E-6</v>
      </c>
      <c r="DB113" s="8">
        <f t="shared" si="189"/>
        <v>24.247398281374423</v>
      </c>
      <c r="DC113" s="7">
        <f t="shared" si="190"/>
        <v>1.2397429050868766E-2</v>
      </c>
      <c r="DD113" s="9">
        <f t="shared" si="191"/>
        <v>0.22747285857208083</v>
      </c>
    </row>
    <row r="114" spans="2:108" x14ac:dyDescent="0.25">
      <c r="B114">
        <v>95</v>
      </c>
      <c r="C114">
        <f t="shared" si="192"/>
        <v>9.2873393302798896E-2</v>
      </c>
      <c r="D114" s="4">
        <f t="shared" si="109"/>
        <v>1018.4512865432442</v>
      </c>
      <c r="E114" s="6">
        <f t="shared" si="110"/>
        <v>5.5369025730864882E-6</v>
      </c>
      <c r="F114" s="8">
        <f t="shared" si="111"/>
        <v>27.601189795247308</v>
      </c>
      <c r="G114" s="7">
        <f t="shared" si="107"/>
        <v>1.3857170333629723E-2</v>
      </c>
      <c r="H114" s="9">
        <f t="shared" si="112"/>
        <v>0.19983287100723984</v>
      </c>
      <c r="I114" s="4">
        <f t="shared" si="193"/>
        <v>1018.1271222202448</v>
      </c>
      <c r="J114" s="6">
        <f t="shared" si="113"/>
        <v>5.5362542444404905E-6</v>
      </c>
      <c r="K114" s="8">
        <f t="shared" si="114"/>
        <v>27.597461905532814</v>
      </c>
      <c r="L114" s="7">
        <f t="shared" si="115"/>
        <v>1.3855547765711801E-2</v>
      </c>
      <c r="M114" s="9">
        <f t="shared" si="116"/>
        <v>0.19985986460929628</v>
      </c>
      <c r="N114" s="4">
        <f t="shared" si="194"/>
        <v>1017.2220667696735</v>
      </c>
      <c r="O114" s="6">
        <f t="shared" si="117"/>
        <v>5.5344441335393472E-6</v>
      </c>
      <c r="P114" s="8">
        <f t="shared" si="118"/>
        <v>27.587053767851245</v>
      </c>
      <c r="Q114" s="7">
        <f t="shared" si="108"/>
        <v>1.3857170333629723E-2</v>
      </c>
      <c r="R114" s="9">
        <f t="shared" si="119"/>
        <v>0.19993526842027873</v>
      </c>
      <c r="S114" s="4">
        <f t="shared" si="195"/>
        <v>1015.7210222497799</v>
      </c>
      <c r="T114" s="6">
        <f t="shared" si="120"/>
        <v>5.5314420444995603E-6</v>
      </c>
      <c r="U114" s="8">
        <f t="shared" si="121"/>
        <v>27.569791755872469</v>
      </c>
      <c r="V114" s="7">
        <f t="shared" si="122"/>
        <v>1.3843504303978325E-2</v>
      </c>
      <c r="W114" s="9">
        <f t="shared" si="123"/>
        <v>0.2000604519918128</v>
      </c>
      <c r="X114" s="4">
        <f t="shared" si="196"/>
        <v>1013.6217603130051</v>
      </c>
      <c r="Y114" s="6">
        <f t="shared" si="124"/>
        <v>5.5272435206260104E-6</v>
      </c>
      <c r="Z114" s="8">
        <f t="shared" si="125"/>
        <v>27.54565024359956</v>
      </c>
      <c r="AA114" s="7">
        <f t="shared" si="126"/>
        <v>1.383299668537792E-2</v>
      </c>
      <c r="AB114" s="9">
        <f t="shared" si="127"/>
        <v>0.20023578863532535</v>
      </c>
      <c r="AC114" s="4">
        <f t="shared" si="197"/>
        <v>1010.9229759937389</v>
      </c>
      <c r="AD114" s="6">
        <f t="shared" si="128"/>
        <v>5.5218459519874784E-6</v>
      </c>
      <c r="AE114" s="8">
        <f t="shared" si="129"/>
        <v>27.514614223927996</v>
      </c>
      <c r="AF114" s="7">
        <f t="shared" si="130"/>
        <v>1.3819488225183016E-2</v>
      </c>
      <c r="AG114" s="9">
        <f t="shared" si="131"/>
        <v>0.20046165121964002</v>
      </c>
      <c r="AH114" s="4">
        <f t="shared" si="198"/>
        <v>1007.6245348755384</v>
      </c>
      <c r="AI114" s="6">
        <f t="shared" si="132"/>
        <v>5.515249069751077E-6</v>
      </c>
      <c r="AJ114" s="8">
        <f t="shared" si="133"/>
        <v>27.47668215106869</v>
      </c>
      <c r="AK114" s="7">
        <f t="shared" si="134"/>
        <v>1.3802978250587284E-2</v>
      </c>
      <c r="AL114" s="9">
        <f t="shared" si="135"/>
        <v>0.2007383922729358</v>
      </c>
      <c r="AM114" s="4">
        <f t="shared" si="199"/>
        <v>1003.7264265907354</v>
      </c>
      <c r="AN114" s="6">
        <f t="shared" si="136"/>
        <v>5.5074528531814719E-6</v>
      </c>
      <c r="AO114" s="8">
        <f t="shared" si="137"/>
        <v>27.431853905793457</v>
      </c>
      <c r="AP114" s="7">
        <f t="shared" si="138"/>
        <v>1.378346670969653E-2</v>
      </c>
      <c r="AQ114" s="9">
        <f t="shared" si="139"/>
        <v>0.20106643243806174</v>
      </c>
      <c r="AR114" s="4">
        <f t="shared" si="200"/>
        <v>999.22865585842999</v>
      </c>
      <c r="AS114" s="6">
        <f t="shared" si="140"/>
        <v>5.4984573117168607E-6</v>
      </c>
      <c r="AT114" s="8">
        <f t="shared" si="141"/>
        <v>27.380129542371947</v>
      </c>
      <c r="AU114" s="7">
        <f t="shared" si="142"/>
        <v>1.3760953626131679E-2</v>
      </c>
      <c r="AV114" s="9">
        <f t="shared" si="143"/>
        <v>0.20144627115311231</v>
      </c>
      <c r="AW114" s="4">
        <f t="shared" si="201"/>
        <v>994.1312243891914</v>
      </c>
      <c r="AX114" s="6">
        <f t="shared" si="144"/>
        <v>5.4882624487783832E-6</v>
      </c>
      <c r="AY114" s="8">
        <f t="shared" si="145"/>
        <v>27.3215090804757</v>
      </c>
      <c r="AZ114" s="7">
        <f t="shared" si="146"/>
        <v>1.3735439008454789E-2</v>
      </c>
      <c r="BA114" s="9">
        <f t="shared" si="147"/>
        <v>0.20187849008463213</v>
      </c>
      <c r="BB114" s="4">
        <f t="shared" si="202"/>
        <v>988.43412324788903</v>
      </c>
      <c r="BC114" s="6">
        <f t="shared" si="148"/>
        <v>5.4768682464957788E-6</v>
      </c>
      <c r="BD114" s="8">
        <f t="shared" si="149"/>
        <v>27.255992417350726</v>
      </c>
      <c r="BE114" s="7">
        <f t="shared" si="150"/>
        <v>1.3706922811942076E-2</v>
      </c>
      <c r="BF114" s="9">
        <f t="shared" si="151"/>
        <v>0.20236375603365819</v>
      </c>
      <c r="BG114" s="4">
        <f t="shared" si="203"/>
        <v>982.13726638741844</v>
      </c>
      <c r="BH114" s="6">
        <f t="shared" si="152"/>
        <v>5.4642745327748377E-6</v>
      </c>
      <c r="BI114" s="8">
        <f t="shared" si="153"/>
        <v>27.183578563455313</v>
      </c>
      <c r="BJ114" s="7">
        <f t="shared" si="154"/>
        <v>1.367540460589447E-2</v>
      </c>
      <c r="BK114" s="9">
        <f t="shared" si="155"/>
        <v>0.20290282926233341</v>
      </c>
      <c r="BL114" s="4">
        <f t="shared" si="204"/>
        <v>975.23997196964478</v>
      </c>
      <c r="BM114" s="6">
        <f t="shared" si="156"/>
        <v>5.4504799439392904E-6</v>
      </c>
      <c r="BN114" s="8">
        <f t="shared" si="157"/>
        <v>27.104259677650916</v>
      </c>
      <c r="BO114" s="7">
        <f t="shared" si="158"/>
        <v>1.3640880977448177E-2</v>
      </c>
      <c r="BP114" s="9">
        <f t="shared" si="159"/>
        <v>0.20349661144030298</v>
      </c>
      <c r="BQ114" s="4">
        <f t="shared" si="205"/>
        <v>967.73742479977102</v>
      </c>
      <c r="BR114" s="6">
        <f t="shared" si="160"/>
        <v>5.4354748495995431E-6</v>
      </c>
      <c r="BS114" s="8">
        <f t="shared" si="161"/>
        <v>27.017980385197365</v>
      </c>
      <c r="BT114" s="7">
        <f t="shared" si="162"/>
        <v>1.3603327824689313E-2</v>
      </c>
      <c r="BU114" s="9">
        <f t="shared" si="163"/>
        <v>0.20414645807581921</v>
      </c>
      <c r="BV114" s="4">
        <f t="shared" si="206"/>
        <v>959.59961516178328</v>
      </c>
      <c r="BW114" s="6">
        <f t="shared" si="164"/>
        <v>5.4191992303235671E-6</v>
      </c>
      <c r="BX114" s="8">
        <f t="shared" si="165"/>
        <v>26.924395574360506</v>
      </c>
      <c r="BY114" s="7">
        <f t="shared" si="166"/>
        <v>1.3562594937372715E-2</v>
      </c>
      <c r="BZ114" s="9">
        <f t="shared" si="167"/>
        <v>0.20485603789198539</v>
      </c>
      <c r="CA114" s="4">
        <f t="shared" si="207"/>
        <v>950.66417131462208</v>
      </c>
      <c r="CB114" s="6">
        <f t="shared" si="168"/>
        <v>5.4013283426292446E-6</v>
      </c>
      <c r="CC114" s="8">
        <f t="shared" si="169"/>
        <v>26.821637970118154</v>
      </c>
      <c r="CD114" s="7">
        <f t="shared" si="170"/>
        <v>1.3517869582081636E-2</v>
      </c>
      <c r="CE114" s="9">
        <f t="shared" si="171"/>
        <v>0.20564087123034502</v>
      </c>
      <c r="CF114" s="4">
        <f t="shared" si="208"/>
        <v>940.18493088977857</v>
      </c>
      <c r="CG114" s="6">
        <f t="shared" si="172"/>
        <v>5.3803698617795575E-6</v>
      </c>
      <c r="CH114" s="8">
        <f t="shared" si="173"/>
        <v>26.701126705232454</v>
      </c>
      <c r="CI114" s="7">
        <f t="shared" si="174"/>
        <v>1.346541692732843E-2</v>
      </c>
      <c r="CJ114" s="9">
        <f t="shared" si="175"/>
        <v>0.20656899841305712</v>
      </c>
      <c r="CK114" s="4">
        <f t="shared" si="209"/>
        <v>925.33781898219138</v>
      </c>
      <c r="CL114" s="6">
        <f t="shared" si="176"/>
        <v>5.3506756379643833E-6</v>
      </c>
      <c r="CM114" s="8">
        <f t="shared" si="177"/>
        <v>26.530384918295198</v>
      </c>
      <c r="CN114" s="7">
        <f t="shared" si="178"/>
        <v>1.3391101385037352E-2</v>
      </c>
      <c r="CO114" s="9">
        <f t="shared" si="179"/>
        <v>0.20789841598553127</v>
      </c>
      <c r="CP114" s="4">
        <f t="shared" si="210"/>
        <v>897.71988037672202</v>
      </c>
      <c r="CQ114" s="6">
        <f t="shared" si="180"/>
        <v>5.2954397607534447E-6</v>
      </c>
      <c r="CR114" s="8">
        <f t="shared" si="181"/>
        <v>26.212778624332302</v>
      </c>
      <c r="CS114" s="7">
        <f t="shared" si="182"/>
        <v>1.3252862911642512E-2</v>
      </c>
      <c r="CT114" s="9">
        <f t="shared" si="183"/>
        <v>0.21041741049459214</v>
      </c>
      <c r="CU114" s="4">
        <f t="shared" si="211"/>
        <v>839.18236420994344</v>
      </c>
      <c r="CV114" s="6">
        <f t="shared" si="184"/>
        <v>5.1783647284198871E-6</v>
      </c>
      <c r="CW114" s="8">
        <f t="shared" si="185"/>
        <v>25.539597188414348</v>
      </c>
      <c r="CX114" s="7">
        <f t="shared" si="186"/>
        <v>1.2959859983841859E-2</v>
      </c>
      <c r="CY114" s="9">
        <f t="shared" si="187"/>
        <v>0.21596366455231644</v>
      </c>
      <c r="CZ114" s="5">
        <f t="shared" si="212"/>
        <v>725.91978190619113</v>
      </c>
      <c r="DA114" s="6">
        <f t="shared" si="188"/>
        <v>4.9518395638123827E-6</v>
      </c>
      <c r="DB114" s="8">
        <f t="shared" si="189"/>
        <v>24.237077491921198</v>
      </c>
      <c r="DC114" s="7">
        <f t="shared" si="190"/>
        <v>1.2392936916407443E-2</v>
      </c>
      <c r="DD114" s="9">
        <f t="shared" si="191"/>
        <v>0.22756972253929916</v>
      </c>
    </row>
    <row r="115" spans="2:108" x14ac:dyDescent="0.25">
      <c r="B115">
        <v>96</v>
      </c>
      <c r="C115">
        <f t="shared" si="192"/>
        <v>9.385100796914414E-2</v>
      </c>
      <c r="D115" s="4">
        <f t="shared" si="109"/>
        <v>1018.4347363504813</v>
      </c>
      <c r="E115" s="6">
        <f t="shared" si="110"/>
        <v>5.5368694727009626E-6</v>
      </c>
      <c r="F115" s="8">
        <f t="shared" si="111"/>
        <v>27.600999468030537</v>
      </c>
      <c r="G115" s="7">
        <f t="shared" si="107"/>
        <v>1.3857087493508505E-2</v>
      </c>
      <c r="H115" s="9">
        <f t="shared" si="112"/>
        <v>0.19983424898756269</v>
      </c>
      <c r="I115" s="4">
        <f t="shared" si="193"/>
        <v>1018.1105560580903</v>
      </c>
      <c r="J115" s="6">
        <f t="shared" si="113"/>
        <v>5.5362211121161815E-6</v>
      </c>
      <c r="K115" s="8">
        <f t="shared" si="114"/>
        <v>27.597271394668038</v>
      </c>
      <c r="L115" s="7">
        <f t="shared" si="115"/>
        <v>1.3855464845657594E-2</v>
      </c>
      <c r="M115" s="9">
        <f t="shared" si="116"/>
        <v>0.19986124429191404</v>
      </c>
      <c r="N115" s="4">
        <f t="shared" si="194"/>
        <v>1017.2054746556861</v>
      </c>
      <c r="O115" s="6">
        <f t="shared" si="117"/>
        <v>5.5344109493113724E-6</v>
      </c>
      <c r="P115" s="8">
        <f t="shared" si="118"/>
        <v>27.586862958540387</v>
      </c>
      <c r="Q115" s="7">
        <f t="shared" si="108"/>
        <v>1.3857087493508505E-2</v>
      </c>
      <c r="R115" s="9">
        <f t="shared" si="119"/>
        <v>0.19993665130715646</v>
      </c>
      <c r="S115" s="4">
        <f t="shared" si="195"/>
        <v>1015.7044177384319</v>
      </c>
      <c r="T115" s="6">
        <f t="shared" si="120"/>
        <v>5.5314088354768644E-6</v>
      </c>
      <c r="U115" s="8">
        <f t="shared" si="121"/>
        <v>27.569600803991968</v>
      </c>
      <c r="V115" s="7">
        <f t="shared" si="122"/>
        <v>1.384342119197156E-2</v>
      </c>
      <c r="W115" s="9">
        <f t="shared" si="123"/>
        <v>0.2000618376455186</v>
      </c>
      <c r="X115" s="4">
        <f t="shared" si="196"/>
        <v>1013.6051582002476</v>
      </c>
      <c r="Y115" s="6">
        <f t="shared" si="124"/>
        <v>5.5272103164004957E-6</v>
      </c>
      <c r="Z115" s="8">
        <f t="shared" si="125"/>
        <v>27.545459319302847</v>
      </c>
      <c r="AA115" s="7">
        <f t="shared" si="126"/>
        <v>1.383291358537703E-2</v>
      </c>
      <c r="AB115" s="9">
        <f t="shared" si="127"/>
        <v>0.20023717651841269</v>
      </c>
      <c r="AC115" s="4">
        <f t="shared" si="197"/>
        <v>1010.9063850829355</v>
      </c>
      <c r="AD115" s="6">
        <f t="shared" si="128"/>
        <v>5.5218127701658708E-6</v>
      </c>
      <c r="AE115" s="8">
        <f t="shared" si="129"/>
        <v>27.514423428453757</v>
      </c>
      <c r="AF115" s="7">
        <f t="shared" si="130"/>
        <v>1.3819405181252241E-2</v>
      </c>
      <c r="AG115" s="9">
        <f t="shared" si="131"/>
        <v>0.20046304129695386</v>
      </c>
      <c r="AH115" s="4">
        <f t="shared" si="198"/>
        <v>1007.607960162647</v>
      </c>
      <c r="AI115" s="6">
        <f t="shared" si="132"/>
        <v>5.5152159203252948E-6</v>
      </c>
      <c r="AJ115" s="8">
        <f t="shared" si="133"/>
        <v>27.476491541870438</v>
      </c>
      <c r="AK115" s="7">
        <f t="shared" si="134"/>
        <v>1.3802895287733331E-2</v>
      </c>
      <c r="AL115" s="9">
        <f t="shared" si="135"/>
        <v>0.20073978483005872</v>
      </c>
      <c r="AM115" s="4">
        <f t="shared" si="199"/>
        <v>1003.7098718385558</v>
      </c>
      <c r="AN115" s="6">
        <f t="shared" si="136"/>
        <v>5.5074197436771123E-6</v>
      </c>
      <c r="AO115" s="8">
        <f t="shared" si="137"/>
        <v>27.431663526143389</v>
      </c>
      <c r="AP115" s="7">
        <f t="shared" si="138"/>
        <v>1.3783383846753665E-2</v>
      </c>
      <c r="AQ115" s="9">
        <f t="shared" si="139"/>
        <v>0.20106782786772687</v>
      </c>
      <c r="AR115" s="4">
        <f t="shared" si="200"/>
        <v>999.21212460712559</v>
      </c>
      <c r="AS115" s="6">
        <f t="shared" si="140"/>
        <v>5.4984242492142518E-6</v>
      </c>
      <c r="AT115" s="8">
        <f t="shared" si="141"/>
        <v>27.379939432981942</v>
      </c>
      <c r="AU115" s="7">
        <f t="shared" si="142"/>
        <v>1.376087088081979E-2</v>
      </c>
      <c r="AV115" s="9">
        <f t="shared" si="143"/>
        <v>0.20144766987160917</v>
      </c>
      <c r="AW115" s="4">
        <f t="shared" si="201"/>
        <v>994.11472006951453</v>
      </c>
      <c r="AX115" s="6">
        <f t="shared" si="144"/>
        <v>5.4882294401390298E-6</v>
      </c>
      <c r="AY115" s="8">
        <f t="shared" si="145"/>
        <v>27.321319280799415</v>
      </c>
      <c r="AZ115" s="7">
        <f t="shared" si="146"/>
        <v>1.3735356397946121E-2</v>
      </c>
      <c r="BA115" s="9">
        <f t="shared" si="147"/>
        <v>0.20187989252320668</v>
      </c>
      <c r="BB115" s="4">
        <f t="shared" si="202"/>
        <v>988.41764832494573</v>
      </c>
      <c r="BC115" s="6">
        <f t="shared" si="148"/>
        <v>5.4768352966498919E-6</v>
      </c>
      <c r="BD115" s="8">
        <f t="shared" si="149"/>
        <v>27.255802955736876</v>
      </c>
      <c r="BE115" s="7">
        <f t="shared" si="150"/>
        <v>1.3706840348575437E-2</v>
      </c>
      <c r="BF115" s="9">
        <f t="shared" si="151"/>
        <v>0.20236516271259058</v>
      </c>
      <c r="BG115" s="4">
        <f t="shared" si="203"/>
        <v>982.12081582544909</v>
      </c>
      <c r="BH115" s="6">
        <f t="shared" si="152"/>
        <v>5.4642416316508983E-6</v>
      </c>
      <c r="BI115" s="8">
        <f t="shared" si="153"/>
        <v>27.183389381992662</v>
      </c>
      <c r="BJ115" s="7">
        <f t="shared" si="154"/>
        <v>1.3675322264463935E-2</v>
      </c>
      <c r="BK115" s="9">
        <f t="shared" si="155"/>
        <v>0.2029042413546033</v>
      </c>
      <c r="BL115" s="4">
        <f t="shared" si="204"/>
        <v>975.22348984011387</v>
      </c>
      <c r="BM115" s="6">
        <f t="shared" si="156"/>
        <v>5.4504469796802282E-6</v>
      </c>
      <c r="BN115" s="8">
        <f t="shared" si="157"/>
        <v>27.104070133161308</v>
      </c>
      <c r="BO115" s="7">
        <f t="shared" si="158"/>
        <v>1.3640798478009778E-2</v>
      </c>
      <c r="BP115" s="9">
        <f t="shared" si="159"/>
        <v>0.20349803453510618</v>
      </c>
      <c r="BQ115" s="4">
        <f t="shared" si="205"/>
        <v>967.72055366033442</v>
      </c>
      <c r="BR115" s="6">
        <f t="shared" si="160"/>
        <v>5.4354411073206695E-6</v>
      </c>
      <c r="BS115" s="8">
        <f t="shared" si="161"/>
        <v>27.017786367093844</v>
      </c>
      <c r="BT115" s="7">
        <f t="shared" si="162"/>
        <v>1.3603243378105753E-2</v>
      </c>
      <c r="BU115" s="9">
        <f t="shared" si="163"/>
        <v>0.20414792407707108</v>
      </c>
      <c r="BV115" s="4">
        <f t="shared" si="206"/>
        <v>959.58047004870866</v>
      </c>
      <c r="BW115" s="6">
        <f t="shared" si="164"/>
        <v>5.419160940097418E-6</v>
      </c>
      <c r="BX115" s="8">
        <f t="shared" si="165"/>
        <v>26.924175405560149</v>
      </c>
      <c r="BY115" s="7">
        <f t="shared" si="166"/>
        <v>1.3562499108670864E-2</v>
      </c>
      <c r="BZ115" s="9">
        <f t="shared" si="167"/>
        <v>0.20485771307450926</v>
      </c>
      <c r="CA115" s="4">
        <f t="shared" si="207"/>
        <v>950.63445652030885</v>
      </c>
      <c r="CB115" s="6">
        <f t="shared" si="168"/>
        <v>5.4012689130406183E-6</v>
      </c>
      <c r="CC115" s="8">
        <f t="shared" si="169"/>
        <v>26.821296249983551</v>
      </c>
      <c r="CD115" s="7">
        <f t="shared" si="170"/>
        <v>1.3517720848033748E-2</v>
      </c>
      <c r="CE115" s="9">
        <f t="shared" si="171"/>
        <v>0.2056434912240076</v>
      </c>
      <c r="CF115" s="4">
        <f t="shared" si="208"/>
        <v>940.11518864234574</v>
      </c>
      <c r="CG115" s="6">
        <f t="shared" si="172"/>
        <v>5.3802303772846922E-6</v>
      </c>
      <c r="CH115" s="8">
        <f t="shared" si="173"/>
        <v>26.700324669386973</v>
      </c>
      <c r="CI115" s="7">
        <f t="shared" si="174"/>
        <v>1.3465067840383387E-2</v>
      </c>
      <c r="CJ115" s="9">
        <f t="shared" si="175"/>
        <v>0.20657520342154836</v>
      </c>
      <c r="CK115" s="4">
        <f t="shared" si="209"/>
        <v>925.14904144062064</v>
      </c>
      <c r="CL115" s="6">
        <f t="shared" si="176"/>
        <v>5.3502980828812411E-6</v>
      </c>
      <c r="CM115" s="8">
        <f t="shared" si="177"/>
        <v>26.528213976567137</v>
      </c>
      <c r="CN115" s="7">
        <f t="shared" si="178"/>
        <v>1.3390156480367572E-2</v>
      </c>
      <c r="CO115" s="9">
        <f t="shared" si="179"/>
        <v>0.20791542939423113</v>
      </c>
      <c r="CP115" s="4">
        <f t="shared" si="210"/>
        <v>897.27381697761814</v>
      </c>
      <c r="CQ115" s="6">
        <f t="shared" si="180"/>
        <v>5.2945476339552365E-6</v>
      </c>
      <c r="CR115" s="8">
        <f t="shared" si="181"/>
        <v>26.207648895242606</v>
      </c>
      <c r="CS115" s="7">
        <f t="shared" si="182"/>
        <v>1.3250630191662564E-2</v>
      </c>
      <c r="CT115" s="9">
        <f t="shared" si="183"/>
        <v>0.21045859634517747</v>
      </c>
      <c r="CU115" s="4">
        <f t="shared" si="211"/>
        <v>838.39731576551333</v>
      </c>
      <c r="CV115" s="6">
        <f t="shared" si="184"/>
        <v>5.1767946315310277E-6</v>
      </c>
      <c r="CW115" s="8">
        <f t="shared" si="185"/>
        <v>25.530569131303402</v>
      </c>
      <c r="CX115" s="7">
        <f t="shared" si="186"/>
        <v>1.2955930512491762E-2</v>
      </c>
      <c r="CY115" s="9">
        <f t="shared" si="187"/>
        <v>0.2160400330926118</v>
      </c>
      <c r="CZ115" s="5">
        <f t="shared" si="212"/>
        <v>725.02897145181259</v>
      </c>
      <c r="DA115" s="6">
        <f t="shared" si="188"/>
        <v>4.9500579429036253E-6</v>
      </c>
      <c r="DB115" s="8">
        <f t="shared" si="189"/>
        <v>24.226833171695844</v>
      </c>
      <c r="DC115" s="7">
        <f t="shared" si="190"/>
        <v>1.2388478065257957E-2</v>
      </c>
      <c r="DD115" s="9">
        <f t="shared" si="191"/>
        <v>0.22766595043234508</v>
      </c>
    </row>
    <row r="116" spans="2:108" x14ac:dyDescent="0.25">
      <c r="B116">
        <v>97</v>
      </c>
      <c r="C116">
        <f t="shared" si="192"/>
        <v>9.4828622635489385E-2</v>
      </c>
      <c r="D116" s="4">
        <f t="shared" si="109"/>
        <v>1018.418185342402</v>
      </c>
      <c r="E116" s="6">
        <f t="shared" si="110"/>
        <v>5.5368363706848046E-6</v>
      </c>
      <c r="F116" s="8">
        <f t="shared" si="111"/>
        <v>27.600809131437622</v>
      </c>
      <c r="G116" s="7">
        <f t="shared" si="107"/>
        <v>1.3857004649306311E-2</v>
      </c>
      <c r="H116" s="9">
        <f t="shared" si="112"/>
        <v>0.19983562705477512</v>
      </c>
      <c r="I116" s="4">
        <f t="shared" si="193"/>
        <v>1018.093989566198</v>
      </c>
      <c r="J116" s="6">
        <f t="shared" si="113"/>
        <v>5.5361879791323965E-6</v>
      </c>
      <c r="K116" s="8">
        <f t="shared" si="114"/>
        <v>27.597080880011276</v>
      </c>
      <c r="L116" s="7">
        <f t="shared" si="115"/>
        <v>1.3855381923952919E-2</v>
      </c>
      <c r="M116" s="9">
        <f t="shared" si="116"/>
        <v>0.19986262402104271</v>
      </c>
      <c r="N116" s="4">
        <f t="shared" si="194"/>
        <v>1017.1888826959654</v>
      </c>
      <c r="O116" s="6">
        <f t="shared" si="117"/>
        <v>5.5343777653919311E-6</v>
      </c>
      <c r="P116" s="8">
        <f t="shared" si="118"/>
        <v>27.586672151003601</v>
      </c>
      <c r="Q116" s="7">
        <f t="shared" si="108"/>
        <v>1.3857004649306311E-2</v>
      </c>
      <c r="R116" s="9">
        <f t="shared" si="119"/>
        <v>0.19993803420030648</v>
      </c>
      <c r="S116" s="4">
        <f t="shared" si="195"/>
        <v>1015.6878135082887</v>
      </c>
      <c r="T116" s="6">
        <f t="shared" si="120"/>
        <v>5.531375627016578E-6</v>
      </c>
      <c r="U116" s="8">
        <f t="shared" si="121"/>
        <v>27.56940985534532</v>
      </c>
      <c r="V116" s="7">
        <f t="shared" si="122"/>
        <v>1.3843338081372333E-2</v>
      </c>
      <c r="W116" s="9">
        <f t="shared" si="123"/>
        <v>0.20006322329495196</v>
      </c>
      <c r="X116" s="4">
        <f t="shared" si="196"/>
        <v>1013.5885563325654</v>
      </c>
      <c r="Y116" s="6">
        <f t="shared" si="124"/>
        <v>5.5271771126651311E-6</v>
      </c>
      <c r="Z116" s="8">
        <f t="shared" si="125"/>
        <v>27.545268397824501</v>
      </c>
      <c r="AA116" s="7">
        <f t="shared" si="126"/>
        <v>1.3832830486602834E-2</v>
      </c>
      <c r="AB116" s="9">
        <f t="shared" si="127"/>
        <v>0.20023856440025173</v>
      </c>
      <c r="AC116" s="4">
        <f t="shared" si="197"/>
        <v>1010.889794378809</v>
      </c>
      <c r="AD116" s="6">
        <f t="shared" si="128"/>
        <v>5.5217795887576188E-6</v>
      </c>
      <c r="AE116" s="8">
        <f t="shared" si="129"/>
        <v>27.514232635356301</v>
      </c>
      <c r="AF116" s="7">
        <f t="shared" si="130"/>
        <v>1.3819322138355966E-2</v>
      </c>
      <c r="AG116" s="9">
        <f t="shared" si="131"/>
        <v>0.2004644313762296</v>
      </c>
      <c r="AH116" s="4">
        <f t="shared" si="198"/>
        <v>1007.5913856429955</v>
      </c>
      <c r="AI116" s="6">
        <f t="shared" si="132"/>
        <v>5.515182771285991E-6</v>
      </c>
      <c r="AJ116" s="8">
        <f t="shared" si="133"/>
        <v>27.476300934894446</v>
      </c>
      <c r="AK116" s="7">
        <f t="shared" si="134"/>
        <v>1.3802812325846613E-2</v>
      </c>
      <c r="AL116" s="9">
        <f t="shared" si="135"/>
        <v>0.20074117739026681</v>
      </c>
      <c r="AM116" s="4">
        <f t="shared" si="199"/>
        <v>1003.6933172775917</v>
      </c>
      <c r="AN116" s="6">
        <f t="shared" si="136"/>
        <v>5.5073866345551839E-6</v>
      </c>
      <c r="AO116" s="8">
        <f t="shared" si="137"/>
        <v>27.431473148692305</v>
      </c>
      <c r="AP116" s="7">
        <f t="shared" si="138"/>
        <v>1.3783300984767906E-2</v>
      </c>
      <c r="AQ116" s="9">
        <f t="shared" si="139"/>
        <v>0.20106922330064281</v>
      </c>
      <c r="AR116" s="4">
        <f t="shared" si="200"/>
        <v>999.19559354593514</v>
      </c>
      <c r="AS116" s="6">
        <f t="shared" si="140"/>
        <v>5.4983911870918709E-6</v>
      </c>
      <c r="AT116" s="8">
        <f t="shared" si="141"/>
        <v>27.379749325778253</v>
      </c>
      <c r="AU116" s="7">
        <f t="shared" si="142"/>
        <v>1.3760788136459496E-2</v>
      </c>
      <c r="AV116" s="9">
        <f t="shared" si="143"/>
        <v>0.2014490685934438</v>
      </c>
      <c r="AW116" s="4">
        <f t="shared" si="201"/>
        <v>994.09821592606261</v>
      </c>
      <c r="AX116" s="6">
        <f t="shared" si="144"/>
        <v>5.4881964318521258E-6</v>
      </c>
      <c r="AY116" s="8">
        <f t="shared" si="145"/>
        <v>27.321129483149718</v>
      </c>
      <c r="AZ116" s="7">
        <f t="shared" si="146"/>
        <v>1.3735273788319529E-2</v>
      </c>
      <c r="BA116" s="9">
        <f t="shared" si="147"/>
        <v>0.20188129496629181</v>
      </c>
      <c r="BB116" s="4">
        <f t="shared" si="202"/>
        <v>988.40117346884017</v>
      </c>
      <c r="BC116" s="6">
        <f t="shared" si="148"/>
        <v>5.4768023469376804E-6</v>
      </c>
      <c r="BD116" s="8">
        <f t="shared" si="149"/>
        <v>27.255613494891662</v>
      </c>
      <c r="BE116" s="7">
        <f t="shared" si="150"/>
        <v>1.3706757885543349E-2</v>
      </c>
      <c r="BF116" s="9">
        <f t="shared" si="151"/>
        <v>0.20236656940537245</v>
      </c>
      <c r="BG116" s="4">
        <f t="shared" si="203"/>
        <v>982.10436459136076</v>
      </c>
      <c r="BH116" s="6">
        <f t="shared" si="152"/>
        <v>5.4642087291827219E-6</v>
      </c>
      <c r="BI116" s="8">
        <f t="shared" si="153"/>
        <v>27.183200192800648</v>
      </c>
      <c r="BJ116" s="7">
        <f t="shared" si="154"/>
        <v>1.3675239919669189E-2</v>
      </c>
      <c r="BK116" s="9">
        <f t="shared" si="155"/>
        <v>0.20290565352422299</v>
      </c>
      <c r="BL116" s="4">
        <f t="shared" si="204"/>
        <v>975.20700268207315</v>
      </c>
      <c r="BM116" s="6">
        <f t="shared" si="156"/>
        <v>5.4504140053641473E-6</v>
      </c>
      <c r="BN116" s="8">
        <f t="shared" si="157"/>
        <v>27.103880530843838</v>
      </c>
      <c r="BO116" s="7">
        <f t="shared" si="158"/>
        <v>1.3640715953401744E-2</v>
      </c>
      <c r="BP116" s="9">
        <f t="shared" si="159"/>
        <v>0.20349945808399264</v>
      </c>
      <c r="BQ116" s="4">
        <f t="shared" si="205"/>
        <v>967.70365551359509</v>
      </c>
      <c r="BR116" s="6">
        <f t="shared" si="160"/>
        <v>5.4354073110271902E-6</v>
      </c>
      <c r="BS116" s="8">
        <f t="shared" si="161"/>
        <v>27.017592038406342</v>
      </c>
      <c r="BT116" s="7">
        <f t="shared" si="162"/>
        <v>1.3603158796340189E-2</v>
      </c>
      <c r="BU116" s="9">
        <f t="shared" si="163"/>
        <v>0.20414939244620203</v>
      </c>
      <c r="BV116" s="4">
        <f t="shared" si="206"/>
        <v>959.56120596705046</v>
      </c>
      <c r="BW116" s="6">
        <f t="shared" si="164"/>
        <v>5.4191224119341016E-6</v>
      </c>
      <c r="BX116" s="8">
        <f t="shared" si="165"/>
        <v>26.92395386862108</v>
      </c>
      <c r="BY116" s="7">
        <f t="shared" si="166"/>
        <v>1.3562402684485199E-2</v>
      </c>
      <c r="BZ116" s="9">
        <f t="shared" si="167"/>
        <v>0.20485939869434505</v>
      </c>
      <c r="CA116" s="4">
        <f t="shared" si="207"/>
        <v>950.6043195451349</v>
      </c>
      <c r="CB116" s="6">
        <f t="shared" si="168"/>
        <v>5.4012086390902697E-6</v>
      </c>
      <c r="CC116" s="8">
        <f t="shared" si="169"/>
        <v>26.82094967476905</v>
      </c>
      <c r="CD116" s="7">
        <f t="shared" si="170"/>
        <v>1.3517570000807229E-2</v>
      </c>
      <c r="CE116" s="9">
        <f t="shared" si="171"/>
        <v>0.20564614851011959</v>
      </c>
      <c r="CF116" s="4">
        <f t="shared" si="208"/>
        <v>940.04431198722853</v>
      </c>
      <c r="CG116" s="6">
        <f t="shared" si="172"/>
        <v>5.3800886239744575E-6</v>
      </c>
      <c r="CH116" s="8">
        <f t="shared" si="173"/>
        <v>26.699509587853129</v>
      </c>
      <c r="CI116" s="7">
        <f t="shared" si="174"/>
        <v>1.3464713075288761E-2</v>
      </c>
      <c r="CJ116" s="9">
        <f t="shared" si="175"/>
        <v>0.20658150974088749</v>
      </c>
      <c r="CK116" s="4">
        <f t="shared" si="209"/>
        <v>924.95825833754793</v>
      </c>
      <c r="CL116" s="6">
        <f t="shared" si="176"/>
        <v>5.3499165166750958E-6</v>
      </c>
      <c r="CM116" s="8">
        <f t="shared" si="177"/>
        <v>26.526019970881798</v>
      </c>
      <c r="CN116" s="7">
        <f t="shared" si="178"/>
        <v>1.3389201537086141E-2</v>
      </c>
      <c r="CO116" s="9">
        <f t="shared" si="179"/>
        <v>0.20793262638174231</v>
      </c>
      <c r="CP116" s="4">
        <f t="shared" si="210"/>
        <v>896.82646973701867</v>
      </c>
      <c r="CQ116" s="6">
        <f t="shared" si="180"/>
        <v>5.2936529394740372E-6</v>
      </c>
      <c r="CR116" s="8">
        <f t="shared" si="181"/>
        <v>26.202504401975716</v>
      </c>
      <c r="CS116" s="7">
        <f t="shared" si="182"/>
        <v>1.3248391045558965E-2</v>
      </c>
      <c r="CT116" s="9">
        <f t="shared" si="183"/>
        <v>0.21049991693099809</v>
      </c>
      <c r="CU116" s="4">
        <f t="shared" si="211"/>
        <v>837.61533475433362</v>
      </c>
      <c r="CV116" s="6">
        <f t="shared" si="184"/>
        <v>5.1752306695086681E-6</v>
      </c>
      <c r="CW116" s="8">
        <f t="shared" si="185"/>
        <v>25.521576349674838</v>
      </c>
      <c r="CX116" s="7">
        <f t="shared" si="186"/>
        <v>1.2952016394832459E-2</v>
      </c>
      <c r="CY116" s="9">
        <f t="shared" si="187"/>
        <v>0.21611615695008873</v>
      </c>
      <c r="CZ116" s="5">
        <f t="shared" si="212"/>
        <v>724.14468451375467</v>
      </c>
      <c r="DA116" s="6">
        <f t="shared" si="188"/>
        <v>4.9482893690275104E-6</v>
      </c>
      <c r="DB116" s="8">
        <f t="shared" si="189"/>
        <v>24.216663871908178</v>
      </c>
      <c r="DC116" s="7">
        <f t="shared" si="190"/>
        <v>1.2384051866832856E-2</v>
      </c>
      <c r="DD116" s="9">
        <f t="shared" si="191"/>
        <v>0.22776155415850807</v>
      </c>
    </row>
    <row r="117" spans="2:108" x14ac:dyDescent="0.25">
      <c r="B117">
        <v>98</v>
      </c>
      <c r="C117">
        <f t="shared" si="192"/>
        <v>9.5806237301834643E-2</v>
      </c>
      <c r="D117" s="4">
        <f t="shared" si="109"/>
        <v>1018.4016335437974</v>
      </c>
      <c r="E117" s="6">
        <f t="shared" si="110"/>
        <v>5.5368032670875952E-6</v>
      </c>
      <c r="F117" s="8">
        <f t="shared" si="111"/>
        <v>27.600618785753667</v>
      </c>
      <c r="G117" s="7">
        <f t="shared" si="107"/>
        <v>1.3856921801147231E-2</v>
      </c>
      <c r="H117" s="9">
        <f t="shared" si="112"/>
        <v>0.19983700520681602</v>
      </c>
      <c r="I117" s="4">
        <f t="shared" si="193"/>
        <v>1018.0774227512738</v>
      </c>
      <c r="J117" s="6">
        <f t="shared" si="113"/>
        <v>5.5361548455025489E-6</v>
      </c>
      <c r="K117" s="8">
        <f t="shared" si="114"/>
        <v>27.596890361639648</v>
      </c>
      <c r="L117" s="7">
        <f t="shared" si="115"/>
        <v>1.3855299000631349E-2</v>
      </c>
      <c r="M117" s="9">
        <f t="shared" si="116"/>
        <v>0.19986400379612529</v>
      </c>
      <c r="N117" s="4">
        <f t="shared" si="194"/>
        <v>1017.1722908876815</v>
      </c>
      <c r="O117" s="6">
        <f t="shared" si="117"/>
        <v>5.5343445817753633E-6</v>
      </c>
      <c r="P117" s="8">
        <f t="shared" si="118"/>
        <v>27.586481345208334</v>
      </c>
      <c r="Q117" s="7">
        <f t="shared" si="108"/>
        <v>1.3856921801147231E-2</v>
      </c>
      <c r="R117" s="9">
        <f t="shared" si="119"/>
        <v>0.19993941709996454</v>
      </c>
      <c r="S117" s="4">
        <f t="shared" si="195"/>
        <v>1015.6712095573033</v>
      </c>
      <c r="T117" s="6">
        <f t="shared" si="120"/>
        <v>5.5313424191146075E-6</v>
      </c>
      <c r="U117" s="8">
        <f t="shared" si="121"/>
        <v>27.569218909908987</v>
      </c>
      <c r="V117" s="7">
        <f t="shared" si="122"/>
        <v>1.3843254972170401E-2</v>
      </c>
      <c r="W117" s="9">
        <f t="shared" si="123"/>
        <v>0.20006460894028313</v>
      </c>
      <c r="X117" s="4">
        <f t="shared" si="196"/>
        <v>1013.5719547097947</v>
      </c>
      <c r="Y117" s="6">
        <f t="shared" si="124"/>
        <v>5.5271439094195895E-6</v>
      </c>
      <c r="Z117" s="8">
        <f t="shared" si="125"/>
        <v>27.545077479162636</v>
      </c>
      <c r="AA117" s="7">
        <f t="shared" si="126"/>
        <v>1.3832747389054517E-2</v>
      </c>
      <c r="AB117" s="9">
        <f t="shared" si="127"/>
        <v>0.20023995228085573</v>
      </c>
      <c r="AC117" s="4">
        <f t="shared" si="197"/>
        <v>1010.8732038816304</v>
      </c>
      <c r="AD117" s="6">
        <f t="shared" si="128"/>
        <v>5.5217464077632617E-6</v>
      </c>
      <c r="AE117" s="8">
        <f t="shared" si="129"/>
        <v>27.514041844638747</v>
      </c>
      <c r="AF117" s="7">
        <f t="shared" si="130"/>
        <v>1.3819239096495545E-2</v>
      </c>
      <c r="AG117" s="9">
        <f t="shared" si="131"/>
        <v>0.20046582145744421</v>
      </c>
      <c r="AH117" s="4">
        <f t="shared" si="198"/>
        <v>1007.5748113167215</v>
      </c>
      <c r="AI117" s="6">
        <f t="shared" si="132"/>
        <v>5.5151496226334432E-6</v>
      </c>
      <c r="AJ117" s="8">
        <f t="shared" si="133"/>
        <v>27.476110330142298</v>
      </c>
      <c r="AK117" s="7">
        <f t="shared" si="134"/>
        <v>1.3802729364927827E-2</v>
      </c>
      <c r="AL117" s="9">
        <f t="shared" si="135"/>
        <v>0.20074256995354825</v>
      </c>
      <c r="AM117" s="4">
        <f t="shared" si="199"/>
        <v>1003.6767629078506</v>
      </c>
      <c r="AN117" s="6">
        <f t="shared" si="136"/>
        <v>5.5073535258157019E-6</v>
      </c>
      <c r="AO117" s="8">
        <f t="shared" si="137"/>
        <v>27.43128277344028</v>
      </c>
      <c r="AP117" s="7">
        <f t="shared" si="138"/>
        <v>1.3783218123739293E-2</v>
      </c>
      <c r="AQ117" s="9">
        <f t="shared" si="139"/>
        <v>0.20107061873680873</v>
      </c>
      <c r="AR117" s="4">
        <f t="shared" si="200"/>
        <v>999.17906267466719</v>
      </c>
      <c r="AS117" s="6">
        <f t="shared" si="140"/>
        <v>5.4983581253493352E-6</v>
      </c>
      <c r="AT117" s="8">
        <f t="shared" si="141"/>
        <v>27.379559220758672</v>
      </c>
      <c r="AU117" s="7">
        <f t="shared" si="142"/>
        <v>1.3760705393049837E-2</v>
      </c>
      <c r="AV117" s="9">
        <f t="shared" si="143"/>
        <v>0.2014504673186322</v>
      </c>
      <c r="AW117" s="4">
        <f t="shared" si="201"/>
        <v>994.08171195742511</v>
      </c>
      <c r="AX117" s="6">
        <f t="shared" si="144"/>
        <v>5.4881634239148509E-6</v>
      </c>
      <c r="AY117" s="8">
        <f t="shared" si="145"/>
        <v>27.320939687510389</v>
      </c>
      <c r="AZ117" s="7">
        <f t="shared" si="146"/>
        <v>1.3735191179567948E-2</v>
      </c>
      <c r="BA117" s="9">
        <f t="shared" si="147"/>
        <v>0.20188269741400719</v>
      </c>
      <c r="BB117" s="4">
        <f t="shared" si="202"/>
        <v>988.38469867034178</v>
      </c>
      <c r="BC117" s="6">
        <f t="shared" si="148"/>
        <v>5.4767693973406839E-6</v>
      </c>
      <c r="BD117" s="8">
        <f t="shared" si="149"/>
        <v>27.25542403470893</v>
      </c>
      <c r="BE117" s="7">
        <f t="shared" si="150"/>
        <v>1.3706675422799608E-2</v>
      </c>
      <c r="BF117" s="9">
        <f t="shared" si="151"/>
        <v>0.20236797611279222</v>
      </c>
      <c r="BG117" s="4">
        <f t="shared" si="203"/>
        <v>982.08791263240471</v>
      </c>
      <c r="BH117" s="6">
        <f t="shared" si="152"/>
        <v>5.4641758252648096E-6</v>
      </c>
      <c r="BI117" s="8">
        <f t="shared" si="153"/>
        <v>27.183010995272653</v>
      </c>
      <c r="BJ117" s="7">
        <f t="shared" si="154"/>
        <v>1.3675157571246198E-2</v>
      </c>
      <c r="BK117" s="9">
        <f t="shared" si="155"/>
        <v>0.20290706577572337</v>
      </c>
      <c r="BL117" s="4">
        <f t="shared" si="204"/>
        <v>975.19051023959389</v>
      </c>
      <c r="BM117" s="6">
        <f t="shared" si="156"/>
        <v>5.4503810204791874E-6</v>
      </c>
      <c r="BN117" s="8">
        <f t="shared" si="157"/>
        <v>27.103690867755329</v>
      </c>
      <c r="BO117" s="7">
        <f t="shared" si="158"/>
        <v>1.3640633402343045E-2</v>
      </c>
      <c r="BP117" s="9">
        <f t="shared" si="159"/>
        <v>0.20350088210907907</v>
      </c>
      <c r="BQ117" s="4">
        <f t="shared" si="205"/>
        <v>967.68672934553092</v>
      </c>
      <c r="BR117" s="6">
        <f t="shared" si="160"/>
        <v>5.4353734586910626E-6</v>
      </c>
      <c r="BS117" s="8">
        <f t="shared" si="161"/>
        <v>27.017397387473604</v>
      </c>
      <c r="BT117" s="7">
        <f t="shared" si="162"/>
        <v>1.360307407431705E-2</v>
      </c>
      <c r="BU117" s="9">
        <f t="shared" si="163"/>
        <v>0.20415086327142948</v>
      </c>
      <c r="BV117" s="4">
        <f t="shared" si="206"/>
        <v>959.54181985284163</v>
      </c>
      <c r="BW117" s="6">
        <f t="shared" si="164"/>
        <v>5.4190836397056834E-6</v>
      </c>
      <c r="BX117" s="8">
        <f t="shared" si="165"/>
        <v>26.923730928307677</v>
      </c>
      <c r="BY117" s="7">
        <f t="shared" si="166"/>
        <v>1.356230564947938E-2</v>
      </c>
      <c r="BZ117" s="9">
        <f t="shared" si="167"/>
        <v>0.20486109502011321</v>
      </c>
      <c r="CA117" s="4">
        <f t="shared" si="207"/>
        <v>950.57375439024599</v>
      </c>
      <c r="CB117" s="6">
        <f t="shared" si="168"/>
        <v>5.4011475087804924E-6</v>
      </c>
      <c r="CC117" s="8">
        <f t="shared" si="169"/>
        <v>26.820598175487827</v>
      </c>
      <c r="CD117" s="7">
        <f t="shared" si="170"/>
        <v>1.3517417010375492E-2</v>
      </c>
      <c r="CE117" s="9">
        <f t="shared" si="171"/>
        <v>0.20564884362053118</v>
      </c>
      <c r="CF117" s="4">
        <f t="shared" si="208"/>
        <v>939.97229814404727</v>
      </c>
      <c r="CG117" s="6">
        <f t="shared" si="172"/>
        <v>5.3799445962880949E-6</v>
      </c>
      <c r="CH117" s="8">
        <f t="shared" si="173"/>
        <v>26.698681428656542</v>
      </c>
      <c r="CI117" s="7">
        <f t="shared" si="174"/>
        <v>1.3464352618127676E-2</v>
      </c>
      <c r="CJ117" s="9">
        <f t="shared" si="175"/>
        <v>0.20658791763700751</v>
      </c>
      <c r="CK117" s="4">
        <f t="shared" si="209"/>
        <v>924.76549124825851</v>
      </c>
      <c r="CL117" s="6">
        <f t="shared" si="176"/>
        <v>5.3495309824965173E-6</v>
      </c>
      <c r="CM117" s="8">
        <f t="shared" si="177"/>
        <v>26.523803149354972</v>
      </c>
      <c r="CN117" s="7">
        <f t="shared" si="178"/>
        <v>1.3388236663185711E-2</v>
      </c>
      <c r="CO117" s="9">
        <f t="shared" si="179"/>
        <v>0.20795000509322259</v>
      </c>
      <c r="CP117" s="4">
        <f t="shared" si="210"/>
        <v>896.3778896553232</v>
      </c>
      <c r="CQ117" s="6">
        <f t="shared" si="180"/>
        <v>5.292755779310647E-6</v>
      </c>
      <c r="CR117" s="8">
        <f t="shared" si="181"/>
        <v>26.197345731036215</v>
      </c>
      <c r="CS117" s="7">
        <f t="shared" si="182"/>
        <v>1.3246145728608457E-2</v>
      </c>
      <c r="CT117" s="9">
        <f t="shared" si="183"/>
        <v>0.21054136768770407</v>
      </c>
      <c r="CU117" s="4">
        <f t="shared" si="211"/>
        <v>836.83641141091277</v>
      </c>
      <c r="CV117" s="6">
        <f t="shared" si="184"/>
        <v>5.1736728228218261E-6</v>
      </c>
      <c r="CW117" s="8">
        <f t="shared" si="185"/>
        <v>25.512618731225494</v>
      </c>
      <c r="CX117" s="7">
        <f t="shared" si="186"/>
        <v>1.2948117581983883E-2</v>
      </c>
      <c r="CY117" s="9">
        <f t="shared" si="187"/>
        <v>0.21619203650189375</v>
      </c>
      <c r="CZ117" s="5">
        <f t="shared" si="212"/>
        <v>723.26679890246396</v>
      </c>
      <c r="DA117" s="6">
        <f t="shared" si="188"/>
        <v>4.9465335978049276E-6</v>
      </c>
      <c r="DB117" s="8">
        <f t="shared" si="189"/>
        <v>24.206568187378334</v>
      </c>
      <c r="DC117" s="7">
        <f t="shared" si="190"/>
        <v>1.2379657709526119E-2</v>
      </c>
      <c r="DD117" s="9">
        <f t="shared" si="191"/>
        <v>0.22785654526922694</v>
      </c>
    </row>
    <row r="118" spans="2:108" x14ac:dyDescent="0.25">
      <c r="B118">
        <v>99</v>
      </c>
      <c r="C118">
        <f t="shared" si="192"/>
        <v>9.6783851968179901E-2</v>
      </c>
      <c r="D118" s="4">
        <f t="shared" si="109"/>
        <v>1018.3850809785354</v>
      </c>
      <c r="E118" s="6">
        <f t="shared" si="110"/>
        <v>5.5367701619570716E-6</v>
      </c>
      <c r="F118" s="8">
        <f t="shared" si="111"/>
        <v>27.600428431253157</v>
      </c>
      <c r="G118" s="7">
        <f t="shared" si="107"/>
        <v>1.3856838949150735E-2</v>
      </c>
      <c r="H118" s="9">
        <f t="shared" si="112"/>
        <v>0.19983838344170121</v>
      </c>
      <c r="I118" s="4">
        <f t="shared" si="193"/>
        <v>1018.0608556199503</v>
      </c>
      <c r="J118" s="6">
        <f t="shared" si="113"/>
        <v>5.5361217112399008E-6</v>
      </c>
      <c r="K118" s="8">
        <f t="shared" si="114"/>
        <v>27.59669983962943</v>
      </c>
      <c r="L118" s="7">
        <f t="shared" si="115"/>
        <v>1.3855216075726073E-2</v>
      </c>
      <c r="M118" s="9">
        <f t="shared" si="116"/>
        <v>0.19986538361661088</v>
      </c>
      <c r="N118" s="4">
        <f t="shared" si="194"/>
        <v>1017.1556992281172</v>
      </c>
      <c r="O118" s="6">
        <f t="shared" si="117"/>
        <v>5.5343113984562345E-6</v>
      </c>
      <c r="P118" s="8">
        <f t="shared" si="118"/>
        <v>27.586290541123347</v>
      </c>
      <c r="Q118" s="7">
        <f t="shared" si="108"/>
        <v>1.3856838949150735E-2</v>
      </c>
      <c r="R118" s="9">
        <f t="shared" si="119"/>
        <v>0.19994080000635697</v>
      </c>
      <c r="S118" s="4">
        <f t="shared" si="195"/>
        <v>1015.6546058834494</v>
      </c>
      <c r="T118" s="6">
        <f t="shared" si="120"/>
        <v>5.5313092117668998E-6</v>
      </c>
      <c r="U118" s="8">
        <f t="shared" si="121"/>
        <v>27.569027967659668</v>
      </c>
      <c r="V118" s="7">
        <f t="shared" si="122"/>
        <v>1.3843171864355618E-2</v>
      </c>
      <c r="W118" s="9">
        <f t="shared" si="123"/>
        <v>0.20006599458168059</v>
      </c>
      <c r="X118" s="4">
        <f t="shared" si="196"/>
        <v>1013.5553533317557</v>
      </c>
      <c r="Y118" s="6">
        <f t="shared" si="124"/>
        <v>5.527110706663511E-6</v>
      </c>
      <c r="Z118" s="8">
        <f t="shared" si="125"/>
        <v>27.544886563315188</v>
      </c>
      <c r="AA118" s="7">
        <f t="shared" si="126"/>
        <v>1.3832664292731174E-2</v>
      </c>
      <c r="AB118" s="9">
        <f t="shared" si="127"/>
        <v>0.20024134016023926</v>
      </c>
      <c r="AC118" s="4">
        <f t="shared" si="197"/>
        <v>1010.8566135916629</v>
      </c>
      <c r="AD118" s="6">
        <f t="shared" si="128"/>
        <v>5.5217132271833265E-6</v>
      </c>
      <c r="AE118" s="8">
        <f t="shared" si="129"/>
        <v>27.513851056304123</v>
      </c>
      <c r="AF118" s="7">
        <f t="shared" si="130"/>
        <v>1.3819156055672294E-2</v>
      </c>
      <c r="AG118" s="9">
        <f t="shared" si="131"/>
        <v>0.20046721154057531</v>
      </c>
      <c r="AH118" s="4">
        <f t="shared" si="198"/>
        <v>1007.5582371839622</v>
      </c>
      <c r="AI118" s="6">
        <f t="shared" si="132"/>
        <v>5.5151164743679242E-6</v>
      </c>
      <c r="AJ118" s="8">
        <f t="shared" si="133"/>
        <v>27.475919727615565</v>
      </c>
      <c r="AK118" s="7">
        <f t="shared" si="134"/>
        <v>1.3802646404977659E-2</v>
      </c>
      <c r="AL118" s="9">
        <f t="shared" si="135"/>
        <v>0.20074396251989127</v>
      </c>
      <c r="AM118" s="4">
        <f t="shared" si="199"/>
        <v>1003.6602087293385</v>
      </c>
      <c r="AN118" s="6">
        <f t="shared" si="136"/>
        <v>5.5073204174586773E-6</v>
      </c>
      <c r="AO118" s="8">
        <f t="shared" si="137"/>
        <v>27.431092400387392</v>
      </c>
      <c r="AP118" s="7">
        <f t="shared" si="138"/>
        <v>1.3783135263667855E-2</v>
      </c>
      <c r="AQ118" s="9">
        <f t="shared" si="139"/>
        <v>0.20107201417622386</v>
      </c>
      <c r="AR118" s="4">
        <f t="shared" si="200"/>
        <v>999.16253199311507</v>
      </c>
      <c r="AS118" s="6">
        <f t="shared" si="140"/>
        <v>5.4983250639862304E-6</v>
      </c>
      <c r="AT118" s="8">
        <f t="shared" si="141"/>
        <v>27.379369117920824</v>
      </c>
      <c r="AU118" s="7">
        <f t="shared" si="142"/>
        <v>1.3760622650589778E-2</v>
      </c>
      <c r="AV118" s="9">
        <f t="shared" si="143"/>
        <v>0.20145186604719159</v>
      </c>
      <c r="AW118" s="4">
        <f t="shared" si="201"/>
        <v>994.065208162094</v>
      </c>
      <c r="AX118" s="6">
        <f t="shared" si="144"/>
        <v>5.4881304163241885E-6</v>
      </c>
      <c r="AY118" s="8">
        <f t="shared" si="145"/>
        <v>27.320749893864082</v>
      </c>
      <c r="AZ118" s="7">
        <f t="shared" si="146"/>
        <v>1.3735108571683833E-2</v>
      </c>
      <c r="BA118" s="9">
        <f t="shared" si="147"/>
        <v>0.20188409986648076</v>
      </c>
      <c r="BB118" s="4">
        <f t="shared" si="202"/>
        <v>988.36822391969463</v>
      </c>
      <c r="BC118" s="6">
        <f t="shared" si="148"/>
        <v>5.4767364478393895E-6</v>
      </c>
      <c r="BD118" s="8">
        <f t="shared" si="149"/>
        <v>27.255234575076486</v>
      </c>
      <c r="BE118" s="7">
        <f t="shared" si="150"/>
        <v>1.3706592960295378E-2</v>
      </c>
      <c r="BF118" s="9">
        <f t="shared" si="151"/>
        <v>0.20236938283568309</v>
      </c>
      <c r="BG118" s="4">
        <f t="shared" si="203"/>
        <v>982.07145989349124</v>
      </c>
      <c r="BH118" s="6">
        <f t="shared" si="152"/>
        <v>5.4641429197869828E-6</v>
      </c>
      <c r="BI118" s="8">
        <f t="shared" si="153"/>
        <v>27.182821788775151</v>
      </c>
      <c r="BJ118" s="7">
        <f t="shared" si="154"/>
        <v>1.3675075218919218E-2</v>
      </c>
      <c r="BK118" s="9">
        <f t="shared" si="155"/>
        <v>0.20290847811383647</v>
      </c>
      <c r="BL118" s="4">
        <f t="shared" si="204"/>
        <v>975.17401224861612</v>
      </c>
      <c r="BM118" s="6">
        <f t="shared" si="156"/>
        <v>5.4503480244972328E-6</v>
      </c>
      <c r="BN118" s="8">
        <f t="shared" si="157"/>
        <v>27.103501140859084</v>
      </c>
      <c r="BO118" s="7">
        <f t="shared" si="158"/>
        <v>1.3640550823511968E-2</v>
      </c>
      <c r="BP118" s="9">
        <f t="shared" si="159"/>
        <v>0.20350230663318555</v>
      </c>
      <c r="BQ118" s="4">
        <f t="shared" si="205"/>
        <v>967.66977412304539</v>
      </c>
      <c r="BR118" s="6">
        <f t="shared" si="160"/>
        <v>5.435339548246092E-6</v>
      </c>
      <c r="BS118" s="8">
        <f t="shared" si="161"/>
        <v>27.017202402415023</v>
      </c>
      <c r="BT118" s="7">
        <f t="shared" si="162"/>
        <v>1.3602989206865286E-2</v>
      </c>
      <c r="BU118" s="9">
        <f t="shared" si="163"/>
        <v>0.20415233664263355</v>
      </c>
      <c r="BV118" s="4">
        <f t="shared" si="206"/>
        <v>959.5223086277241</v>
      </c>
      <c r="BW118" s="6">
        <f t="shared" si="164"/>
        <v>5.4190446172554487E-6</v>
      </c>
      <c r="BX118" s="8">
        <f t="shared" si="165"/>
        <v>26.923506549218828</v>
      </c>
      <c r="BY118" s="7">
        <f t="shared" si="166"/>
        <v>1.3562207988245034E-2</v>
      </c>
      <c r="BZ118" s="9">
        <f t="shared" si="167"/>
        <v>0.20486280232171442</v>
      </c>
      <c r="CA118" s="4">
        <f t="shared" si="207"/>
        <v>950.54275514059123</v>
      </c>
      <c r="CB118" s="6">
        <f t="shared" si="168"/>
        <v>5.4010855102811828E-6</v>
      </c>
      <c r="CC118" s="8">
        <f t="shared" si="169"/>
        <v>26.820241684116798</v>
      </c>
      <c r="CD118" s="7">
        <f t="shared" si="170"/>
        <v>1.3517261847131418E-2</v>
      </c>
      <c r="CE118" s="9">
        <f t="shared" si="171"/>
        <v>0.20565157707979961</v>
      </c>
      <c r="CF118" s="4">
        <f t="shared" si="208"/>
        <v>939.89914463058426</v>
      </c>
      <c r="CG118" s="6">
        <f t="shared" si="172"/>
        <v>5.3797982892611688E-6</v>
      </c>
      <c r="CH118" s="8">
        <f t="shared" si="173"/>
        <v>26.697840163251719</v>
      </c>
      <c r="CI118" s="7">
        <f t="shared" si="174"/>
        <v>1.3463986456475679E-2</v>
      </c>
      <c r="CJ118" s="9">
        <f t="shared" si="175"/>
        <v>0.20659442734966965</v>
      </c>
      <c r="CK118" s="4">
        <f t="shared" si="209"/>
        <v>924.57076183857441</v>
      </c>
      <c r="CL118" s="6">
        <f t="shared" si="176"/>
        <v>5.3491415236771488E-6</v>
      </c>
      <c r="CM118" s="8">
        <f t="shared" si="177"/>
        <v>26.521563761143604</v>
      </c>
      <c r="CN118" s="7">
        <f t="shared" si="178"/>
        <v>1.3387261967112105E-2</v>
      </c>
      <c r="CO118" s="9">
        <f t="shared" si="179"/>
        <v>0.20796756366533975</v>
      </c>
      <c r="CP118" s="4">
        <f t="shared" si="210"/>
        <v>895.92812650212352</v>
      </c>
      <c r="CQ118" s="6">
        <f t="shared" si="180"/>
        <v>5.2918562530042467E-6</v>
      </c>
      <c r="CR118" s="8">
        <f t="shared" si="181"/>
        <v>26.192173454774419</v>
      </c>
      <c r="CS118" s="7">
        <f t="shared" si="182"/>
        <v>1.3243894489927114E-2</v>
      </c>
      <c r="CT118" s="9">
        <f t="shared" si="183"/>
        <v>0.21058294415786974</v>
      </c>
      <c r="CU118" s="4">
        <f t="shared" si="211"/>
        <v>836.0605352112068</v>
      </c>
      <c r="CV118" s="6">
        <f t="shared" si="184"/>
        <v>5.172121070422414E-6</v>
      </c>
      <c r="CW118" s="8">
        <f t="shared" si="185"/>
        <v>25.503696154928875</v>
      </c>
      <c r="CX118" s="7">
        <f t="shared" si="186"/>
        <v>1.2944234021269128E-2</v>
      </c>
      <c r="CY118" s="9">
        <f t="shared" si="187"/>
        <v>0.2162676722030365</v>
      </c>
      <c r="CZ118" s="5">
        <f t="shared" si="212"/>
        <v>722.39519607535647</v>
      </c>
      <c r="DA118" s="6">
        <f t="shared" si="188"/>
        <v>4.9447903921507138E-6</v>
      </c>
      <c r="DB118" s="8">
        <f t="shared" si="189"/>
        <v>24.196544754866601</v>
      </c>
      <c r="DC118" s="7">
        <f t="shared" si="190"/>
        <v>1.237529499998624E-2</v>
      </c>
      <c r="DD118" s="9">
        <f t="shared" si="191"/>
        <v>0.22795093497350086</v>
      </c>
    </row>
    <row r="119" spans="2:108" x14ac:dyDescent="0.25">
      <c r="B119">
        <v>100</v>
      </c>
      <c r="C119">
        <f t="shared" si="192"/>
        <v>9.7761466634525146E-2</v>
      </c>
      <c r="D119" s="4">
        <f t="shared" si="109"/>
        <v>1018.3685276696038</v>
      </c>
      <c r="E119" s="6">
        <f t="shared" si="110"/>
        <v>5.536737055339208E-6</v>
      </c>
      <c r="F119" s="8">
        <f t="shared" si="111"/>
        <v>27.600238068200444</v>
      </c>
      <c r="G119" s="7">
        <f t="shared" si="107"/>
        <v>1.3856756093431883E-2</v>
      </c>
      <c r="H119" s="9">
        <f t="shared" si="112"/>
        <v>0.19983976175751961</v>
      </c>
      <c r="I119" s="4">
        <f t="shared" si="193"/>
        <v>1018.0442881787849</v>
      </c>
      <c r="J119" s="6">
        <f t="shared" si="113"/>
        <v>5.5360885763575702E-6</v>
      </c>
      <c r="K119" s="8">
        <f t="shared" si="114"/>
        <v>27.596509314056025</v>
      </c>
      <c r="L119" s="7">
        <f t="shared" si="115"/>
        <v>1.3855133149269923E-2</v>
      </c>
      <c r="M119" s="9">
        <f t="shared" si="116"/>
        <v>0.19986676348195487</v>
      </c>
      <c r="N119" s="4">
        <f t="shared" si="194"/>
        <v>1017.1391077146648</v>
      </c>
      <c r="O119" s="6">
        <f t="shared" si="117"/>
        <v>5.5342782154293305E-6</v>
      </c>
      <c r="P119" s="8">
        <f t="shared" si="118"/>
        <v>27.586099738718644</v>
      </c>
      <c r="Q119" s="7">
        <f t="shared" si="108"/>
        <v>1.3856756093431883E-2</v>
      </c>
      <c r="R119" s="9">
        <f t="shared" si="119"/>
        <v>0.19994218291970103</v>
      </c>
      <c r="S119" s="4">
        <f t="shared" si="195"/>
        <v>1015.638002484723</v>
      </c>
      <c r="T119" s="6">
        <f t="shared" si="120"/>
        <v>5.5312760049694458E-6</v>
      </c>
      <c r="U119" s="8">
        <f t="shared" si="121"/>
        <v>27.568837028574315</v>
      </c>
      <c r="V119" s="7">
        <f t="shared" si="122"/>
        <v>1.3843088757917952E-2</v>
      </c>
      <c r="W119" s="9">
        <f t="shared" si="123"/>
        <v>0.20006738021931109</v>
      </c>
      <c r="X119" s="4">
        <f t="shared" si="196"/>
        <v>1013.5387521982531</v>
      </c>
      <c r="Y119" s="6">
        <f t="shared" si="124"/>
        <v>5.527077504396506E-6</v>
      </c>
      <c r="Z119" s="8">
        <f t="shared" si="125"/>
        <v>27.544695650279909</v>
      </c>
      <c r="AA119" s="7">
        <f t="shared" si="126"/>
        <v>1.3832581197631833E-2</v>
      </c>
      <c r="AB119" s="9">
        <f t="shared" si="127"/>
        <v>0.20024272803841817</v>
      </c>
      <c r="AC119" s="4">
        <f t="shared" si="197"/>
        <v>1010.8400235091626</v>
      </c>
      <c r="AD119" s="6">
        <f t="shared" si="128"/>
        <v>5.5216800470183257E-6</v>
      </c>
      <c r="AE119" s="8">
        <f t="shared" si="129"/>
        <v>27.51366027035537</v>
      </c>
      <c r="AF119" s="7">
        <f t="shared" si="130"/>
        <v>1.3819073015887494E-2</v>
      </c>
      <c r="AG119" s="9">
        <f t="shared" si="131"/>
        <v>0.20046860162560115</v>
      </c>
      <c r="AH119" s="4">
        <f t="shared" si="198"/>
        <v>1007.5416632448546</v>
      </c>
      <c r="AI119" s="6">
        <f t="shared" si="132"/>
        <v>5.5150833264897102E-6</v>
      </c>
      <c r="AJ119" s="8">
        <f t="shared" si="133"/>
        <v>27.475729127315827</v>
      </c>
      <c r="AK119" s="7">
        <f t="shared" si="134"/>
        <v>1.3802563445996794E-2</v>
      </c>
      <c r="AL119" s="9">
        <f t="shared" si="135"/>
        <v>0.20074535508928404</v>
      </c>
      <c r="AM119" s="4">
        <f t="shared" si="199"/>
        <v>1003.64365474206</v>
      </c>
      <c r="AN119" s="6">
        <f t="shared" si="136"/>
        <v>5.5072873094841202E-6</v>
      </c>
      <c r="AO119" s="8">
        <f t="shared" si="137"/>
        <v>27.430902029533691</v>
      </c>
      <c r="AP119" s="7">
        <f t="shared" si="138"/>
        <v>1.3783052404553613E-2</v>
      </c>
      <c r="AQ119" s="9">
        <f t="shared" si="139"/>
        <v>0.20107340961888748</v>
      </c>
      <c r="AR119" s="4">
        <f t="shared" si="200"/>
        <v>999.14600150105571</v>
      </c>
      <c r="AS119" s="6">
        <f t="shared" si="140"/>
        <v>5.4982920030021119E-6</v>
      </c>
      <c r="AT119" s="8">
        <f t="shared" si="141"/>
        <v>27.379179017262139</v>
      </c>
      <c r="AU119" s="7">
        <f t="shared" si="142"/>
        <v>1.3760539909078204E-2</v>
      </c>
      <c r="AV119" s="9">
        <f t="shared" si="143"/>
        <v>0.20145326477914061</v>
      </c>
      <c r="AW119" s="4">
        <f t="shared" si="201"/>
        <v>994.04870453845831</v>
      </c>
      <c r="AX119" s="6">
        <f t="shared" si="144"/>
        <v>5.4880974090769168E-6</v>
      </c>
      <c r="AY119" s="8">
        <f t="shared" si="145"/>
        <v>27.320560102192267</v>
      </c>
      <c r="AZ119" s="7">
        <f t="shared" si="146"/>
        <v>1.3735025964659121E-2</v>
      </c>
      <c r="BA119" s="9">
        <f t="shared" si="147"/>
        <v>0.20188550232384925</v>
      </c>
      <c r="BB119" s="4">
        <f t="shared" si="202"/>
        <v>988.35174920659688</v>
      </c>
      <c r="BC119" s="6">
        <f t="shared" si="148"/>
        <v>5.4767034984131939E-6</v>
      </c>
      <c r="BD119" s="8">
        <f t="shared" si="149"/>
        <v>27.255045115875863</v>
      </c>
      <c r="BE119" s="7">
        <f t="shared" si="150"/>
        <v>1.3706510497979099E-2</v>
      </c>
      <c r="BF119" s="9">
        <f t="shared" si="151"/>
        <v>0.20237078957492494</v>
      </c>
      <c r="BG119" s="4">
        <f t="shared" si="203"/>
        <v>982.05500631713039</v>
      </c>
      <c r="BH119" s="6">
        <f t="shared" si="152"/>
        <v>5.4641100126342619E-6</v>
      </c>
      <c r="BI119" s="8">
        <f t="shared" si="153"/>
        <v>27.182632572646998</v>
      </c>
      <c r="BJ119" s="7">
        <f t="shared" si="154"/>
        <v>1.367499286240049E-2</v>
      </c>
      <c r="BK119" s="9">
        <f t="shared" si="155"/>
        <v>0.20290989054350073</v>
      </c>
      <c r="BL119" s="4">
        <f t="shared" si="204"/>
        <v>975.15750843686874</v>
      </c>
      <c r="BM119" s="6">
        <f t="shared" si="156"/>
        <v>5.4503150168737378E-6</v>
      </c>
      <c r="BN119" s="8">
        <f t="shared" si="157"/>
        <v>27.10331134702399</v>
      </c>
      <c r="BO119" s="7">
        <f t="shared" si="158"/>
        <v>1.3640468215545683E-2</v>
      </c>
      <c r="BP119" s="9">
        <f t="shared" si="159"/>
        <v>0.20350373167984248</v>
      </c>
      <c r="BQ119" s="4">
        <f t="shared" si="205"/>
        <v>967.65278879417758</v>
      </c>
      <c r="BR119" s="6">
        <f t="shared" si="160"/>
        <v>5.4353055775883555E-6</v>
      </c>
      <c r="BS119" s="8">
        <f t="shared" si="161"/>
        <v>27.017007071133044</v>
      </c>
      <c r="BT119" s="7">
        <f t="shared" si="162"/>
        <v>1.3602904188719421E-2</v>
      </c>
      <c r="BU119" s="9">
        <f t="shared" si="163"/>
        <v>0.20415381265133914</v>
      </c>
      <c r="BV119" s="4">
        <f t="shared" si="206"/>
        <v>959.5026692002715</v>
      </c>
      <c r="BW119" s="6">
        <f t="shared" si="164"/>
        <v>5.419005338400543E-6</v>
      </c>
      <c r="BX119" s="8">
        <f t="shared" si="165"/>
        <v>26.923280695803122</v>
      </c>
      <c r="BY119" s="7">
        <f t="shared" si="166"/>
        <v>1.3562109685308372E-2</v>
      </c>
      <c r="BZ119" s="9">
        <f t="shared" si="167"/>
        <v>0.20486452087021442</v>
      </c>
      <c r="CA119" s="4">
        <f t="shared" si="207"/>
        <v>950.51131596664095</v>
      </c>
      <c r="CB119" s="6">
        <f t="shared" si="168"/>
        <v>5.4010226319332822E-6</v>
      </c>
      <c r="CC119" s="8">
        <f t="shared" si="169"/>
        <v>26.819880133616373</v>
      </c>
      <c r="CD119" s="7">
        <f t="shared" si="170"/>
        <v>1.3517104481895954E-2</v>
      </c>
      <c r="CE119" s="9">
        <f t="shared" si="171"/>
        <v>0.20565434940503879</v>
      </c>
      <c r="CF119" s="4">
        <f t="shared" si="208"/>
        <v>939.82484925707865</v>
      </c>
      <c r="CG119" s="6">
        <f t="shared" si="172"/>
        <v>5.3796496985141581E-6</v>
      </c>
      <c r="CH119" s="8">
        <f t="shared" si="173"/>
        <v>26.696985766456404</v>
      </c>
      <c r="CI119" s="7">
        <f t="shared" si="174"/>
        <v>1.3463614579372162E-2</v>
      </c>
      <c r="CJ119" s="9">
        <f t="shared" si="175"/>
        <v>0.2066010390929654</v>
      </c>
      <c r="CK119" s="4">
        <f t="shared" si="209"/>
        <v>924.3740918491759</v>
      </c>
      <c r="CL119" s="6">
        <f t="shared" si="176"/>
        <v>5.3487481836983525E-6</v>
      </c>
      <c r="CM119" s="8">
        <f t="shared" si="177"/>
        <v>26.519302056265524</v>
      </c>
      <c r="CN119" s="7">
        <f t="shared" si="178"/>
        <v>1.3386277557685849E-2</v>
      </c>
      <c r="CO119" s="9">
        <f t="shared" si="179"/>
        <v>0.20798530022764544</v>
      </c>
      <c r="CP119" s="4">
        <f t="shared" si="210"/>
        <v>895.47722883998142</v>
      </c>
      <c r="CQ119" s="6">
        <f t="shared" si="180"/>
        <v>5.2909544576799634E-6</v>
      </c>
      <c r="CR119" s="8">
        <f t="shared" si="181"/>
        <v>26.186988131659785</v>
      </c>
      <c r="CS119" s="7">
        <f t="shared" si="182"/>
        <v>1.3241637572589358E-2</v>
      </c>
      <c r="CT119" s="9">
        <f t="shared" si="183"/>
        <v>0.2106246419889605</v>
      </c>
      <c r="CU119" s="4">
        <f t="shared" si="211"/>
        <v>835.28769492750632</v>
      </c>
      <c r="CV119" s="6">
        <f t="shared" si="184"/>
        <v>5.1705753898550133E-6</v>
      </c>
      <c r="CW119" s="8">
        <f t="shared" si="185"/>
        <v>25.494808491666323</v>
      </c>
      <c r="CX119" s="7">
        <f t="shared" si="186"/>
        <v>1.2940365656489157E-2</v>
      </c>
      <c r="CY119" s="9">
        <f t="shared" si="187"/>
        <v>0.21634306458128263</v>
      </c>
      <c r="CZ119" s="5">
        <f t="shared" si="212"/>
        <v>721.52976099792579</v>
      </c>
      <c r="DA119" s="6">
        <f t="shared" si="188"/>
        <v>4.9430595219958517E-6</v>
      </c>
      <c r="DB119" s="8">
        <f t="shared" si="189"/>
        <v>24.186592251476146</v>
      </c>
      <c r="DC119" s="7">
        <f t="shared" si="190"/>
        <v>1.2370963162420973E-2</v>
      </c>
      <c r="DD119" s="9">
        <f t="shared" si="191"/>
        <v>0.22804473415073068</v>
      </c>
    </row>
    <row r="120" spans="2:108" x14ac:dyDescent="0.25">
      <c r="B120">
        <v>101</v>
      </c>
      <c r="C120">
        <f t="shared" si="192"/>
        <v>9.873908130087039E-2</v>
      </c>
      <c r="D120" s="4">
        <f t="shared" si="109"/>
        <v>1018.3519736391519</v>
      </c>
      <c r="E120" s="6">
        <f t="shared" si="110"/>
        <v>5.5367039472783044E-6</v>
      </c>
      <c r="F120" s="8">
        <f t="shared" si="111"/>
        <v>27.600047696850247</v>
      </c>
      <c r="G120" s="7">
        <f t="shared" si="107"/>
        <v>1.3856673234101545E-2</v>
      </c>
      <c r="H120" s="9">
        <f t="shared" si="112"/>
        <v>0.1998411401524299</v>
      </c>
      <c r="I120" s="4">
        <f t="shared" si="193"/>
        <v>1018.027720434258</v>
      </c>
      <c r="J120" s="6">
        <f t="shared" si="113"/>
        <v>5.5360554408685158E-6</v>
      </c>
      <c r="K120" s="8">
        <f t="shared" si="114"/>
        <v>27.596318784993965</v>
      </c>
      <c r="L120" s="7">
        <f t="shared" si="115"/>
        <v>1.3855050221295328E-2</v>
      </c>
      <c r="M120" s="9">
        <f t="shared" si="116"/>
        <v>0.1998681433916189</v>
      </c>
      <c r="N120" s="4">
        <f t="shared" si="194"/>
        <v>1017.1225163448216</v>
      </c>
      <c r="O120" s="6">
        <f t="shared" si="117"/>
        <v>5.5342450326896442E-6</v>
      </c>
      <c r="P120" s="8">
        <f t="shared" si="118"/>
        <v>27.585908937965449</v>
      </c>
      <c r="Q120" s="7">
        <f t="shared" si="108"/>
        <v>1.3856673234101545E-2</v>
      </c>
      <c r="R120" s="9">
        <f t="shared" si="119"/>
        <v>0.1999435658402052</v>
      </c>
      <c r="S120" s="4">
        <f t="shared" si="195"/>
        <v>1015.6213993591418</v>
      </c>
      <c r="T120" s="6">
        <f t="shared" si="120"/>
        <v>5.5312427987182849E-6</v>
      </c>
      <c r="U120" s="8">
        <f t="shared" si="121"/>
        <v>27.568646092630132</v>
      </c>
      <c r="V120" s="7">
        <f t="shared" si="122"/>
        <v>1.384300565284749E-2</v>
      </c>
      <c r="W120" s="9">
        <f t="shared" si="123"/>
        <v>0.20006876585333946</v>
      </c>
      <c r="X120" s="4">
        <f t="shared" si="196"/>
        <v>1013.5221513090767</v>
      </c>
      <c r="Y120" s="6">
        <f t="shared" si="124"/>
        <v>5.5270443026181542E-6</v>
      </c>
      <c r="Z120" s="8">
        <f t="shared" si="125"/>
        <v>27.544504740054379</v>
      </c>
      <c r="AA120" s="7">
        <f t="shared" si="126"/>
        <v>1.3832498103755442E-2</v>
      </c>
      <c r="AB120" s="9">
        <f t="shared" si="127"/>
        <v>0.20024411591540967</v>
      </c>
      <c r="AC120" s="4">
        <f t="shared" si="197"/>
        <v>1010.8234336343779</v>
      </c>
      <c r="AD120" s="6">
        <f t="shared" si="128"/>
        <v>5.5216468672687564E-6</v>
      </c>
      <c r="AE120" s="8">
        <f t="shared" si="129"/>
        <v>27.513469486795344</v>
      </c>
      <c r="AF120" s="7">
        <f t="shared" si="130"/>
        <v>1.3818989977142393E-2</v>
      </c>
      <c r="AG120" s="9">
        <f t="shared" si="131"/>
        <v>0.20046999171250057</v>
      </c>
      <c r="AH120" s="4">
        <f t="shared" si="198"/>
        <v>1007.5250894995351</v>
      </c>
      <c r="AI120" s="6">
        <f t="shared" si="132"/>
        <v>5.5150501789990705E-6</v>
      </c>
      <c r="AJ120" s="8">
        <f t="shared" si="133"/>
        <v>27.475538529244652</v>
      </c>
      <c r="AK120" s="7">
        <f t="shared" si="134"/>
        <v>1.3802480487985908E-2</v>
      </c>
      <c r="AL120" s="9">
        <f t="shared" si="135"/>
        <v>0.20074674766171485</v>
      </c>
      <c r="AM120" s="4">
        <f t="shared" si="199"/>
        <v>1003.6271009460181</v>
      </c>
      <c r="AN120" s="6">
        <f t="shared" si="136"/>
        <v>5.5072542018920366E-6</v>
      </c>
      <c r="AO120" s="8">
        <f t="shared" si="137"/>
        <v>27.430711660879208</v>
      </c>
      <c r="AP120" s="7">
        <f t="shared" si="138"/>
        <v>1.3782969546396589E-2</v>
      </c>
      <c r="AQ120" s="9">
        <f t="shared" si="139"/>
        <v>0.20107480506479916</v>
      </c>
      <c r="AR120" s="4">
        <f t="shared" si="200"/>
        <v>999.12947119824889</v>
      </c>
      <c r="AS120" s="6">
        <f t="shared" si="140"/>
        <v>5.4982589423964985E-6</v>
      </c>
      <c r="AT120" s="8">
        <f t="shared" si="141"/>
        <v>27.378988918779861</v>
      </c>
      <c r="AU120" s="7">
        <f t="shared" si="142"/>
        <v>1.3760457168513913E-2</v>
      </c>
      <c r="AV120" s="9">
        <f t="shared" si="143"/>
        <v>0.20145466351449923</v>
      </c>
      <c r="AW120" s="4">
        <f t="shared" si="201"/>
        <v>994.03220108479877</v>
      </c>
      <c r="AX120" s="6">
        <f t="shared" si="144"/>
        <v>5.4880644021695983E-6</v>
      </c>
      <c r="AY120" s="8">
        <f t="shared" si="145"/>
        <v>27.320370312475184</v>
      </c>
      <c r="AZ120" s="7">
        <f t="shared" si="146"/>
        <v>1.3734943358485206E-2</v>
      </c>
      <c r="BA120" s="9">
        <f t="shared" si="147"/>
        <v>0.20188690478625848</v>
      </c>
      <c r="BB120" s="4">
        <f t="shared" si="202"/>
        <v>988.33527452017961</v>
      </c>
      <c r="BC120" s="6">
        <f t="shared" si="148"/>
        <v>5.4766705490403596E-6</v>
      </c>
      <c r="BD120" s="8">
        <f t="shared" si="149"/>
        <v>27.254855656982066</v>
      </c>
      <c r="BE120" s="7">
        <f t="shared" si="150"/>
        <v>1.3706428035796367E-2</v>
      </c>
      <c r="BF120" s="9">
        <f t="shared" si="151"/>
        <v>0.20237219633144612</v>
      </c>
      <c r="BG120" s="4">
        <f t="shared" si="203"/>
        <v>982.03855184337294</v>
      </c>
      <c r="BH120" s="6">
        <f t="shared" si="152"/>
        <v>5.4640771036867468E-6</v>
      </c>
      <c r="BI120" s="8">
        <f t="shared" si="153"/>
        <v>27.182443346198788</v>
      </c>
      <c r="BJ120" s="7">
        <f t="shared" si="154"/>
        <v>1.3674910501389944E-2</v>
      </c>
      <c r="BK120" s="9">
        <f t="shared" si="155"/>
        <v>0.20291130306986582</v>
      </c>
      <c r="BL120" s="4">
        <f t="shared" si="204"/>
        <v>975.14099852379434</v>
      </c>
      <c r="BM120" s="6">
        <f t="shared" si="156"/>
        <v>5.4502819970475888E-6</v>
      </c>
      <c r="BN120" s="8">
        <f t="shared" si="157"/>
        <v>27.103121483023635</v>
      </c>
      <c r="BO120" s="7">
        <f t="shared" si="158"/>
        <v>1.3640385577039895E-2</v>
      </c>
      <c r="BP120" s="9">
        <f t="shared" si="159"/>
        <v>0.20350515727329702</v>
      </c>
      <c r="BQ120" s="4">
        <f t="shared" si="205"/>
        <v>967.63577228832492</v>
      </c>
      <c r="BR120" s="6">
        <f t="shared" si="160"/>
        <v>5.4352715445766503E-6</v>
      </c>
      <c r="BS120" s="8">
        <f t="shared" si="161"/>
        <v>27.016811381315733</v>
      </c>
      <c r="BT120" s="7">
        <f t="shared" si="162"/>
        <v>1.3602819014520682E-2</v>
      </c>
      <c r="BU120" s="9">
        <f t="shared" si="163"/>
        <v>0.20415529139069652</v>
      </c>
      <c r="BV120" s="4">
        <f t="shared" si="206"/>
        <v>959.48289846730302</v>
      </c>
      <c r="BW120" s="6">
        <f t="shared" si="164"/>
        <v>5.4189657969346061E-6</v>
      </c>
      <c r="BX120" s="8">
        <f t="shared" si="165"/>
        <v>26.923053332373982</v>
      </c>
      <c r="BY120" s="7">
        <f t="shared" si="166"/>
        <v>1.3562010725136778E-2</v>
      </c>
      <c r="BZ120" s="9">
        <f t="shared" si="167"/>
        <v>0.20486625093772939</v>
      </c>
      <c r="CA120" s="4">
        <f t="shared" si="207"/>
        <v>950.47943112599614</v>
      </c>
      <c r="CB120" s="6">
        <f t="shared" si="168"/>
        <v>5.4009588622519928E-6</v>
      </c>
      <c r="CC120" s="8">
        <f t="shared" si="169"/>
        <v>26.819513457948954</v>
      </c>
      <c r="CD120" s="7">
        <f t="shared" si="170"/>
        <v>1.351694488592617E-2</v>
      </c>
      <c r="CE120" s="9">
        <f t="shared" si="171"/>
        <v>0.20565716110577839</v>
      </c>
      <c r="CF120" s="4">
        <f t="shared" si="208"/>
        <v>939.74941012048032</v>
      </c>
      <c r="CG120" s="6">
        <f t="shared" si="172"/>
        <v>5.3794988202409608E-6</v>
      </c>
      <c r="CH120" s="8">
        <f t="shared" si="173"/>
        <v>26.696118216385521</v>
      </c>
      <c r="CI120" s="7">
        <f t="shared" si="174"/>
        <v>1.3463236977291623E-2</v>
      </c>
      <c r="CJ120" s="9">
        <f t="shared" si="175"/>
        <v>0.20660775305582157</v>
      </c>
      <c r="CK120" s="4">
        <f t="shared" si="209"/>
        <v>924.17550308060129</v>
      </c>
      <c r="CL120" s="6">
        <f t="shared" si="176"/>
        <v>5.3483510061612029E-6</v>
      </c>
      <c r="CM120" s="8">
        <f t="shared" si="177"/>
        <v>26.517018285426914</v>
      </c>
      <c r="CN120" s="7">
        <f t="shared" si="178"/>
        <v>1.3385283544027071E-2</v>
      </c>
      <c r="CO120" s="9">
        <f t="shared" si="179"/>
        <v>0.20800321290389004</v>
      </c>
      <c r="CP120" s="4">
        <f t="shared" si="210"/>
        <v>895.02524404812686</v>
      </c>
      <c r="CQ120" s="6">
        <f t="shared" si="180"/>
        <v>5.2900504880962538E-6</v>
      </c>
      <c r="CR120" s="8">
        <f t="shared" si="181"/>
        <v>26.181790306553459</v>
      </c>
      <c r="CS120" s="7">
        <f t="shared" si="182"/>
        <v>1.323937521374657E-2</v>
      </c>
      <c r="CT120" s="9">
        <f t="shared" si="183"/>
        <v>0.21066645693130487</v>
      </c>
      <c r="CU120" s="4">
        <f t="shared" si="211"/>
        <v>834.51787868023132</v>
      </c>
      <c r="CV120" s="6">
        <f t="shared" si="184"/>
        <v>5.1690357573604625E-6</v>
      </c>
      <c r="CW120" s="8">
        <f t="shared" si="185"/>
        <v>25.48595560482266</v>
      </c>
      <c r="CX120" s="7">
        <f t="shared" si="186"/>
        <v>1.2936512428182074E-2</v>
      </c>
      <c r="CY120" s="9">
        <f t="shared" si="187"/>
        <v>0.21641821423232366</v>
      </c>
      <c r="CZ120" s="5">
        <f t="shared" si="212"/>
        <v>720.67038201089247</v>
      </c>
      <c r="DA120" s="6">
        <f t="shared" si="188"/>
        <v>4.9413407640217854E-6</v>
      </c>
      <c r="DB120" s="8">
        <f t="shared" si="189"/>
        <v>24.176709393125265</v>
      </c>
      <c r="DC120" s="7">
        <f t="shared" si="190"/>
        <v>1.2366661637932409E-2</v>
      </c>
      <c r="DD120" s="9">
        <f t="shared" si="191"/>
        <v>0.2281379533630159</v>
      </c>
    </row>
    <row r="121" spans="2:108" x14ac:dyDescent="0.25">
      <c r="B121">
        <v>102</v>
      </c>
      <c r="C121">
        <f t="shared" si="192"/>
        <v>9.9716695967215649E-2</v>
      </c>
      <c r="D121" s="4">
        <f t="shared" si="109"/>
        <v>1018.3354189085285</v>
      </c>
      <c r="E121" s="6">
        <f t="shared" si="110"/>
        <v>5.536670837817058E-6</v>
      </c>
      <c r="F121" s="8">
        <f t="shared" si="111"/>
        <v>27.599857317448077</v>
      </c>
      <c r="G121" s="7">
        <f t="shared" si="107"/>
        <v>1.3856590371266577E-2</v>
      </c>
      <c r="H121" s="9">
        <f t="shared" si="112"/>
        <v>0.19984251862465724</v>
      </c>
      <c r="I121" s="4">
        <f t="shared" si="193"/>
        <v>1018.0111523927718</v>
      </c>
      <c r="J121" s="6">
        <f t="shared" si="113"/>
        <v>5.5360223047855439E-6</v>
      </c>
      <c r="K121" s="8">
        <f t="shared" si="114"/>
        <v>27.596128252516877</v>
      </c>
      <c r="L121" s="7">
        <f t="shared" si="115"/>
        <v>1.3854967291834341E-2</v>
      </c>
      <c r="M121" s="9">
        <f t="shared" si="116"/>
        <v>0.19986952334507116</v>
      </c>
      <c r="N121" s="4">
        <f t="shared" si="194"/>
        <v>1017.105925116188</v>
      </c>
      <c r="O121" s="6">
        <f t="shared" si="117"/>
        <v>5.5342118502323757E-6</v>
      </c>
      <c r="P121" s="8">
        <f t="shared" si="118"/>
        <v>27.585718138836164</v>
      </c>
      <c r="Q121" s="7">
        <f t="shared" si="108"/>
        <v>1.3856590371266577E-2</v>
      </c>
      <c r="R121" s="9">
        <f t="shared" si="119"/>
        <v>0.19994494876806942</v>
      </c>
      <c r="S121" s="4">
        <f t="shared" si="195"/>
        <v>1015.6047965047464</v>
      </c>
      <c r="T121" s="6">
        <f t="shared" si="120"/>
        <v>5.5312095930094936E-6</v>
      </c>
      <c r="U121" s="8">
        <f t="shared" si="121"/>
        <v>27.568455159804586</v>
      </c>
      <c r="V121" s="7">
        <f t="shared" si="122"/>
        <v>1.3842922549134412E-2</v>
      </c>
      <c r="W121" s="9">
        <f t="shared" si="123"/>
        <v>0.20007015148392873</v>
      </c>
      <c r="X121" s="4">
        <f t="shared" si="196"/>
        <v>1013.5055506640022</v>
      </c>
      <c r="Y121" s="6">
        <f t="shared" si="124"/>
        <v>5.5270111013280052E-6</v>
      </c>
      <c r="Z121" s="8">
        <f t="shared" si="125"/>
        <v>27.544313832636025</v>
      </c>
      <c r="AA121" s="7">
        <f t="shared" si="126"/>
        <v>1.3832415011100871E-2</v>
      </c>
      <c r="AB121" s="9">
        <f t="shared" si="127"/>
        <v>0.20024550379123196</v>
      </c>
      <c r="AC121" s="4">
        <f t="shared" si="197"/>
        <v>1010.8068439675499</v>
      </c>
      <c r="AD121" s="6">
        <f t="shared" si="128"/>
        <v>5.5216136879350998E-6</v>
      </c>
      <c r="AE121" s="8">
        <f t="shared" si="129"/>
        <v>27.513278705626824</v>
      </c>
      <c r="AF121" s="7">
        <f t="shared" si="130"/>
        <v>1.3818906939438198E-2</v>
      </c>
      <c r="AG121" s="9">
        <f t="shared" si="131"/>
        <v>0.20047138180125304</v>
      </c>
      <c r="AH121" s="4">
        <f t="shared" si="198"/>
        <v>1007.5085159481395</v>
      </c>
      <c r="AI121" s="6">
        <f t="shared" si="132"/>
        <v>5.5150170318962796E-6</v>
      </c>
      <c r="AJ121" s="8">
        <f t="shared" si="133"/>
        <v>27.475347933403604</v>
      </c>
      <c r="AK121" s="7">
        <f t="shared" si="134"/>
        <v>1.3802397530945691E-2</v>
      </c>
      <c r="AL121" s="9">
        <f t="shared" si="135"/>
        <v>0.20074814023717197</v>
      </c>
      <c r="AM121" s="4">
        <f t="shared" si="199"/>
        <v>1003.610547341214</v>
      </c>
      <c r="AN121" s="6">
        <f t="shared" si="136"/>
        <v>5.5072210946824282E-6</v>
      </c>
      <c r="AO121" s="8">
        <f t="shared" si="137"/>
        <v>27.430521294423961</v>
      </c>
      <c r="AP121" s="7">
        <f t="shared" si="138"/>
        <v>1.3782886689196781E-2</v>
      </c>
      <c r="AQ121" s="9">
        <f t="shared" si="139"/>
        <v>0.20107620051395847</v>
      </c>
      <c r="AR121" s="4">
        <f t="shared" si="200"/>
        <v>999.11294108443565</v>
      </c>
      <c r="AS121" s="6">
        <f t="shared" si="140"/>
        <v>5.4982258821688719E-6</v>
      </c>
      <c r="AT121" s="8">
        <f t="shared" si="141"/>
        <v>27.378798822471008</v>
      </c>
      <c r="AU121" s="7">
        <f t="shared" si="142"/>
        <v>1.3760374428895609E-2</v>
      </c>
      <c r="AV121" s="9">
        <f t="shared" si="143"/>
        <v>0.20145606225328919</v>
      </c>
      <c r="AW121" s="4">
        <f t="shared" si="201"/>
        <v>994.01569779928252</v>
      </c>
      <c r="AX121" s="6">
        <f t="shared" si="144"/>
        <v>5.4880313955985654E-6</v>
      </c>
      <c r="AY121" s="8">
        <f t="shared" si="145"/>
        <v>27.32018052469175</v>
      </c>
      <c r="AZ121" s="7">
        <f t="shared" si="146"/>
        <v>1.3734860753152911E-2</v>
      </c>
      <c r="BA121" s="9">
        <f t="shared" si="147"/>
        <v>0.20188830725386403</v>
      </c>
      <c r="BB121" s="4">
        <f t="shared" si="202"/>
        <v>988.3187998489858</v>
      </c>
      <c r="BC121" s="6">
        <f t="shared" si="148"/>
        <v>5.476637599697972E-6</v>
      </c>
      <c r="BD121" s="8">
        <f t="shared" si="149"/>
        <v>27.254666198263337</v>
      </c>
      <c r="BE121" s="7">
        <f t="shared" si="150"/>
        <v>1.3706345573689833E-2</v>
      </c>
      <c r="BF121" s="9">
        <f t="shared" si="151"/>
        <v>0.20237360310622535</v>
      </c>
      <c r="BG121" s="4">
        <f t="shared" si="203"/>
        <v>982.02209640975184</v>
      </c>
      <c r="BH121" s="6">
        <f t="shared" si="152"/>
        <v>5.4640441928195043E-6</v>
      </c>
      <c r="BI121" s="8">
        <f t="shared" si="153"/>
        <v>27.182254108712144</v>
      </c>
      <c r="BJ121" s="7">
        <f t="shared" si="154"/>
        <v>1.3674828135574909E-2</v>
      </c>
      <c r="BK121" s="9">
        <f t="shared" si="155"/>
        <v>0.202912715698298</v>
      </c>
      <c r="BL121" s="4">
        <f t="shared" si="204"/>
        <v>975.12448222047817</v>
      </c>
      <c r="BM121" s="6">
        <f t="shared" si="156"/>
        <v>5.450248964440957E-6</v>
      </c>
      <c r="BN121" s="8">
        <f t="shared" si="157"/>
        <v>27.102931545535498</v>
      </c>
      <c r="BO121" s="7">
        <f t="shared" si="158"/>
        <v>1.3640302906548477E-2</v>
      </c>
      <c r="BP121" s="9">
        <f t="shared" si="159"/>
        <v>0.20350658343851943</v>
      </c>
      <c r="BQ121" s="4">
        <f t="shared" si="205"/>
        <v>967.61872351647696</v>
      </c>
      <c r="BR121" s="6">
        <f t="shared" si="160"/>
        <v>5.4352374470329547E-6</v>
      </c>
      <c r="BS121" s="8">
        <f t="shared" si="161"/>
        <v>27.016615320439485</v>
      </c>
      <c r="BT121" s="7">
        <f t="shared" si="162"/>
        <v>1.3602733678818146E-2</v>
      </c>
      <c r="BU121" s="9">
        <f t="shared" si="163"/>
        <v>0.20415677295546125</v>
      </c>
      <c r="BV121" s="4">
        <f t="shared" si="206"/>
        <v>959.46299331518719</v>
      </c>
      <c r="BW121" s="6">
        <f t="shared" si="164"/>
        <v>5.4189259866303746E-6</v>
      </c>
      <c r="BX121" s="8">
        <f t="shared" si="165"/>
        <v>26.922824423124652</v>
      </c>
      <c r="BY121" s="7">
        <f t="shared" si="166"/>
        <v>1.356191109214532E-2</v>
      </c>
      <c r="BZ121" s="9">
        <f t="shared" si="167"/>
        <v>0.20486799279731213</v>
      </c>
      <c r="CA121" s="4">
        <f t="shared" si="207"/>
        <v>950.44709496488974</v>
      </c>
      <c r="CB121" s="6">
        <f t="shared" si="168"/>
        <v>5.4008941899297798E-6</v>
      </c>
      <c r="CC121" s="8">
        <f t="shared" si="169"/>
        <v>26.81914159209623</v>
      </c>
      <c r="CD121" s="7">
        <f t="shared" si="170"/>
        <v>1.3516783030922774E-2</v>
      </c>
      <c r="CE121" s="9">
        <f t="shared" si="171"/>
        <v>0.20566001268383211</v>
      </c>
      <c r="CF121" s="4">
        <f t="shared" si="208"/>
        <v>939.67282559866953</v>
      </c>
      <c r="CG121" s="6">
        <f t="shared" si="172"/>
        <v>5.37934565119734E-6</v>
      </c>
      <c r="CH121" s="8">
        <f t="shared" si="173"/>
        <v>26.695237494384699</v>
      </c>
      <c r="CI121" s="7">
        <f t="shared" si="174"/>
        <v>1.3462853642114731E-2</v>
      </c>
      <c r="CJ121" s="9">
        <f t="shared" si="175"/>
        <v>0.20661456940250872</v>
      </c>
      <c r="CK121" s="4">
        <f t="shared" si="209"/>
        <v>923.97501737890479</v>
      </c>
      <c r="CL121" s="6">
        <f t="shared" si="176"/>
        <v>5.3479500347578108E-6</v>
      </c>
      <c r="CM121" s="8">
        <f t="shared" si="177"/>
        <v>26.514712699857405</v>
      </c>
      <c r="CN121" s="7">
        <f t="shared" si="178"/>
        <v>1.3384280035483732E-2</v>
      </c>
      <c r="CO121" s="9">
        <f t="shared" si="179"/>
        <v>0.20802129981327924</v>
      </c>
      <c r="CP121" s="4">
        <f t="shared" si="210"/>
        <v>894.57221834604525</v>
      </c>
      <c r="CQ121" s="6">
        <f t="shared" si="180"/>
        <v>5.2891444366920909E-6</v>
      </c>
      <c r="CR121" s="8">
        <f t="shared" si="181"/>
        <v>26.17658051097952</v>
      </c>
      <c r="CS121" s="7">
        <f t="shared" si="182"/>
        <v>1.3237107644745167E-2</v>
      </c>
      <c r="CT121" s="9">
        <f t="shared" si="183"/>
        <v>0.21070838483607601</v>
      </c>
      <c r="CU121" s="4">
        <f t="shared" si="211"/>
        <v>833.7510739867995</v>
      </c>
      <c r="CV121" s="6">
        <f t="shared" si="184"/>
        <v>5.1675021479735995E-6</v>
      </c>
      <c r="CW121" s="8">
        <f t="shared" si="185"/>
        <v>25.477137350848196</v>
      </c>
      <c r="CX121" s="7">
        <f t="shared" si="186"/>
        <v>1.2932674273867727E-2</v>
      </c>
      <c r="CY121" s="9">
        <f t="shared" si="187"/>
        <v>0.21649312181520941</v>
      </c>
      <c r="CZ121" s="5">
        <f t="shared" si="212"/>
        <v>719.81695070311309</v>
      </c>
      <c r="DA121" s="6">
        <f t="shared" si="188"/>
        <v>4.9396339014062261E-6</v>
      </c>
      <c r="DB121" s="8">
        <f t="shared" si="189"/>
        <v>24.1668949330858</v>
      </c>
      <c r="DC121" s="7">
        <f t="shared" si="190"/>
        <v>1.2362389883880807E-2</v>
      </c>
      <c r="DD121" s="9">
        <f t="shared" si="191"/>
        <v>0.22823060286693297</v>
      </c>
    </row>
    <row r="122" spans="2:108" x14ac:dyDescent="0.25">
      <c r="B122">
        <v>103</v>
      </c>
      <c r="C122">
        <f t="shared" si="192"/>
        <v>0.10069431063356091</v>
      </c>
      <c r="D122" s="4">
        <f t="shared" si="109"/>
        <v>1018.3188634983197</v>
      </c>
      <c r="E122" s="6">
        <f t="shared" si="110"/>
        <v>5.5366377269966405E-6</v>
      </c>
      <c r="F122" s="8">
        <f t="shared" si="111"/>
        <v>27.599666930230676</v>
      </c>
      <c r="G122" s="7">
        <f t="shared" si="107"/>
        <v>1.385650750503002E-2</v>
      </c>
      <c r="H122" s="9">
        <f t="shared" si="112"/>
        <v>0.19984389717249029</v>
      </c>
      <c r="I122" s="4">
        <f t="shared" si="193"/>
        <v>1017.9945840606488</v>
      </c>
      <c r="J122" s="6">
        <f t="shared" si="113"/>
        <v>5.5359891681212982E-6</v>
      </c>
      <c r="K122" s="8">
        <f t="shared" si="114"/>
        <v>27.59593771669746</v>
      </c>
      <c r="L122" s="7">
        <f t="shared" si="115"/>
        <v>1.3854884360918602E-2</v>
      </c>
      <c r="M122" s="9">
        <f t="shared" si="116"/>
        <v>0.19987090334178656</v>
      </c>
      <c r="N122" s="4">
        <f t="shared" si="194"/>
        <v>1017.0893340264631</v>
      </c>
      <c r="O122" s="6">
        <f t="shared" si="117"/>
        <v>5.5341786680529273E-6</v>
      </c>
      <c r="P122" s="8">
        <f t="shared" si="118"/>
        <v>27.585527341304324</v>
      </c>
      <c r="Q122" s="7">
        <f t="shared" si="108"/>
        <v>1.385650750503002E-2</v>
      </c>
      <c r="R122" s="9">
        <f t="shared" si="119"/>
        <v>0.19994633170348539</v>
      </c>
      <c r="S122" s="4">
        <f t="shared" si="195"/>
        <v>1015.5881939196001</v>
      </c>
      <c r="T122" s="6">
        <f t="shared" si="120"/>
        <v>5.5311763878392009E-6</v>
      </c>
      <c r="U122" s="8">
        <f t="shared" si="121"/>
        <v>27.5682642300754</v>
      </c>
      <c r="V122" s="7">
        <f t="shared" si="122"/>
        <v>1.3842839446769032E-2</v>
      </c>
      <c r="W122" s="9">
        <f t="shared" si="123"/>
        <v>0.20007153711123998</v>
      </c>
      <c r="X122" s="4">
        <f t="shared" si="196"/>
        <v>1013.4889502627913</v>
      </c>
      <c r="Y122" s="6">
        <f t="shared" si="124"/>
        <v>5.5269779005255827E-6</v>
      </c>
      <c r="Z122" s="8">
        <f t="shared" si="125"/>
        <v>27.544122928022098</v>
      </c>
      <c r="AA122" s="7">
        <f t="shared" si="126"/>
        <v>1.3832331919666934E-2</v>
      </c>
      <c r="AB122" s="9">
        <f t="shared" si="127"/>
        <v>0.20024689166590459</v>
      </c>
      <c r="AC122" s="4">
        <f t="shared" si="197"/>
        <v>1010.7902545089122</v>
      </c>
      <c r="AD122" s="6">
        <f t="shared" si="128"/>
        <v>5.5215805090178242E-6</v>
      </c>
      <c r="AE122" s="8">
        <f t="shared" si="129"/>
        <v>27.513087926852489</v>
      </c>
      <c r="AF122" s="7">
        <f t="shared" si="130"/>
        <v>1.3818823902776074E-2</v>
      </c>
      <c r="AG122" s="9">
        <f t="shared" si="131"/>
        <v>0.20047277189183868</v>
      </c>
      <c r="AH122" s="4">
        <f t="shared" si="198"/>
        <v>1007.491942590803</v>
      </c>
      <c r="AI122" s="6">
        <f t="shared" si="132"/>
        <v>5.5149838851816068E-6</v>
      </c>
      <c r="AJ122" s="8">
        <f t="shared" si="133"/>
        <v>27.475157339794233</v>
      </c>
      <c r="AK122" s="7">
        <f t="shared" si="134"/>
        <v>1.3802314574876812E-2</v>
      </c>
      <c r="AL122" s="9">
        <f t="shared" si="135"/>
        <v>0.20074953281564384</v>
      </c>
      <c r="AM122" s="4">
        <f t="shared" si="199"/>
        <v>1003.5939939276465</v>
      </c>
      <c r="AN122" s="6">
        <f t="shared" si="136"/>
        <v>5.5071879878552933E-6</v>
      </c>
      <c r="AO122" s="8">
        <f t="shared" si="137"/>
        <v>27.430330930167933</v>
      </c>
      <c r="AP122" s="7">
        <f t="shared" si="138"/>
        <v>1.3782803832954186E-2</v>
      </c>
      <c r="AQ122" s="9">
        <f t="shared" si="139"/>
        <v>0.20107759596636526</v>
      </c>
      <c r="AR122" s="4">
        <f t="shared" si="200"/>
        <v>999.09641115933744</v>
      </c>
      <c r="AS122" s="6">
        <f t="shared" si="140"/>
        <v>5.4981928223186755E-6</v>
      </c>
      <c r="AT122" s="8">
        <f t="shared" si="141"/>
        <v>27.378608728332381</v>
      </c>
      <c r="AU122" s="7">
        <f t="shared" si="142"/>
        <v>1.3760291690221894E-2</v>
      </c>
      <c r="AV122" s="9">
        <f t="shared" si="143"/>
        <v>0.20145746099553374</v>
      </c>
      <c r="AW122" s="4">
        <f t="shared" si="201"/>
        <v>993.99919467995755</v>
      </c>
      <c r="AX122" s="6">
        <f t="shared" si="144"/>
        <v>5.4879983893599159E-6</v>
      </c>
      <c r="AY122" s="8">
        <f t="shared" si="145"/>
        <v>27.319990738819513</v>
      </c>
      <c r="AZ122" s="7">
        <f t="shared" si="146"/>
        <v>1.3734778148652472E-2</v>
      </c>
      <c r="BA122" s="9">
        <f t="shared" si="147"/>
        <v>0.20188970972683162</v>
      </c>
      <c r="BB122" s="4">
        <f t="shared" si="202"/>
        <v>988.30232518094851</v>
      </c>
      <c r="BC122" s="6">
        <f t="shared" si="148"/>
        <v>5.4766046503618981E-6</v>
      </c>
      <c r="BD122" s="8">
        <f t="shared" si="149"/>
        <v>27.254476739580909</v>
      </c>
      <c r="BE122" s="7">
        <f t="shared" si="150"/>
        <v>1.3706263111599103E-2</v>
      </c>
      <c r="BF122" s="9">
        <f t="shared" si="151"/>
        <v>0.20237500990029331</v>
      </c>
      <c r="BG122" s="4">
        <f t="shared" si="203"/>
        <v>982.00563995122366</v>
      </c>
      <c r="BH122" s="6">
        <f t="shared" si="152"/>
        <v>5.464011279902448E-6</v>
      </c>
      <c r="BI122" s="8">
        <f t="shared" si="153"/>
        <v>27.182064859439073</v>
      </c>
      <c r="BJ122" s="7">
        <f t="shared" si="154"/>
        <v>1.3674745764629815E-2</v>
      </c>
      <c r="BK122" s="9">
        <f t="shared" si="155"/>
        <v>0.20291412843438489</v>
      </c>
      <c r="BL122" s="4">
        <f t="shared" si="204"/>
        <v>975.10795922958164</v>
      </c>
      <c r="BM122" s="6">
        <f t="shared" si="156"/>
        <v>5.4502159184591641E-6</v>
      </c>
      <c r="BN122" s="8">
        <f t="shared" si="157"/>
        <v>27.10274153114019</v>
      </c>
      <c r="BO122" s="7">
        <f t="shared" si="158"/>
        <v>1.3640220202583125E-2</v>
      </c>
      <c r="BP122" s="9">
        <f t="shared" si="159"/>
        <v>0.20350801020120868</v>
      </c>
      <c r="BQ122" s="4">
        <f t="shared" si="205"/>
        <v>967.60164137146057</v>
      </c>
      <c r="BR122" s="6">
        <f t="shared" si="160"/>
        <v>5.4352032827429215E-6</v>
      </c>
      <c r="BS122" s="8">
        <f t="shared" si="161"/>
        <v>27.016418875771798</v>
      </c>
      <c r="BT122" s="7">
        <f t="shared" si="162"/>
        <v>1.360264817606998E-2</v>
      </c>
      <c r="BU122" s="9">
        <f t="shared" si="163"/>
        <v>0.20415825744197308</v>
      </c>
      <c r="BV122" s="4">
        <f t="shared" si="206"/>
        <v>959.44295062113406</v>
      </c>
      <c r="BW122" s="6">
        <f t="shared" si="164"/>
        <v>5.4188859012422687E-6</v>
      </c>
      <c r="BX122" s="8">
        <f t="shared" si="165"/>
        <v>26.922593932143041</v>
      </c>
      <c r="BY122" s="7">
        <f t="shared" si="166"/>
        <v>1.3561810770703226E-2</v>
      </c>
      <c r="BZ122" s="9">
        <f t="shared" si="167"/>
        <v>0.20486974672283947</v>
      </c>
      <c r="CA122" s="4">
        <f t="shared" si="207"/>
        <v>950.41430191958409</v>
      </c>
      <c r="CB122" s="6">
        <f t="shared" si="168"/>
        <v>5.4008286038391688E-6</v>
      </c>
      <c r="CC122" s="8">
        <f t="shared" si="169"/>
        <v>26.818764472075216</v>
      </c>
      <c r="CD122" s="7">
        <f t="shared" si="170"/>
        <v>1.3516618889037105E-2</v>
      </c>
      <c r="CE122" s="9">
        <f t="shared" si="171"/>
        <v>0.20566290463317549</v>
      </c>
      <c r="CF122" s="4">
        <f t="shared" si="208"/>
        <v>939.59509434465292</v>
      </c>
      <c r="CG122" s="6">
        <f t="shared" si="172"/>
        <v>5.3791901886893066E-6</v>
      </c>
      <c r="CH122" s="8">
        <f t="shared" si="173"/>
        <v>26.694343584963505</v>
      </c>
      <c r="CI122" s="7">
        <f t="shared" si="174"/>
        <v>1.3462464567099255E-2</v>
      </c>
      <c r="CJ122" s="9">
        <f t="shared" si="175"/>
        <v>0.20662148827315099</v>
      </c>
      <c r="CK122" s="4">
        <f t="shared" si="209"/>
        <v>923.77265662195305</v>
      </c>
      <c r="CL122" s="6">
        <f t="shared" si="176"/>
        <v>5.3475453132439069E-6</v>
      </c>
      <c r="CM122" s="8">
        <f t="shared" si="177"/>
        <v>26.512385551152459</v>
      </c>
      <c r="CN122" s="7">
        <f t="shared" si="178"/>
        <v>1.3383267141563022E-2</v>
      </c>
      <c r="CO122" s="9">
        <f t="shared" si="179"/>
        <v>0.20803955907167482</v>
      </c>
      <c r="CP122" s="4">
        <f t="shared" si="210"/>
        <v>894.11819681692464</v>
      </c>
      <c r="CQ122" s="6">
        <f t="shared" si="180"/>
        <v>5.2882363936338498E-6</v>
      </c>
      <c r="CR122" s="8">
        <f t="shared" si="181"/>
        <v>26.171359263394635</v>
      </c>
      <c r="CS122" s="7">
        <f t="shared" si="182"/>
        <v>1.3234835091243959E-2</v>
      </c>
      <c r="CT122" s="9">
        <f t="shared" si="183"/>
        <v>0.21075042165328403</v>
      </c>
      <c r="CU122" s="4">
        <f t="shared" si="211"/>
        <v>832.98726780772506</v>
      </c>
      <c r="CV122" s="6">
        <f t="shared" si="184"/>
        <v>5.1659745356154506E-6</v>
      </c>
      <c r="CW122" s="8">
        <f t="shared" si="185"/>
        <v>25.46835357978884</v>
      </c>
      <c r="CX122" s="7">
        <f t="shared" si="186"/>
        <v>1.2928851128278435E-2</v>
      </c>
      <c r="CY122" s="9">
        <f t="shared" si="187"/>
        <v>0.21656778804803017</v>
      </c>
      <c r="CZ122" s="5">
        <f t="shared" si="212"/>
        <v>718.96936178997828</v>
      </c>
      <c r="DA122" s="6">
        <f t="shared" si="188"/>
        <v>4.9379387235799573E-6</v>
      </c>
      <c r="DB122" s="8">
        <f t="shared" si="189"/>
        <v>24.157147660584748</v>
      </c>
      <c r="DC122" s="7">
        <f t="shared" si="190"/>
        <v>1.2358147373275946E-2</v>
      </c>
      <c r="DD122" s="9">
        <f t="shared" si="191"/>
        <v>0.22832269262481664</v>
      </c>
    </row>
    <row r="123" spans="2:108" x14ac:dyDescent="0.25">
      <c r="B123">
        <v>104</v>
      </c>
      <c r="C123">
        <f t="shared" si="192"/>
        <v>0.10167192529990615</v>
      </c>
      <c r="D123" s="4">
        <f t="shared" si="109"/>
        <v>1018.3023074283833</v>
      </c>
      <c r="E123" s="6">
        <f t="shared" si="110"/>
        <v>5.5366046148567675E-6</v>
      </c>
      <c r="F123" s="8">
        <f t="shared" si="111"/>
        <v>27.599476535426405</v>
      </c>
      <c r="G123" s="7">
        <f t="shared" si="107"/>
        <v>1.3856424635491273E-2</v>
      </c>
      <c r="H123" s="9">
        <f t="shared" si="112"/>
        <v>0.19984527579427822</v>
      </c>
      <c r="I123" s="4">
        <f t="shared" si="193"/>
        <v>1017.9780154441307</v>
      </c>
      <c r="J123" s="6">
        <f t="shared" si="113"/>
        <v>5.5359560308882614E-6</v>
      </c>
      <c r="K123" s="8">
        <f t="shared" si="114"/>
        <v>27.595747177607503</v>
      </c>
      <c r="L123" s="7">
        <f t="shared" si="115"/>
        <v>1.3854801428579352E-2</v>
      </c>
      <c r="M123" s="9">
        <f t="shared" si="116"/>
        <v>0.19987228338124649</v>
      </c>
      <c r="N123" s="4">
        <f t="shared" si="194"/>
        <v>1017.072743073442</v>
      </c>
      <c r="O123" s="6">
        <f t="shared" si="117"/>
        <v>5.534145486146885E-6</v>
      </c>
      <c r="P123" s="8">
        <f t="shared" si="118"/>
        <v>27.585336545344582</v>
      </c>
      <c r="Q123" s="7">
        <f t="shared" si="108"/>
        <v>1.3856424635491273E-2</v>
      </c>
      <c r="R123" s="9">
        <f t="shared" si="119"/>
        <v>0.1999477146466368</v>
      </c>
      <c r="S123" s="4">
        <f t="shared" si="195"/>
        <v>1015.5715916017894</v>
      </c>
      <c r="T123" s="6">
        <f t="shared" si="120"/>
        <v>5.5311431832035792E-6</v>
      </c>
      <c r="U123" s="8">
        <f t="shared" si="121"/>
        <v>27.568073303420576</v>
      </c>
      <c r="V123" s="7">
        <f t="shared" si="122"/>
        <v>1.384275634574177E-2</v>
      </c>
      <c r="W123" s="9">
        <f t="shared" si="123"/>
        <v>0.20007292273543234</v>
      </c>
      <c r="X123" s="4">
        <f t="shared" si="196"/>
        <v>1013.4723501051926</v>
      </c>
      <c r="Y123" s="6">
        <f t="shared" si="124"/>
        <v>5.5269447002103855E-6</v>
      </c>
      <c r="Z123" s="8">
        <f t="shared" si="125"/>
        <v>27.543932026209713</v>
      </c>
      <c r="AA123" s="7">
        <f t="shared" si="126"/>
        <v>1.3832248829452368E-2</v>
      </c>
      <c r="AB123" s="9">
        <f t="shared" si="127"/>
        <v>0.2002482795394481</v>
      </c>
      <c r="AC123" s="4">
        <f t="shared" si="197"/>
        <v>1010.7736652586913</v>
      </c>
      <c r="AD123" s="6">
        <f t="shared" si="128"/>
        <v>5.5215473305173829E-6</v>
      </c>
      <c r="AE123" s="8">
        <f t="shared" si="129"/>
        <v>27.512897150474949</v>
      </c>
      <c r="AF123" s="7">
        <f t="shared" si="130"/>
        <v>1.3818740867157158E-2</v>
      </c>
      <c r="AG123" s="9">
        <f t="shared" si="131"/>
        <v>0.20047416198423818</v>
      </c>
      <c r="AH123" s="4">
        <f t="shared" si="198"/>
        <v>1007.47536942766</v>
      </c>
      <c r="AI123" s="6">
        <f t="shared" si="132"/>
        <v>5.5149507388553207E-6</v>
      </c>
      <c r="AJ123" s="8">
        <f t="shared" si="133"/>
        <v>27.47496674841809</v>
      </c>
      <c r="AK123" s="7">
        <f t="shared" si="134"/>
        <v>1.3802231619779948E-2</v>
      </c>
      <c r="AL123" s="9">
        <f t="shared" si="135"/>
        <v>0.20075092539711881</v>
      </c>
      <c r="AM123" s="4">
        <f t="shared" si="199"/>
        <v>1003.5774407053123</v>
      </c>
      <c r="AN123" s="6">
        <f t="shared" si="136"/>
        <v>5.5071548814106252E-6</v>
      </c>
      <c r="AO123" s="8">
        <f t="shared" si="137"/>
        <v>27.430140568111092</v>
      </c>
      <c r="AP123" s="7">
        <f t="shared" si="138"/>
        <v>1.378272097766879E-2</v>
      </c>
      <c r="AQ123" s="9">
        <f t="shared" si="139"/>
        <v>0.20107899142201952</v>
      </c>
      <c r="AR123" s="4">
        <f t="shared" si="200"/>
        <v>999.07988142265469</v>
      </c>
      <c r="AS123" s="6">
        <f t="shared" si="140"/>
        <v>5.4981597628453106E-6</v>
      </c>
      <c r="AT123" s="8">
        <f t="shared" si="141"/>
        <v>27.378418636360529</v>
      </c>
      <c r="AU123" s="7">
        <f t="shared" si="142"/>
        <v>1.3760208952491276E-2</v>
      </c>
      <c r="AV123" s="9">
        <f t="shared" si="143"/>
        <v>0.20145885974125802</v>
      </c>
      <c r="AW123" s="4">
        <f t="shared" si="201"/>
        <v>993.98269172474659</v>
      </c>
      <c r="AX123" s="6">
        <f t="shared" si="144"/>
        <v>5.4879653834494934E-6</v>
      </c>
      <c r="AY123" s="8">
        <f t="shared" si="145"/>
        <v>27.319800954834584</v>
      </c>
      <c r="AZ123" s="7">
        <f t="shared" si="146"/>
        <v>1.3734695544973481E-2</v>
      </c>
      <c r="BA123" s="9">
        <f t="shared" si="147"/>
        <v>0.20189111220533767</v>
      </c>
      <c r="BB123" s="4">
        <f t="shared" si="202"/>
        <v>988.28585050336903</v>
      </c>
      <c r="BC123" s="6">
        <f t="shared" si="148"/>
        <v>5.4765717010067381E-6</v>
      </c>
      <c r="BD123" s="8">
        <f t="shared" si="149"/>
        <v>27.254287280788745</v>
      </c>
      <c r="BE123" s="7">
        <f t="shared" si="150"/>
        <v>1.3706180649460603E-2</v>
      </c>
      <c r="BF123" s="9">
        <f t="shared" si="151"/>
        <v>0.20237641671473483</v>
      </c>
      <c r="BG123" s="4">
        <f t="shared" si="203"/>
        <v>981.98918240011085</v>
      </c>
      <c r="BH123" s="6">
        <f t="shared" si="152"/>
        <v>5.4639783648002221E-6</v>
      </c>
      <c r="BI123" s="8">
        <f t="shared" si="153"/>
        <v>27.181875597601273</v>
      </c>
      <c r="BJ123" s="7">
        <f t="shared" si="154"/>
        <v>1.3674663388215914E-2</v>
      </c>
      <c r="BK123" s="9">
        <f t="shared" si="155"/>
        <v>0.20291554128394065</v>
      </c>
      <c r="BL123" s="4">
        <f t="shared" si="204"/>
        <v>975.09142924528044</v>
      </c>
      <c r="BM123" s="6">
        <f t="shared" si="156"/>
        <v>5.450182858490561E-6</v>
      </c>
      <c r="BN123" s="8">
        <f t="shared" si="157"/>
        <v>27.102551436320724</v>
      </c>
      <c r="BO123" s="7">
        <f t="shared" si="158"/>
        <v>1.3640137463613079E-2</v>
      </c>
      <c r="BP123" s="9">
        <f t="shared" si="159"/>
        <v>0.2035094375877981</v>
      </c>
      <c r="BQ123" s="4">
        <f t="shared" si="205"/>
        <v>967.58452472819533</v>
      </c>
      <c r="BR123" s="6">
        <f t="shared" si="160"/>
        <v>5.4351690494563914E-6</v>
      </c>
      <c r="BS123" s="8">
        <f t="shared" si="161"/>
        <v>27.016222034374245</v>
      </c>
      <c r="BT123" s="7">
        <f t="shared" si="162"/>
        <v>1.3602562500644729E-2</v>
      </c>
      <c r="BU123" s="9">
        <f t="shared" si="163"/>
        <v>0.20415974494813385</v>
      </c>
      <c r="BV123" s="4">
        <f t="shared" si="206"/>
        <v>959.4227672544755</v>
      </c>
      <c r="BW123" s="6">
        <f t="shared" si="164"/>
        <v>5.4188455345089515E-6</v>
      </c>
      <c r="BX123" s="8">
        <f t="shared" si="165"/>
        <v>26.922361823426467</v>
      </c>
      <c r="BY123" s="7">
        <f t="shared" si="166"/>
        <v>1.3561709745140286E-2</v>
      </c>
      <c r="BZ123" s="9">
        <f t="shared" si="167"/>
        <v>0.20487151298890072</v>
      </c>
      <c r="CA123" s="4">
        <f t="shared" si="207"/>
        <v>950.3810465176656</v>
      </c>
      <c r="CB123" s="6">
        <f t="shared" si="168"/>
        <v>5.4007620930353311E-6</v>
      </c>
      <c r="CC123" s="8">
        <f t="shared" si="169"/>
        <v>26.818382034953153</v>
      </c>
      <c r="CD123" s="7">
        <f t="shared" si="170"/>
        <v>1.3516452432877612E-2</v>
      </c>
      <c r="CE123" s="9">
        <f t="shared" si="171"/>
        <v>0.20566583743983252</v>
      </c>
      <c r="CF123" s="4">
        <f t="shared" si="208"/>
        <v>939.51621528074361</v>
      </c>
      <c r="CG123" s="6">
        <f t="shared" si="172"/>
        <v>5.3790324305614878E-6</v>
      </c>
      <c r="CH123" s="8">
        <f t="shared" si="173"/>
        <v>26.69343647572855</v>
      </c>
      <c r="CI123" s="7">
        <f t="shared" si="174"/>
        <v>1.3462069746850958E-2</v>
      </c>
      <c r="CJ123" s="9">
        <f t="shared" si="175"/>
        <v>0.20662850978423755</v>
      </c>
      <c r="CK123" s="4">
        <f t="shared" si="209"/>
        <v>923.5684427063411</v>
      </c>
      <c r="CL123" s="6">
        <f t="shared" si="176"/>
        <v>5.3471368854126828E-6</v>
      </c>
      <c r="CM123" s="8">
        <f t="shared" si="177"/>
        <v>26.510037091122921</v>
      </c>
      <c r="CN123" s="7">
        <f t="shared" si="178"/>
        <v>1.3382244971865872E-2</v>
      </c>
      <c r="CO123" s="9">
        <f t="shared" si="179"/>
        <v>0.20805798879274096</v>
      </c>
      <c r="CP123" s="4">
        <f t="shared" si="210"/>
        <v>893.66322343093566</v>
      </c>
      <c r="CQ123" s="6">
        <f t="shared" si="180"/>
        <v>5.2873264468618719E-6</v>
      </c>
      <c r="CR123" s="8">
        <f t="shared" si="181"/>
        <v>26.166127069455762</v>
      </c>
      <c r="CS123" s="7">
        <f t="shared" si="182"/>
        <v>1.3232557773330669E-2</v>
      </c>
      <c r="CT123" s="9">
        <f t="shared" si="183"/>
        <v>0.21079256342978239</v>
      </c>
      <c r="CU123" s="4">
        <f t="shared" si="211"/>
        <v>832.22644659009666</v>
      </c>
      <c r="CV123" s="6">
        <f t="shared" si="184"/>
        <v>5.1644528931801939E-6</v>
      </c>
      <c r="CW123" s="8">
        <f t="shared" si="185"/>
        <v>25.459604135786108</v>
      </c>
      <c r="CX123" s="7">
        <f t="shared" si="186"/>
        <v>1.2925042923576636E-2</v>
      </c>
      <c r="CY123" s="9">
        <f t="shared" si="187"/>
        <v>0.21664221370383438</v>
      </c>
      <c r="CZ123" s="5">
        <f t="shared" si="212"/>
        <v>718.127512997042</v>
      </c>
      <c r="DA123" s="6">
        <f t="shared" si="188"/>
        <v>4.9362550259940841E-6</v>
      </c>
      <c r="DB123" s="8">
        <f t="shared" si="189"/>
        <v>24.147466399465983</v>
      </c>
      <c r="DC123" s="7">
        <f t="shared" si="190"/>
        <v>1.235393359419463E-2</v>
      </c>
      <c r="DD123" s="9">
        <f t="shared" si="191"/>
        <v>0.22841423231556818</v>
      </c>
    </row>
    <row r="124" spans="2:108" x14ac:dyDescent="0.25">
      <c r="B124">
        <v>105</v>
      </c>
      <c r="C124">
        <f t="shared" si="192"/>
        <v>0.1026495399662514</v>
      </c>
      <c r="D124" s="4">
        <f t="shared" si="109"/>
        <v>1018.2857507178818</v>
      </c>
      <c r="E124" s="6">
        <f t="shared" si="110"/>
        <v>5.5365715014357632E-6</v>
      </c>
      <c r="F124" s="8">
        <f t="shared" si="111"/>
        <v>27.599286133255639</v>
      </c>
      <c r="G124" s="7">
        <f t="shared" si="107"/>
        <v>1.3856341762746244E-2</v>
      </c>
      <c r="H124" s="9">
        <f t="shared" si="112"/>
        <v>0.19984665448842795</v>
      </c>
      <c r="I124" s="4">
        <f t="shared" si="193"/>
        <v>1017.9614465493781</v>
      </c>
      <c r="J124" s="6">
        <f t="shared" si="113"/>
        <v>5.535922893098757E-6</v>
      </c>
      <c r="K124" s="8">
        <f t="shared" si="114"/>
        <v>27.595556635317848</v>
      </c>
      <c r="L124" s="7">
        <f t="shared" si="115"/>
        <v>1.3854718494847438E-2</v>
      </c>
      <c r="M124" s="9">
        <f t="shared" si="116"/>
        <v>0.19987366346293925</v>
      </c>
      <c r="N124" s="4">
        <f t="shared" si="194"/>
        <v>1017.0561522550124</v>
      </c>
      <c r="O124" s="6">
        <f t="shared" si="117"/>
        <v>5.5341123045100246E-6</v>
      </c>
      <c r="P124" s="8">
        <f t="shared" si="118"/>
        <v>27.585145750932639</v>
      </c>
      <c r="Q124" s="7">
        <f t="shared" si="108"/>
        <v>1.3856341762746244E-2</v>
      </c>
      <c r="R124" s="9">
        <f t="shared" si="119"/>
        <v>0.19994909759769963</v>
      </c>
      <c r="S124" s="4">
        <f t="shared" si="195"/>
        <v>1015.5549895494241</v>
      </c>
      <c r="T124" s="6">
        <f t="shared" si="120"/>
        <v>5.5311099790988489E-6</v>
      </c>
      <c r="U124" s="8">
        <f t="shared" si="121"/>
        <v>27.567882379818379</v>
      </c>
      <c r="V124" s="7">
        <f t="shared" si="122"/>
        <v>1.3842673246043165E-2</v>
      </c>
      <c r="W124" s="9">
        <f t="shared" si="123"/>
        <v>0.20007430835666304</v>
      </c>
      <c r="X124" s="4">
        <f t="shared" si="196"/>
        <v>1013.4557501909421</v>
      </c>
      <c r="Y124" s="6">
        <f t="shared" si="124"/>
        <v>5.526911500381885E-6</v>
      </c>
      <c r="Z124" s="8">
        <f t="shared" si="125"/>
        <v>27.543741127195833</v>
      </c>
      <c r="AA124" s="7">
        <f t="shared" si="126"/>
        <v>1.3832165740455857E-2</v>
      </c>
      <c r="AB124" s="9">
        <f t="shared" si="127"/>
        <v>0.20024966741188413</v>
      </c>
      <c r="AC124" s="4">
        <f t="shared" si="197"/>
        <v>1010.757076217106</v>
      </c>
      <c r="AD124" s="6">
        <f t="shared" si="128"/>
        <v>5.521514152434212E-6</v>
      </c>
      <c r="AE124" s="8">
        <f t="shared" si="129"/>
        <v>27.512706376496716</v>
      </c>
      <c r="AF124" s="7">
        <f t="shared" si="130"/>
        <v>1.3818657832582543E-2</v>
      </c>
      <c r="AG124" s="9">
        <f t="shared" si="131"/>
        <v>0.2004755520784329</v>
      </c>
      <c r="AH124" s="4">
        <f t="shared" si="198"/>
        <v>1007.4587964588439</v>
      </c>
      <c r="AI124" s="6">
        <f t="shared" si="132"/>
        <v>5.514917592917688E-6</v>
      </c>
      <c r="AJ124" s="8">
        <f t="shared" si="133"/>
        <v>27.474776159276704</v>
      </c>
      <c r="AK124" s="7">
        <f t="shared" si="134"/>
        <v>1.3802148665655763E-2</v>
      </c>
      <c r="AL124" s="9">
        <f t="shared" si="135"/>
        <v>0.20075231798158547</v>
      </c>
      <c r="AM124" s="4">
        <f t="shared" si="199"/>
        <v>1003.5608876742054</v>
      </c>
      <c r="AN124" s="6">
        <f t="shared" si="136"/>
        <v>5.507121775348411E-6</v>
      </c>
      <c r="AO124" s="8">
        <f t="shared" si="137"/>
        <v>27.429950208253359</v>
      </c>
      <c r="AP124" s="7">
        <f t="shared" si="138"/>
        <v>1.3782638123340558E-2</v>
      </c>
      <c r="AQ124" s="9">
        <f t="shared" si="139"/>
        <v>0.20108038688092156</v>
      </c>
      <c r="AR124" s="4">
        <f t="shared" si="200"/>
        <v>999.0633518740658</v>
      </c>
      <c r="AS124" s="6">
        <f t="shared" si="140"/>
        <v>5.4981267037481324E-6</v>
      </c>
      <c r="AT124" s="8">
        <f t="shared" si="141"/>
        <v>27.378228546551757</v>
      </c>
      <c r="AU124" s="7">
        <f t="shared" si="142"/>
        <v>1.3760126215702138E-2</v>
      </c>
      <c r="AV124" s="9">
        <f t="shared" si="143"/>
        <v>0.20146025849048893</v>
      </c>
      <c r="AW124" s="4">
        <f t="shared" si="201"/>
        <v>993.96618893144125</v>
      </c>
      <c r="AX124" s="6">
        <f t="shared" si="144"/>
        <v>5.4879323778628831E-6</v>
      </c>
      <c r="AY124" s="8">
        <f t="shared" si="145"/>
        <v>27.319611172711575</v>
      </c>
      <c r="AZ124" s="7">
        <f t="shared" si="146"/>
        <v>1.3734612942104896E-2</v>
      </c>
      <c r="BA124" s="9">
        <f t="shared" si="147"/>
        <v>0.20189251468956954</v>
      </c>
      <c r="BB124" s="4">
        <f t="shared" si="202"/>
        <v>988.26937580289461</v>
      </c>
      <c r="BC124" s="6">
        <f t="shared" si="148"/>
        <v>5.47653875160579E-6</v>
      </c>
      <c r="BD124" s="8">
        <f t="shared" si="149"/>
        <v>27.254097821733289</v>
      </c>
      <c r="BE124" s="7">
        <f t="shared" si="150"/>
        <v>1.3706098187207512E-2</v>
      </c>
      <c r="BF124" s="9">
        <f t="shared" si="151"/>
        <v>0.20237782355069059</v>
      </c>
      <c r="BG124" s="4">
        <f t="shared" si="203"/>
        <v>981.97272368604388</v>
      </c>
      <c r="BH124" s="6">
        <f t="shared" si="152"/>
        <v>5.4639454473720886E-6</v>
      </c>
      <c r="BI124" s="8">
        <f t="shared" si="153"/>
        <v>27.181686322389503</v>
      </c>
      <c r="BJ124" s="7">
        <f t="shared" si="154"/>
        <v>1.3674581005980978E-2</v>
      </c>
      <c r="BK124" s="9">
        <f t="shared" si="155"/>
        <v>0.20291695425301079</v>
      </c>
      <c r="BL124" s="4">
        <f t="shared" si="204"/>
        <v>975.0748919532075</v>
      </c>
      <c r="BM124" s="6">
        <f t="shared" si="156"/>
        <v>5.4501497839064154E-6</v>
      </c>
      <c r="BN124" s="8">
        <f t="shared" si="157"/>
        <v>27.102361257461887</v>
      </c>
      <c r="BO124" s="7">
        <f t="shared" si="158"/>
        <v>1.3640054688064805E-2</v>
      </c>
      <c r="BP124" s="9">
        <f t="shared" si="159"/>
        <v>0.20351086562546003</v>
      </c>
      <c r="BQ124" s="4">
        <f t="shared" si="205"/>
        <v>967.56737244396027</v>
      </c>
      <c r="BR124" s="6">
        <f t="shared" si="160"/>
        <v>5.4351347448879206E-6</v>
      </c>
      <c r="BS124" s="8">
        <f t="shared" si="161"/>
        <v>27.016024783105543</v>
      </c>
      <c r="BT124" s="7">
        <f t="shared" si="162"/>
        <v>1.3602476646822625E-2</v>
      </c>
      <c r="BU124" s="9">
        <f t="shared" si="163"/>
        <v>0.20416123557338434</v>
      </c>
      <c r="BV124" s="4">
        <f t="shared" si="206"/>
        <v>959.40244007793206</v>
      </c>
      <c r="BW124" s="6">
        <f t="shared" si="164"/>
        <v>5.4188048801558638E-6</v>
      </c>
      <c r="BX124" s="8">
        <f t="shared" si="165"/>
        <v>26.92212806089622</v>
      </c>
      <c r="BY124" s="7">
        <f t="shared" si="166"/>
        <v>1.3561607999753204E-2</v>
      </c>
      <c r="BZ124" s="9">
        <f t="shared" si="167"/>
        <v>0.20487329187068684</v>
      </c>
      <c r="CA124" s="4">
        <f t="shared" si="207"/>
        <v>950.3473233792397</v>
      </c>
      <c r="CB124" s="6">
        <f t="shared" si="168"/>
        <v>5.40069464675848E-6</v>
      </c>
      <c r="CC124" s="8">
        <f t="shared" si="169"/>
        <v>26.817994218861255</v>
      </c>
      <c r="CD124" s="7">
        <f t="shared" si="170"/>
        <v>1.3516283635515844E-2</v>
      </c>
      <c r="CE124" s="9">
        <f t="shared" si="171"/>
        <v>0.20566881158177103</v>
      </c>
      <c r="CF124" s="4">
        <f t="shared" si="208"/>
        <v>939.43618759273227</v>
      </c>
      <c r="CG124" s="6">
        <f t="shared" si="172"/>
        <v>5.3788723751854652E-6</v>
      </c>
      <c r="CH124" s="8">
        <f t="shared" si="173"/>
        <v>26.692516157316419</v>
      </c>
      <c r="CI124" s="7">
        <f t="shared" si="174"/>
        <v>1.3461669177294409E-2</v>
      </c>
      <c r="CJ124" s="9">
        <f t="shared" si="175"/>
        <v>0.20663563402913468</v>
      </c>
      <c r="CK124" s="4">
        <f t="shared" si="209"/>
        <v>923.36239753490804</v>
      </c>
      <c r="CL124" s="6">
        <f t="shared" si="176"/>
        <v>5.3467247950698169E-6</v>
      </c>
      <c r="CM124" s="8">
        <f t="shared" si="177"/>
        <v>26.507667571651442</v>
      </c>
      <c r="CN124" s="7">
        <f t="shared" si="178"/>
        <v>1.3381213636024479E-2</v>
      </c>
      <c r="CO124" s="9">
        <f t="shared" si="179"/>
        <v>0.20807658708903801</v>
      </c>
      <c r="CP124" s="4">
        <f t="shared" si="210"/>
        <v>893.20734106832117</v>
      </c>
      <c r="CQ124" s="6">
        <f t="shared" si="180"/>
        <v>5.2864146821366429E-6</v>
      </c>
      <c r="CR124" s="8">
        <f t="shared" si="181"/>
        <v>26.16088442228569</v>
      </c>
      <c r="CS124" s="7">
        <f t="shared" si="182"/>
        <v>1.3230275905637509E-2</v>
      </c>
      <c r="CT124" s="9">
        <f t="shared" si="183"/>
        <v>0.21083480630728985</v>
      </c>
      <c r="CU124" s="4">
        <f t="shared" si="211"/>
        <v>831.46859630857546</v>
      </c>
      <c r="CV124" s="6">
        <f t="shared" si="184"/>
        <v>5.1629371926171511E-6</v>
      </c>
      <c r="CW124" s="8">
        <f t="shared" si="185"/>
        <v>25.450888857548616</v>
      </c>
      <c r="CX124" s="7">
        <f t="shared" si="186"/>
        <v>1.2921249589560077E-2</v>
      </c>
      <c r="CY124" s="9">
        <f t="shared" si="187"/>
        <v>0.21671639960677017</v>
      </c>
      <c r="CZ124" s="5">
        <f t="shared" si="212"/>
        <v>717.29130494864057</v>
      </c>
      <c r="DA124" s="6">
        <f t="shared" si="188"/>
        <v>4.9345826098972815E-6</v>
      </c>
      <c r="DB124" s="8">
        <f t="shared" si="189"/>
        <v>24.137850006909368</v>
      </c>
      <c r="DC124" s="7">
        <f t="shared" si="190"/>
        <v>1.2349748049223196E-2</v>
      </c>
      <c r="DD124" s="9">
        <f t="shared" si="191"/>
        <v>0.228505231345011</v>
      </c>
    </row>
    <row r="125" spans="2:108" x14ac:dyDescent="0.25">
      <c r="B125">
        <v>106</v>
      </c>
      <c r="C125">
        <f t="shared" si="192"/>
        <v>0.10362715463259665</v>
      </c>
      <c r="D125" s="4">
        <f t="shared" si="109"/>
        <v>1018.269193385314</v>
      </c>
      <c r="E125" s="6">
        <f t="shared" si="110"/>
        <v>5.5365383867706284E-6</v>
      </c>
      <c r="F125" s="8">
        <f t="shared" si="111"/>
        <v>27.599095723931111</v>
      </c>
      <c r="G125" s="7">
        <f t="shared" si="107"/>
        <v>1.3856258886887537E-2</v>
      </c>
      <c r="H125" s="9">
        <f t="shared" si="112"/>
        <v>0.19984803325340164</v>
      </c>
      <c r="I125" s="4">
        <f t="shared" si="193"/>
        <v>1017.9448773824693</v>
      </c>
      <c r="J125" s="6">
        <f t="shared" si="113"/>
        <v>5.5358897547649391E-6</v>
      </c>
      <c r="K125" s="8">
        <f t="shared" si="114"/>
        <v>27.595366089898395</v>
      </c>
      <c r="L125" s="7">
        <f t="shared" si="115"/>
        <v>1.3854635559753272E-2</v>
      </c>
      <c r="M125" s="9">
        <f t="shared" si="116"/>
        <v>0.19987504358635991</v>
      </c>
      <c r="N125" s="4">
        <f t="shared" si="194"/>
        <v>1017.0395615691522</v>
      </c>
      <c r="O125" s="6">
        <f t="shared" si="117"/>
        <v>5.5340791231383051E-6</v>
      </c>
      <c r="P125" s="8">
        <f t="shared" si="118"/>
        <v>27.584954958045248</v>
      </c>
      <c r="Q125" s="7">
        <f t="shared" si="108"/>
        <v>1.3856258886887537E-2</v>
      </c>
      <c r="R125" s="9">
        <f t="shared" si="119"/>
        <v>0.19995048055684242</v>
      </c>
      <c r="S125" s="4">
        <f t="shared" si="195"/>
        <v>1015.538387760638</v>
      </c>
      <c r="T125" s="6">
        <f t="shared" si="120"/>
        <v>5.5310767755212764E-6</v>
      </c>
      <c r="U125" s="8">
        <f t="shared" si="121"/>
        <v>27.567691459247335</v>
      </c>
      <c r="V125" s="7">
        <f t="shared" si="122"/>
        <v>1.3842590147663874E-2</v>
      </c>
      <c r="W125" s="9">
        <f t="shared" si="123"/>
        <v>0.20007569397508737</v>
      </c>
      <c r="X125" s="4">
        <f t="shared" si="196"/>
        <v>1013.4391505197635</v>
      </c>
      <c r="Y125" s="6">
        <f t="shared" si="124"/>
        <v>5.526878301039528E-6</v>
      </c>
      <c r="Z125" s="8">
        <f t="shared" si="125"/>
        <v>27.543550230977282</v>
      </c>
      <c r="AA125" s="7">
        <f t="shared" si="126"/>
        <v>1.3832082652676015E-2</v>
      </c>
      <c r="AB125" s="9">
        <f t="shared" si="127"/>
        <v>0.20025105528323531</v>
      </c>
      <c r="AC125" s="4">
        <f t="shared" si="197"/>
        <v>1010.7404873843682</v>
      </c>
      <c r="AD125" s="6">
        <f t="shared" si="128"/>
        <v>5.5214809747687368E-6</v>
      </c>
      <c r="AE125" s="8">
        <f t="shared" si="129"/>
        <v>27.512515604920232</v>
      </c>
      <c r="AF125" s="7">
        <f t="shared" si="130"/>
        <v>1.3818574799053292E-2</v>
      </c>
      <c r="AG125" s="9">
        <f t="shared" si="131"/>
        <v>0.2004769421744047</v>
      </c>
      <c r="AH125" s="4">
        <f t="shared" si="198"/>
        <v>1007.4422236844873</v>
      </c>
      <c r="AI125" s="6">
        <f t="shared" si="132"/>
        <v>5.5148844473689755E-6</v>
      </c>
      <c r="AJ125" s="8">
        <f t="shared" si="133"/>
        <v>27.474585572371602</v>
      </c>
      <c r="AK125" s="7">
        <f t="shared" si="134"/>
        <v>1.3802065712504927E-2</v>
      </c>
      <c r="AL125" s="9">
        <f t="shared" si="135"/>
        <v>0.20075371056903232</v>
      </c>
      <c r="AM125" s="4">
        <f t="shared" si="199"/>
        <v>1003.5443348343171</v>
      </c>
      <c r="AN125" s="6">
        <f t="shared" si="136"/>
        <v>5.5070886696686347E-6</v>
      </c>
      <c r="AO125" s="8">
        <f t="shared" si="137"/>
        <v>27.429759850594646</v>
      </c>
      <c r="AP125" s="7">
        <f t="shared" si="138"/>
        <v>1.378255526996945E-2</v>
      </c>
      <c r="AQ125" s="9">
        <f t="shared" si="139"/>
        <v>0.20108178234307172</v>
      </c>
      <c r="AR125" s="4">
        <f t="shared" si="200"/>
        <v>999.04682251322561</v>
      </c>
      <c r="AS125" s="6">
        <f t="shared" si="140"/>
        <v>5.4980936450264516E-6</v>
      </c>
      <c r="AT125" s="8">
        <f t="shared" si="141"/>
        <v>27.378038458902093</v>
      </c>
      <c r="AU125" s="7">
        <f t="shared" si="142"/>
        <v>1.3760043479852753E-2</v>
      </c>
      <c r="AV125" s="9">
        <f t="shared" si="143"/>
        <v>0.20146165724325549</v>
      </c>
      <c r="AW125" s="4">
        <f t="shared" si="201"/>
        <v>993.94968629769585</v>
      </c>
      <c r="AX125" s="6">
        <f t="shared" si="144"/>
        <v>5.4878993725953924E-6</v>
      </c>
      <c r="AY125" s="8">
        <f t="shared" si="145"/>
        <v>27.3194213924235</v>
      </c>
      <c r="AZ125" s="7">
        <f t="shared" si="146"/>
        <v>1.3734530340034967E-2</v>
      </c>
      <c r="BA125" s="9">
        <f t="shared" si="147"/>
        <v>0.20189391717972655</v>
      </c>
      <c r="BB125" s="4">
        <f t="shared" si="202"/>
        <v>988.25290106549585</v>
      </c>
      <c r="BC125" s="6">
        <f t="shared" si="148"/>
        <v>5.4765058021309916E-6</v>
      </c>
      <c r="BD125" s="8">
        <f t="shared" si="149"/>
        <v>27.253908362253199</v>
      </c>
      <c r="BE125" s="7">
        <f t="shared" si="150"/>
        <v>1.3706015724769594E-2</v>
      </c>
      <c r="BF125" s="9">
        <f t="shared" si="151"/>
        <v>0.20237923040935915</v>
      </c>
      <c r="BG125" s="4">
        <f t="shared" si="203"/>
        <v>981.95626373590449</v>
      </c>
      <c r="BH125" s="6">
        <f t="shared" si="152"/>
        <v>5.4639125274718089E-6</v>
      </c>
      <c r="BI125" s="8">
        <f t="shared" si="153"/>
        <v>27.181497032962902</v>
      </c>
      <c r="BJ125" s="7">
        <f t="shared" si="154"/>
        <v>1.3674498617559018E-2</v>
      </c>
      <c r="BK125" s="9">
        <f t="shared" si="155"/>
        <v>0.20291836734787719</v>
      </c>
      <c r="BL125" s="4">
        <f t="shared" si="204"/>
        <v>975.05834703039989</v>
      </c>
      <c r="BM125" s="6">
        <f t="shared" si="156"/>
        <v>5.4501166940607995E-6</v>
      </c>
      <c r="BN125" s="8">
        <f t="shared" si="157"/>
        <v>27.102170990849597</v>
      </c>
      <c r="BO125" s="7">
        <f t="shared" si="158"/>
        <v>1.3639971874321748E-2</v>
      </c>
      <c r="BP125" s="9">
        <f t="shared" si="159"/>
        <v>0.20351229434211079</v>
      </c>
      <c r="BQ125" s="4">
        <f t="shared" si="205"/>
        <v>967.5501833586693</v>
      </c>
      <c r="BR125" s="6">
        <f t="shared" si="160"/>
        <v>5.4351003667173392E-6</v>
      </c>
      <c r="BS125" s="8">
        <f t="shared" si="161"/>
        <v>27.015827108624698</v>
      </c>
      <c r="BT125" s="7">
        <f t="shared" si="162"/>
        <v>1.3602390608796993E-2</v>
      </c>
      <c r="BU125" s="9">
        <f t="shared" si="163"/>
        <v>0.20416272941868058</v>
      </c>
      <c r="BV125" s="4">
        <f t="shared" si="206"/>
        <v>959.38196594886529</v>
      </c>
      <c r="BW125" s="6">
        <f t="shared" si="164"/>
        <v>5.4187639318977315E-6</v>
      </c>
      <c r="BX125" s="8">
        <f t="shared" si="165"/>
        <v>26.921892608411952</v>
      </c>
      <c r="BY125" s="7">
        <f t="shared" si="166"/>
        <v>1.3561505518811863E-2</v>
      </c>
      <c r="BZ125" s="9">
        <f t="shared" si="167"/>
        <v>0.20487508364388174</v>
      </c>
      <c r="CA125" s="4">
        <f t="shared" si="207"/>
        <v>950.31312721802828</v>
      </c>
      <c r="CB125" s="6">
        <f t="shared" si="168"/>
        <v>5.400626254436057E-6</v>
      </c>
      <c r="CC125" s="8">
        <f t="shared" si="169"/>
        <v>26.817600963007322</v>
      </c>
      <c r="CD125" s="7">
        <f t="shared" si="170"/>
        <v>1.3516112470491932E-2</v>
      </c>
      <c r="CE125" s="9">
        <f t="shared" si="171"/>
        <v>0.20567182752880661</v>
      </c>
      <c r="CF125" s="4">
        <f t="shared" si="208"/>
        <v>939.35501072405737</v>
      </c>
      <c r="CG125" s="6">
        <f t="shared" si="172"/>
        <v>5.3787100214481148E-6</v>
      </c>
      <c r="CH125" s="8">
        <f t="shared" si="173"/>
        <v>26.69158262332666</v>
      </c>
      <c r="CI125" s="7">
        <f t="shared" si="174"/>
        <v>1.34612628556438E-2</v>
      </c>
      <c r="CJ125" s="9">
        <f t="shared" si="175"/>
        <v>0.20664286107859758</v>
      </c>
      <c r="CK125" s="4">
        <f t="shared" si="209"/>
        <v>923.15454300483407</v>
      </c>
      <c r="CL125" s="6">
        <f t="shared" si="176"/>
        <v>5.346309086009669E-6</v>
      </c>
      <c r="CM125" s="8">
        <f t="shared" si="177"/>
        <v>26.505277244555593</v>
      </c>
      <c r="CN125" s="7">
        <f t="shared" si="178"/>
        <v>1.3380173243642697E-2</v>
      </c>
      <c r="CO125" s="9">
        <f t="shared" si="179"/>
        <v>0.2080953520730652</v>
      </c>
      <c r="CP125" s="4">
        <f t="shared" si="210"/>
        <v>892.7505915422737</v>
      </c>
      <c r="CQ125" s="6">
        <f t="shared" si="180"/>
        <v>5.2855011830845485E-6</v>
      </c>
      <c r="CR125" s="8">
        <f t="shared" si="181"/>
        <v>26.155631802736146</v>
      </c>
      <c r="CS125" s="7">
        <f t="shared" si="182"/>
        <v>1.32279896974557E-2</v>
      </c>
      <c r="CT125" s="9">
        <f t="shared" si="183"/>
        <v>0.21087714652042966</v>
      </c>
      <c r="CU125" s="4">
        <f t="shared" si="211"/>
        <v>830.71370250404573</v>
      </c>
      <c r="CV125" s="6">
        <f t="shared" si="184"/>
        <v>5.1614274050080922E-6</v>
      </c>
      <c r="CW125" s="8">
        <f t="shared" si="185"/>
        <v>25.442207578796527</v>
      </c>
      <c r="CX125" s="7">
        <f t="shared" si="186"/>
        <v>1.291747105385529E-2</v>
      </c>
      <c r="CY125" s="9">
        <f t="shared" si="187"/>
        <v>0.21679034662843913</v>
      </c>
      <c r="CZ125" s="5">
        <f t="shared" si="212"/>
        <v>716.4606410612671</v>
      </c>
      <c r="DA125" s="6">
        <f t="shared" si="188"/>
        <v>4.9329212821225349E-6</v>
      </c>
      <c r="DB125" s="8">
        <f t="shared" si="189"/>
        <v>24.128297372204571</v>
      </c>
      <c r="DC125" s="7">
        <f t="shared" si="190"/>
        <v>1.2345590254923806E-2</v>
      </c>
      <c r="DD125" s="9">
        <f t="shared" si="191"/>
        <v>0.22859569885581382</v>
      </c>
    </row>
    <row r="126" spans="2:108" x14ac:dyDescent="0.25">
      <c r="B126">
        <v>107</v>
      </c>
      <c r="C126">
        <f t="shared" si="192"/>
        <v>0.10460476929894191</v>
      </c>
      <c r="D126" s="4">
        <f t="shared" si="109"/>
        <v>1018.2526354485444</v>
      </c>
      <c r="E126" s="6">
        <f t="shared" si="110"/>
        <v>5.5365052708970893E-6</v>
      </c>
      <c r="F126" s="8">
        <f t="shared" si="111"/>
        <v>27.59890530765826</v>
      </c>
      <c r="G126" s="7">
        <f t="shared" si="107"/>
        <v>1.3856176008004567E-2</v>
      </c>
      <c r="H126" s="9">
        <f t="shared" si="112"/>
        <v>0.19984941208771426</v>
      </c>
      <c r="I126" s="4">
        <f t="shared" si="193"/>
        <v>1017.9283079493998</v>
      </c>
      <c r="J126" s="6">
        <f t="shared" si="113"/>
        <v>5.5358566158987999E-6</v>
      </c>
      <c r="K126" s="8">
        <f t="shared" si="114"/>
        <v>27.595175541418097</v>
      </c>
      <c r="L126" s="7">
        <f t="shared" si="115"/>
        <v>1.3854552623326868E-2</v>
      </c>
      <c r="M126" s="9">
        <f t="shared" si="116"/>
        <v>0.19987642375101033</v>
      </c>
      <c r="N126" s="4">
        <f t="shared" si="194"/>
        <v>1017.0229710139259</v>
      </c>
      <c r="O126" s="6">
        <f t="shared" si="117"/>
        <v>5.5340459420278529E-6</v>
      </c>
      <c r="P126" s="8">
        <f t="shared" si="118"/>
        <v>27.584764166660147</v>
      </c>
      <c r="Q126" s="7">
        <f t="shared" si="108"/>
        <v>1.3856176008004567E-2</v>
      </c>
      <c r="R126" s="9">
        <f t="shared" si="119"/>
        <v>0.19995186352422639</v>
      </c>
      <c r="S126" s="4">
        <f t="shared" si="195"/>
        <v>1015.5217862335884</v>
      </c>
      <c r="T126" s="6">
        <f t="shared" si="120"/>
        <v>5.5310435724671769E-6</v>
      </c>
      <c r="U126" s="8">
        <f t="shared" si="121"/>
        <v>27.567500541686265</v>
      </c>
      <c r="V126" s="7">
        <f t="shared" si="122"/>
        <v>1.3842507050594678E-2</v>
      </c>
      <c r="W126" s="9">
        <f t="shared" si="123"/>
        <v>0.20007707959085858</v>
      </c>
      <c r="X126" s="4">
        <f t="shared" si="196"/>
        <v>1013.422551091369</v>
      </c>
      <c r="Y126" s="6">
        <f t="shared" si="124"/>
        <v>5.5268451021827386E-6</v>
      </c>
      <c r="Z126" s="8">
        <f t="shared" si="125"/>
        <v>27.54335933755074</v>
      </c>
      <c r="AA126" s="7">
        <f t="shared" si="126"/>
        <v>1.3831999566111398E-2</v>
      </c>
      <c r="AB126" s="9">
        <f t="shared" si="127"/>
        <v>0.20025244315352531</v>
      </c>
      <c r="AC126" s="4">
        <f t="shared" si="197"/>
        <v>1010.723898760682</v>
      </c>
      <c r="AD126" s="6">
        <f t="shared" si="128"/>
        <v>5.5214477975213647E-6</v>
      </c>
      <c r="AE126" s="8">
        <f t="shared" si="129"/>
        <v>27.51232483574784</v>
      </c>
      <c r="AF126" s="7">
        <f t="shared" si="130"/>
        <v>1.3818491766570424E-2</v>
      </c>
      <c r="AG126" s="9">
        <f t="shared" si="131"/>
        <v>0.20047833227213618</v>
      </c>
      <c r="AH126" s="4">
        <f t="shared" si="198"/>
        <v>1007.4256511047214</v>
      </c>
      <c r="AI126" s="6">
        <f t="shared" si="132"/>
        <v>5.5148513022094434E-6</v>
      </c>
      <c r="AJ126" s="8">
        <f t="shared" si="133"/>
        <v>27.474394987704294</v>
      </c>
      <c r="AK126" s="7">
        <f t="shared" si="134"/>
        <v>1.380198276032809E-2</v>
      </c>
      <c r="AL126" s="9">
        <f t="shared" si="135"/>
        <v>0.20075510315944814</v>
      </c>
      <c r="AM126" s="4">
        <f t="shared" si="199"/>
        <v>1003.527782185635</v>
      </c>
      <c r="AN126" s="6">
        <f t="shared" si="136"/>
        <v>5.5070555643712701E-6</v>
      </c>
      <c r="AO126" s="8">
        <f t="shared" si="137"/>
        <v>27.4295694951348</v>
      </c>
      <c r="AP126" s="7">
        <f t="shared" si="138"/>
        <v>1.3782472417555404E-2</v>
      </c>
      <c r="AQ126" s="9">
        <f t="shared" si="139"/>
        <v>0.20108317780847088</v>
      </c>
      <c r="AR126" s="4">
        <f t="shared" si="200"/>
        <v>999.03029333976383</v>
      </c>
      <c r="AS126" s="6">
        <f t="shared" si="140"/>
        <v>5.4980605866795287E-6</v>
      </c>
      <c r="AT126" s="8">
        <f t="shared" si="141"/>
        <v>27.377848373407282</v>
      </c>
      <c r="AU126" s="7">
        <f t="shared" si="142"/>
        <v>1.3759960744941272E-2</v>
      </c>
      <c r="AV126" s="9">
        <f t="shared" si="143"/>
        <v>0.20146305599958872</v>
      </c>
      <c r="AW126" s="4">
        <f t="shared" si="201"/>
        <v>993.93318382102098</v>
      </c>
      <c r="AX126" s="6">
        <f t="shared" si="144"/>
        <v>5.4878663676420426E-6</v>
      </c>
      <c r="AY126" s="8">
        <f t="shared" si="145"/>
        <v>27.319231613941739</v>
      </c>
      <c r="AZ126" s="7">
        <f t="shared" si="146"/>
        <v>1.3734447738751238E-2</v>
      </c>
      <c r="BA126" s="9">
        <f t="shared" si="147"/>
        <v>0.20189531967602004</v>
      </c>
      <c r="BB126" s="4">
        <f t="shared" si="202"/>
        <v>988.23642627644404</v>
      </c>
      <c r="BC126" s="6">
        <f t="shared" si="148"/>
        <v>5.4764728525528882E-6</v>
      </c>
      <c r="BD126" s="8">
        <f t="shared" si="149"/>
        <v>27.253718902179106</v>
      </c>
      <c r="BE126" s="7">
        <f t="shared" si="150"/>
        <v>1.3705933262073138E-2</v>
      </c>
      <c r="BF126" s="9">
        <f t="shared" si="151"/>
        <v>0.20238063729199876</v>
      </c>
      <c r="BG126" s="4">
        <f t="shared" si="203"/>
        <v>981.93980247376874</v>
      </c>
      <c r="BH126" s="6">
        <f t="shared" si="152"/>
        <v>5.4638796049475381E-6</v>
      </c>
      <c r="BI126" s="8">
        <f t="shared" si="153"/>
        <v>27.181307728448338</v>
      </c>
      <c r="BJ126" s="7">
        <f t="shared" si="154"/>
        <v>1.3674416222570015E-2</v>
      </c>
      <c r="BK126" s="9">
        <f t="shared" si="155"/>
        <v>0.20291978057506296</v>
      </c>
      <c r="BL126" s="4">
        <f t="shared" si="204"/>
        <v>975.04179414525117</v>
      </c>
      <c r="BM126" s="6">
        <f t="shared" si="156"/>
        <v>5.4500835882905025E-6</v>
      </c>
      <c r="BN126" s="8">
        <f t="shared" si="157"/>
        <v>27.10198063267039</v>
      </c>
      <c r="BO126" s="7">
        <f t="shared" si="158"/>
        <v>1.3639889020724095E-2</v>
      </c>
      <c r="BP126" s="9">
        <f t="shared" si="159"/>
        <v>0.20351372376641461</v>
      </c>
      <c r="BQ126" s="4">
        <f t="shared" si="205"/>
        <v>967.53295629515742</v>
      </c>
      <c r="BR126" s="6">
        <f t="shared" si="160"/>
        <v>5.4350659125903149E-6</v>
      </c>
      <c r="BS126" s="8">
        <f t="shared" si="161"/>
        <v>27.015628997394309</v>
      </c>
      <c r="BT126" s="7">
        <f t="shared" si="162"/>
        <v>1.360230438067566E-2</v>
      </c>
      <c r="BU126" s="9">
        <f t="shared" si="163"/>
        <v>0.20416422658646921</v>
      </c>
      <c r="BV126" s="4">
        <f t="shared" si="206"/>
        <v>959.36134172051584</v>
      </c>
      <c r="BW126" s="6">
        <f t="shared" si="164"/>
        <v>5.418722683441032E-6</v>
      </c>
      <c r="BX126" s="8">
        <f t="shared" si="165"/>
        <v>26.921655429785929</v>
      </c>
      <c r="BY126" s="7">
        <f t="shared" si="166"/>
        <v>1.3561402286565502E-2</v>
      </c>
      <c r="BZ126" s="9">
        <f t="shared" si="167"/>
        <v>0.2048768885845538</v>
      </c>
      <c r="CA126" s="4">
        <f t="shared" si="207"/>
        <v>950.27845284237208</v>
      </c>
      <c r="CB126" s="6">
        <f t="shared" si="168"/>
        <v>5.4005569056847443E-6</v>
      </c>
      <c r="CC126" s="8">
        <f t="shared" si="169"/>
        <v>26.817202207687281</v>
      </c>
      <c r="CD126" s="7">
        <f t="shared" si="170"/>
        <v>1.3515938911819609E-2</v>
      </c>
      <c r="CE126" s="9">
        <f t="shared" si="171"/>
        <v>0.20567488574251491</v>
      </c>
      <c r="CF126" s="4">
        <f t="shared" si="208"/>
        <v>939.27268436998145</v>
      </c>
      <c r="CG126" s="6">
        <f t="shared" si="172"/>
        <v>5.3785453687399634E-6</v>
      </c>
      <c r="CH126" s="8">
        <f t="shared" si="173"/>
        <v>26.690635870254788</v>
      </c>
      <c r="CI126" s="7">
        <f t="shared" si="174"/>
        <v>1.3460850780373804E-2</v>
      </c>
      <c r="CJ126" s="9">
        <f t="shared" si="175"/>
        <v>0.20665019098128171</v>
      </c>
      <c r="CK126" s="4">
        <f t="shared" si="209"/>
        <v>922.94490099630025</v>
      </c>
      <c r="CL126" s="6">
        <f t="shared" si="176"/>
        <v>5.3458898019926012E-6</v>
      </c>
      <c r="CM126" s="8">
        <f t="shared" si="177"/>
        <v>26.50286636145745</v>
      </c>
      <c r="CN126" s="7">
        <f t="shared" si="178"/>
        <v>1.3379123904239306E-2</v>
      </c>
      <c r="CO126" s="9">
        <f t="shared" si="179"/>
        <v>0.2081142818582542</v>
      </c>
      <c r="CP126" s="4">
        <f t="shared" si="210"/>
        <v>892.29301562158071</v>
      </c>
      <c r="CQ126" s="6">
        <f t="shared" si="180"/>
        <v>5.284586031243162E-6</v>
      </c>
      <c r="CR126" s="8">
        <f t="shared" si="181"/>
        <v>26.150369679648179</v>
      </c>
      <c r="CS126" s="7">
        <f t="shared" si="182"/>
        <v>1.3225699352848796E-2</v>
      </c>
      <c r="CT126" s="9">
        <f t="shared" si="183"/>
        <v>0.21091958039478875</v>
      </c>
      <c r="CU126" s="4">
        <f t="shared" si="211"/>
        <v>829.96175032004578</v>
      </c>
      <c r="CV126" s="6">
        <f t="shared" si="184"/>
        <v>5.1599235006400923E-6</v>
      </c>
      <c r="CW126" s="8">
        <f t="shared" si="185"/>
        <v>25.433560128680526</v>
      </c>
      <c r="CX126" s="7">
        <f t="shared" si="186"/>
        <v>1.291370724209993E-2</v>
      </c>
      <c r="CY126" s="9">
        <f t="shared" si="187"/>
        <v>0.21686405568445075</v>
      </c>
      <c r="CZ126" s="5">
        <f t="shared" si="212"/>
        <v>715.63542744148208</v>
      </c>
      <c r="DA126" s="6">
        <f t="shared" si="188"/>
        <v>4.9312708548829641E-6</v>
      </c>
      <c r="DB126" s="8">
        <f t="shared" si="189"/>
        <v>24.118807415577045</v>
      </c>
      <c r="DC126" s="7">
        <f t="shared" si="190"/>
        <v>1.2341459741323446E-2</v>
      </c>
      <c r="DD126" s="9">
        <f t="shared" si="191"/>
        <v>0.22868564373700143</v>
      </c>
    </row>
    <row r="127" spans="2:108" x14ac:dyDescent="0.25">
      <c r="B127">
        <v>108</v>
      </c>
      <c r="C127">
        <f t="shared" si="192"/>
        <v>0.10558238396528716</v>
      </c>
      <c r="D127" s="4">
        <f t="shared" si="109"/>
        <v>1018.2360769248319</v>
      </c>
      <c r="E127" s="6">
        <f t="shared" si="110"/>
        <v>5.5364721538496642E-6</v>
      </c>
      <c r="F127" s="8">
        <f t="shared" si="111"/>
        <v>27.598714884635566</v>
      </c>
      <c r="G127" s="7">
        <f t="shared" si="107"/>
        <v>1.385609312618372E-2</v>
      </c>
      <c r="H127" s="9">
        <f t="shared" si="112"/>
        <v>0.199850790989931</v>
      </c>
      <c r="I127" s="4">
        <f t="shared" si="193"/>
        <v>1017.9117382560828</v>
      </c>
      <c r="J127" s="6">
        <f t="shared" si="113"/>
        <v>5.5358234765121657E-6</v>
      </c>
      <c r="K127" s="8">
        <f t="shared" si="114"/>
        <v>27.594984989944951</v>
      </c>
      <c r="L127" s="7">
        <f t="shared" si="115"/>
        <v>1.3854469685597826E-2</v>
      </c>
      <c r="M127" s="9">
        <f t="shared" si="116"/>
        <v>0.19987780395639937</v>
      </c>
      <c r="N127" s="4">
        <f t="shared" si="194"/>
        <v>1017.0063805874822</v>
      </c>
      <c r="O127" s="6">
        <f t="shared" si="117"/>
        <v>5.5340127611749656E-6</v>
      </c>
      <c r="P127" s="8">
        <f t="shared" si="118"/>
        <v>27.584573376756044</v>
      </c>
      <c r="Q127" s="7">
        <f t="shared" si="108"/>
        <v>1.385609312618372E-2</v>
      </c>
      <c r="R127" s="9">
        <f t="shared" si="119"/>
        <v>0.19995324650000584</v>
      </c>
      <c r="S127" s="4">
        <f t="shared" si="195"/>
        <v>1015.5051849664566</v>
      </c>
      <c r="T127" s="6">
        <f t="shared" si="120"/>
        <v>5.5310103699329135E-6</v>
      </c>
      <c r="U127" s="8">
        <f t="shared" si="121"/>
        <v>27.567309627114248</v>
      </c>
      <c r="V127" s="7">
        <f t="shared" si="122"/>
        <v>1.3842423954826473E-2</v>
      </c>
      <c r="W127" s="9">
        <f t="shared" si="123"/>
        <v>0.20007846520412798</v>
      </c>
      <c r="X127" s="4">
        <f t="shared" si="196"/>
        <v>1013.4059519054595</v>
      </c>
      <c r="Y127" s="6">
        <f t="shared" si="124"/>
        <v>5.5268119038109195E-6</v>
      </c>
      <c r="Z127" s="8">
        <f t="shared" si="125"/>
        <v>27.543168446912784</v>
      </c>
      <c r="AA127" s="7">
        <f t="shared" si="126"/>
        <v>1.3831916480760513E-2</v>
      </c>
      <c r="AB127" s="9">
        <f t="shared" si="127"/>
        <v>0.20025383102277861</v>
      </c>
      <c r="AC127" s="4">
        <f t="shared" si="197"/>
        <v>1010.7073103462446</v>
      </c>
      <c r="AD127" s="6">
        <f t="shared" si="128"/>
        <v>5.5214146206924895E-6</v>
      </c>
      <c r="AE127" s="8">
        <f t="shared" si="129"/>
        <v>27.512134068981812</v>
      </c>
      <c r="AF127" s="7">
        <f t="shared" si="130"/>
        <v>1.3818408735134926E-2</v>
      </c>
      <c r="AG127" s="9">
        <f t="shared" si="131"/>
        <v>0.20047972237161049</v>
      </c>
      <c r="AH127" s="4">
        <f t="shared" si="198"/>
        <v>1007.4090787196762</v>
      </c>
      <c r="AI127" s="6">
        <f t="shared" si="132"/>
        <v>5.5148181574393533E-6</v>
      </c>
      <c r="AJ127" s="8">
        <f t="shared" si="133"/>
        <v>27.474204405276275</v>
      </c>
      <c r="AK127" s="7">
        <f t="shared" si="134"/>
        <v>1.3801899809125906E-2</v>
      </c>
      <c r="AL127" s="9">
        <f t="shared" si="135"/>
        <v>0.20075649575282165</v>
      </c>
      <c r="AM127" s="4">
        <f t="shared" si="199"/>
        <v>1003.5112297281439</v>
      </c>
      <c r="AN127" s="6">
        <f t="shared" si="136"/>
        <v>5.5070224594562884E-6</v>
      </c>
      <c r="AO127" s="8">
        <f t="shared" si="137"/>
        <v>27.429379141873653</v>
      </c>
      <c r="AP127" s="7">
        <f t="shared" si="138"/>
        <v>1.3782389566098343E-2</v>
      </c>
      <c r="AQ127" s="9">
        <f t="shared" si="139"/>
        <v>0.20108457327712001</v>
      </c>
      <c r="AR127" s="4">
        <f t="shared" si="200"/>
        <v>999.01376435328393</v>
      </c>
      <c r="AS127" s="6">
        <f t="shared" si="140"/>
        <v>5.4980275287065682E-6</v>
      </c>
      <c r="AT127" s="8">
        <f t="shared" si="141"/>
        <v>27.377658290062765</v>
      </c>
      <c r="AU127" s="7">
        <f t="shared" si="142"/>
        <v>1.3759878010965705E-2</v>
      </c>
      <c r="AV127" s="9">
        <f t="shared" si="143"/>
        <v>0.2014644547595219</v>
      </c>
      <c r="AW127" s="4">
        <f t="shared" si="201"/>
        <v>993.91668149877717</v>
      </c>
      <c r="AX127" s="6">
        <f t="shared" si="144"/>
        <v>5.4878333629975548E-6</v>
      </c>
      <c r="AY127" s="8">
        <f t="shared" si="145"/>
        <v>27.319041837235936</v>
      </c>
      <c r="AZ127" s="7">
        <f t="shared" si="146"/>
        <v>1.3734365138240496E-2</v>
      </c>
      <c r="BA127" s="9">
        <f t="shared" si="147"/>
        <v>0.20189672217867416</v>
      </c>
      <c r="BB127" s="4">
        <f t="shared" si="202"/>
        <v>988.21995142028788</v>
      </c>
      <c r="BC127" s="6">
        <f t="shared" si="148"/>
        <v>5.4764399028405759E-6</v>
      </c>
      <c r="BD127" s="8">
        <f t="shared" si="149"/>
        <v>27.25352944133331</v>
      </c>
      <c r="BE127" s="7">
        <f t="shared" si="150"/>
        <v>1.3705850799040796E-2</v>
      </c>
      <c r="BF127" s="9">
        <f t="shared" si="151"/>
        <v>0.20238204419992958</v>
      </c>
      <c r="BG127" s="4">
        <f t="shared" si="203"/>
        <v>981.92333982085108</v>
      </c>
      <c r="BH127" s="6">
        <f t="shared" si="152"/>
        <v>5.4638466796417025E-6</v>
      </c>
      <c r="BI127" s="8">
        <f t="shared" si="153"/>
        <v>27.181118407939785</v>
      </c>
      <c r="BJ127" s="7">
        <f t="shared" si="154"/>
        <v>1.3674333820619604E-2</v>
      </c>
      <c r="BK127" s="9">
        <f t="shared" si="155"/>
        <v>0.2029211939413372</v>
      </c>
      <c r="BL127" s="4">
        <f t="shared" si="204"/>
        <v>975.02523295746778</v>
      </c>
      <c r="BM127" s="6">
        <f t="shared" si="156"/>
        <v>5.4500504659149369E-6</v>
      </c>
      <c r="BN127" s="8">
        <f t="shared" si="157"/>
        <v>27.101790179010877</v>
      </c>
      <c r="BO127" s="7">
        <f t="shared" si="158"/>
        <v>1.3639806125568546E-2</v>
      </c>
      <c r="BP127" s="9">
        <f t="shared" si="159"/>
        <v>0.20351515392778757</v>
      </c>
      <c r="BQ127" s="4">
        <f t="shared" si="205"/>
        <v>967.51569005947488</v>
      </c>
      <c r="BR127" s="6">
        <f t="shared" si="160"/>
        <v>5.4350313801189501E-6</v>
      </c>
      <c r="BS127" s="8">
        <f t="shared" si="161"/>
        <v>27.01543043568396</v>
      </c>
      <c r="BT127" s="7">
        <f t="shared" si="162"/>
        <v>1.3602217956482454E-2</v>
      </c>
      <c r="BU127" s="9">
        <f t="shared" si="163"/>
        <v>0.20416572718066184</v>
      </c>
      <c r="BV127" s="4">
        <f t="shared" si="206"/>
        <v>959.34056424322523</v>
      </c>
      <c r="BW127" s="6">
        <f t="shared" si="164"/>
        <v>5.4186811284864506E-6</v>
      </c>
      <c r="BX127" s="8">
        <f t="shared" si="165"/>
        <v>26.921416488797089</v>
      </c>
      <c r="BY127" s="7">
        <f t="shared" si="166"/>
        <v>1.3561298287248875E-2</v>
      </c>
      <c r="BZ127" s="9">
        <f t="shared" si="167"/>
        <v>0.20487870696904964</v>
      </c>
      <c r="CA127" s="4">
        <f t="shared" si="207"/>
        <v>950.24329515613999</v>
      </c>
      <c r="CB127" s="6">
        <f t="shared" si="168"/>
        <v>5.4004865903122808E-6</v>
      </c>
      <c r="CC127" s="8">
        <f t="shared" si="169"/>
        <v>26.816797894295611</v>
      </c>
      <c r="CD127" s="7">
        <f t="shared" si="170"/>
        <v>1.3515762933990772E-2</v>
      </c>
      <c r="CE127" s="9">
        <f t="shared" si="171"/>
        <v>0.20567798667615222</v>
      </c>
      <c r="CF127" s="4">
        <f t="shared" si="208"/>
        <v>939.1892084717789</v>
      </c>
      <c r="CG127" s="6">
        <f t="shared" si="172"/>
        <v>5.378378416943558E-6</v>
      </c>
      <c r="CH127" s="8">
        <f t="shared" si="173"/>
        <v>26.689675897425456</v>
      </c>
      <c r="CI127" s="7">
        <f t="shared" si="174"/>
        <v>1.3460432951190471E-2</v>
      </c>
      <c r="CJ127" s="9">
        <f t="shared" si="175"/>
        <v>0.20665762376425295</v>
      </c>
      <c r="CK127" s="4">
        <f t="shared" si="209"/>
        <v>922.73349336169224</v>
      </c>
      <c r="CL127" s="6">
        <f t="shared" si="176"/>
        <v>5.345466986723385E-6</v>
      </c>
      <c r="CM127" s="8">
        <f t="shared" si="177"/>
        <v>26.500435173659461</v>
      </c>
      <c r="CN127" s="7">
        <f t="shared" si="178"/>
        <v>1.3378065727193954E-2</v>
      </c>
      <c r="CO127" s="9">
        <f t="shared" si="179"/>
        <v>0.2081333745599146</v>
      </c>
      <c r="CP127" s="4">
        <f t="shared" si="210"/>
        <v>891.83465305302116</v>
      </c>
      <c r="CQ127" s="6">
        <f t="shared" si="180"/>
        <v>5.2836693061060428E-6</v>
      </c>
      <c r="CR127" s="8">
        <f t="shared" si="181"/>
        <v>26.14509851010974</v>
      </c>
      <c r="CS127" s="7">
        <f t="shared" si="182"/>
        <v>1.3223405070764811E-2</v>
      </c>
      <c r="CT127" s="9">
        <f t="shared" si="183"/>
        <v>0.21096210434499713</v>
      </c>
      <c r="CU127" s="4">
        <f t="shared" si="211"/>
        <v>829.2127245370973</v>
      </c>
      <c r="CV127" s="6">
        <f t="shared" si="184"/>
        <v>5.1584254490741949E-6</v>
      </c>
      <c r="CW127" s="8">
        <f t="shared" si="185"/>
        <v>25.424946332176617</v>
      </c>
      <c r="CX127" s="7">
        <f t="shared" si="186"/>
        <v>1.2909958078114618E-2</v>
      </c>
      <c r="CY127" s="9">
        <f t="shared" si="187"/>
        <v>0.21693752773116709</v>
      </c>
      <c r="CZ127" s="5">
        <f t="shared" si="212"/>
        <v>714.81557278815069</v>
      </c>
      <c r="DA127" s="6">
        <f t="shared" si="188"/>
        <v>4.9296311455763017E-6</v>
      </c>
      <c r="DB127" s="8">
        <f t="shared" si="189"/>
        <v>24.109379087063733</v>
      </c>
      <c r="DC127" s="7">
        <f t="shared" si="190"/>
        <v>1.2337356051424603E-2</v>
      </c>
      <c r="DD127" s="9">
        <f t="shared" si="191"/>
        <v>0.22877507463307073</v>
      </c>
    </row>
    <row r="128" spans="2:108" x14ac:dyDescent="0.25">
      <c r="B128">
        <v>109</v>
      </c>
      <c r="C128">
        <f t="shared" si="192"/>
        <v>0.1065599986316324</v>
      </c>
      <c r="D128" s="4">
        <f t="shared" si="109"/>
        <v>1018.2195178308558</v>
      </c>
      <c r="E128" s="6">
        <f t="shared" si="110"/>
        <v>5.5364390356617126E-6</v>
      </c>
      <c r="F128" s="8">
        <f t="shared" si="111"/>
        <v>27.598524455054843</v>
      </c>
      <c r="G128" s="7">
        <f t="shared" si="107"/>
        <v>1.3856010241508484E-2</v>
      </c>
      <c r="H128" s="9">
        <f t="shared" si="112"/>
        <v>0.19985216995866525</v>
      </c>
      <c r="I128" s="4">
        <f t="shared" si="193"/>
        <v>1017.8951683083482</v>
      </c>
      <c r="J128" s="6">
        <f t="shared" si="113"/>
        <v>5.5357903366166968E-6</v>
      </c>
      <c r="K128" s="8">
        <f t="shared" si="114"/>
        <v>27.594794435546003</v>
      </c>
      <c r="L128" s="7">
        <f t="shared" si="115"/>
        <v>1.3854386746595325E-2</v>
      </c>
      <c r="M128" s="9">
        <f t="shared" si="116"/>
        <v>0.19987918420204262</v>
      </c>
      <c r="N128" s="4">
        <f t="shared" si="194"/>
        <v>1016.9897902880508</v>
      </c>
      <c r="O128" s="6">
        <f t="shared" si="117"/>
        <v>5.5339795805761026E-6</v>
      </c>
      <c r="P128" s="8">
        <f t="shared" si="118"/>
        <v>27.584382588312586</v>
      </c>
      <c r="Q128" s="7">
        <f t="shared" si="108"/>
        <v>1.3856010241508484E-2</v>
      </c>
      <c r="R128" s="9">
        <f t="shared" si="119"/>
        <v>0.19995462948432829</v>
      </c>
      <c r="S128" s="4">
        <f t="shared" si="195"/>
        <v>1015.4885839574482</v>
      </c>
      <c r="T128" s="6">
        <f t="shared" si="120"/>
        <v>5.5309771679148963E-6</v>
      </c>
      <c r="U128" s="8">
        <f t="shared" si="121"/>
        <v>27.567118715510652</v>
      </c>
      <c r="V128" s="7">
        <f t="shared" si="122"/>
        <v>1.3842340860350274E-2</v>
      </c>
      <c r="W128" s="9">
        <f t="shared" si="123"/>
        <v>0.20007985081504479</v>
      </c>
      <c r="X128" s="4">
        <f t="shared" si="196"/>
        <v>1013.3893529617253</v>
      </c>
      <c r="Y128" s="6">
        <f t="shared" si="124"/>
        <v>5.5267787059234509E-6</v>
      </c>
      <c r="Z128" s="8">
        <f t="shared" si="125"/>
        <v>27.542977559059842</v>
      </c>
      <c r="AA128" s="7">
        <f t="shared" si="126"/>
        <v>1.383183339662181E-2</v>
      </c>
      <c r="AB128" s="9">
        <f t="shared" si="127"/>
        <v>0.20025521889102071</v>
      </c>
      <c r="AC128" s="4">
        <f t="shared" si="197"/>
        <v>1010.6907221412461</v>
      </c>
      <c r="AD128" s="6">
        <f t="shared" si="128"/>
        <v>5.5213814442824933E-6</v>
      </c>
      <c r="AE128" s="8">
        <f t="shared" si="129"/>
        <v>27.511943304624328</v>
      </c>
      <c r="AF128" s="7">
        <f t="shared" si="130"/>
        <v>1.3818325704747754E-2</v>
      </c>
      <c r="AG128" s="9">
        <f t="shared" si="131"/>
        <v>0.20048111247281139</v>
      </c>
      <c r="AH128" s="4">
        <f t="shared" si="198"/>
        <v>1007.3925065294808</v>
      </c>
      <c r="AI128" s="6">
        <f t="shared" si="132"/>
        <v>5.5147850130589618E-6</v>
      </c>
      <c r="AJ128" s="8">
        <f t="shared" si="133"/>
        <v>27.474013825089028</v>
      </c>
      <c r="AK128" s="7">
        <f t="shared" si="134"/>
        <v>1.3801816858899021E-2</v>
      </c>
      <c r="AL128" s="9">
        <f t="shared" si="135"/>
        <v>0.20075788834914177</v>
      </c>
      <c r="AM128" s="4">
        <f t="shared" si="199"/>
        <v>1003.4946774618244</v>
      </c>
      <c r="AN128" s="6">
        <f t="shared" si="136"/>
        <v>5.5069893549236489E-6</v>
      </c>
      <c r="AO128" s="8">
        <f t="shared" si="137"/>
        <v>27.429188790810979</v>
      </c>
      <c r="AP128" s="7">
        <f t="shared" si="138"/>
        <v>1.3782306715598167E-2</v>
      </c>
      <c r="AQ128" s="9">
        <f t="shared" si="139"/>
        <v>0.20108596874902049</v>
      </c>
      <c r="AR128" s="4">
        <f t="shared" si="200"/>
        <v>998.99723555336152</v>
      </c>
      <c r="AS128" s="6">
        <f t="shared" si="140"/>
        <v>5.4979944711067233E-6</v>
      </c>
      <c r="AT128" s="8">
        <f t="shared" si="141"/>
        <v>27.377468208863657</v>
      </c>
      <c r="AU128" s="7">
        <f t="shared" si="142"/>
        <v>1.3759795277923934E-2</v>
      </c>
      <c r="AV128" s="9">
        <f t="shared" si="143"/>
        <v>0.20146585352309077</v>
      </c>
      <c r="AW128" s="4">
        <f t="shared" si="201"/>
        <v>993.90017932816806</v>
      </c>
      <c r="AX128" s="6">
        <f t="shared" si="144"/>
        <v>5.4878003586563362E-6</v>
      </c>
      <c r="AY128" s="8">
        <f t="shared" si="145"/>
        <v>27.318852062273933</v>
      </c>
      <c r="AZ128" s="7">
        <f t="shared" si="146"/>
        <v>1.3734282538488744E-2</v>
      </c>
      <c r="BA128" s="9">
        <f t="shared" si="147"/>
        <v>0.20189812468792648</v>
      </c>
      <c r="BB128" s="4">
        <f t="shared" si="202"/>
        <v>988.20347648083032</v>
      </c>
      <c r="BC128" s="6">
        <f t="shared" si="148"/>
        <v>5.4764069529616615E-6</v>
      </c>
      <c r="BD128" s="8">
        <f t="shared" si="149"/>
        <v>27.253339979529549</v>
      </c>
      <c r="BE128" s="7">
        <f t="shared" si="150"/>
        <v>1.3705768335591501E-2</v>
      </c>
      <c r="BF128" s="9">
        <f t="shared" si="151"/>
        <v>0.20238345113453546</v>
      </c>
      <c r="BG128" s="4">
        <f t="shared" si="203"/>
        <v>981.90687569544912</v>
      </c>
      <c r="BH128" s="6">
        <f t="shared" si="152"/>
        <v>5.4638137513908986E-6</v>
      </c>
      <c r="BI128" s="8">
        <f t="shared" si="153"/>
        <v>27.180929070497662</v>
      </c>
      <c r="BJ128" s="7">
        <f t="shared" si="154"/>
        <v>1.3674251411298841E-2</v>
      </c>
      <c r="BK128" s="9">
        <f t="shared" si="155"/>
        <v>0.20292260745371987</v>
      </c>
      <c r="BL128" s="4">
        <f t="shared" si="204"/>
        <v>975.00866311803009</v>
      </c>
      <c r="BM128" s="6">
        <f t="shared" si="156"/>
        <v>5.4500173262360603E-6</v>
      </c>
      <c r="BN128" s="8">
        <f t="shared" si="157"/>
        <v>27.101599625857347</v>
      </c>
      <c r="BO128" s="7">
        <f t="shared" si="158"/>
        <v>1.3639723187108108E-2</v>
      </c>
      <c r="BP128" s="9">
        <f t="shared" si="159"/>
        <v>0.20351658485640092</v>
      </c>
      <c r="BQ128" s="4">
        <f t="shared" si="205"/>
        <v>967.49838344119087</v>
      </c>
      <c r="BR128" s="6">
        <f t="shared" si="160"/>
        <v>5.4349967668823821E-6</v>
      </c>
      <c r="BS128" s="8">
        <f t="shared" si="161"/>
        <v>27.015231409573694</v>
      </c>
      <c r="BT128" s="7">
        <f t="shared" si="162"/>
        <v>1.3602131330158695E-2</v>
      </c>
      <c r="BU128" s="9">
        <f t="shared" si="163"/>
        <v>0.20416723130660897</v>
      </c>
      <c r="BV128" s="4">
        <f t="shared" si="206"/>
        <v>959.31963036564071</v>
      </c>
      <c r="BW128" s="6">
        <f t="shared" si="164"/>
        <v>5.4186392607312814E-6</v>
      </c>
      <c r="BX128" s="8">
        <f t="shared" si="165"/>
        <v>26.921175749204867</v>
      </c>
      <c r="BY128" s="7">
        <f t="shared" si="166"/>
        <v>1.3561193505088233E-2</v>
      </c>
      <c r="BZ128" s="9">
        <f t="shared" si="167"/>
        <v>0.20488053907388898</v>
      </c>
      <c r="CA128" s="4">
        <f t="shared" si="207"/>
        <v>950.20764915954896</v>
      </c>
      <c r="CB128" s="6">
        <f t="shared" si="168"/>
        <v>5.4004152983190987E-6</v>
      </c>
      <c r="CC128" s="8">
        <f t="shared" si="169"/>
        <v>26.816387965334812</v>
      </c>
      <c r="CD128" s="7">
        <f t="shared" si="170"/>
        <v>1.3515584511979565E-2</v>
      </c>
      <c r="CE128" s="9">
        <f t="shared" si="171"/>
        <v>0.20568113077458364</v>
      </c>
      <c r="CF128" s="4">
        <f t="shared" si="208"/>
        <v>939.10458321094302</v>
      </c>
      <c r="CG128" s="6">
        <f t="shared" si="172"/>
        <v>5.3782091664218868E-6</v>
      </c>
      <c r="CH128" s="8">
        <f t="shared" si="173"/>
        <v>26.688702706925845</v>
      </c>
      <c r="CI128" s="7">
        <f t="shared" si="174"/>
        <v>1.3460009369002254E-2</v>
      </c>
      <c r="CJ128" s="9">
        <f t="shared" si="175"/>
        <v>0.20666515943349578</v>
      </c>
      <c r="CK128" s="4">
        <f t="shared" si="209"/>
        <v>922.52034191533096</v>
      </c>
      <c r="CL128" s="6">
        <f t="shared" si="176"/>
        <v>5.3450406838306623E-6</v>
      </c>
      <c r="CM128" s="8">
        <f t="shared" si="177"/>
        <v>26.497983932026305</v>
      </c>
      <c r="CN128" s="7">
        <f t="shared" si="178"/>
        <v>1.3376998821695763E-2</v>
      </c>
      <c r="CO128" s="9">
        <f t="shared" si="179"/>
        <v>0.2081526282961339</v>
      </c>
      <c r="CP128" s="4">
        <f t="shared" si="210"/>
        <v>891.37554258349746</v>
      </c>
      <c r="CQ128" s="6">
        <f t="shared" si="180"/>
        <v>5.2827510851669951E-6</v>
      </c>
      <c r="CR128" s="8">
        <f t="shared" si="181"/>
        <v>26.139818739710222</v>
      </c>
      <c r="CS128" s="7">
        <f t="shared" si="182"/>
        <v>1.3221107045147E-2</v>
      </c>
      <c r="CT128" s="9">
        <f t="shared" si="183"/>
        <v>0.21100471487282946</v>
      </c>
      <c r="CU128" s="4">
        <f t="shared" si="211"/>
        <v>828.46660960504676</v>
      </c>
      <c r="CV128" s="6">
        <f t="shared" si="184"/>
        <v>5.1569332192100938E-6</v>
      </c>
      <c r="CW128" s="8">
        <f t="shared" si="185"/>
        <v>25.416366010458034</v>
      </c>
      <c r="CX128" s="7">
        <f t="shared" si="186"/>
        <v>1.2906223484064817E-2</v>
      </c>
      <c r="CY128" s="9">
        <f t="shared" si="187"/>
        <v>0.21701076376262815</v>
      </c>
      <c r="CZ128" s="5">
        <f t="shared" si="212"/>
        <v>714.00098829880517</v>
      </c>
      <c r="DA128" s="6">
        <f t="shared" si="188"/>
        <v>4.928001976597611E-6</v>
      </c>
      <c r="DB128" s="8">
        <f t="shared" si="189"/>
        <v>24.100011365436259</v>
      </c>
      <c r="DC128" s="7">
        <f t="shared" si="190"/>
        <v>1.2333278740736545E-2</v>
      </c>
      <c r="DD128" s="9">
        <f t="shared" si="191"/>
        <v>0.22886399995273016</v>
      </c>
    </row>
    <row r="129" spans="2:108" x14ac:dyDescent="0.25">
      <c r="B129">
        <v>110</v>
      </c>
      <c r="C129">
        <f t="shared" si="192"/>
        <v>0.10753761329797766</v>
      </c>
      <c r="D129" s="4">
        <f t="shared" si="109"/>
        <v>1018.2029581827417</v>
      </c>
      <c r="E129" s="6">
        <f t="shared" si="110"/>
        <v>5.5364059163654836E-6</v>
      </c>
      <c r="F129" s="8">
        <f t="shared" si="111"/>
        <v>27.598334019101529</v>
      </c>
      <c r="G129" s="7">
        <f t="shared" si="107"/>
        <v>1.3855927354059567E-2</v>
      </c>
      <c r="H129" s="9">
        <f t="shared" si="112"/>
        <v>0.19985354899257657</v>
      </c>
      <c r="I129" s="4">
        <f t="shared" si="193"/>
        <v>1017.878598111943</v>
      </c>
      <c r="J129" s="6">
        <f t="shared" si="113"/>
        <v>5.5357571962238866E-6</v>
      </c>
      <c r="K129" s="8">
        <f t="shared" si="114"/>
        <v>27.594603878287344</v>
      </c>
      <c r="L129" s="7">
        <f t="shared" si="115"/>
        <v>1.3854303806348132E-2</v>
      </c>
      <c r="M129" s="9">
        <f t="shared" si="116"/>
        <v>0.19988056448746264</v>
      </c>
      <c r="N129" s="4">
        <f t="shared" si="194"/>
        <v>1016.9732001139402</v>
      </c>
      <c r="O129" s="6">
        <f t="shared" si="117"/>
        <v>5.5339464002278809E-6</v>
      </c>
      <c r="P129" s="8">
        <f t="shared" si="118"/>
        <v>27.584191801310311</v>
      </c>
      <c r="Q129" s="7">
        <f t="shared" si="108"/>
        <v>1.3855927354059567E-2</v>
      </c>
      <c r="R129" s="9">
        <f t="shared" si="119"/>
        <v>0.19995601247733477</v>
      </c>
      <c r="S129" s="4">
        <f t="shared" si="195"/>
        <v>1015.471983204793</v>
      </c>
      <c r="T129" s="6">
        <f t="shared" si="120"/>
        <v>5.5309439664095865E-6</v>
      </c>
      <c r="U129" s="8">
        <f t="shared" si="121"/>
        <v>27.566927806855119</v>
      </c>
      <c r="V129" s="7">
        <f t="shared" si="122"/>
        <v>1.3842257767157222E-2</v>
      </c>
      <c r="W129" s="9">
        <f t="shared" si="123"/>
        <v>0.20008123642375628</v>
      </c>
      <c r="X129" s="4">
        <f t="shared" si="196"/>
        <v>1013.3727542598466</v>
      </c>
      <c r="Y129" s="6">
        <f t="shared" si="124"/>
        <v>5.526745508519694E-6</v>
      </c>
      <c r="Z129" s="8">
        <f t="shared" si="125"/>
        <v>27.542786673988235</v>
      </c>
      <c r="AA129" s="7">
        <f t="shared" si="126"/>
        <v>1.3831750313693689E-2</v>
      </c>
      <c r="AB129" s="9">
        <f t="shared" si="127"/>
        <v>0.20025660675827794</v>
      </c>
      <c r="AC129" s="4">
        <f t="shared" si="197"/>
        <v>1010.6741341458691</v>
      </c>
      <c r="AD129" s="6">
        <f t="shared" si="128"/>
        <v>5.5213482682917386E-6</v>
      </c>
      <c r="AE129" s="8">
        <f t="shared" si="129"/>
        <v>27.511752542677492</v>
      </c>
      <c r="AF129" s="7">
        <f t="shared" si="130"/>
        <v>1.3818242675409818E-2</v>
      </c>
      <c r="AG129" s="9">
        <f t="shared" si="131"/>
        <v>0.20048250257572323</v>
      </c>
      <c r="AH129" s="4">
        <f t="shared" si="198"/>
        <v>1007.3759345342622</v>
      </c>
      <c r="AI129" s="6">
        <f t="shared" si="132"/>
        <v>5.5147518690685249E-6</v>
      </c>
      <c r="AJ129" s="8">
        <f t="shared" si="133"/>
        <v>27.473823247144015</v>
      </c>
      <c r="AK129" s="7">
        <f t="shared" si="134"/>
        <v>1.380173390964807E-2</v>
      </c>
      <c r="AL129" s="9">
        <f t="shared" si="135"/>
        <v>0.20075928094839751</v>
      </c>
      <c r="AM129" s="4">
        <f t="shared" si="199"/>
        <v>1003.4781253866531</v>
      </c>
      <c r="AN129" s="6">
        <f t="shared" si="136"/>
        <v>5.5069562507733066E-6</v>
      </c>
      <c r="AO129" s="8">
        <f t="shared" si="137"/>
        <v>27.428998441946511</v>
      </c>
      <c r="AP129" s="7">
        <f t="shared" si="138"/>
        <v>1.3782223866054766E-2</v>
      </c>
      <c r="AQ129" s="9">
        <f t="shared" si="139"/>
        <v>0.20108736422417403</v>
      </c>
      <c r="AR129" s="4">
        <f t="shared" si="200"/>
        <v>998.98070693954253</v>
      </c>
      <c r="AS129" s="6">
        <f t="shared" si="140"/>
        <v>5.4979614138790858E-6</v>
      </c>
      <c r="AT129" s="8">
        <f t="shared" si="141"/>
        <v>27.377278129804736</v>
      </c>
      <c r="AU129" s="7">
        <f t="shared" si="142"/>
        <v>1.3759712545813681E-2</v>
      </c>
      <c r="AV129" s="9">
        <f t="shared" si="143"/>
        <v>0.20146725229033349</v>
      </c>
      <c r="AW129" s="4">
        <f t="shared" si="201"/>
        <v>993.88367730623349</v>
      </c>
      <c r="AX129" s="6">
        <f t="shared" si="144"/>
        <v>5.4877673546124677E-6</v>
      </c>
      <c r="AY129" s="8">
        <f t="shared" si="145"/>
        <v>27.318662289021685</v>
      </c>
      <c r="AZ129" s="7">
        <f t="shared" si="146"/>
        <v>1.3734199939481165E-2</v>
      </c>
      <c r="BA129" s="9">
        <f t="shared" si="147"/>
        <v>0.20189952720402846</v>
      </c>
      <c r="BB129" s="4">
        <f t="shared" si="202"/>
        <v>988.1870014411046</v>
      </c>
      <c r="BC129" s="6">
        <f t="shared" si="148"/>
        <v>5.4763740028822095E-6</v>
      </c>
      <c r="BD129" s="8">
        <f t="shared" si="149"/>
        <v>27.253150516572703</v>
      </c>
      <c r="BE129" s="7">
        <f t="shared" si="150"/>
        <v>1.3705685871640321E-2</v>
      </c>
      <c r="BF129" s="9">
        <f t="shared" si="151"/>
        <v>0.20238485809726608</v>
      </c>
      <c r="BG129" s="4">
        <f t="shared" si="203"/>
        <v>981.89041001288865</v>
      </c>
      <c r="BH129" s="6">
        <f t="shared" si="152"/>
        <v>5.4637808200257782E-6</v>
      </c>
      <c r="BI129" s="8">
        <f t="shared" si="153"/>
        <v>27.180739715148221</v>
      </c>
      <c r="BJ129" s="7">
        <f t="shared" si="154"/>
        <v>1.3674168994183897E-2</v>
      </c>
      <c r="BK129" s="9">
        <f t="shared" si="155"/>
        <v>0.2029240211194864</v>
      </c>
      <c r="BL129" s="4">
        <f t="shared" si="204"/>
        <v>974.99208426915868</v>
      </c>
      <c r="BM129" s="6">
        <f t="shared" si="156"/>
        <v>5.449984168538317E-6</v>
      </c>
      <c r="BN129" s="8">
        <f t="shared" si="157"/>
        <v>27.101408969095324</v>
      </c>
      <c r="BO129" s="7">
        <f t="shared" si="158"/>
        <v>1.3639640203551972E-2</v>
      </c>
      <c r="BP129" s="9">
        <f t="shared" si="159"/>
        <v>0.20351801658318422</v>
      </c>
      <c r="BQ129" s="4">
        <f t="shared" si="205"/>
        <v>967.48103521370513</v>
      </c>
      <c r="BR129" s="6">
        <f t="shared" si="160"/>
        <v>5.4349620704274115E-6</v>
      </c>
      <c r="BS129" s="8">
        <f t="shared" si="161"/>
        <v>27.01503190495761</v>
      </c>
      <c r="BT129" s="7">
        <f t="shared" si="162"/>
        <v>1.3602044495564776E-2</v>
      </c>
      <c r="BU129" s="9">
        <f t="shared" si="163"/>
        <v>0.20416873907107291</v>
      </c>
      <c r="BV129" s="4">
        <f t="shared" si="206"/>
        <v>959.29853693590383</v>
      </c>
      <c r="BW129" s="6">
        <f t="shared" si="164"/>
        <v>5.4185970738718078E-6</v>
      </c>
      <c r="BX129" s="8">
        <f t="shared" si="165"/>
        <v>26.920933174762894</v>
      </c>
      <c r="BY129" s="7">
        <f t="shared" si="166"/>
        <v>1.3561087924307309E-2</v>
      </c>
      <c r="BZ129" s="9">
        <f t="shared" si="167"/>
        <v>0.20488238517566093</v>
      </c>
      <c r="CA129" s="4">
        <f t="shared" si="207"/>
        <v>950.17150994989572</v>
      </c>
      <c r="CB129" s="6">
        <f t="shared" si="168"/>
        <v>5.4003430198997922E-6</v>
      </c>
      <c r="CC129" s="8">
        <f t="shared" si="169"/>
        <v>26.8159723644238</v>
      </c>
      <c r="CD129" s="7">
        <f t="shared" si="170"/>
        <v>1.351540362124606E-2</v>
      </c>
      <c r="CE129" s="9">
        <f t="shared" si="171"/>
        <v>0.20568431847421897</v>
      </c>
      <c r="CF129" s="4">
        <f t="shared" si="208"/>
        <v>939.01880900341598</v>
      </c>
      <c r="CG129" s="6">
        <f t="shared" si="172"/>
        <v>5.3780376180068329E-6</v>
      </c>
      <c r="CH129" s="8">
        <f t="shared" si="173"/>
        <v>26.687716303539283</v>
      </c>
      <c r="CI129" s="7">
        <f t="shared" si="174"/>
        <v>1.34595800358911E-2</v>
      </c>
      <c r="CJ129" s="9">
        <f t="shared" si="175"/>
        <v>0.20667279797441965</v>
      </c>
      <c r="CK129" s="4">
        <f t="shared" si="209"/>
        <v>922.30546842371166</v>
      </c>
      <c r="CL129" s="6">
        <f t="shared" si="176"/>
        <v>5.3446109368474246E-6</v>
      </c>
      <c r="CM129" s="8">
        <f t="shared" si="177"/>
        <v>26.495512886872682</v>
      </c>
      <c r="CN129" s="7">
        <f t="shared" si="178"/>
        <v>1.3375923296694469E-2</v>
      </c>
      <c r="CO129" s="9">
        <f t="shared" si="179"/>
        <v>0.20817204118863239</v>
      </c>
      <c r="CP129" s="4">
        <f t="shared" si="210"/>
        <v>890.91572198188908</v>
      </c>
      <c r="CQ129" s="6">
        <f t="shared" si="180"/>
        <v>5.2818314439637793E-6</v>
      </c>
      <c r="CR129" s="8">
        <f t="shared" si="181"/>
        <v>26.134530802791723</v>
      </c>
      <c r="CS129" s="7">
        <f t="shared" si="182"/>
        <v>1.3218805465043221E-2</v>
      </c>
      <c r="CT129" s="9">
        <f t="shared" si="183"/>
        <v>0.21104740856533052</v>
      </c>
      <c r="CU129" s="4">
        <f t="shared" si="211"/>
        <v>827.72338967352675</v>
      </c>
      <c r="CV129" s="6">
        <f t="shared" si="184"/>
        <v>5.1554467793470542E-6</v>
      </c>
      <c r="CW129" s="8">
        <f t="shared" si="185"/>
        <v>25.407818981245555</v>
      </c>
      <c r="CX129" s="7">
        <f t="shared" si="186"/>
        <v>1.2902503380613302E-2</v>
      </c>
      <c r="CY129" s="9">
        <f t="shared" si="187"/>
        <v>0.21708376480764782</v>
      </c>
      <c r="CZ129" s="5">
        <f t="shared" si="212"/>
        <v>713.19158757994421</v>
      </c>
      <c r="DA129" s="6">
        <f t="shared" si="188"/>
        <v>4.9263831751598889E-6</v>
      </c>
      <c r="DB129" s="8">
        <f t="shared" si="189"/>
        <v>24.090703257169359</v>
      </c>
      <c r="DC129" s="7">
        <f t="shared" si="190"/>
        <v>1.2329227376826355E-2</v>
      </c>
      <c r="DD129" s="9">
        <f t="shared" si="191"/>
        <v>0.2289524278772791</v>
      </c>
    </row>
    <row r="130" spans="2:108" x14ac:dyDescent="0.25">
      <c r="B130">
        <v>111</v>
      </c>
      <c r="C130">
        <f t="shared" si="192"/>
        <v>0.10851522796432292</v>
      </c>
      <c r="D130" s="4">
        <f t="shared" si="109"/>
        <v>1018.186397996085</v>
      </c>
      <c r="E130" s="6">
        <f t="shared" si="110"/>
        <v>5.5363727959921709E-6</v>
      </c>
      <c r="F130" s="8">
        <f t="shared" si="111"/>
        <v>27.598143576954975</v>
      </c>
      <c r="G130" s="7">
        <f t="shared" si="107"/>
        <v>1.3855844463915041E-2</v>
      </c>
      <c r="H130" s="9">
        <f t="shared" si="112"/>
        <v>0.19985492809036842</v>
      </c>
      <c r="I130" s="4">
        <f t="shared" si="193"/>
        <v>1017.8620276725312</v>
      </c>
      <c r="J130" s="6">
        <f t="shared" si="113"/>
        <v>5.5357240553450625E-6</v>
      </c>
      <c r="K130" s="8">
        <f t="shared" si="114"/>
        <v>27.59441331823411</v>
      </c>
      <c r="L130" s="7">
        <f t="shared" si="115"/>
        <v>1.3854220864884597E-2</v>
      </c>
      <c r="M130" s="9">
        <f t="shared" si="116"/>
        <v>0.19988194481218888</v>
      </c>
      <c r="N130" s="4">
        <f t="shared" si="194"/>
        <v>1016.9566100635346</v>
      </c>
      <c r="O130" s="6">
        <f t="shared" si="117"/>
        <v>5.5339132201270691E-6</v>
      </c>
      <c r="P130" s="8">
        <f t="shared" si="118"/>
        <v>27.584001015730649</v>
      </c>
      <c r="Q130" s="7">
        <f t="shared" si="108"/>
        <v>1.3855844463915041E-2</v>
      </c>
      <c r="R130" s="9">
        <f t="shared" si="119"/>
        <v>0.19995739547915983</v>
      </c>
      <c r="S130" s="4">
        <f t="shared" si="195"/>
        <v>1015.4553827067449</v>
      </c>
      <c r="T130" s="6">
        <f t="shared" si="120"/>
        <v>5.53091076541349E-6</v>
      </c>
      <c r="U130" s="8">
        <f t="shared" si="121"/>
        <v>27.566736901127566</v>
      </c>
      <c r="V130" s="7">
        <f t="shared" si="122"/>
        <v>1.3842174675238574E-2</v>
      </c>
      <c r="W130" s="9">
        <f t="shared" si="123"/>
        <v>0.20008262203040772</v>
      </c>
      <c r="X130" s="4">
        <f t="shared" si="196"/>
        <v>1013.3561557994936</v>
      </c>
      <c r="Y130" s="6">
        <f t="shared" si="124"/>
        <v>5.5267123115989881E-6</v>
      </c>
      <c r="Z130" s="8">
        <f t="shared" si="125"/>
        <v>27.542595791694175</v>
      </c>
      <c r="AA130" s="7">
        <f t="shared" si="126"/>
        <v>1.3831667231974498E-2</v>
      </c>
      <c r="AB130" s="9">
        <f t="shared" si="127"/>
        <v>0.20025799462457738</v>
      </c>
      <c r="AC130" s="4">
        <f t="shared" si="197"/>
        <v>1010.6575463602893</v>
      </c>
      <c r="AD130" s="6">
        <f t="shared" si="128"/>
        <v>5.5213150927205786E-6</v>
      </c>
      <c r="AE130" s="8">
        <f t="shared" si="129"/>
        <v>27.511561783143328</v>
      </c>
      <c r="AF130" s="7">
        <f t="shared" si="130"/>
        <v>1.3818159647121997E-2</v>
      </c>
      <c r="AG130" s="9">
        <f t="shared" si="131"/>
        <v>0.2004838926803309</v>
      </c>
      <c r="AH130" s="4">
        <f t="shared" si="198"/>
        <v>1007.3593627341464</v>
      </c>
      <c r="AI130" s="6">
        <f t="shared" si="132"/>
        <v>5.5147187254682931E-6</v>
      </c>
      <c r="AJ130" s="8">
        <f t="shared" si="133"/>
        <v>27.473632671442683</v>
      </c>
      <c r="AK130" s="7">
        <f t="shared" si="134"/>
        <v>1.3801650961373686E-2</v>
      </c>
      <c r="AL130" s="9">
        <f t="shared" si="135"/>
        <v>0.20076067355057806</v>
      </c>
      <c r="AM130" s="4">
        <f t="shared" si="199"/>
        <v>1003.4615735026023</v>
      </c>
      <c r="AN130" s="6">
        <f t="shared" si="136"/>
        <v>5.506923147005205E-6</v>
      </c>
      <c r="AO130" s="8">
        <f t="shared" si="137"/>
        <v>27.428808095279926</v>
      </c>
      <c r="AP130" s="7">
        <f t="shared" si="138"/>
        <v>1.3782141017467995E-2</v>
      </c>
      <c r="AQ130" s="9">
        <f t="shared" si="139"/>
        <v>0.20108875970258269</v>
      </c>
      <c r="AR130" s="4">
        <f t="shared" si="200"/>
        <v>998.96417851134186</v>
      </c>
      <c r="AS130" s="6">
        <f t="shared" si="140"/>
        <v>5.4979283570226841E-6</v>
      </c>
      <c r="AT130" s="8">
        <f t="shared" si="141"/>
        <v>27.377088052880431</v>
      </c>
      <c r="AU130" s="7">
        <f t="shared" si="142"/>
        <v>1.3759629814632518E-2</v>
      </c>
      <c r="AV130" s="9">
        <f t="shared" si="143"/>
        <v>0.20146865106129078</v>
      </c>
      <c r="AW130" s="4">
        <f t="shared" si="201"/>
        <v>993.8671754298424</v>
      </c>
      <c r="AX130" s="6">
        <f t="shared" si="144"/>
        <v>5.4877343508596854E-6</v>
      </c>
      <c r="AY130" s="8">
        <f t="shared" si="145"/>
        <v>27.318472517443187</v>
      </c>
      <c r="AZ130" s="7">
        <f t="shared" si="146"/>
        <v>1.373411734120209E-2</v>
      </c>
      <c r="BA130" s="9">
        <f t="shared" si="147"/>
        <v>0.20190092972724608</v>
      </c>
      <c r="BB130" s="4">
        <f t="shared" si="202"/>
        <v>988.1705262833508</v>
      </c>
      <c r="BC130" s="6">
        <f t="shared" si="148"/>
        <v>5.4763410525667021E-6</v>
      </c>
      <c r="BD130" s="8">
        <f t="shared" si="149"/>
        <v>27.252961052258534</v>
      </c>
      <c r="BE130" s="7">
        <f t="shared" si="150"/>
        <v>1.3705603407098366E-2</v>
      </c>
      <c r="BF130" s="9">
        <f t="shared" si="151"/>
        <v>0.20238626508963889</v>
      </c>
      <c r="BG130" s="4">
        <f t="shared" si="203"/>
        <v>981.87394268546973</v>
      </c>
      <c r="BH130" s="6">
        <f t="shared" si="152"/>
        <v>5.4637478853709401E-6</v>
      </c>
      <c r="BI130" s="8">
        <f t="shared" si="153"/>
        <v>27.180550340882903</v>
      </c>
      <c r="BJ130" s="7">
        <f t="shared" si="154"/>
        <v>1.3674086568835802E-2</v>
      </c>
      <c r="BK130" s="9">
        <f t="shared" si="155"/>
        <v>0.20292543494617249</v>
      </c>
      <c r="BL130" s="4">
        <f t="shared" si="204"/>
        <v>974.97549604428445</v>
      </c>
      <c r="BM130" s="6">
        <f t="shared" si="156"/>
        <v>5.4499509920885696E-6</v>
      </c>
      <c r="BN130" s="8">
        <f t="shared" si="157"/>
        <v>27.101218204509273</v>
      </c>
      <c r="BO130" s="7">
        <f t="shared" si="158"/>
        <v>1.3639557173065316E-2</v>
      </c>
      <c r="BP130" s="9">
        <f t="shared" si="159"/>
        <v>0.20351944913982778</v>
      </c>
      <c r="BQ130" s="4">
        <f t="shared" si="205"/>
        <v>967.46364413456729</v>
      </c>
      <c r="BR130" s="6">
        <f t="shared" si="160"/>
        <v>5.4349272882691355E-6</v>
      </c>
      <c r="BS130" s="8">
        <f t="shared" si="161"/>
        <v>27.014831907547524</v>
      </c>
      <c r="BT130" s="7">
        <f t="shared" si="162"/>
        <v>1.3601957446481749E-2</v>
      </c>
      <c r="BU130" s="9">
        <f t="shared" si="163"/>
        <v>0.20417025058220037</v>
      </c>
      <c r="BV130" s="4">
        <f t="shared" si="206"/>
        <v>959.27728080282009</v>
      </c>
      <c r="BW130" s="6">
        <f t="shared" si="164"/>
        <v>5.4185545616056403E-6</v>
      </c>
      <c r="BX130" s="8">
        <f t="shared" si="165"/>
        <v>26.920688729232431</v>
      </c>
      <c r="BY130" s="7">
        <f t="shared" si="166"/>
        <v>1.3560981529133154E-2</v>
      </c>
      <c r="BZ130" s="9">
        <f t="shared" si="167"/>
        <v>0.20488424555092216</v>
      </c>
      <c r="CA130" s="4">
        <f t="shared" si="207"/>
        <v>950.13487272220345</v>
      </c>
      <c r="CB130" s="6">
        <f t="shared" si="168"/>
        <v>5.4002697454444073E-6</v>
      </c>
      <c r="CC130" s="8">
        <f t="shared" si="169"/>
        <v>26.815551036305337</v>
      </c>
      <c r="CD130" s="7">
        <f t="shared" si="170"/>
        <v>1.3515220237739494E-2</v>
      </c>
      <c r="CE130" s="9">
        <f t="shared" si="171"/>
        <v>0.20568755020295665</v>
      </c>
      <c r="CF130" s="4">
        <f t="shared" si="208"/>
        <v>938.93188649384831</v>
      </c>
      <c r="CG130" s="6">
        <f t="shared" si="172"/>
        <v>5.3778637729876973E-6</v>
      </c>
      <c r="CH130" s="8">
        <f t="shared" si="173"/>
        <v>26.686716694679255</v>
      </c>
      <c r="CI130" s="7">
        <f t="shared" si="174"/>
        <v>1.345914495508373E-2</v>
      </c>
      <c r="CJ130" s="9">
        <f t="shared" si="175"/>
        <v>0.2066805393523623</v>
      </c>
      <c r="CK130" s="4">
        <f t="shared" si="209"/>
        <v>922.0888945962347</v>
      </c>
      <c r="CL130" s="6">
        <f t="shared" si="176"/>
        <v>5.3441777891924698E-6</v>
      </c>
      <c r="CM130" s="8">
        <f t="shared" si="177"/>
        <v>26.493022287856697</v>
      </c>
      <c r="CN130" s="7">
        <f t="shared" si="178"/>
        <v>1.3374839260854015E-2</v>
      </c>
      <c r="CO130" s="9">
        <f t="shared" si="179"/>
        <v>0.20819161136357531</v>
      </c>
      <c r="CP130" s="4">
        <f t="shared" si="210"/>
        <v>890.4552280606157</v>
      </c>
      <c r="CQ130" s="6">
        <f t="shared" si="180"/>
        <v>5.280910456121232E-6</v>
      </c>
      <c r="CR130" s="8">
        <f t="shared" si="181"/>
        <v>26.129235122697082</v>
      </c>
      <c r="CS130" s="7">
        <f t="shared" si="182"/>
        <v>1.3216500514713875E-2</v>
      </c>
      <c r="CT130" s="9">
        <f t="shared" si="183"/>
        <v>0.2110901820929641</v>
      </c>
      <c r="CU130" s="4">
        <f t="shared" si="211"/>
        <v>826.98304862063787</v>
      </c>
      <c r="CV130" s="6">
        <f t="shared" si="184"/>
        <v>5.1539660972412759E-6</v>
      </c>
      <c r="CW130" s="8">
        <f t="shared" si="185"/>
        <v>25.399305059137333</v>
      </c>
      <c r="CX130" s="7">
        <f t="shared" si="186"/>
        <v>1.2898797687063725E-2</v>
      </c>
      <c r="CY130" s="9">
        <f t="shared" si="187"/>
        <v>0.2171565319270721</v>
      </c>
      <c r="CZ130" s="5">
        <f t="shared" si="212"/>
        <v>712.38728656108685</v>
      </c>
      <c r="DA130" s="6">
        <f t="shared" si="188"/>
        <v>4.9247745731221742E-6</v>
      </c>
      <c r="DB130" s="8">
        <f t="shared" si="189"/>
        <v>24.081453795452497</v>
      </c>
      <c r="DC130" s="7">
        <f t="shared" si="190"/>
        <v>1.2325201538888735E-2</v>
      </c>
      <c r="DD130" s="9">
        <f t="shared" si="191"/>
        <v>0.22904036636864347</v>
      </c>
    </row>
    <row r="131" spans="2:108" x14ac:dyDescent="0.25">
      <c r="B131">
        <v>112</v>
      </c>
      <c r="C131">
        <f t="shared" si="192"/>
        <v>0.10949284263066816</v>
      </c>
      <c r="D131" s="4">
        <f t="shared" si="109"/>
        <v>1018.1698372859745</v>
      </c>
      <c r="E131" s="6">
        <f t="shared" si="110"/>
        <v>5.5363396745719492E-6</v>
      </c>
      <c r="F131" s="8">
        <f t="shared" si="111"/>
        <v>27.597953128788706</v>
      </c>
      <c r="G131" s="7">
        <f t="shared" si="107"/>
        <v>1.3855761571150422E-2</v>
      </c>
      <c r="H131" s="9">
        <f t="shared" si="112"/>
        <v>0.19985630725078649</v>
      </c>
      <c r="I131" s="4">
        <f t="shared" si="193"/>
        <v>1017.8454569956943</v>
      </c>
      <c r="J131" s="6">
        <f t="shared" si="113"/>
        <v>5.53569091399139E-6</v>
      </c>
      <c r="K131" s="8">
        <f t="shared" si="114"/>
        <v>27.594222755450485</v>
      </c>
      <c r="L131" s="7">
        <f t="shared" si="115"/>
        <v>1.3854137922232659E-2</v>
      </c>
      <c r="M131" s="9">
        <f t="shared" si="116"/>
        <v>0.19988332517575763</v>
      </c>
      <c r="N131" s="4">
        <f t="shared" si="194"/>
        <v>1016.9400201352919</v>
      </c>
      <c r="O131" s="6">
        <f t="shared" si="117"/>
        <v>5.5338800402705839E-6</v>
      </c>
      <c r="P131" s="8">
        <f t="shared" si="118"/>
        <v>27.583810231555855</v>
      </c>
      <c r="Q131" s="7">
        <f t="shared" si="108"/>
        <v>1.3855761571150422E-2</v>
      </c>
      <c r="R131" s="9">
        <f t="shared" si="119"/>
        <v>0.1999587784899321</v>
      </c>
      <c r="S131" s="4">
        <f t="shared" si="195"/>
        <v>1015.4387824615823</v>
      </c>
      <c r="T131" s="6">
        <f t="shared" si="120"/>
        <v>5.5308775649231645E-6</v>
      </c>
      <c r="U131" s="8">
        <f t="shared" si="121"/>
        <v>27.566545998308193</v>
      </c>
      <c r="V131" s="7">
        <f t="shared" si="122"/>
        <v>1.3842091584585717E-2</v>
      </c>
      <c r="W131" s="9">
        <f t="shared" si="123"/>
        <v>0.20008400763514236</v>
      </c>
      <c r="X131" s="4">
        <f t="shared" si="196"/>
        <v>1013.3395575803277</v>
      </c>
      <c r="Y131" s="6">
        <f t="shared" si="124"/>
        <v>5.5266791151606556E-6</v>
      </c>
      <c r="Z131" s="8">
        <f t="shared" si="125"/>
        <v>27.542404912173765</v>
      </c>
      <c r="AA131" s="7">
        <f t="shared" si="126"/>
        <v>1.3831584151462536E-2</v>
      </c>
      <c r="AB131" s="9">
        <f t="shared" si="127"/>
        <v>0.20025938248994696</v>
      </c>
      <c r="AC131" s="4">
        <f t="shared" si="197"/>
        <v>1010.6409587846754</v>
      </c>
      <c r="AD131" s="6">
        <f t="shared" si="128"/>
        <v>5.5212819175693513E-6</v>
      </c>
      <c r="AE131" s="8">
        <f t="shared" si="129"/>
        <v>27.511371026023767</v>
      </c>
      <c r="AF131" s="7">
        <f t="shared" si="130"/>
        <v>1.3818076619885137E-2</v>
      </c>
      <c r="AG131" s="9">
        <f t="shared" si="131"/>
        <v>0.20048528278662003</v>
      </c>
      <c r="AH131" s="4">
        <f t="shared" si="198"/>
        <v>1007.3427911292574</v>
      </c>
      <c r="AI131" s="6">
        <f t="shared" si="132"/>
        <v>5.5146855822585156E-6</v>
      </c>
      <c r="AJ131" s="8">
        <f t="shared" si="133"/>
        <v>27.47344209798646</v>
      </c>
      <c r="AK131" s="7">
        <f t="shared" si="134"/>
        <v>1.3801568014076485E-2</v>
      </c>
      <c r="AL131" s="9">
        <f t="shared" si="135"/>
        <v>0.20076206615567266</v>
      </c>
      <c r="AM131" s="4">
        <f t="shared" si="199"/>
        <v>1003.4450218096392</v>
      </c>
      <c r="AN131" s="6">
        <f t="shared" si="136"/>
        <v>5.5068900436192795E-6</v>
      </c>
      <c r="AO131" s="8">
        <f t="shared" si="137"/>
        <v>27.428617750810851</v>
      </c>
      <c r="AP131" s="7">
        <f t="shared" si="138"/>
        <v>1.3782058169837694E-2</v>
      </c>
      <c r="AQ131" s="9">
        <f t="shared" si="139"/>
        <v>0.20109015518424897</v>
      </c>
      <c r="AR131" s="4">
        <f t="shared" si="200"/>
        <v>998.94765026824166</v>
      </c>
      <c r="AS131" s="6">
        <f t="shared" si="140"/>
        <v>5.4978953005364834E-6</v>
      </c>
      <c r="AT131" s="8">
        <f t="shared" si="141"/>
        <v>27.376897978084777</v>
      </c>
      <c r="AU131" s="7">
        <f t="shared" si="142"/>
        <v>1.3759547084377856E-2</v>
      </c>
      <c r="AV131" s="9">
        <f t="shared" si="143"/>
        <v>0.2014700498360063</v>
      </c>
      <c r="AW131" s="4">
        <f t="shared" si="201"/>
        <v>993.85067369568583</v>
      </c>
      <c r="AX131" s="6">
        <f t="shared" si="144"/>
        <v>5.4877013473913723E-6</v>
      </c>
      <c r="AY131" s="8">
        <f t="shared" si="145"/>
        <v>27.318282747500387</v>
      </c>
      <c r="AZ131" s="7">
        <f t="shared" si="146"/>
        <v>1.3734034743634951E-2</v>
      </c>
      <c r="BA131" s="9">
        <f t="shared" si="147"/>
        <v>0.20190233225786045</v>
      </c>
      <c r="BB131" s="4">
        <f t="shared" si="202"/>
        <v>988.15405098899157</v>
      </c>
      <c r="BC131" s="6">
        <f t="shared" si="148"/>
        <v>5.4763081019779834E-6</v>
      </c>
      <c r="BD131" s="8">
        <f t="shared" si="149"/>
        <v>27.252771586373402</v>
      </c>
      <c r="BE131" s="7">
        <f t="shared" si="150"/>
        <v>1.3705520941872648E-2</v>
      </c>
      <c r="BF131" s="9">
        <f t="shared" si="151"/>
        <v>0.20238767211324132</v>
      </c>
      <c r="BG131" s="4">
        <f t="shared" si="203"/>
        <v>981.85747362241329</v>
      </c>
      <c r="BH131" s="6">
        <f t="shared" si="152"/>
        <v>5.4637149472448272E-6</v>
      </c>
      <c r="BI131" s="8">
        <f t="shared" si="153"/>
        <v>27.18036094665775</v>
      </c>
      <c r="BJ131" s="7">
        <f t="shared" si="154"/>
        <v>1.3674004134800166E-2</v>
      </c>
      <c r="BK131" s="9">
        <f t="shared" si="155"/>
        <v>0.20292684894157861</v>
      </c>
      <c r="BL131" s="4">
        <f t="shared" si="204"/>
        <v>974.95889806802415</v>
      </c>
      <c r="BM131" s="6">
        <f t="shared" si="156"/>
        <v>5.4499177961360486E-6</v>
      </c>
      <c r="BN131" s="8">
        <f t="shared" si="157"/>
        <v>27.101027327782276</v>
      </c>
      <c r="BO131" s="7">
        <f t="shared" si="158"/>
        <v>1.3639474093769192E-2</v>
      </c>
      <c r="BP131" s="9">
        <f t="shared" si="159"/>
        <v>0.203520882558785</v>
      </c>
      <c r="BQ131" s="4">
        <f t="shared" si="205"/>
        <v>967.44620894580419</v>
      </c>
      <c r="BR131" s="6">
        <f t="shared" si="160"/>
        <v>5.4348924178916091E-6</v>
      </c>
      <c r="BS131" s="8">
        <f t="shared" si="161"/>
        <v>27.014631402876745</v>
      </c>
      <c r="BT131" s="7">
        <f t="shared" si="162"/>
        <v>1.3601870176612971E-2</v>
      </c>
      <c r="BU131" s="9">
        <f t="shared" si="163"/>
        <v>0.20417176594949393</v>
      </c>
      <c r="BV131" s="4">
        <f t="shared" si="206"/>
        <v>959.25585881701045</v>
      </c>
      <c r="BW131" s="6">
        <f t="shared" si="164"/>
        <v>5.418511717634021E-6</v>
      </c>
      <c r="BX131" s="8">
        <f t="shared" si="165"/>
        <v>26.92044237639562</v>
      </c>
      <c r="BY131" s="7">
        <f t="shared" si="166"/>
        <v>1.3560874303801904E-2</v>
      </c>
      <c r="BZ131" s="9">
        <f t="shared" si="167"/>
        <v>0.20488612047609625</v>
      </c>
      <c r="CA131" s="4">
        <f t="shared" si="207"/>
        <v>950.09773276978592</v>
      </c>
      <c r="CB131" s="6">
        <f t="shared" si="168"/>
        <v>5.4001954655395722E-6</v>
      </c>
      <c r="CC131" s="8">
        <f t="shared" si="169"/>
        <v>26.815123926852536</v>
      </c>
      <c r="CD131" s="7">
        <f t="shared" si="170"/>
        <v>1.3515034337901077E-2</v>
      </c>
      <c r="CE131" s="9">
        <f t="shared" si="171"/>
        <v>0.20569082638013392</v>
      </c>
      <c r="CF131" s="4">
        <f t="shared" si="208"/>
        <v>938.84381654989318</v>
      </c>
      <c r="CG131" s="6">
        <f t="shared" si="172"/>
        <v>5.377687633099787E-6</v>
      </c>
      <c r="CH131" s="8">
        <f t="shared" si="173"/>
        <v>26.685703890323772</v>
      </c>
      <c r="CI131" s="7">
        <f t="shared" si="174"/>
        <v>1.3458704130923092E-2</v>
      </c>
      <c r="CJ131" s="9">
        <f t="shared" si="175"/>
        <v>0.2066883835130901</v>
      </c>
      <c r="CK131" s="4">
        <f t="shared" si="209"/>
        <v>921.87064207641129</v>
      </c>
      <c r="CL131" s="6">
        <f t="shared" si="176"/>
        <v>5.343741284152823E-6</v>
      </c>
      <c r="CM131" s="8">
        <f t="shared" si="177"/>
        <v>26.49051238387873</v>
      </c>
      <c r="CN131" s="7">
        <f t="shared" si="178"/>
        <v>1.3373746822508564E-2</v>
      </c>
      <c r="CO131" s="9">
        <f t="shared" si="179"/>
        <v>0.2082113369523434</v>
      </c>
      <c r="CP131" s="4">
        <f t="shared" si="210"/>
        <v>889.99409669689931</v>
      </c>
      <c r="CQ131" s="6">
        <f t="shared" si="180"/>
        <v>5.2799881933937993E-6</v>
      </c>
      <c r="CR131" s="8">
        <f t="shared" si="181"/>
        <v>26.123932112014341</v>
      </c>
      <c r="CS131" s="7">
        <f t="shared" si="182"/>
        <v>1.3214192373738358E-2</v>
      </c>
      <c r="CT131" s="9">
        <f t="shared" si="183"/>
        <v>0.21113303220778834</v>
      </c>
      <c r="CU131" s="4">
        <f t="shared" si="211"/>
        <v>826.24557007994781</v>
      </c>
      <c r="CV131" s="6">
        <f t="shared" si="184"/>
        <v>5.1524911401598959E-6</v>
      </c>
      <c r="CW131" s="8">
        <f t="shared" si="185"/>
        <v>25.390824055919399</v>
      </c>
      <c r="CX131" s="7">
        <f t="shared" si="186"/>
        <v>1.2895106321495759E-2</v>
      </c>
      <c r="CY131" s="9">
        <f t="shared" si="187"/>
        <v>0.21722906621119034</v>
      </c>
      <c r="CZ131" s="5">
        <f t="shared" si="212"/>
        <v>711.58800341241158</v>
      </c>
      <c r="DA131" s="6">
        <f t="shared" si="188"/>
        <v>4.9231760068248239E-6</v>
      </c>
      <c r="DB131" s="8">
        <f t="shared" si="189"/>
        <v>24.07226203924273</v>
      </c>
      <c r="DC131" s="7">
        <f t="shared" si="190"/>
        <v>1.2321200817333754E-2</v>
      </c>
      <c r="DD131" s="9">
        <f t="shared" si="191"/>
        <v>0.22912782317708236</v>
      </c>
    </row>
    <row r="132" spans="2:108" x14ac:dyDescent="0.25">
      <c r="B132">
        <v>113</v>
      </c>
      <c r="C132">
        <f t="shared" si="192"/>
        <v>0.11047045729701341</v>
      </c>
      <c r="D132" s="4">
        <f t="shared" si="109"/>
        <v>1018.1532760670133</v>
      </c>
      <c r="E132" s="6">
        <f t="shared" si="110"/>
        <v>5.5363065521340268E-6</v>
      </c>
      <c r="F132" s="8">
        <f t="shared" si="111"/>
        <v>27.597762674770649</v>
      </c>
      <c r="G132" s="7">
        <f t="shared" si="107"/>
        <v>1.3855678675838813E-2</v>
      </c>
      <c r="H132" s="9">
        <f t="shared" si="112"/>
        <v>0.19985768647261684</v>
      </c>
      <c r="I132" s="4">
        <f t="shared" si="193"/>
        <v>1017.8288860869313</v>
      </c>
      <c r="J132" s="6">
        <f t="shared" si="113"/>
        <v>5.5356577721738627E-6</v>
      </c>
      <c r="K132" s="8">
        <f t="shared" si="114"/>
        <v>27.594032189999709</v>
      </c>
      <c r="L132" s="7">
        <f t="shared" si="115"/>
        <v>1.3854054978419836E-2</v>
      </c>
      <c r="M132" s="9">
        <f t="shared" si="116"/>
        <v>0.19988470557771204</v>
      </c>
      <c r="N132" s="4">
        <f t="shared" si="194"/>
        <v>1016.9234303277404</v>
      </c>
      <c r="O132" s="6">
        <f t="shared" si="117"/>
        <v>5.5338468606554811E-6</v>
      </c>
      <c r="P132" s="8">
        <f t="shared" si="118"/>
        <v>27.583619448769014</v>
      </c>
      <c r="Q132" s="7">
        <f t="shared" si="108"/>
        <v>1.3855678675838813E-2</v>
      </c>
      <c r="R132" s="9">
        <f t="shared" si="119"/>
        <v>0.19996016150977416</v>
      </c>
      <c r="S132" s="4">
        <f t="shared" si="195"/>
        <v>1015.422182467608</v>
      </c>
      <c r="T132" s="6">
        <f t="shared" si="120"/>
        <v>5.5308443649352167E-6</v>
      </c>
      <c r="U132" s="8">
        <f t="shared" si="121"/>
        <v>27.566355098377493</v>
      </c>
      <c r="V132" s="7">
        <f t="shared" si="122"/>
        <v>1.3842008495190157E-2</v>
      </c>
      <c r="W132" s="9">
        <f t="shared" si="123"/>
        <v>0.20008539323810132</v>
      </c>
      <c r="X132" s="4">
        <f t="shared" si="196"/>
        <v>1013.322959602001</v>
      </c>
      <c r="Y132" s="6">
        <f t="shared" si="124"/>
        <v>5.5266459192040028E-6</v>
      </c>
      <c r="Z132" s="8">
        <f t="shared" si="125"/>
        <v>27.542214035423008</v>
      </c>
      <c r="AA132" s="7">
        <f t="shared" si="126"/>
        <v>1.3831501072156074E-2</v>
      </c>
      <c r="AB132" s="9">
        <f t="shared" si="127"/>
        <v>0.20026077035441528</v>
      </c>
      <c r="AC132" s="4">
        <f t="shared" si="197"/>
        <v>1010.6243714191889</v>
      </c>
      <c r="AD132" s="6">
        <f t="shared" si="128"/>
        <v>5.5212487428383786E-6</v>
      </c>
      <c r="AE132" s="8">
        <f t="shared" si="129"/>
        <v>27.511180271320672</v>
      </c>
      <c r="AF132" s="7">
        <f t="shared" si="130"/>
        <v>1.3817993593700046E-2</v>
      </c>
      <c r="AG132" s="9">
        <f t="shared" si="131"/>
        <v>0.20048667289457672</v>
      </c>
      <c r="AH132" s="4">
        <f t="shared" si="198"/>
        <v>1007.3262197197176</v>
      </c>
      <c r="AI132" s="6">
        <f t="shared" si="132"/>
        <v>5.5146524394394355E-6</v>
      </c>
      <c r="AJ132" s="8">
        <f t="shared" si="133"/>
        <v>27.47325152677675</v>
      </c>
      <c r="AK132" s="7">
        <f t="shared" si="134"/>
        <v>1.3801485067757083E-2</v>
      </c>
      <c r="AL132" s="9">
        <f t="shared" si="135"/>
        <v>0.2007634587636708</v>
      </c>
      <c r="AM132" s="4">
        <f t="shared" si="199"/>
        <v>1003.4284703077262</v>
      </c>
      <c r="AN132" s="6">
        <f t="shared" si="136"/>
        <v>5.5068569406154523E-6</v>
      </c>
      <c r="AO132" s="8">
        <f t="shared" si="137"/>
        <v>27.428427408538852</v>
      </c>
      <c r="AP132" s="7">
        <f t="shared" si="138"/>
        <v>1.3781975323163666E-2</v>
      </c>
      <c r="AQ132" s="9">
        <f t="shared" si="139"/>
        <v>0.20109155066917578</v>
      </c>
      <c r="AR132" s="4">
        <f t="shared" si="200"/>
        <v>998.93112220968931</v>
      </c>
      <c r="AS132" s="6">
        <f t="shared" si="140"/>
        <v>5.4978622444193789E-6</v>
      </c>
      <c r="AT132" s="8">
        <f t="shared" si="141"/>
        <v>27.376707905411426</v>
      </c>
      <c r="AU132" s="7">
        <f t="shared" si="142"/>
        <v>1.3759464355046927E-2</v>
      </c>
      <c r="AV132" s="9">
        <f t="shared" si="143"/>
        <v>0.20147144861452651</v>
      </c>
      <c r="AW132" s="4">
        <f t="shared" si="201"/>
        <v>993.83417210026937</v>
      </c>
      <c r="AX132" s="6">
        <f t="shared" si="144"/>
        <v>5.4876683442005396E-6</v>
      </c>
      <c r="AY132" s="8">
        <f t="shared" si="145"/>
        <v>27.318092979153096</v>
      </c>
      <c r="AZ132" s="7">
        <f t="shared" si="146"/>
        <v>1.3733952146762263E-2</v>
      </c>
      <c r="BA132" s="9">
        <f t="shared" si="147"/>
        <v>0.20190373479616852</v>
      </c>
      <c r="BB132" s="4">
        <f t="shared" si="202"/>
        <v>988.13757553860785</v>
      </c>
      <c r="BC132" s="6">
        <f t="shared" si="148"/>
        <v>5.4762751510772161E-6</v>
      </c>
      <c r="BD132" s="8">
        <f t="shared" si="149"/>
        <v>27.25258211869399</v>
      </c>
      <c r="BE132" s="7">
        <f t="shared" si="150"/>
        <v>1.3705438475865969E-2</v>
      </c>
      <c r="BF132" s="9">
        <f t="shared" si="151"/>
        <v>0.2023890791697327</v>
      </c>
      <c r="BG132" s="4">
        <f t="shared" si="203"/>
        <v>981.84100272980868</v>
      </c>
      <c r="BH132" s="6">
        <f t="shared" si="152"/>
        <v>5.4636820054596176E-6</v>
      </c>
      <c r="BI132" s="8">
        <f t="shared" si="153"/>
        <v>27.180171531392801</v>
      </c>
      <c r="BJ132" s="7">
        <f t="shared" si="154"/>
        <v>1.3673921691606932E-2</v>
      </c>
      <c r="BK132" s="9">
        <f t="shared" si="155"/>
        <v>0.20292826311377443</v>
      </c>
      <c r="BL132" s="4">
        <f t="shared" si="204"/>
        <v>974.94228995616015</v>
      </c>
      <c r="BM132" s="6">
        <f t="shared" si="156"/>
        <v>5.4498845799123207E-6</v>
      </c>
      <c r="BN132" s="8">
        <f t="shared" si="157"/>
        <v>27.100836334495838</v>
      </c>
      <c r="BO132" s="7">
        <f t="shared" si="158"/>
        <v>1.3639390963740452E-2</v>
      </c>
      <c r="BP132" s="9">
        <f t="shared" si="159"/>
        <v>0.20352231687327402</v>
      </c>
      <c r="BQ132" s="4">
        <f t="shared" si="205"/>
        <v>967.42872837425375</v>
      </c>
      <c r="BR132" s="6">
        <f t="shared" si="160"/>
        <v>5.4348574567485087E-6</v>
      </c>
      <c r="BS132" s="8">
        <f t="shared" si="161"/>
        <v>27.014430376303917</v>
      </c>
      <c r="BT132" s="7">
        <f t="shared" si="162"/>
        <v>1.360178267958578E-2</v>
      </c>
      <c r="BU132" s="9">
        <f t="shared" si="163"/>
        <v>0.20417328528378326</v>
      </c>
      <c r="BV132" s="4">
        <f t="shared" si="206"/>
        <v>959.23426783204366</v>
      </c>
      <c r="BW132" s="6">
        <f t="shared" si="164"/>
        <v>5.418468535664088E-6</v>
      </c>
      <c r="BX132" s="8">
        <f t="shared" si="165"/>
        <v>26.920194080068502</v>
      </c>
      <c r="BY132" s="7">
        <f t="shared" si="166"/>
        <v>1.3560766232564456E-2</v>
      </c>
      <c r="BZ132" s="9">
        <f t="shared" si="167"/>
        <v>0.20488801022737518</v>
      </c>
      <c r="CA132" s="4">
        <f t="shared" si="207"/>
        <v>950.06008548473142</v>
      </c>
      <c r="CB132" s="6">
        <f t="shared" si="168"/>
        <v>5.4001201709694634E-6</v>
      </c>
      <c r="CC132" s="8">
        <f t="shared" si="169"/>
        <v>26.81469098307441</v>
      </c>
      <c r="CD132" s="7">
        <f t="shared" si="170"/>
        <v>1.351484589866643E-2</v>
      </c>
      <c r="CE132" s="9">
        <f t="shared" si="171"/>
        <v>0.20569414741648503</v>
      </c>
      <c r="CF132" s="4">
        <f t="shared" si="208"/>
        <v>938.75460025653842</v>
      </c>
      <c r="CG132" s="6">
        <f t="shared" si="172"/>
        <v>5.3775092005130776E-6</v>
      </c>
      <c r="CH132" s="8">
        <f t="shared" si="173"/>
        <v>26.684677902950192</v>
      </c>
      <c r="CI132" s="7">
        <f t="shared" si="174"/>
        <v>1.3458257568839968E-2</v>
      </c>
      <c r="CJ132" s="9">
        <f t="shared" si="175"/>
        <v>0.20669633038329482</v>
      </c>
      <c r="CK132" s="4">
        <f t="shared" si="209"/>
        <v>921.65073243352731</v>
      </c>
      <c r="CL132" s="6">
        <f t="shared" si="176"/>
        <v>5.3433014648670546E-6</v>
      </c>
      <c r="CM132" s="8">
        <f t="shared" si="177"/>
        <v>26.487983422985565</v>
      </c>
      <c r="CN132" s="7">
        <f t="shared" si="178"/>
        <v>1.3372646089620733E-2</v>
      </c>
      <c r="CO132" s="9">
        <f t="shared" si="179"/>
        <v>0.20823121609226347</v>
      </c>
      <c r="CP132" s="4">
        <f t="shared" si="210"/>
        <v>889.53236285371645</v>
      </c>
      <c r="CQ132" s="6">
        <f t="shared" si="180"/>
        <v>5.2790647257074333E-6</v>
      </c>
      <c r="CR132" s="8">
        <f t="shared" si="181"/>
        <v>26.118622172817737</v>
      </c>
      <c r="CS132" s="7">
        <f t="shared" si="182"/>
        <v>1.3211881217119893E-2</v>
      </c>
      <c r="CT132" s="9">
        <f t="shared" si="183"/>
        <v>0.21117595574165623</v>
      </c>
      <c r="CU132" s="4">
        <f t="shared" si="211"/>
        <v>825.51093746589856</v>
      </c>
      <c r="CV132" s="6">
        <f t="shared" si="184"/>
        <v>5.1510218749317979E-6</v>
      </c>
      <c r="CW132" s="8">
        <f t="shared" si="185"/>
        <v>25.382375780857835</v>
      </c>
      <c r="CX132" s="7">
        <f t="shared" si="186"/>
        <v>1.2891429200892266E-2</v>
      </c>
      <c r="CY132" s="9">
        <f t="shared" si="187"/>
        <v>0.21730136877729225</v>
      </c>
      <c r="CZ132" s="5">
        <f t="shared" si="212"/>
        <v>710.79365846581322</v>
      </c>
      <c r="DA132" s="6">
        <f t="shared" si="188"/>
        <v>4.9215873169316267E-6</v>
      </c>
      <c r="DB132" s="8">
        <f t="shared" si="189"/>
        <v>24.063127072356849</v>
      </c>
      <c r="DC132" s="7">
        <f t="shared" si="190"/>
        <v>1.2317224813391701E-2</v>
      </c>
      <c r="DD132" s="9">
        <f t="shared" si="191"/>
        <v>0.22921480584858064</v>
      </c>
    </row>
    <row r="133" spans="2:108" x14ac:dyDescent="0.25">
      <c r="B133">
        <v>114</v>
      </c>
      <c r="C133">
        <f t="shared" si="192"/>
        <v>0.11144807196335867</v>
      </c>
      <c r="D133" s="4">
        <f t="shared" si="109"/>
        <v>1018.1367143533397</v>
      </c>
      <c r="E133" s="6">
        <f t="shared" si="110"/>
        <v>5.53627342870668E-6</v>
      </c>
      <c r="F133" s="8">
        <f t="shared" si="111"/>
        <v>27.597572215063405</v>
      </c>
      <c r="G133" s="7">
        <f t="shared" si="107"/>
        <v>1.3855595778050974E-2</v>
      </c>
      <c r="H133" s="9">
        <f t="shared" si="112"/>
        <v>0.1998590657546841</v>
      </c>
      <c r="I133" s="4">
        <f t="shared" si="193"/>
        <v>1017.8123149516592</v>
      </c>
      <c r="J133" s="6">
        <f t="shared" si="113"/>
        <v>5.5356246299033186E-6</v>
      </c>
      <c r="K133" s="8">
        <f t="shared" si="114"/>
        <v>27.59384162194408</v>
      </c>
      <c r="L133" s="7">
        <f t="shared" si="115"/>
        <v>1.3853972033473251E-2</v>
      </c>
      <c r="M133" s="9">
        <f t="shared" si="116"/>
        <v>0.19988608601760197</v>
      </c>
      <c r="N133" s="4">
        <f t="shared" si="194"/>
        <v>1016.9068406394775</v>
      </c>
      <c r="O133" s="6">
        <f t="shared" si="117"/>
        <v>5.5338136812789553E-6</v>
      </c>
      <c r="P133" s="8">
        <f t="shared" si="118"/>
        <v>27.583428667353992</v>
      </c>
      <c r="Q133" s="7">
        <f t="shared" si="108"/>
        <v>1.3855595778050974E-2</v>
      </c>
      <c r="R133" s="9">
        <f t="shared" si="119"/>
        <v>0.19996154453880297</v>
      </c>
      <c r="S133" s="4">
        <f t="shared" si="195"/>
        <v>1015.405582723149</v>
      </c>
      <c r="T133" s="6">
        <f t="shared" si="120"/>
        <v>5.5308111654462985E-6</v>
      </c>
      <c r="U133" s="8">
        <f t="shared" si="121"/>
        <v>27.566164201316212</v>
      </c>
      <c r="V133" s="7">
        <f t="shared" si="122"/>
        <v>1.3841925407043517E-2</v>
      </c>
      <c r="W133" s="9">
        <f t="shared" si="123"/>
        <v>0.20008677883942386</v>
      </c>
      <c r="X133" s="4">
        <f t="shared" si="196"/>
        <v>1013.3063618641575</v>
      </c>
      <c r="Y133" s="6">
        <f t="shared" si="124"/>
        <v>5.5266127237283148E-6</v>
      </c>
      <c r="Z133" s="8">
        <f t="shared" si="125"/>
        <v>27.542023161437811</v>
      </c>
      <c r="AA133" s="7">
        <f t="shared" si="126"/>
        <v>1.3831417994053319E-2</v>
      </c>
      <c r="AB133" s="9">
        <f t="shared" si="127"/>
        <v>0.20026215821801163</v>
      </c>
      <c r="AC133" s="4">
        <f t="shared" si="197"/>
        <v>1010.6077842639847</v>
      </c>
      <c r="AD133" s="6">
        <f t="shared" si="128"/>
        <v>5.5212155685279704E-6</v>
      </c>
      <c r="AE133" s="8">
        <f t="shared" si="129"/>
        <v>27.510989519035824</v>
      </c>
      <c r="AF133" s="7">
        <f t="shared" si="130"/>
        <v>1.3817910568567498E-2</v>
      </c>
      <c r="AG133" s="9">
        <f t="shared" si="131"/>
        <v>0.20048806300418764</v>
      </c>
      <c r="AH133" s="4">
        <f t="shared" si="198"/>
        <v>1007.3096485056474</v>
      </c>
      <c r="AI133" s="6">
        <f t="shared" si="132"/>
        <v>5.5146192970112949E-6</v>
      </c>
      <c r="AJ133" s="8">
        <f t="shared" si="133"/>
        <v>27.473060957814944</v>
      </c>
      <c r="AK133" s="7">
        <f t="shared" si="134"/>
        <v>1.3801402122416082E-2</v>
      </c>
      <c r="AL133" s="9">
        <f t="shared" si="135"/>
        <v>0.20076485137456204</v>
      </c>
      <c r="AM133" s="4">
        <f t="shared" si="199"/>
        <v>1003.41191899682</v>
      </c>
      <c r="AN133" s="6">
        <f t="shared" si="136"/>
        <v>5.5068238379936411E-6</v>
      </c>
      <c r="AO133" s="8">
        <f t="shared" si="137"/>
        <v>27.428237068463428</v>
      </c>
      <c r="AP133" s="7">
        <f t="shared" si="138"/>
        <v>1.378189247744571E-2</v>
      </c>
      <c r="AQ133" s="9">
        <f t="shared" si="139"/>
        <v>0.2010929461573665</v>
      </c>
      <c r="AR133" s="4">
        <f t="shared" si="200"/>
        <v>998.9145943350959</v>
      </c>
      <c r="AS133" s="6">
        <f t="shared" si="140"/>
        <v>5.4978291886701916E-6</v>
      </c>
      <c r="AT133" s="8">
        <f t="shared" si="141"/>
        <v>27.376517834853601</v>
      </c>
      <c r="AU133" s="7">
        <f t="shared" si="142"/>
        <v>1.3759381626636783E-2</v>
      </c>
      <c r="AV133" s="9">
        <f t="shared" si="143"/>
        <v>0.20147284739690108</v>
      </c>
      <c r="AW133" s="4">
        <f t="shared" si="201"/>
        <v>993.81767063990571</v>
      </c>
      <c r="AX133" s="6">
        <f t="shared" si="144"/>
        <v>5.4876353412798114E-6</v>
      </c>
      <c r="AY133" s="8">
        <f t="shared" si="145"/>
        <v>27.317903212358914</v>
      </c>
      <c r="AZ133" s="7">
        <f t="shared" si="146"/>
        <v>1.3733869550565561E-2</v>
      </c>
      <c r="BA133" s="9">
        <f t="shared" si="147"/>
        <v>0.20190513734248358</v>
      </c>
      <c r="BB133" s="4">
        <f t="shared" si="202"/>
        <v>988.1210999119146</v>
      </c>
      <c r="BC133" s="6">
        <f t="shared" si="148"/>
        <v>5.4762421998238298E-6</v>
      </c>
      <c r="BD133" s="8">
        <f t="shared" si="149"/>
        <v>27.252392648987019</v>
      </c>
      <c r="BE133" s="7">
        <f t="shared" si="150"/>
        <v>1.3705356008976792E-2</v>
      </c>
      <c r="BF133" s="9">
        <f t="shared" si="151"/>
        <v>0.20239048626084644</v>
      </c>
      <c r="BG133" s="4">
        <f t="shared" si="203"/>
        <v>981.82452991056198</v>
      </c>
      <c r="BH133" s="6">
        <f t="shared" si="152"/>
        <v>5.4636490598211238E-6</v>
      </c>
      <c r="BI133" s="8">
        <f t="shared" si="153"/>
        <v>27.179982093971461</v>
      </c>
      <c r="BJ133" s="7">
        <f t="shared" si="154"/>
        <v>1.3673839238770111E-2</v>
      </c>
      <c r="BK133" s="9">
        <f t="shared" si="155"/>
        <v>0.2029296774711036</v>
      </c>
      <c r="BL133" s="4">
        <f t="shared" si="204"/>
        <v>974.92567131562475</v>
      </c>
      <c r="BM133" s="6">
        <f t="shared" si="156"/>
        <v>5.4498513426312496E-6</v>
      </c>
      <c r="BN133" s="8">
        <f t="shared" si="157"/>
        <v>27.100645220129685</v>
      </c>
      <c r="BO133" s="7">
        <f t="shared" si="158"/>
        <v>1.3639307781011634E-2</v>
      </c>
      <c r="BP133" s="9">
        <f t="shared" si="159"/>
        <v>0.20352375211727913</v>
      </c>
      <c r="BQ133" s="4">
        <f t="shared" si="205"/>
        <v>967.41120113190561</v>
      </c>
      <c r="BR133" s="6">
        <f t="shared" si="160"/>
        <v>5.4348224022638116E-6</v>
      </c>
      <c r="BS133" s="8">
        <f t="shared" si="161"/>
        <v>27.014228813016913</v>
      </c>
      <c r="BT133" s="7">
        <f t="shared" si="162"/>
        <v>1.3601694948953176E-2</v>
      </c>
      <c r="BU133" s="9">
        <f t="shared" si="163"/>
        <v>0.20417480869719568</v>
      </c>
      <c r="BV133" s="4">
        <f t="shared" si="206"/>
        <v>959.21250470554935</v>
      </c>
      <c r="BW133" s="6">
        <f t="shared" si="164"/>
        <v>5.418425009411099E-6</v>
      </c>
      <c r="BX133" s="8">
        <f t="shared" si="165"/>
        <v>26.919943804113817</v>
      </c>
      <c r="BY133" s="7">
        <f t="shared" si="166"/>
        <v>1.3560657299692025E-2</v>
      </c>
      <c r="BZ133" s="9">
        <f t="shared" si="167"/>
        <v>0.20488991508062213</v>
      </c>
      <c r="CA133" s="4">
        <f t="shared" si="207"/>
        <v>950.02192635830852</v>
      </c>
      <c r="CB133" s="6">
        <f t="shared" si="168"/>
        <v>5.400043852716618E-6</v>
      </c>
      <c r="CC133" s="8">
        <f t="shared" si="169"/>
        <v>26.814252153120549</v>
      </c>
      <c r="CD133" s="7">
        <f t="shared" si="170"/>
        <v>1.3514654897467603E-2</v>
      </c>
      <c r="CE133" s="9">
        <f t="shared" si="171"/>
        <v>0.20569751371410561</v>
      </c>
      <c r="CF133" s="4">
        <f t="shared" si="208"/>
        <v>938.6642389104826</v>
      </c>
      <c r="CG133" s="6">
        <f t="shared" si="172"/>
        <v>5.3773284778209655E-6</v>
      </c>
      <c r="CH133" s="8">
        <f t="shared" si="173"/>
        <v>26.68363874747055</v>
      </c>
      <c r="CI133" s="7">
        <f t="shared" si="174"/>
        <v>1.345780527532483E-2</v>
      </c>
      <c r="CJ133" s="9">
        <f t="shared" si="175"/>
        <v>0.20670437987108667</v>
      </c>
      <c r="CK133" s="4">
        <f t="shared" si="209"/>
        <v>921.42918715474934</v>
      </c>
      <c r="CL133" s="6">
        <f t="shared" si="176"/>
        <v>5.3428583743094992E-6</v>
      </c>
      <c r="CM133" s="8">
        <f t="shared" si="177"/>
        <v>26.485435652279616</v>
      </c>
      <c r="CN133" s="7">
        <f t="shared" si="178"/>
        <v>1.3371537169742114E-2</v>
      </c>
      <c r="CO133" s="9">
        <f t="shared" si="179"/>
        <v>0.2082512469273001</v>
      </c>
      <c r="CP133" s="4">
        <f t="shared" si="210"/>
        <v>889.07006060043182</v>
      </c>
      <c r="CQ133" s="6">
        <f t="shared" si="180"/>
        <v>5.2781401212008642E-6</v>
      </c>
      <c r="CR133" s="8">
        <f t="shared" si="181"/>
        <v>26.113305696904966</v>
      </c>
      <c r="CS133" s="7">
        <f t="shared" si="182"/>
        <v>1.3209567215388846E-2</v>
      </c>
      <c r="CT133" s="9">
        <f t="shared" si="183"/>
        <v>0.2112189496044436</v>
      </c>
      <c r="CU133" s="4">
        <f t="shared" si="211"/>
        <v>824.77913399770785</v>
      </c>
      <c r="CV133" s="6">
        <f t="shared" si="184"/>
        <v>5.1495582679954163E-6</v>
      </c>
      <c r="CW133" s="8">
        <f t="shared" si="185"/>
        <v>25.373960040973639</v>
      </c>
      <c r="CX133" s="7">
        <f t="shared" si="186"/>
        <v>1.2887766241258931E-2</v>
      </c>
      <c r="CY133" s="9">
        <f t="shared" si="187"/>
        <v>0.21737344076736226</v>
      </c>
      <c r="CZ133" s="5">
        <f t="shared" si="212"/>
        <v>710.00417413922503</v>
      </c>
      <c r="DA133" s="6">
        <f t="shared" si="188"/>
        <v>4.9200083482784508E-6</v>
      </c>
      <c r="DB133" s="8">
        <f t="shared" si="189"/>
        <v>24.054048002601085</v>
      </c>
      <c r="DC133" s="7">
        <f t="shared" si="190"/>
        <v>1.2313273138734307E-2</v>
      </c>
      <c r="DD133" s="9">
        <f t="shared" si="191"/>
        <v>0.22930132173194165</v>
      </c>
    </row>
    <row r="134" spans="2:108" x14ac:dyDescent="0.25">
      <c r="B134">
        <v>115</v>
      </c>
      <c r="C134">
        <f t="shared" si="192"/>
        <v>0.11242568662970392</v>
      </c>
      <c r="D134" s="4">
        <f t="shared" si="109"/>
        <v>1018.1201521586469</v>
      </c>
      <c r="E134" s="6">
        <f t="shared" si="110"/>
        <v>5.5362403043172944E-6</v>
      </c>
      <c r="F134" s="8">
        <f t="shared" si="111"/>
        <v>27.597381749824436</v>
      </c>
      <c r="G134" s="7">
        <f t="shared" si="107"/>
        <v>1.385551287785545E-2</v>
      </c>
      <c r="H134" s="9">
        <f t="shared" si="112"/>
        <v>0.19986044509585002</v>
      </c>
      <c r="I134" s="4">
        <f t="shared" si="193"/>
        <v>1017.7957435952135</v>
      </c>
      <c r="J134" s="6">
        <f t="shared" si="113"/>
        <v>5.5355914871904275E-6</v>
      </c>
      <c r="K134" s="8">
        <f t="shared" si="114"/>
        <v>27.593651051344956</v>
      </c>
      <c r="L134" s="7">
        <f t="shared" si="115"/>
        <v>1.3853889087419607E-2</v>
      </c>
      <c r="M134" s="9">
        <f t="shared" si="116"/>
        <v>0.19988746649498418</v>
      </c>
      <c r="N134" s="4">
        <f t="shared" si="194"/>
        <v>1016.8902510691663</v>
      </c>
      <c r="O134" s="6">
        <f t="shared" si="117"/>
        <v>5.5337805021383333E-6</v>
      </c>
      <c r="P134" s="8">
        <f t="shared" si="118"/>
        <v>27.583237887295411</v>
      </c>
      <c r="Q134" s="7">
        <f t="shared" si="108"/>
        <v>1.385551287785545E-2</v>
      </c>
      <c r="R134" s="9">
        <f t="shared" si="119"/>
        <v>0.19996292757712997</v>
      </c>
      <c r="S134" s="4">
        <f t="shared" si="195"/>
        <v>1015.3889832265568</v>
      </c>
      <c r="T134" s="6">
        <f t="shared" si="120"/>
        <v>5.5307779664531139E-6</v>
      </c>
      <c r="U134" s="8">
        <f t="shared" si="121"/>
        <v>27.565973307105402</v>
      </c>
      <c r="V134" s="7">
        <f t="shared" si="122"/>
        <v>1.3841842320137547E-2</v>
      </c>
      <c r="W134" s="9">
        <f t="shared" si="123"/>
        <v>0.20008816443924704</v>
      </c>
      <c r="X134" s="4">
        <f t="shared" si="196"/>
        <v>1013.289764366433</v>
      </c>
      <c r="Y134" s="6">
        <f t="shared" si="124"/>
        <v>5.5265795287328665E-6</v>
      </c>
      <c r="Z134" s="8">
        <f t="shared" si="125"/>
        <v>27.541832290213978</v>
      </c>
      <c r="AA134" s="7">
        <f t="shared" si="126"/>
        <v>1.3831334917152455E-2</v>
      </c>
      <c r="AB134" s="9">
        <f t="shared" si="127"/>
        <v>0.20026354608076613</v>
      </c>
      <c r="AC134" s="4">
        <f t="shared" si="197"/>
        <v>1010.5911973192104</v>
      </c>
      <c r="AD134" s="6">
        <f t="shared" si="128"/>
        <v>5.5211823946384215E-6</v>
      </c>
      <c r="AE134" s="8">
        <f t="shared" si="129"/>
        <v>27.510798769170918</v>
      </c>
      <c r="AF134" s="7">
        <f t="shared" si="130"/>
        <v>1.3817827544488234E-2</v>
      </c>
      <c r="AG134" s="9">
        <f t="shared" si="131"/>
        <v>0.20048945311544009</v>
      </c>
      <c r="AH134" s="4">
        <f t="shared" si="198"/>
        <v>1007.2930774871651</v>
      </c>
      <c r="AI134" s="6">
        <f t="shared" si="132"/>
        <v>5.5145861549743311E-6</v>
      </c>
      <c r="AJ134" s="8">
        <f t="shared" si="133"/>
        <v>27.472870391102397</v>
      </c>
      <c r="AK134" s="7">
        <f t="shared" si="134"/>
        <v>1.3801319178054076E-2</v>
      </c>
      <c r="AL134" s="9">
        <f t="shared" si="135"/>
        <v>0.20076624398833615</v>
      </c>
      <c r="AM134" s="4">
        <f t="shared" si="199"/>
        <v>1003.3953678768712</v>
      </c>
      <c r="AN134" s="6">
        <f t="shared" si="136"/>
        <v>5.5067907357537428E-6</v>
      </c>
      <c r="AO134" s="8">
        <f t="shared" si="137"/>
        <v>27.428046730584018</v>
      </c>
      <c r="AP134" s="7">
        <f t="shared" si="138"/>
        <v>1.3781809632683564E-2</v>
      </c>
      <c r="AQ134" s="9">
        <f t="shared" si="139"/>
        <v>0.201094341648825</v>
      </c>
      <c r="AR134" s="4">
        <f t="shared" si="200"/>
        <v>998.89806664383423</v>
      </c>
      <c r="AS134" s="6">
        <f t="shared" si="140"/>
        <v>5.4977961332876689E-6</v>
      </c>
      <c r="AT134" s="8">
        <f t="shared" si="141"/>
        <v>27.376327766404092</v>
      </c>
      <c r="AU134" s="7">
        <f t="shared" si="142"/>
        <v>1.3759298899144288E-2</v>
      </c>
      <c r="AV134" s="9">
        <f t="shared" si="143"/>
        <v>0.20147424618318277</v>
      </c>
      <c r="AW134" s="4">
        <f t="shared" si="201"/>
        <v>993.80116931070665</v>
      </c>
      <c r="AX134" s="6">
        <f t="shared" si="144"/>
        <v>5.4876023386214143E-6</v>
      </c>
      <c r="AY134" s="8">
        <f t="shared" si="145"/>
        <v>27.317713447073125</v>
      </c>
      <c r="AZ134" s="7">
        <f t="shared" si="146"/>
        <v>1.3733786955025397E-2</v>
      </c>
      <c r="BA134" s="9">
        <f t="shared" si="147"/>
        <v>0.20190653989713606</v>
      </c>
      <c r="BB134" s="4">
        <f t="shared" si="202"/>
        <v>988.10462408773617</v>
      </c>
      <c r="BC134" s="6">
        <f t="shared" si="148"/>
        <v>5.4762092481754729E-6</v>
      </c>
      <c r="BD134" s="8">
        <f t="shared" si="149"/>
        <v>27.252203177008965</v>
      </c>
      <c r="BE134" s="7">
        <f t="shared" si="150"/>
        <v>1.3705273541099124E-2</v>
      </c>
      <c r="BF134" s="9">
        <f t="shared" si="151"/>
        <v>0.20239189338839214</v>
      </c>
      <c r="BG134" s="4">
        <f t="shared" si="203"/>
        <v>981.80805506434513</v>
      </c>
      <c r="BH134" s="6">
        <f t="shared" si="152"/>
        <v>5.4636161101286913E-6</v>
      </c>
      <c r="BI134" s="8">
        <f t="shared" si="153"/>
        <v>27.17979263323997</v>
      </c>
      <c r="BJ134" s="7">
        <f t="shared" si="154"/>
        <v>1.3673756775787521E-2</v>
      </c>
      <c r="BK134" s="9">
        <f t="shared" si="155"/>
        <v>0.2029310920221877</v>
      </c>
      <c r="BL134" s="4">
        <f t="shared" si="204"/>
        <v>974.9090417444894</v>
      </c>
      <c r="BM134" s="6">
        <f t="shared" si="156"/>
        <v>5.4498180834889789E-6</v>
      </c>
      <c r="BN134" s="8">
        <f t="shared" si="157"/>
        <v>27.100453980061626</v>
      </c>
      <c r="BO134" s="7">
        <f t="shared" si="158"/>
        <v>1.3639224543570933E-2</v>
      </c>
      <c r="BP134" s="9">
        <f t="shared" si="159"/>
        <v>0.20352518832555208</v>
      </c>
      <c r="BQ134" s="4">
        <f t="shared" si="205"/>
        <v>967.39362591624808</v>
      </c>
      <c r="BR134" s="6">
        <f t="shared" si="160"/>
        <v>5.4347872518324975E-6</v>
      </c>
      <c r="BS134" s="8">
        <f t="shared" si="161"/>
        <v>27.014026698036851</v>
      </c>
      <c r="BT134" s="7">
        <f t="shared" si="162"/>
        <v>1.3601606978195591E-2</v>
      </c>
      <c r="BU134" s="9">
        <f t="shared" si="163"/>
        <v>0.20417633630312612</v>
      </c>
      <c r="BV134" s="4">
        <f t="shared" si="206"/>
        <v>959.19056630031037</v>
      </c>
      <c r="BW134" s="6">
        <f t="shared" si="164"/>
        <v>5.4183811326006211E-6</v>
      </c>
      <c r="BX134" s="8">
        <f t="shared" si="165"/>
        <v>26.919691512453568</v>
      </c>
      <c r="BY134" s="7">
        <f t="shared" si="166"/>
        <v>1.3560547489481631E-2</v>
      </c>
      <c r="BZ134" s="9">
        <f t="shared" si="167"/>
        <v>0.20489183531127633</v>
      </c>
      <c r="CA134" s="4">
        <f t="shared" si="207"/>
        <v>949.98325098129715</v>
      </c>
      <c r="CB134" s="6">
        <f t="shared" si="168"/>
        <v>5.3999665019625948E-6</v>
      </c>
      <c r="CC134" s="8">
        <f t="shared" si="169"/>
        <v>26.813807386284914</v>
      </c>
      <c r="CD134" s="7">
        <f t="shared" si="170"/>
        <v>1.3514461312234743E-2</v>
      </c>
      <c r="CE134" s="9">
        <f t="shared" si="171"/>
        <v>0.20570092566642387</v>
      </c>
      <c r="CF134" s="4">
        <f t="shared" si="208"/>
        <v>938.57273401455745</v>
      </c>
      <c r="CG134" s="6">
        <f t="shared" si="172"/>
        <v>5.377145468029115E-6</v>
      </c>
      <c r="CH134" s="8">
        <f t="shared" si="173"/>
        <v>26.682586441167409</v>
      </c>
      <c r="CI134" s="7">
        <f t="shared" si="174"/>
        <v>1.3457347257899941E-2</v>
      </c>
      <c r="CJ134" s="9">
        <f t="shared" si="175"/>
        <v>0.20671253186648281</v>
      </c>
      <c r="CK134" s="4">
        <f t="shared" si="209"/>
        <v>921.20602763765714</v>
      </c>
      <c r="CL134" s="6">
        <f t="shared" si="176"/>
        <v>5.3424120552753146E-6</v>
      </c>
      <c r="CM134" s="8">
        <f t="shared" si="177"/>
        <v>26.482869317833057</v>
      </c>
      <c r="CN134" s="7">
        <f t="shared" si="178"/>
        <v>1.3370420169975873E-2</v>
      </c>
      <c r="CO134" s="9">
        <f t="shared" si="179"/>
        <v>0.2082714276087102</v>
      </c>
      <c r="CP134" s="4">
        <f t="shared" si="210"/>
        <v>888.6072231331076</v>
      </c>
      <c r="CQ134" s="6">
        <f t="shared" si="180"/>
        <v>5.277214446266215E-6</v>
      </c>
      <c r="CR134" s="8">
        <f t="shared" si="181"/>
        <v>26.107983066030737</v>
      </c>
      <c r="CS134" s="7">
        <f t="shared" si="182"/>
        <v>1.3207250534704349E-2</v>
      </c>
      <c r="CT134" s="9">
        <f t="shared" si="183"/>
        <v>0.21126201078230417</v>
      </c>
      <c r="CU134" s="4">
        <f t="shared" si="211"/>
        <v>824.05014272184633</v>
      </c>
      <c r="CV134" s="6">
        <f t="shared" si="184"/>
        <v>5.1481002854436936E-6</v>
      </c>
      <c r="CW134" s="8">
        <f t="shared" si="185"/>
        <v>25.365576641301232</v>
      </c>
      <c r="CX134" s="7">
        <f t="shared" si="186"/>
        <v>1.288411735773678E-2</v>
      </c>
      <c r="CY134" s="9">
        <f t="shared" si="187"/>
        <v>0.21744528334590438</v>
      </c>
      <c r="CZ134" s="5">
        <f t="shared" si="212"/>
        <v>709.21947486405634</v>
      </c>
      <c r="DA134" s="6">
        <f t="shared" si="188"/>
        <v>4.9184389497281128E-6</v>
      </c>
      <c r="DB134" s="8">
        <f t="shared" si="189"/>
        <v>24.045023960936646</v>
      </c>
      <c r="DC134" s="7">
        <f t="shared" si="190"/>
        <v>1.2309345415111521E-2</v>
      </c>
      <c r="DD134" s="9">
        <f t="shared" si="191"/>
        <v>0.22938737798559236</v>
      </c>
    </row>
    <row r="135" spans="2:108" x14ac:dyDescent="0.25">
      <c r="B135">
        <v>116</v>
      </c>
      <c r="C135">
        <f t="shared" si="192"/>
        <v>0.11340330129604917</v>
      </c>
      <c r="D135" s="4">
        <f t="shared" si="109"/>
        <v>1018.1035894962013</v>
      </c>
      <c r="E135" s="6">
        <f t="shared" si="110"/>
        <v>5.5362071789924025E-6</v>
      </c>
      <c r="F135" s="8">
        <f t="shared" si="111"/>
        <v>27.597191279206314</v>
      </c>
      <c r="G135" s="7">
        <f t="shared" si="107"/>
        <v>1.3855429975318639E-2</v>
      </c>
      <c r="H135" s="9">
        <f t="shared" si="112"/>
        <v>0.19986182449501172</v>
      </c>
      <c r="I135" s="4">
        <f t="shared" si="193"/>
        <v>1017.7791720228488</v>
      </c>
      <c r="J135" s="6">
        <f t="shared" si="113"/>
        <v>5.5355583440456979E-6</v>
      </c>
      <c r="K135" s="8">
        <f t="shared" si="114"/>
        <v>27.593460478262759</v>
      </c>
      <c r="L135" s="7">
        <f t="shared" si="115"/>
        <v>1.3853806140285203E-2</v>
      </c>
      <c r="M135" s="9">
        <f t="shared" si="116"/>
        <v>0.19988884700942211</v>
      </c>
      <c r="N135" s="4">
        <f t="shared" si="194"/>
        <v>1016.8736616155342</v>
      </c>
      <c r="O135" s="6">
        <f t="shared" si="117"/>
        <v>5.5337473232310688E-6</v>
      </c>
      <c r="P135" s="8">
        <f t="shared" si="118"/>
        <v>27.58304710857864</v>
      </c>
      <c r="Q135" s="7">
        <f t="shared" si="108"/>
        <v>1.3855429975318639E-2</v>
      </c>
      <c r="R135" s="9">
        <f t="shared" si="119"/>
        <v>0.19996431062486125</v>
      </c>
      <c r="S135" s="4">
        <f t="shared" si="195"/>
        <v>1015.3723839762072</v>
      </c>
      <c r="T135" s="6">
        <f t="shared" si="120"/>
        <v>5.5307447679524146E-6</v>
      </c>
      <c r="U135" s="8">
        <f t="shared" si="121"/>
        <v>27.565782415726382</v>
      </c>
      <c r="V135" s="7">
        <f t="shared" si="122"/>
        <v>1.3841759234464115E-2</v>
      </c>
      <c r="W135" s="9">
        <f t="shared" si="123"/>
        <v>0.20008955003770601</v>
      </c>
      <c r="X135" s="4">
        <f t="shared" si="196"/>
        <v>1013.2731671084561</v>
      </c>
      <c r="Y135" s="6">
        <f t="shared" si="124"/>
        <v>5.5265463342169125E-6</v>
      </c>
      <c r="Z135" s="8">
        <f t="shared" si="125"/>
        <v>27.541641421747244</v>
      </c>
      <c r="AA135" s="7">
        <f t="shared" si="126"/>
        <v>1.3831251841451621E-2</v>
      </c>
      <c r="AB135" s="9">
        <f t="shared" si="127"/>
        <v>0.20026493394270936</v>
      </c>
      <c r="AC135" s="4">
        <f t="shared" si="197"/>
        <v>1010.5746105850071</v>
      </c>
      <c r="AD135" s="6">
        <f t="shared" si="128"/>
        <v>5.5211492211700149E-6</v>
      </c>
      <c r="AE135" s="8">
        <f t="shared" si="129"/>
        <v>27.510608021727581</v>
      </c>
      <c r="AF135" s="7">
        <f t="shared" si="130"/>
        <v>1.3817744521462959E-2</v>
      </c>
      <c r="AG135" s="9">
        <f t="shared" si="131"/>
        <v>0.20049084322832192</v>
      </c>
      <c r="AH135" s="4">
        <f t="shared" si="198"/>
        <v>1007.2765066643871</v>
      </c>
      <c r="AI135" s="6">
        <f t="shared" si="132"/>
        <v>5.5145530133287744E-6</v>
      </c>
      <c r="AJ135" s="8">
        <f t="shared" si="133"/>
        <v>27.472679826640451</v>
      </c>
      <c r="AK135" s="7">
        <f t="shared" si="134"/>
        <v>1.3801236234671645E-2</v>
      </c>
      <c r="AL135" s="9">
        <f t="shared" si="135"/>
        <v>0.20076763660498309</v>
      </c>
      <c r="AM135" s="4">
        <f t="shared" si="199"/>
        <v>1003.3788169478241</v>
      </c>
      <c r="AN135" s="6">
        <f t="shared" si="136"/>
        <v>5.5067576338956487E-6</v>
      </c>
      <c r="AO135" s="8">
        <f t="shared" si="137"/>
        <v>27.427856394899976</v>
      </c>
      <c r="AP135" s="7">
        <f t="shared" si="138"/>
        <v>1.3781726788876956E-2</v>
      </c>
      <c r="AQ135" s="9">
        <f t="shared" si="139"/>
        <v>0.20109573714355575</v>
      </c>
      <c r="AR135" s="4">
        <f t="shared" si="200"/>
        <v>998.88153913523684</v>
      </c>
      <c r="AS135" s="6">
        <f t="shared" si="140"/>
        <v>5.4977630782704739E-6</v>
      </c>
      <c r="AT135" s="8">
        <f t="shared" si="141"/>
        <v>27.376137700055224</v>
      </c>
      <c r="AU135" s="7">
        <f t="shared" si="142"/>
        <v>1.3759216172566096E-2</v>
      </c>
      <c r="AV135" s="9">
        <f t="shared" si="143"/>
        <v>0.20147564497342785</v>
      </c>
      <c r="AW135" s="4">
        <f t="shared" si="201"/>
        <v>993.78466810857537</v>
      </c>
      <c r="AX135" s="6">
        <f t="shared" si="144"/>
        <v>5.4875693362171508E-6</v>
      </c>
      <c r="AY135" s="8">
        <f t="shared" si="145"/>
        <v>27.317523683248616</v>
      </c>
      <c r="AZ135" s="7">
        <f t="shared" si="146"/>
        <v>1.3733704360121248E-2</v>
      </c>
      <c r="BA135" s="9">
        <f t="shared" si="147"/>
        <v>0.20190794246047408</v>
      </c>
      <c r="BB135" s="4">
        <f t="shared" si="202"/>
        <v>988.08814804398128</v>
      </c>
      <c r="BC135" s="6">
        <f t="shared" si="148"/>
        <v>5.4761762960879633E-6</v>
      </c>
      <c r="BD135" s="8">
        <f t="shared" si="149"/>
        <v>27.252013702505785</v>
      </c>
      <c r="BE135" s="7">
        <f t="shared" si="150"/>
        <v>1.3705191072122392E-2</v>
      </c>
      <c r="BF135" s="9">
        <f t="shared" si="151"/>
        <v>0.20239330055425761</v>
      </c>
      <c r="BG135" s="4">
        <f t="shared" si="203"/>
        <v>981.79157808754621</v>
      </c>
      <c r="BH135" s="6">
        <f t="shared" si="152"/>
        <v>5.4635831561750935E-6</v>
      </c>
      <c r="BI135" s="8">
        <f t="shared" si="153"/>
        <v>27.17960314800678</v>
      </c>
      <c r="BJ135" s="7">
        <f t="shared" si="154"/>
        <v>1.3673674302140544E-2</v>
      </c>
      <c r="BK135" s="9">
        <f t="shared" si="155"/>
        <v>0.20293250677593094</v>
      </c>
      <c r="BL135" s="4">
        <f t="shared" si="204"/>
        <v>974.89240083195807</v>
      </c>
      <c r="BM135" s="6">
        <f t="shared" si="156"/>
        <v>5.4497848016639164E-6</v>
      </c>
      <c r="BN135" s="8">
        <f t="shared" si="157"/>
        <v>27.100262609567515</v>
      </c>
      <c r="BO135" s="7">
        <f t="shared" si="158"/>
        <v>1.3639141249362155E-2</v>
      </c>
      <c r="BP135" s="9">
        <f t="shared" si="159"/>
        <v>0.2035266255336122</v>
      </c>
      <c r="BQ135" s="4">
        <f t="shared" si="205"/>
        <v>967.37600141062126</v>
      </c>
      <c r="BR135" s="6">
        <f t="shared" si="160"/>
        <v>5.4347520028212427E-6</v>
      </c>
      <c r="BS135" s="8">
        <f t="shared" si="161"/>
        <v>27.013824016222145</v>
      </c>
      <c r="BT135" s="7">
        <f t="shared" si="162"/>
        <v>1.3601518760722627E-2</v>
      </c>
      <c r="BU135" s="9">
        <f t="shared" si="163"/>
        <v>0.20417786821620654</v>
      </c>
      <c r="BV135" s="4">
        <f t="shared" si="206"/>
        <v>959.1684494853348</v>
      </c>
      <c r="BW135" s="6">
        <f t="shared" si="164"/>
        <v>5.4183368989706702E-6</v>
      </c>
      <c r="BX135" s="8">
        <f t="shared" si="165"/>
        <v>26.919437169081348</v>
      </c>
      <c r="BY135" s="7">
        <f t="shared" si="166"/>
        <v>1.3560436786261443E-2</v>
      </c>
      <c r="BZ135" s="9">
        <f t="shared" si="167"/>
        <v>0.20489377119425956</v>
      </c>
      <c r="CA135" s="4">
        <f t="shared" si="207"/>
        <v>949.9440550442464</v>
      </c>
      <c r="CB135" s="6">
        <f t="shared" si="168"/>
        <v>5.3998881100884938E-6</v>
      </c>
      <c r="CC135" s="8">
        <f t="shared" si="169"/>
        <v>26.813356633008834</v>
      </c>
      <c r="CD135" s="7">
        <f t="shared" si="170"/>
        <v>1.3514265121397384E-2</v>
      </c>
      <c r="CE135" s="9">
        <f t="shared" si="171"/>
        <v>0.20570438365817797</v>
      </c>
      <c r="CF135" s="4">
        <f t="shared" si="208"/>
        <v>938.48008727220144</v>
      </c>
      <c r="CG135" s="6">
        <f t="shared" si="172"/>
        <v>5.3769601745444034E-6</v>
      </c>
      <c r="CH135" s="8">
        <f t="shared" si="173"/>
        <v>26.681521003630316</v>
      </c>
      <c r="CI135" s="7">
        <f t="shared" si="174"/>
        <v>1.3456883525091664E-2</v>
      </c>
      <c r="CJ135" s="9">
        <f t="shared" si="175"/>
        <v>0.20672078624189147</v>
      </c>
      <c r="CK135" s="4">
        <f t="shared" si="209"/>
        <v>920.98127518318699</v>
      </c>
      <c r="CL135" s="6">
        <f t="shared" si="176"/>
        <v>5.3419625503663745E-6</v>
      </c>
      <c r="CM135" s="8">
        <f t="shared" si="177"/>
        <v>26.48028466460665</v>
      </c>
      <c r="CN135" s="7">
        <f t="shared" si="178"/>
        <v>1.3369295196941444E-2</v>
      </c>
      <c r="CO135" s="9">
        <f t="shared" si="179"/>
        <v>0.20829175629566185</v>
      </c>
      <c r="CP135" s="4">
        <f t="shared" si="210"/>
        <v>888.14388279448212</v>
      </c>
      <c r="CQ135" s="6">
        <f t="shared" si="180"/>
        <v>5.2762877655889651E-6</v>
      </c>
      <c r="CR135" s="8">
        <f t="shared" si="181"/>
        <v>26.102654652136543</v>
      </c>
      <c r="CS135" s="7">
        <f t="shared" si="182"/>
        <v>1.3204931336954337E-2</v>
      </c>
      <c r="CT135" s="9">
        <f t="shared" si="183"/>
        <v>0.2113051363359526</v>
      </c>
      <c r="CU135" s="4">
        <f t="shared" si="211"/>
        <v>823.32394653316874</v>
      </c>
      <c r="CV135" s="6">
        <f t="shared" si="184"/>
        <v>5.1466478930663379E-6</v>
      </c>
      <c r="CW135" s="8">
        <f t="shared" si="185"/>
        <v>25.357225385131439</v>
      </c>
      <c r="CX135" s="7">
        <f t="shared" si="186"/>
        <v>1.2880482464707941E-2</v>
      </c>
      <c r="CY135" s="9">
        <f t="shared" si="187"/>
        <v>0.21751689769789101</v>
      </c>
      <c r="CZ135" s="5">
        <f t="shared" si="212"/>
        <v>708.43948701560464</v>
      </c>
      <c r="DA135" s="6">
        <f t="shared" si="188"/>
        <v>4.9168789740312094E-6</v>
      </c>
      <c r="DB135" s="8">
        <f t="shared" si="189"/>
        <v>24.036054100679451</v>
      </c>
      <c r="DC135" s="7">
        <f t="shared" si="190"/>
        <v>1.2305441274003208E-2</v>
      </c>
      <c r="DD135" s="9">
        <f t="shared" si="191"/>
        <v>0.22947298158411469</v>
      </c>
    </row>
    <row r="136" spans="2:108" x14ac:dyDescent="0.25">
      <c r="B136">
        <v>117</v>
      </c>
      <c r="C136">
        <f t="shared" si="192"/>
        <v>0.11438091596239441</v>
      </c>
      <c r="D136" s="4">
        <f t="shared" si="109"/>
        <v>1018.0870263788602</v>
      </c>
      <c r="E136" s="6">
        <f t="shared" si="110"/>
        <v>5.5361740527577209E-6</v>
      </c>
      <c r="F136" s="8">
        <f t="shared" si="111"/>
        <v>27.597000803356892</v>
      </c>
      <c r="G136" s="7">
        <f t="shared" si="107"/>
        <v>1.3855347070504903E-2</v>
      </c>
      <c r="H136" s="9">
        <f t="shared" si="112"/>
        <v>0.19986320395110041</v>
      </c>
      <c r="I136" s="4">
        <f t="shared" si="193"/>
        <v>1017.7626002397394</v>
      </c>
      <c r="J136" s="6">
        <f t="shared" si="113"/>
        <v>5.5355252004794796E-6</v>
      </c>
      <c r="K136" s="8">
        <f t="shared" si="114"/>
        <v>27.593269902757001</v>
      </c>
      <c r="L136" s="7">
        <f t="shared" si="115"/>
        <v>1.3853723192095942E-2</v>
      </c>
      <c r="M136" s="9">
        <f t="shared" si="116"/>
        <v>0.19989022756048577</v>
      </c>
      <c r="N136" s="4">
        <f t="shared" si="194"/>
        <v>1016.8570722773699</v>
      </c>
      <c r="O136" s="6">
        <f t="shared" si="117"/>
        <v>5.5337141445547402E-6</v>
      </c>
      <c r="P136" s="8">
        <f t="shared" si="118"/>
        <v>27.582856331189753</v>
      </c>
      <c r="Q136" s="7">
        <f t="shared" si="108"/>
        <v>1.3855347070504903E-2</v>
      </c>
      <c r="R136" s="9">
        <f t="shared" si="119"/>
        <v>0.19996569368209774</v>
      </c>
      <c r="S136" s="4">
        <f t="shared" si="195"/>
        <v>1015.3557849705002</v>
      </c>
      <c r="T136" s="6">
        <f t="shared" si="120"/>
        <v>5.5307115699410004E-6</v>
      </c>
      <c r="U136" s="8">
        <f t="shared" si="121"/>
        <v>27.565591527160752</v>
      </c>
      <c r="V136" s="7">
        <f t="shared" si="122"/>
        <v>1.3841676150015214E-2</v>
      </c>
      <c r="W136" s="9">
        <f t="shared" si="123"/>
        <v>0.20009093563493385</v>
      </c>
      <c r="X136" s="4">
        <f t="shared" si="196"/>
        <v>1013.2565700898477</v>
      </c>
      <c r="Y136" s="6">
        <f t="shared" si="124"/>
        <v>5.5265131401796957E-6</v>
      </c>
      <c r="Z136" s="8">
        <f t="shared" si="125"/>
        <v>27.541450556033247</v>
      </c>
      <c r="AA136" s="7">
        <f t="shared" si="126"/>
        <v>1.3831168766948917E-2</v>
      </c>
      <c r="AB136" s="9">
        <f t="shared" si="127"/>
        <v>0.2002663218038726</v>
      </c>
      <c r="AC136" s="4">
        <f t="shared" si="197"/>
        <v>1010.5580240615091</v>
      </c>
      <c r="AD136" s="6">
        <f t="shared" si="128"/>
        <v>5.521116048123019E-6</v>
      </c>
      <c r="AE136" s="8">
        <f t="shared" si="129"/>
        <v>27.510417276707351</v>
      </c>
      <c r="AF136" s="7">
        <f t="shared" si="130"/>
        <v>1.3817661499492349E-2</v>
      </c>
      <c r="AG136" s="9">
        <f t="shared" si="131"/>
        <v>0.20049223334282157</v>
      </c>
      <c r="AH136" s="4">
        <f t="shared" si="198"/>
        <v>1007.2599360374272</v>
      </c>
      <c r="AI136" s="6">
        <f t="shared" si="132"/>
        <v>5.5145198720748552E-6</v>
      </c>
      <c r="AJ136" s="8">
        <f t="shared" si="133"/>
        <v>27.472489264430415</v>
      </c>
      <c r="AK136" s="7">
        <f t="shared" si="134"/>
        <v>1.3801153292269358E-2</v>
      </c>
      <c r="AL136" s="9">
        <f t="shared" si="135"/>
        <v>0.200769029224493</v>
      </c>
      <c r="AM136" s="4">
        <f t="shared" si="199"/>
        <v>1003.3622662096163</v>
      </c>
      <c r="AN136" s="6">
        <f t="shared" si="136"/>
        <v>5.5067245324192328E-6</v>
      </c>
      <c r="AO136" s="8">
        <f t="shared" si="137"/>
        <v>27.427666061410587</v>
      </c>
      <c r="AP136" s="7">
        <f t="shared" si="138"/>
        <v>1.3781643946025572E-2</v>
      </c>
      <c r="AQ136" s="9">
        <f t="shared" si="139"/>
        <v>0.2010971326415637</v>
      </c>
      <c r="AR136" s="4">
        <f t="shared" si="200"/>
        <v>998.86501180859375</v>
      </c>
      <c r="AS136" s="6">
        <f t="shared" si="140"/>
        <v>5.4977300236171881E-6</v>
      </c>
      <c r="AT136" s="8">
        <f t="shared" si="141"/>
        <v>27.375947635798827</v>
      </c>
      <c r="AU136" s="7">
        <f t="shared" si="142"/>
        <v>1.3759133446898658E-2</v>
      </c>
      <c r="AV136" s="9">
        <f t="shared" si="143"/>
        <v>0.20147704376769621</v>
      </c>
      <c r="AW136" s="4">
        <f t="shared" si="201"/>
        <v>993.76816702919837</v>
      </c>
      <c r="AX136" s="6">
        <f t="shared" si="144"/>
        <v>5.4875363340583973E-6</v>
      </c>
      <c r="AY136" s="8">
        <f t="shared" si="145"/>
        <v>27.317333920835779</v>
      </c>
      <c r="AZ136" s="7">
        <f t="shared" si="146"/>
        <v>1.3733621765831537E-2</v>
      </c>
      <c r="BA136" s="9">
        <f t="shared" si="147"/>
        <v>0.20190934503286434</v>
      </c>
      <c r="BB136" s="4">
        <f t="shared" si="202"/>
        <v>988.07167175761845</v>
      </c>
      <c r="BC136" s="6">
        <f t="shared" si="148"/>
        <v>5.4761433435152368E-6</v>
      </c>
      <c r="BD136" s="8">
        <f t="shared" si="149"/>
        <v>27.251824225212612</v>
      </c>
      <c r="BE136" s="7">
        <f t="shared" si="150"/>
        <v>1.3705108601931309E-2</v>
      </c>
      <c r="BF136" s="9">
        <f t="shared" si="151"/>
        <v>0.20239470776041116</v>
      </c>
      <c r="BG136" s="4">
        <f t="shared" si="203"/>
        <v>981.77509887322049</v>
      </c>
      <c r="BH136" s="6">
        <f t="shared" si="152"/>
        <v>5.463550197746442E-6</v>
      </c>
      <c r="BI136" s="8">
        <f t="shared" si="153"/>
        <v>27.179413637042035</v>
      </c>
      <c r="BJ136" s="7">
        <f t="shared" si="154"/>
        <v>1.3673591817293876E-2</v>
      </c>
      <c r="BK136" s="9">
        <f t="shared" si="155"/>
        <v>0.20293392174152405</v>
      </c>
      <c r="BL136" s="4">
        <f t="shared" si="204"/>
        <v>974.87574815836592</v>
      </c>
      <c r="BM136" s="6">
        <f t="shared" si="156"/>
        <v>5.449751496316732E-6</v>
      </c>
      <c r="BN136" s="8">
        <f t="shared" si="157"/>
        <v>27.100071103821207</v>
      </c>
      <c r="BO136" s="7">
        <f t="shared" si="158"/>
        <v>1.3639057896284714E-2</v>
      </c>
      <c r="BP136" s="9">
        <f t="shared" si="159"/>
        <v>0.20352806377774696</v>
      </c>
      <c r="BQ136" s="4">
        <f t="shared" si="205"/>
        <v>967.3583262845749</v>
      </c>
      <c r="BR136" s="6">
        <f t="shared" si="160"/>
        <v>5.4347166525691507E-6</v>
      </c>
      <c r="BS136" s="8">
        <f t="shared" si="161"/>
        <v>27.013620752272608</v>
      </c>
      <c r="BT136" s="7">
        <f t="shared" si="162"/>
        <v>1.3601430289874872E-2</v>
      </c>
      <c r="BU136" s="9">
        <f t="shared" si="163"/>
        <v>0.20417940455227498</v>
      </c>
      <c r="BV136" s="4">
        <f t="shared" si="206"/>
        <v>959.14615113690752</v>
      </c>
      <c r="BW136" s="6">
        <f t="shared" si="164"/>
        <v>5.4182923022738149E-6</v>
      </c>
      <c r="BX136" s="8">
        <f t="shared" si="165"/>
        <v>26.919180738074438</v>
      </c>
      <c r="BY136" s="7">
        <f t="shared" si="166"/>
        <v>1.3560325174396056E-2</v>
      </c>
      <c r="BZ136" s="9">
        <f t="shared" si="167"/>
        <v>0.20489572300388439</v>
      </c>
      <c r="CA136" s="4">
        <f t="shared" si="207"/>
        <v>949.90433433766225</v>
      </c>
      <c r="CB136" s="6">
        <f t="shared" si="168"/>
        <v>5.399808668675325E-6</v>
      </c>
      <c r="CC136" s="8">
        <f t="shared" si="169"/>
        <v>26.812899844883113</v>
      </c>
      <c r="CD136" s="7">
        <f t="shared" si="170"/>
        <v>1.3514066303885373E-2</v>
      </c>
      <c r="CE136" s="9">
        <f t="shared" si="171"/>
        <v>0.20570788806540014</v>
      </c>
      <c r="CF136" s="4">
        <f t="shared" si="208"/>
        <v>938.38630058198748</v>
      </c>
      <c r="CG136" s="6">
        <f t="shared" si="172"/>
        <v>5.3767726011639754E-6</v>
      </c>
      <c r="CH136" s="8">
        <f t="shared" si="173"/>
        <v>26.680442456692855</v>
      </c>
      <c r="CI136" s="7">
        <f t="shared" si="174"/>
        <v>1.3456414086403096E-2</v>
      </c>
      <c r="CJ136" s="9">
        <f t="shared" si="175"/>
        <v>0.20672914285259134</v>
      </c>
      <c r="CK136" s="4">
        <f t="shared" si="209"/>
        <v>920.75495098897125</v>
      </c>
      <c r="CL136" s="6">
        <f t="shared" si="176"/>
        <v>5.3415099019779426E-6</v>
      </c>
      <c r="CM136" s="8">
        <f t="shared" si="177"/>
        <v>26.477681936373166</v>
      </c>
      <c r="CN136" s="7">
        <f t="shared" si="178"/>
        <v>1.3368162356741179E-2</v>
      </c>
      <c r="CO136" s="9">
        <f t="shared" si="179"/>
        <v>0.20831223115581823</v>
      </c>
      <c r="CP136" s="4">
        <f t="shared" si="210"/>
        <v>887.68007109361372</v>
      </c>
      <c r="CQ136" s="6">
        <f t="shared" si="180"/>
        <v>5.2753601421872281E-6</v>
      </c>
      <c r="CR136" s="8">
        <f t="shared" si="181"/>
        <v>26.097320817576559</v>
      </c>
      <c r="CS136" s="7">
        <f t="shared" si="182"/>
        <v>1.3202609779853837E-2</v>
      </c>
      <c r="CT136" s="9">
        <f t="shared" si="183"/>
        <v>0.21134832339897602</v>
      </c>
      <c r="CU136" s="4">
        <f t="shared" si="211"/>
        <v>822.60052819477062</v>
      </c>
      <c r="CV136" s="6">
        <f t="shared" si="184"/>
        <v>5.1452010563895419E-6</v>
      </c>
      <c r="CW136" s="8">
        <f t="shared" si="185"/>
        <v>25.348906074239864</v>
      </c>
      <c r="CX136" s="7">
        <f t="shared" si="186"/>
        <v>1.2876861475895033E-2</v>
      </c>
      <c r="CY136" s="9">
        <f t="shared" si="187"/>
        <v>0.2175882850268282</v>
      </c>
      <c r="CZ136" s="5">
        <f t="shared" si="212"/>
        <v>707.66413884630799</v>
      </c>
      <c r="DA136" s="6">
        <f t="shared" si="188"/>
        <v>4.9153282776926165E-6</v>
      </c>
      <c r="DB136" s="8">
        <f t="shared" si="189"/>
        <v>24.02713759673254</v>
      </c>
      <c r="DC136" s="7">
        <f t="shared" si="190"/>
        <v>1.2301560356285046E-2</v>
      </c>
      <c r="DD136" s="9">
        <f t="shared" si="191"/>
        <v>0.22955813932451413</v>
      </c>
    </row>
    <row r="137" spans="2:108" x14ac:dyDescent="0.25">
      <c r="B137">
        <v>118</v>
      </c>
      <c r="C137">
        <f t="shared" si="192"/>
        <v>0.11535853062873967</v>
      </c>
      <c r="D137" s="4">
        <f t="shared" si="109"/>
        <v>1018.0704628190888</v>
      </c>
      <c r="E137" s="6">
        <f t="shared" si="110"/>
        <v>5.5361409256381779E-6</v>
      </c>
      <c r="F137" s="8">
        <f t="shared" si="111"/>
        <v>27.596810322419522</v>
      </c>
      <c r="G137" s="7">
        <f t="shared" si="107"/>
        <v>1.3855264163476629E-2</v>
      </c>
      <c r="H137" s="9">
        <f t="shared" si="112"/>
        <v>0.19986458346307984</v>
      </c>
      <c r="I137" s="4">
        <f t="shared" si="193"/>
        <v>1017.7460282509799</v>
      </c>
      <c r="J137" s="6">
        <f t="shared" si="113"/>
        <v>5.5354920565019599E-6</v>
      </c>
      <c r="K137" s="8">
        <f t="shared" si="114"/>
        <v>27.593079324886268</v>
      </c>
      <c r="L137" s="7">
        <f t="shared" si="115"/>
        <v>1.3853640242877319E-2</v>
      </c>
      <c r="M137" s="9">
        <f t="shared" si="116"/>
        <v>0.19989160814775189</v>
      </c>
      <c r="N137" s="4">
        <f t="shared" si="194"/>
        <v>1016.840483053522</v>
      </c>
      <c r="O137" s="6">
        <f t="shared" si="117"/>
        <v>5.5336809661070453E-6</v>
      </c>
      <c r="P137" s="8">
        <f t="shared" si="118"/>
        <v>27.582665555115504</v>
      </c>
      <c r="Q137" s="7">
        <f t="shared" si="108"/>
        <v>1.3855264163476629E-2</v>
      </c>
      <c r="R137" s="9">
        <f t="shared" si="119"/>
        <v>0.19996707674893544</v>
      </c>
      <c r="S137" s="4">
        <f t="shared" si="195"/>
        <v>1015.3391862078599</v>
      </c>
      <c r="T137" s="6">
        <f t="shared" si="120"/>
        <v>5.5306783724157205E-6</v>
      </c>
      <c r="U137" s="8">
        <f t="shared" si="121"/>
        <v>27.56540064139039</v>
      </c>
      <c r="V137" s="7">
        <f t="shared" si="122"/>
        <v>1.3841593066782957E-2</v>
      </c>
      <c r="W137" s="9">
        <f t="shared" si="123"/>
        <v>0.20009232123106169</v>
      </c>
      <c r="X137" s="4">
        <f t="shared" si="196"/>
        <v>1013.2399733102225</v>
      </c>
      <c r="Y137" s="6">
        <f t="shared" si="124"/>
        <v>5.5264799466204451E-6</v>
      </c>
      <c r="Z137" s="8">
        <f t="shared" si="125"/>
        <v>27.541259693067559</v>
      </c>
      <c r="AA137" s="7">
        <f t="shared" si="126"/>
        <v>1.3831085693642416E-2</v>
      </c>
      <c r="AB137" s="9">
        <f t="shared" si="127"/>
        <v>0.20026770966428759</v>
      </c>
      <c r="AC137" s="4">
        <f t="shared" si="197"/>
        <v>1010.5414377488438</v>
      </c>
      <c r="AD137" s="6">
        <f t="shared" si="128"/>
        <v>5.521082875497688E-6</v>
      </c>
      <c r="AE137" s="8">
        <f t="shared" si="129"/>
        <v>27.510226534111702</v>
      </c>
      <c r="AF137" s="7">
        <f t="shared" si="130"/>
        <v>1.3817578478577033E-2</v>
      </c>
      <c r="AG137" s="9">
        <f t="shared" si="131"/>
        <v>0.20049362345892796</v>
      </c>
      <c r="AH137" s="4">
        <f t="shared" si="198"/>
        <v>1007.2433656063972</v>
      </c>
      <c r="AI137" s="6">
        <f t="shared" si="132"/>
        <v>5.5144867312127947E-6</v>
      </c>
      <c r="AJ137" s="8">
        <f t="shared" si="133"/>
        <v>27.472298704473566</v>
      </c>
      <c r="AK137" s="7">
        <f t="shared" si="134"/>
        <v>1.3801070350847775E-2</v>
      </c>
      <c r="AL137" s="9">
        <f t="shared" si="135"/>
        <v>0.20077042184685623</v>
      </c>
      <c r="AM137" s="4">
        <f t="shared" si="199"/>
        <v>1003.3457156621779</v>
      </c>
      <c r="AN137" s="6">
        <f t="shared" si="136"/>
        <v>5.5066914313243561E-6</v>
      </c>
      <c r="AO137" s="8">
        <f t="shared" si="137"/>
        <v>27.427475730115045</v>
      </c>
      <c r="AP137" s="7">
        <f t="shared" si="138"/>
        <v>1.3781561104129062E-2</v>
      </c>
      <c r="AQ137" s="9">
        <f t="shared" si="139"/>
        <v>0.20109852814285453</v>
      </c>
      <c r="AR137" s="4">
        <f t="shared" si="200"/>
        <v>998.84848466315088</v>
      </c>
      <c r="AS137" s="6">
        <f t="shared" si="140"/>
        <v>5.4976969693263027E-6</v>
      </c>
      <c r="AT137" s="8">
        <f t="shared" si="141"/>
        <v>27.375757573626235</v>
      </c>
      <c r="AU137" s="7">
        <f t="shared" si="142"/>
        <v>1.3759050722138197E-2</v>
      </c>
      <c r="AV137" s="9">
        <f t="shared" si="143"/>
        <v>0.20147844256605141</v>
      </c>
      <c r="AW137" s="4">
        <f t="shared" si="201"/>
        <v>993.75166606803737</v>
      </c>
      <c r="AX137" s="6">
        <f t="shared" si="144"/>
        <v>5.4875033321360744E-6</v>
      </c>
      <c r="AY137" s="8">
        <f t="shared" si="145"/>
        <v>27.31714415978243</v>
      </c>
      <c r="AZ137" s="7">
        <f t="shared" si="146"/>
        <v>1.3733539172133538E-2</v>
      </c>
      <c r="BA137" s="9">
        <f t="shared" si="147"/>
        <v>0.20191074761469244</v>
      </c>
      <c r="BB137" s="4">
        <f t="shared" si="202"/>
        <v>988.05519520465077</v>
      </c>
      <c r="BC137" s="6">
        <f t="shared" si="148"/>
        <v>5.4761103904093022E-6</v>
      </c>
      <c r="BD137" s="8">
        <f t="shared" si="149"/>
        <v>27.251634744853483</v>
      </c>
      <c r="BE137" s="7">
        <f t="shared" si="150"/>
        <v>1.3705026130405772E-2</v>
      </c>
      <c r="BF137" s="9">
        <f t="shared" si="151"/>
        <v>0.20239611500890364</v>
      </c>
      <c r="BG137" s="4">
        <f t="shared" si="203"/>
        <v>981.75861731104226</v>
      </c>
      <c r="BH137" s="6">
        <f t="shared" si="152"/>
        <v>5.4635172346220855E-6</v>
      </c>
      <c r="BI137" s="8">
        <f t="shared" si="153"/>
        <v>27.179224099076983</v>
      </c>
      <c r="BJ137" s="7">
        <f t="shared" si="154"/>
        <v>1.3673509320695299E-2</v>
      </c>
      <c r="BK137" s="9">
        <f t="shared" si="155"/>
        <v>0.2029353369284487</v>
      </c>
      <c r="BL137" s="4">
        <f t="shared" si="204"/>
        <v>974.85908329518145</v>
      </c>
      <c r="BM137" s="6">
        <f t="shared" si="156"/>
        <v>5.449718166590363E-6</v>
      </c>
      <c r="BN137" s="8">
        <f t="shared" si="157"/>
        <v>27.099879457894588</v>
      </c>
      <c r="BO137" s="7">
        <f t="shared" si="158"/>
        <v>1.3638974482193646E-2</v>
      </c>
      <c r="BP137" s="9">
        <f t="shared" si="159"/>
        <v>0.20352950309501169</v>
      </c>
      <c r="BQ137" s="4">
        <f t="shared" si="205"/>
        <v>967.34059919423225</v>
      </c>
      <c r="BR137" s="6">
        <f t="shared" si="160"/>
        <v>5.434681198388465E-6</v>
      </c>
      <c r="BS137" s="8">
        <f t="shared" si="161"/>
        <v>27.013416890733669</v>
      </c>
      <c r="BT137" s="7">
        <f t="shared" si="162"/>
        <v>1.3601341558925697E-2</v>
      </c>
      <c r="BU137" s="9">
        <f t="shared" si="163"/>
        <v>0.20418094542834409</v>
      </c>
      <c r="BV137" s="4">
        <f t="shared" si="206"/>
        <v>959.12366813961978</v>
      </c>
      <c r="BW137" s="6">
        <f t="shared" si="164"/>
        <v>5.4182473362792403E-6</v>
      </c>
      <c r="BX137" s="8">
        <f t="shared" si="165"/>
        <v>26.918922183605627</v>
      </c>
      <c r="BY137" s="7">
        <f t="shared" si="166"/>
        <v>1.3560212638291652E-2</v>
      </c>
      <c r="BZ137" s="9">
        <f t="shared" si="167"/>
        <v>0.20489769101376462</v>
      </c>
      <c r="CA137" s="4">
        <f t="shared" si="207"/>
        <v>949.8640847521267</v>
      </c>
      <c r="CB137" s="6">
        <f t="shared" si="168"/>
        <v>5.3997281695042541E-6</v>
      </c>
      <c r="CC137" s="8">
        <f t="shared" si="169"/>
        <v>26.812436974649458</v>
      </c>
      <c r="CD137" s="7">
        <f t="shared" si="170"/>
        <v>1.3513864839129489E-2</v>
      </c>
      <c r="CE137" s="9">
        <f t="shared" si="171"/>
        <v>0.20571143925540586</v>
      </c>
      <c r="CF137" s="4">
        <f t="shared" si="208"/>
        <v>938.29137603220784</v>
      </c>
      <c r="CG137" s="6">
        <f t="shared" si="172"/>
        <v>5.3765827520644164E-6</v>
      </c>
      <c r="CH137" s="8">
        <f t="shared" si="173"/>
        <v>26.679350824370388</v>
      </c>
      <c r="CI137" s="7">
        <f t="shared" si="174"/>
        <v>1.3455938952286944E-2</v>
      </c>
      <c r="CJ137" s="9">
        <f t="shared" si="175"/>
        <v>0.2067376015372055</v>
      </c>
      <c r="CK137" s="4">
        <f t="shared" si="209"/>
        <v>920.52707614305939</v>
      </c>
      <c r="CL137" s="6">
        <f t="shared" si="176"/>
        <v>5.3410541522861194E-6</v>
      </c>
      <c r="CM137" s="8">
        <f t="shared" si="177"/>
        <v>26.475061375645183</v>
      </c>
      <c r="CN137" s="7">
        <f t="shared" si="178"/>
        <v>1.3367021754928933E-2</v>
      </c>
      <c r="CO137" s="9">
        <f t="shared" si="179"/>
        <v>0.20833285036588842</v>
      </c>
      <c r="CP137" s="4">
        <f t="shared" si="210"/>
        <v>887.21581872518607</v>
      </c>
      <c r="CQ137" s="6">
        <f t="shared" si="180"/>
        <v>5.2744316374503727E-6</v>
      </c>
      <c r="CR137" s="8">
        <f t="shared" si="181"/>
        <v>26.091981915339638</v>
      </c>
      <c r="CS137" s="7">
        <f t="shared" si="182"/>
        <v>1.3200286017041624E-2</v>
      </c>
      <c r="CT137" s="9">
        <f t="shared" si="183"/>
        <v>0.21139156917617399</v>
      </c>
      <c r="CU137" s="4">
        <f t="shared" si="211"/>
        <v>821.87987035664139</v>
      </c>
      <c r="CV137" s="6">
        <f t="shared" si="184"/>
        <v>5.1437597407132829E-6</v>
      </c>
      <c r="CW137" s="8">
        <f t="shared" si="185"/>
        <v>25.340618509101375</v>
      </c>
      <c r="CX137" s="7">
        <f t="shared" si="186"/>
        <v>1.2873254304454535E-2</v>
      </c>
      <c r="CY137" s="9">
        <f t="shared" si="187"/>
        <v>0.2176594465529324</v>
      </c>
      <c r="CZ137" s="5">
        <f t="shared" si="212"/>
        <v>706.89336042170942</v>
      </c>
      <c r="DA137" s="6">
        <f t="shared" si="188"/>
        <v>4.9137867208434199E-6</v>
      </c>
      <c r="DB137" s="8">
        <f t="shared" si="189"/>
        <v>24.018273644849657</v>
      </c>
      <c r="DC137" s="7">
        <f t="shared" si="190"/>
        <v>1.229770231190801E-2</v>
      </c>
      <c r="DD137" s="9">
        <f t="shared" si="191"/>
        <v>0.22964285783223806</v>
      </c>
    </row>
    <row r="138" spans="2:108" x14ac:dyDescent="0.25">
      <c r="B138">
        <v>119</v>
      </c>
      <c r="C138">
        <f t="shared" si="192"/>
        <v>0.11633614529508493</v>
      </c>
      <c r="D138" s="4">
        <f t="shared" si="109"/>
        <v>1018.0538988289758</v>
      </c>
      <c r="E138" s="6">
        <f t="shared" si="110"/>
        <v>5.5361077976579519E-6</v>
      </c>
      <c r="F138" s="8">
        <f t="shared" si="111"/>
        <v>27.596619836533222</v>
      </c>
      <c r="G138" s="7">
        <f t="shared" si="107"/>
        <v>1.3855181254294333E-2</v>
      </c>
      <c r="H138" s="9">
        <f t="shared" si="112"/>
        <v>0.19986596302994517</v>
      </c>
      <c r="I138" s="4">
        <f t="shared" si="193"/>
        <v>1017.7294560615859</v>
      </c>
      <c r="J138" s="6">
        <f t="shared" si="113"/>
        <v>5.5354589121231719E-6</v>
      </c>
      <c r="K138" s="8">
        <f t="shared" si="114"/>
        <v>27.592888744708237</v>
      </c>
      <c r="L138" s="7">
        <f t="shared" si="115"/>
        <v>1.3853557292654447E-2</v>
      </c>
      <c r="M138" s="9">
        <f t="shared" si="116"/>
        <v>0.19989298877080372</v>
      </c>
      <c r="N138" s="4">
        <f t="shared" si="194"/>
        <v>1016.8238939428967</v>
      </c>
      <c r="O138" s="6">
        <f t="shared" si="117"/>
        <v>5.5336477878857937E-6</v>
      </c>
      <c r="P138" s="8">
        <f t="shared" si="118"/>
        <v>27.582474780343311</v>
      </c>
      <c r="Q138" s="7">
        <f t="shared" si="108"/>
        <v>1.3855181254294333E-2</v>
      </c>
      <c r="R138" s="9">
        <f t="shared" si="119"/>
        <v>0.19996845982546563</v>
      </c>
      <c r="S138" s="4">
        <f t="shared" si="195"/>
        <v>1015.3225876867348</v>
      </c>
      <c r="T138" s="6">
        <f t="shared" si="120"/>
        <v>5.5306451753734696E-6</v>
      </c>
      <c r="U138" s="8">
        <f t="shared" si="121"/>
        <v>27.565209758397451</v>
      </c>
      <c r="V138" s="7">
        <f t="shared" si="122"/>
        <v>1.3841509984759574E-2</v>
      </c>
      <c r="W138" s="9">
        <f t="shared" si="123"/>
        <v>0.2000937068262186</v>
      </c>
      <c r="X138" s="4">
        <f t="shared" si="196"/>
        <v>1013.2233767691882</v>
      </c>
      <c r="Y138" s="6">
        <f t="shared" si="124"/>
        <v>5.5264467535383773E-6</v>
      </c>
      <c r="Z138" s="8">
        <f t="shared" si="125"/>
        <v>27.541068832845664</v>
      </c>
      <c r="AA138" s="7">
        <f t="shared" si="126"/>
        <v>1.3831002621530161E-2</v>
      </c>
      <c r="AB138" s="9">
        <f t="shared" si="127"/>
        <v>0.20026909752398675</v>
      </c>
      <c r="AC138" s="4">
        <f t="shared" si="197"/>
        <v>1010.5248516471322</v>
      </c>
      <c r="AD138" s="6">
        <f t="shared" si="128"/>
        <v>5.5210497032942649E-6</v>
      </c>
      <c r="AE138" s="8">
        <f t="shared" si="129"/>
        <v>27.51003579394202</v>
      </c>
      <c r="AF138" s="7">
        <f t="shared" si="130"/>
        <v>1.3817495458717625E-2</v>
      </c>
      <c r="AG138" s="9">
        <f t="shared" si="131"/>
        <v>0.20049501357663063</v>
      </c>
      <c r="AH138" s="4">
        <f t="shared" si="198"/>
        <v>1007.2267953714062</v>
      </c>
      <c r="AI138" s="6">
        <f t="shared" si="132"/>
        <v>5.514453590742813E-6</v>
      </c>
      <c r="AJ138" s="8">
        <f t="shared" si="133"/>
        <v>27.47210814677117</v>
      </c>
      <c r="AK138" s="7">
        <f t="shared" si="134"/>
        <v>1.3800987410407447E-2</v>
      </c>
      <c r="AL138" s="9">
        <f t="shared" si="135"/>
        <v>0.2007718144720633</v>
      </c>
      <c r="AM138" s="4">
        <f t="shared" si="199"/>
        <v>1003.3291653054312</v>
      </c>
      <c r="AN138" s="6">
        <f t="shared" si="136"/>
        <v>5.5066583306108628E-6</v>
      </c>
      <c r="AO138" s="8">
        <f t="shared" si="137"/>
        <v>27.427285401012458</v>
      </c>
      <c r="AP138" s="7">
        <f t="shared" si="138"/>
        <v>1.378147826318704E-2</v>
      </c>
      <c r="AQ138" s="9">
        <f t="shared" si="139"/>
        <v>0.20109992364743448</v>
      </c>
      <c r="AR138" s="4">
        <f t="shared" si="200"/>
        <v>998.83195769810743</v>
      </c>
      <c r="AS138" s="6">
        <f t="shared" si="140"/>
        <v>5.4976639153962153E-6</v>
      </c>
      <c r="AT138" s="8">
        <f t="shared" si="141"/>
        <v>27.375567513528235</v>
      </c>
      <c r="AU138" s="7">
        <f t="shared" si="142"/>
        <v>1.3758967998280703E-2</v>
      </c>
      <c r="AV138" s="9">
        <f t="shared" si="143"/>
        <v>0.20147984136856098</v>
      </c>
      <c r="AW138" s="4">
        <f t="shared" si="201"/>
        <v>993.7351652203206</v>
      </c>
      <c r="AX138" s="6">
        <f t="shared" si="144"/>
        <v>5.4874703304406411E-6</v>
      </c>
      <c r="AY138" s="8">
        <f t="shared" si="145"/>
        <v>27.316954400033687</v>
      </c>
      <c r="AZ138" s="7">
        <f t="shared" si="146"/>
        <v>1.3733456579003376E-2</v>
      </c>
      <c r="BA138" s="9">
        <f t="shared" si="147"/>
        <v>0.20191215020636408</v>
      </c>
      <c r="BB138" s="4">
        <f t="shared" si="202"/>
        <v>988.0387183600908</v>
      </c>
      <c r="BC138" s="6">
        <f t="shared" si="148"/>
        <v>5.476077436720182E-6</v>
      </c>
      <c r="BD138" s="8">
        <f t="shared" si="149"/>
        <v>27.251445261141043</v>
      </c>
      <c r="BE138" s="7">
        <f t="shared" si="150"/>
        <v>1.3704943657420698E-2</v>
      </c>
      <c r="BF138" s="9">
        <f t="shared" si="151"/>
        <v>0.20239752230187058</v>
      </c>
      <c r="BG138" s="4">
        <f t="shared" si="203"/>
        <v>981.74213328725818</v>
      </c>
      <c r="BH138" s="6">
        <f t="shared" si="152"/>
        <v>5.4634842665745168E-6</v>
      </c>
      <c r="BI138" s="8">
        <f t="shared" si="153"/>
        <v>27.17903453280347</v>
      </c>
      <c r="BJ138" s="7">
        <f t="shared" si="154"/>
        <v>1.3673426811775429E-2</v>
      </c>
      <c r="BK138" s="9">
        <f t="shared" si="155"/>
        <v>0.20293675234648126</v>
      </c>
      <c r="BL138" s="4">
        <f t="shared" si="204"/>
        <v>974.8424058050141</v>
      </c>
      <c r="BM138" s="6">
        <f t="shared" si="156"/>
        <v>5.4496848116100286E-6</v>
      </c>
      <c r="BN138" s="8">
        <f t="shared" si="157"/>
        <v>27.09968766675766</v>
      </c>
      <c r="BO138" s="7">
        <f t="shared" si="158"/>
        <v>1.363889100489964E-2</v>
      </c>
      <c r="BP138" s="9">
        <f t="shared" si="159"/>
        <v>0.20353094352322904</v>
      </c>
      <c r="BQ138" s="4">
        <f t="shared" si="205"/>
        <v>967.32281878265758</v>
      </c>
      <c r="BR138" s="6">
        <f t="shared" si="160"/>
        <v>5.4346456375653156E-6</v>
      </c>
      <c r="BS138" s="8">
        <f t="shared" si="161"/>
        <v>27.013212416000563</v>
      </c>
      <c r="BT138" s="7">
        <f t="shared" si="162"/>
        <v>1.3601252561083115E-2</v>
      </c>
      <c r="BU138" s="9">
        <f t="shared" si="163"/>
        <v>0.2041824909625693</v>
      </c>
      <c r="BV138" s="4">
        <f t="shared" si="206"/>
        <v>959.10099738737779</v>
      </c>
      <c r="BW138" s="6">
        <f t="shared" si="164"/>
        <v>5.4182019947747559E-6</v>
      </c>
      <c r="BX138" s="8">
        <f t="shared" si="165"/>
        <v>26.918661469954841</v>
      </c>
      <c r="BY138" s="7">
        <f t="shared" si="166"/>
        <v>1.3560099162401021E-2</v>
      </c>
      <c r="BZ138" s="9">
        <f t="shared" si="167"/>
        <v>0.20489967549672719</v>
      </c>
      <c r="CA138" s="4">
        <f t="shared" si="207"/>
        <v>949.823302278352</v>
      </c>
      <c r="CB138" s="6">
        <f t="shared" si="168"/>
        <v>5.3996466045567039E-6</v>
      </c>
      <c r="CC138" s="8">
        <f t="shared" si="169"/>
        <v>26.811967976201046</v>
      </c>
      <c r="CD138" s="7">
        <f t="shared" si="170"/>
        <v>1.3513660707061687E-2</v>
      </c>
      <c r="CE138" s="9">
        <f t="shared" si="171"/>
        <v>0.20571503758678969</v>
      </c>
      <c r="CF138" s="4">
        <f t="shared" si="208"/>
        <v>938.19531589551934</v>
      </c>
      <c r="CG138" s="6">
        <f t="shared" si="172"/>
        <v>5.3763906317910393E-6</v>
      </c>
      <c r="CH138" s="8">
        <f t="shared" si="173"/>
        <v>26.678246132798471</v>
      </c>
      <c r="CI138" s="7">
        <f t="shared" si="174"/>
        <v>1.3455458134118739E-2</v>
      </c>
      <c r="CJ138" s="9">
        <f t="shared" si="175"/>
        <v>0.20674616211817021</v>
      </c>
      <c r="CK138" s="4">
        <f t="shared" si="209"/>
        <v>920.29767161800635</v>
      </c>
      <c r="CL138" s="6">
        <f t="shared" si="176"/>
        <v>5.3405953432360129E-6</v>
      </c>
      <c r="CM138" s="8">
        <f t="shared" si="177"/>
        <v>26.472423223607073</v>
      </c>
      <c r="CN138" s="7">
        <f t="shared" si="178"/>
        <v>1.3365873496480456E-2</v>
      </c>
      <c r="CO138" s="9">
        <f t="shared" si="179"/>
        <v>0.20835361211214623</v>
      </c>
      <c r="CP138" s="4">
        <f t="shared" si="210"/>
        <v>886.7511555884721</v>
      </c>
      <c r="CQ138" s="6">
        <f t="shared" si="180"/>
        <v>5.2735023111769443E-6</v>
      </c>
      <c r="CR138" s="8">
        <f t="shared" si="181"/>
        <v>26.086638289267427</v>
      </c>
      <c r="CS138" s="7">
        <f t="shared" si="182"/>
        <v>1.3197960198175131E-2</v>
      </c>
      <c r="CT138" s="9">
        <f t="shared" si="183"/>
        <v>0.21143487094192739</v>
      </c>
      <c r="CU138" s="4">
        <f t="shared" si="211"/>
        <v>821.16195557317837</v>
      </c>
      <c r="CV138" s="6">
        <f t="shared" si="184"/>
        <v>5.142323911146357E-6</v>
      </c>
      <c r="CW138" s="8">
        <f t="shared" si="185"/>
        <v>25.332362489091551</v>
      </c>
      <c r="CX138" s="7">
        <f t="shared" si="186"/>
        <v>1.2869660863064458E-2</v>
      </c>
      <c r="CY138" s="9">
        <f t="shared" si="187"/>
        <v>0.21773038351141158</v>
      </c>
      <c r="CZ138" s="5">
        <f t="shared" si="212"/>
        <v>706.12708355901202</v>
      </c>
      <c r="DA138" s="6">
        <f t="shared" si="188"/>
        <v>4.9122541671180246E-6</v>
      </c>
      <c r="DB138" s="8">
        <f t="shared" si="189"/>
        <v>24.009461460928637</v>
      </c>
      <c r="DC138" s="7">
        <f t="shared" si="190"/>
        <v>1.2293866799590806E-2</v>
      </c>
      <c r="DD138" s="9">
        <f t="shared" si="191"/>
        <v>0.2297271435669539</v>
      </c>
    </row>
    <row r="139" spans="2:108" x14ac:dyDescent="0.25">
      <c r="B139">
        <v>120</v>
      </c>
      <c r="C139">
        <f t="shared" si="192"/>
        <v>0.11731375996143018</v>
      </c>
      <c r="D139" s="4">
        <f t="shared" si="109"/>
        <v>1018.037334420249</v>
      </c>
      <c r="E139" s="6">
        <f t="shared" si="110"/>
        <v>5.5360746688404992E-6</v>
      </c>
      <c r="F139" s="8">
        <f t="shared" si="111"/>
        <v>27.59642934583286</v>
      </c>
      <c r="G139" s="7">
        <f t="shared" si="107"/>
        <v>1.3855098343016712E-2</v>
      </c>
      <c r="H139" s="9">
        <f t="shared" si="112"/>
        <v>0.19986734265072142</v>
      </c>
      <c r="I139" s="4">
        <f t="shared" si="193"/>
        <v>1017.7128836764952</v>
      </c>
      <c r="J139" s="6">
        <f t="shared" si="113"/>
        <v>5.5354257673529912E-6</v>
      </c>
      <c r="K139" s="8">
        <f t="shared" si="114"/>
        <v>27.592698162279696</v>
      </c>
      <c r="L139" s="7">
        <f t="shared" si="115"/>
        <v>1.3853474341452036E-2</v>
      </c>
      <c r="M139" s="9">
        <f t="shared" si="116"/>
        <v>0.19989436942923097</v>
      </c>
      <c r="N139" s="4">
        <f t="shared" si="194"/>
        <v>1016.8073049444556</v>
      </c>
      <c r="O139" s="6">
        <f t="shared" si="117"/>
        <v>5.5336146098889126E-6</v>
      </c>
      <c r="P139" s="8">
        <f t="shared" si="118"/>
        <v>27.582284006861236</v>
      </c>
      <c r="Q139" s="7">
        <f t="shared" si="108"/>
        <v>1.3855098343016712E-2</v>
      </c>
      <c r="R139" s="9">
        <f t="shared" si="119"/>
        <v>0.1999698429117748</v>
      </c>
      <c r="S139" s="4">
        <f t="shared" si="195"/>
        <v>1015.305989405597</v>
      </c>
      <c r="T139" s="6">
        <f t="shared" si="120"/>
        <v>5.5306119788111942E-6</v>
      </c>
      <c r="U139" s="8">
        <f t="shared" si="121"/>
        <v>27.565018878164366</v>
      </c>
      <c r="V139" s="7">
        <f t="shared" si="122"/>
        <v>1.3841426903937424E-2</v>
      </c>
      <c r="W139" s="9">
        <f t="shared" si="123"/>
        <v>0.20009509242053169</v>
      </c>
      <c r="X139" s="4">
        <f t="shared" si="196"/>
        <v>1013.2067804663469</v>
      </c>
      <c r="Y139" s="6">
        <f t="shared" si="124"/>
        <v>5.5264135609326944E-6</v>
      </c>
      <c r="Z139" s="8">
        <f t="shared" si="125"/>
        <v>27.540877975362989</v>
      </c>
      <c r="AA139" s="7">
        <f t="shared" si="126"/>
        <v>1.3830919550610148E-2</v>
      </c>
      <c r="AB139" s="9">
        <f t="shared" si="127"/>
        <v>0.20027048538300291</v>
      </c>
      <c r="AC139" s="4">
        <f t="shared" si="197"/>
        <v>1010.5082657564885</v>
      </c>
      <c r="AD139" s="6">
        <f t="shared" si="128"/>
        <v>5.5210165315129776E-6</v>
      </c>
      <c r="AE139" s="8">
        <f t="shared" si="129"/>
        <v>27.509845056199616</v>
      </c>
      <c r="AF139" s="7">
        <f t="shared" si="130"/>
        <v>1.3817412439914693E-2</v>
      </c>
      <c r="AG139" s="9">
        <f t="shared" si="131"/>
        <v>0.20049640369591973</v>
      </c>
      <c r="AH139" s="4">
        <f t="shared" si="198"/>
        <v>1007.2102253325605</v>
      </c>
      <c r="AI139" s="6">
        <f t="shared" si="132"/>
        <v>5.514420450665122E-6</v>
      </c>
      <c r="AJ139" s="8">
        <f t="shared" si="133"/>
        <v>27.471917591324445</v>
      </c>
      <c r="AK139" s="7">
        <f t="shared" si="134"/>
        <v>1.3800904470948899E-2</v>
      </c>
      <c r="AL139" s="9">
        <f t="shared" si="135"/>
        <v>0.20077320710010499</v>
      </c>
      <c r="AM139" s="4">
        <f t="shared" si="199"/>
        <v>1003.3126151392902</v>
      </c>
      <c r="AN139" s="6">
        <f t="shared" si="136"/>
        <v>5.5066252302785808E-6</v>
      </c>
      <c r="AO139" s="8">
        <f t="shared" si="137"/>
        <v>27.427095074101835</v>
      </c>
      <c r="AP139" s="7">
        <f t="shared" si="138"/>
        <v>1.3781395423199075E-2</v>
      </c>
      <c r="AQ139" s="9">
        <f t="shared" si="139"/>
        <v>0.2011013191553106</v>
      </c>
      <c r="AR139" s="4">
        <f t="shared" si="200"/>
        <v>998.81543091261392</v>
      </c>
      <c r="AS139" s="6">
        <f t="shared" si="140"/>
        <v>5.4976308618252283E-6</v>
      </c>
      <c r="AT139" s="8">
        <f t="shared" si="141"/>
        <v>27.375377455495059</v>
      </c>
      <c r="AU139" s="7">
        <f t="shared" si="142"/>
        <v>1.3758885275321927E-2</v>
      </c>
      <c r="AV139" s="9">
        <f t="shared" si="143"/>
        <v>0.20148124017529662</v>
      </c>
      <c r="AW139" s="4">
        <f t="shared" si="201"/>
        <v>993.71866448103435</v>
      </c>
      <c r="AX139" s="6">
        <f t="shared" si="144"/>
        <v>5.4874373289620694E-6</v>
      </c>
      <c r="AY139" s="8">
        <f t="shared" si="145"/>
        <v>27.316764641531893</v>
      </c>
      <c r="AZ139" s="7">
        <f t="shared" si="146"/>
        <v>1.3733373986415953E-2</v>
      </c>
      <c r="BA139" s="9">
        <f t="shared" si="147"/>
        <v>0.20191355280830542</v>
      </c>
      <c r="BB139" s="4">
        <f t="shared" si="202"/>
        <v>988.02224119793516</v>
      </c>
      <c r="BC139" s="6">
        <f t="shared" si="148"/>
        <v>5.476044482395871E-6</v>
      </c>
      <c r="BD139" s="8">
        <f t="shared" si="149"/>
        <v>27.251255773776254</v>
      </c>
      <c r="BE139" s="7">
        <f t="shared" si="150"/>
        <v>1.3704861182845939E-2</v>
      </c>
      <c r="BF139" s="9">
        <f t="shared" si="151"/>
        <v>0.20239892964153447</v>
      </c>
      <c r="BG139" s="4">
        <f t="shared" si="203"/>
        <v>981.72564668464133</v>
      </c>
      <c r="BH139" s="6">
        <f t="shared" si="152"/>
        <v>5.4634512933692832E-6</v>
      </c>
      <c r="BI139" s="8">
        <f t="shared" si="153"/>
        <v>27.178844936873375</v>
      </c>
      <c r="BJ139" s="7">
        <f t="shared" si="154"/>
        <v>1.3673344289947506E-2</v>
      </c>
      <c r="BK139" s="9">
        <f t="shared" si="155"/>
        <v>0.20293816800569714</v>
      </c>
      <c r="BL139" s="4">
        <f t="shared" si="204"/>
        <v>974.82571524162552</v>
      </c>
      <c r="BM139" s="6">
        <f t="shared" si="156"/>
        <v>5.4496514304832517E-6</v>
      </c>
      <c r="BN139" s="8">
        <f t="shared" si="157"/>
        <v>27.099495725278693</v>
      </c>
      <c r="BO139" s="7">
        <f t="shared" si="158"/>
        <v>1.3638807462169104E-2</v>
      </c>
      <c r="BP139" s="9">
        <f t="shared" si="159"/>
        <v>0.20353238510098795</v>
      </c>
      <c r="BQ139" s="4">
        <f t="shared" si="205"/>
        <v>967.30498368022916</v>
      </c>
      <c r="BR139" s="6">
        <f t="shared" si="160"/>
        <v>5.4346099673604581E-6</v>
      </c>
      <c r="BS139" s="8">
        <f t="shared" si="161"/>
        <v>27.013007312322635</v>
      </c>
      <c r="BT139" s="7">
        <f t="shared" si="162"/>
        <v>1.360116328949164E-2</v>
      </c>
      <c r="BU139" s="9">
        <f t="shared" si="163"/>
        <v>0.2041840412742166</v>
      </c>
      <c r="BV139" s="4">
        <f t="shared" si="206"/>
        <v>959.07813578438902</v>
      </c>
      <c r="BW139" s="6">
        <f t="shared" si="164"/>
        <v>5.4181562715687788E-6</v>
      </c>
      <c r="BX139" s="8">
        <f t="shared" si="165"/>
        <v>26.918398561520473</v>
      </c>
      <c r="BY139" s="7">
        <f t="shared" si="166"/>
        <v>1.3559984731228526E-2</v>
      </c>
      <c r="BZ139" s="9">
        <f t="shared" si="167"/>
        <v>0.20490167672472609</v>
      </c>
      <c r="CA139" s="4">
        <f t="shared" si="207"/>
        <v>949.78198300717111</v>
      </c>
      <c r="CB139" s="6">
        <f t="shared" si="168"/>
        <v>5.3995639660143427E-6</v>
      </c>
      <c r="CC139" s="8">
        <f t="shared" si="169"/>
        <v>26.811492804582468</v>
      </c>
      <c r="CD139" s="7">
        <f t="shared" si="170"/>
        <v>1.3513453888115083E-2</v>
      </c>
      <c r="CE139" s="9">
        <f t="shared" si="171"/>
        <v>0.20571868340942587</v>
      </c>
      <c r="CF139" s="4">
        <f t="shared" si="208"/>
        <v>938.09812262365142</v>
      </c>
      <c r="CG139" s="6">
        <f t="shared" si="172"/>
        <v>5.3761962452473032E-6</v>
      </c>
      <c r="CH139" s="8">
        <f t="shared" si="173"/>
        <v>26.677128410171989</v>
      </c>
      <c r="CI139" s="7">
        <f t="shared" si="174"/>
        <v>1.3454971644170331E-2</v>
      </c>
      <c r="CJ139" s="9">
        <f t="shared" si="175"/>
        <v>0.20675482440219811</v>
      </c>
      <c r="CK139" s="4">
        <f t="shared" si="209"/>
        <v>920.06675826531409</v>
      </c>
      <c r="CL139" s="6">
        <f t="shared" si="176"/>
        <v>5.3401335165306288E-6</v>
      </c>
      <c r="CM139" s="8">
        <f t="shared" si="177"/>
        <v>26.469767720051109</v>
      </c>
      <c r="CN139" s="7">
        <f t="shared" si="178"/>
        <v>1.3364717685765594E-2</v>
      </c>
      <c r="CO139" s="9">
        <f t="shared" si="179"/>
        <v>0.20837451459091799</v>
      </c>
      <c r="CP139" s="4">
        <f t="shared" si="210"/>
        <v>886.28611080595499</v>
      </c>
      <c r="CQ139" s="6">
        <f t="shared" si="180"/>
        <v>5.2725722216119102E-6</v>
      </c>
      <c r="CR139" s="8">
        <f t="shared" si="181"/>
        <v>26.081290274268483</v>
      </c>
      <c r="CS139" s="7">
        <f t="shared" si="182"/>
        <v>1.3195632469023662E-2</v>
      </c>
      <c r="CT139" s="9">
        <f t="shared" si="183"/>
        <v>0.21147822603859656</v>
      </c>
      <c r="CU139" s="4">
        <f t="shared" si="211"/>
        <v>820.44676631962477</v>
      </c>
      <c r="CV139" s="6">
        <f t="shared" si="184"/>
        <v>5.1408935326392499E-6</v>
      </c>
      <c r="CW139" s="8">
        <f t="shared" si="185"/>
        <v>25.324137812675684</v>
      </c>
      <c r="CX139" s="7">
        <f t="shared" si="186"/>
        <v>1.2866081064006607E-2</v>
      </c>
      <c r="CY139" s="9">
        <f t="shared" si="187"/>
        <v>0.21780109715084642</v>
      </c>
      <c r="CZ139" s="5">
        <f t="shared" si="212"/>
        <v>705.36524176810894</v>
      </c>
      <c r="DA139" s="6">
        <f t="shared" si="188"/>
        <v>4.9107304835362184E-6</v>
      </c>
      <c r="DB139" s="8">
        <f t="shared" si="189"/>
        <v>24.000700280333252</v>
      </c>
      <c r="DC139" s="7">
        <f t="shared" si="190"/>
        <v>1.229005348652471E-2</v>
      </c>
      <c r="DD139" s="9">
        <f t="shared" si="191"/>
        <v>0.2298110028280981</v>
      </c>
    </row>
    <row r="140" spans="2:108" x14ac:dyDescent="0.25">
      <c r="B140">
        <v>121</v>
      </c>
      <c r="C140">
        <f t="shared" si="192"/>
        <v>0.11829137462777542</v>
      </c>
      <c r="D140" s="4">
        <f t="shared" si="109"/>
        <v>1018.0207696042893</v>
      </c>
      <c r="E140" s="6">
        <f t="shared" si="110"/>
        <v>5.5360415392085794E-6</v>
      </c>
      <c r="F140" s="8">
        <f t="shared" si="111"/>
        <v>27.596238850449325</v>
      </c>
      <c r="G140" s="7">
        <f t="shared" si="107"/>
        <v>1.3855015429700728E-2</v>
      </c>
      <c r="H140" s="9">
        <f t="shared" si="112"/>
        <v>0.19986872232446248</v>
      </c>
      <c r="I140" s="4">
        <f t="shared" si="193"/>
        <v>1017.6963111005678</v>
      </c>
      <c r="J140" s="6">
        <f t="shared" si="113"/>
        <v>5.5353926222011357E-6</v>
      </c>
      <c r="K140" s="8">
        <f t="shared" si="114"/>
        <v>27.592507577656527</v>
      </c>
      <c r="L140" s="7">
        <f t="shared" si="115"/>
        <v>1.3853391389294411E-2</v>
      </c>
      <c r="M140" s="9">
        <f t="shared" si="116"/>
        <v>0.19989575012262986</v>
      </c>
      <c r="N140" s="4">
        <f t="shared" si="194"/>
        <v>1016.7907160572139</v>
      </c>
      <c r="O140" s="6">
        <f t="shared" si="117"/>
        <v>5.5335814321144285E-6</v>
      </c>
      <c r="P140" s="8">
        <f t="shared" si="118"/>
        <v>27.582093234657961</v>
      </c>
      <c r="Q140" s="7">
        <f t="shared" si="108"/>
        <v>1.3855015429700728E-2</v>
      </c>
      <c r="R140" s="9">
        <f t="shared" si="119"/>
        <v>0.19997122600794506</v>
      </c>
      <c r="S140" s="4">
        <f t="shared" si="195"/>
        <v>1015.2893913629426</v>
      </c>
      <c r="T140" s="6">
        <f t="shared" si="120"/>
        <v>5.5305787827258856E-6</v>
      </c>
      <c r="U140" s="8">
        <f t="shared" si="121"/>
        <v>27.564828000673842</v>
      </c>
      <c r="V140" s="7">
        <f t="shared" si="122"/>
        <v>1.3841343824308974E-2</v>
      </c>
      <c r="W140" s="9">
        <f t="shared" si="123"/>
        <v>0.20009647801412606</v>
      </c>
      <c r="X140" s="4">
        <f t="shared" si="196"/>
        <v>1013.1901844012949</v>
      </c>
      <c r="Y140" s="6">
        <f t="shared" si="124"/>
        <v>5.5263803688025901E-6</v>
      </c>
      <c r="Z140" s="8">
        <f t="shared" si="125"/>
        <v>27.540687120614891</v>
      </c>
      <c r="AA140" s="7">
        <f t="shared" si="126"/>
        <v>1.3830836480880362E-2</v>
      </c>
      <c r="AB140" s="9">
        <f t="shared" si="127"/>
        <v>0.20027187324136939</v>
      </c>
      <c r="AC140" s="4">
        <f t="shared" si="197"/>
        <v>1010.4916800770208</v>
      </c>
      <c r="AD140" s="6">
        <f t="shared" si="128"/>
        <v>5.5209833601540422E-6</v>
      </c>
      <c r="AE140" s="8">
        <f t="shared" si="129"/>
        <v>27.509654320885737</v>
      </c>
      <c r="AF140" s="7">
        <f t="shared" si="130"/>
        <v>1.3817329422168777E-2</v>
      </c>
      <c r="AG140" s="9">
        <f t="shared" si="131"/>
        <v>0.20049779381678584</v>
      </c>
      <c r="AH140" s="4">
        <f t="shared" si="198"/>
        <v>1007.1936554899639</v>
      </c>
      <c r="AI140" s="6">
        <f t="shared" si="132"/>
        <v>5.5143873109799282E-6</v>
      </c>
      <c r="AJ140" s="8">
        <f t="shared" si="133"/>
        <v>27.471727038134585</v>
      </c>
      <c r="AK140" s="7">
        <f t="shared" si="134"/>
        <v>1.3800821532472654E-2</v>
      </c>
      <c r="AL140" s="9">
        <f t="shared" si="135"/>
        <v>0.20077459973097228</v>
      </c>
      <c r="AM140" s="4">
        <f t="shared" si="199"/>
        <v>1003.2960651636603</v>
      </c>
      <c r="AN140" s="6">
        <f t="shared" si="136"/>
        <v>5.5065921303273206E-6</v>
      </c>
      <c r="AO140" s="8">
        <f t="shared" si="137"/>
        <v>27.426904749382093</v>
      </c>
      <c r="AP140" s="7">
        <f t="shared" si="138"/>
        <v>1.3781312584164688E-2</v>
      </c>
      <c r="AQ140" s="9">
        <f t="shared" si="139"/>
        <v>0.20110271466649049</v>
      </c>
      <c r="AR140" s="4">
        <f t="shared" si="200"/>
        <v>998.79890430576961</v>
      </c>
      <c r="AS140" s="6">
        <f t="shared" si="140"/>
        <v>5.4975978086115402E-6</v>
      </c>
      <c r="AT140" s="8">
        <f t="shared" si="141"/>
        <v>27.375187399516349</v>
      </c>
      <c r="AU140" s="7">
        <f t="shared" si="142"/>
        <v>1.3758802553257361E-2</v>
      </c>
      <c r="AV140" s="9">
        <f t="shared" si="143"/>
        <v>0.20148263898633428</v>
      </c>
      <c r="AW140" s="4">
        <f t="shared" si="201"/>
        <v>993.70216384491437</v>
      </c>
      <c r="AX140" s="6">
        <f t="shared" si="144"/>
        <v>5.487404327689829E-6</v>
      </c>
      <c r="AY140" s="8">
        <f t="shared" si="145"/>
        <v>27.316574884216514</v>
      </c>
      <c r="AZ140" s="7">
        <f t="shared" si="146"/>
        <v>1.3733291394344913E-2</v>
      </c>
      <c r="BA140" s="9">
        <f t="shared" si="147"/>
        <v>0.20191495542096391</v>
      </c>
      <c r="BB140" s="4">
        <f t="shared" si="202"/>
        <v>988.00576369113958</v>
      </c>
      <c r="BC140" s="6">
        <f t="shared" si="148"/>
        <v>5.4760115273822793E-6</v>
      </c>
      <c r="BD140" s="8">
        <f t="shared" si="149"/>
        <v>27.251066282448104</v>
      </c>
      <c r="BE140" s="7">
        <f t="shared" si="150"/>
        <v>1.3704778706546118E-2</v>
      </c>
      <c r="BF140" s="9">
        <f t="shared" si="151"/>
        <v>0.20240033703020677</v>
      </c>
      <c r="BG140" s="4">
        <f t="shared" si="203"/>
        <v>981.70915738244639</v>
      </c>
      <c r="BH140" s="6">
        <f t="shared" si="152"/>
        <v>5.4634183147648938E-6</v>
      </c>
      <c r="BI140" s="8">
        <f t="shared" si="153"/>
        <v>27.178655309898133</v>
      </c>
      <c r="BJ140" s="7">
        <f t="shared" si="154"/>
        <v>1.3673261754607148E-2</v>
      </c>
      <c r="BK140" s="9">
        <f t="shared" si="155"/>
        <v>0.20293958391647424</v>
      </c>
      <c r="BL140" s="4">
        <f t="shared" si="204"/>
        <v>974.80901114994572</v>
      </c>
      <c r="BM140" s="6">
        <f t="shared" si="156"/>
        <v>5.4496180222998918E-6</v>
      </c>
      <c r="BN140" s="8">
        <f t="shared" si="157"/>
        <v>27.099303628224376</v>
      </c>
      <c r="BO140" s="7">
        <f t="shared" si="158"/>
        <v>1.3638723851724231E-2</v>
      </c>
      <c r="BP140" s="9">
        <f t="shared" si="159"/>
        <v>0.20353382786764249</v>
      </c>
      <c r="BQ140" s="4">
        <f t="shared" si="205"/>
        <v>967.28709250501527</v>
      </c>
      <c r="BR140" s="6">
        <f t="shared" si="160"/>
        <v>5.4345741850100309E-6</v>
      </c>
      <c r="BS140" s="8">
        <f t="shared" si="161"/>
        <v>27.012801563807674</v>
      </c>
      <c r="BT140" s="7">
        <f t="shared" si="162"/>
        <v>1.3601073737234171E-2</v>
      </c>
      <c r="BU140" s="9">
        <f t="shared" si="163"/>
        <v>0.20418559648362988</v>
      </c>
      <c r="BV140" s="4">
        <f t="shared" si="206"/>
        <v>959.05508024612652</v>
      </c>
      <c r="BW140" s="6">
        <f t="shared" si="164"/>
        <v>5.4181101604922535E-6</v>
      </c>
      <c r="BX140" s="8">
        <f t="shared" si="165"/>
        <v>26.918133422830454</v>
      </c>
      <c r="BY140" s="7">
        <f t="shared" si="166"/>
        <v>1.3559869329334916E-2</v>
      </c>
      <c r="BZ140" s="9">
        <f t="shared" si="167"/>
        <v>0.20490369496875871</v>
      </c>
      <c r="CA140" s="4">
        <f t="shared" si="207"/>
        <v>949.74012312946672</v>
      </c>
      <c r="CB140" s="6">
        <f t="shared" si="168"/>
        <v>5.399480246258934E-6</v>
      </c>
      <c r="CC140" s="8">
        <f t="shared" si="169"/>
        <v>26.811011415988865</v>
      </c>
      <c r="CD140" s="7">
        <f t="shared" si="170"/>
        <v>1.3513244363223561E-2</v>
      </c>
      <c r="CE140" s="9">
        <f t="shared" si="171"/>
        <v>0.2057223770644748</v>
      </c>
      <c r="CF140" s="4">
        <f t="shared" si="208"/>
        <v>937.9997988421793</v>
      </c>
      <c r="CG140" s="6">
        <f t="shared" si="172"/>
        <v>5.3759995976843594E-6</v>
      </c>
      <c r="CH140" s="8">
        <f t="shared" si="173"/>
        <v>26.675997686685061</v>
      </c>
      <c r="CI140" s="7">
        <f t="shared" si="174"/>
        <v>1.3454479495583746E-2</v>
      </c>
      <c r="CJ140" s="9">
        <f t="shared" si="175"/>
        <v>0.2067635881807354</v>
      </c>
      <c r="CK140" s="4">
        <f t="shared" si="209"/>
        <v>919.83435681021342</v>
      </c>
      <c r="CL140" s="6">
        <f t="shared" si="176"/>
        <v>5.3396687136204264E-6</v>
      </c>
      <c r="CM140" s="8">
        <f t="shared" si="177"/>
        <v>26.467095103317455</v>
      </c>
      <c r="CN140" s="7">
        <f t="shared" si="178"/>
        <v>1.336355442652214E-2</v>
      </c>
      <c r="CO140" s="9">
        <f t="shared" si="179"/>
        <v>0.20839555600904072</v>
      </c>
      <c r="CP140" s="4">
        <f t="shared" si="210"/>
        <v>885.82071274160455</v>
      </c>
      <c r="CQ140" s="6">
        <f t="shared" si="180"/>
        <v>5.2716414254832097E-6</v>
      </c>
      <c r="CR140" s="8">
        <f t="shared" si="181"/>
        <v>26.075938196528451</v>
      </c>
      <c r="CS140" s="7">
        <f t="shared" si="182"/>
        <v>1.319330297155987E-2</v>
      </c>
      <c r="CT140" s="9">
        <f t="shared" si="183"/>
        <v>0.21152163187494852</v>
      </c>
      <c r="CU140" s="4">
        <f t="shared" si="211"/>
        <v>819.73428500748958</v>
      </c>
      <c r="CV140" s="6">
        <f t="shared" si="184"/>
        <v>5.1394685700149796E-6</v>
      </c>
      <c r="CW140" s="8">
        <f t="shared" si="185"/>
        <v>25.31594427758613</v>
      </c>
      <c r="CX140" s="7">
        <f t="shared" si="186"/>
        <v>1.2862514819243777E-2</v>
      </c>
      <c r="CY140" s="9">
        <f t="shared" si="187"/>
        <v>0.21787158873166526</v>
      </c>
      <c r="CZ140" s="5">
        <f t="shared" si="212"/>
        <v>704.60777019497652</v>
      </c>
      <c r="DA140" s="6">
        <f t="shared" si="188"/>
        <v>4.909215540389954E-6</v>
      </c>
      <c r="DB140" s="8">
        <f t="shared" si="189"/>
        <v>23.991989357242229</v>
      </c>
      <c r="DC140" s="7">
        <f t="shared" si="190"/>
        <v>1.2286262048090236E-2</v>
      </c>
      <c r="DD140" s="9">
        <f t="shared" si="191"/>
        <v>0.22989444176020576</v>
      </c>
    </row>
    <row r="141" spans="2:108" x14ac:dyDescent="0.25">
      <c r="B141">
        <v>122</v>
      </c>
      <c r="C141">
        <f t="shared" si="192"/>
        <v>0.11926898929412068</v>
      </c>
      <c r="D141" s="4">
        <f t="shared" si="109"/>
        <v>1018.0042043921449</v>
      </c>
      <c r="E141" s="6">
        <f t="shared" si="110"/>
        <v>5.5360084087842907E-6</v>
      </c>
      <c r="F141" s="8">
        <f t="shared" si="111"/>
        <v>27.596048350509665</v>
      </c>
      <c r="G141" s="7">
        <f t="shared" si="107"/>
        <v>1.3854932514401692E-2</v>
      </c>
      <c r="H141" s="9">
        <f t="shared" si="112"/>
        <v>0.19987010205024999</v>
      </c>
      <c r="I141" s="4">
        <f t="shared" si="193"/>
        <v>1017.6797383385875</v>
      </c>
      <c r="J141" s="6">
        <f t="shared" si="113"/>
        <v>5.5353594766771752E-6</v>
      </c>
      <c r="K141" s="8">
        <f t="shared" si="114"/>
        <v>27.592316990893757</v>
      </c>
      <c r="L141" s="7">
        <f t="shared" si="115"/>
        <v>1.3853308436205523E-2</v>
      </c>
      <c r="M141" s="9">
        <f t="shared" si="116"/>
        <v>0.19989713085060279</v>
      </c>
      <c r="N141" s="4">
        <f t="shared" si="194"/>
        <v>1016.7741272802385</v>
      </c>
      <c r="O141" s="6">
        <f t="shared" si="117"/>
        <v>5.5335482545604779E-6</v>
      </c>
      <c r="P141" s="8">
        <f t="shared" si="118"/>
        <v>27.581902463722741</v>
      </c>
      <c r="Q141" s="7">
        <f t="shared" si="108"/>
        <v>1.3854932514401692E-2</v>
      </c>
      <c r="R141" s="9">
        <f t="shared" si="119"/>
        <v>0.19997260911405434</v>
      </c>
      <c r="S141" s="4">
        <f t="shared" si="195"/>
        <v>1015.2727935572918</v>
      </c>
      <c r="T141" s="6">
        <f t="shared" si="120"/>
        <v>5.5305455871145842E-6</v>
      </c>
      <c r="U141" s="8">
        <f t="shared" si="121"/>
        <v>27.564637125908856</v>
      </c>
      <c r="V141" s="7">
        <f t="shared" si="122"/>
        <v>1.3841260745866821E-2</v>
      </c>
      <c r="W141" s="9">
        <f t="shared" si="123"/>
        <v>0.20009786360712484</v>
      </c>
      <c r="X141" s="4">
        <f t="shared" si="196"/>
        <v>1013.173588573623</v>
      </c>
      <c r="Y141" s="6">
        <f t="shared" si="124"/>
        <v>5.5263471771472468E-6</v>
      </c>
      <c r="Z141" s="8">
        <f t="shared" si="125"/>
        <v>27.540496268596662</v>
      </c>
      <c r="AA141" s="7">
        <f t="shared" si="126"/>
        <v>1.3830753412338758E-2</v>
      </c>
      <c r="AB141" s="9">
        <f t="shared" si="127"/>
        <v>0.20027326109912003</v>
      </c>
      <c r="AC141" s="4">
        <f t="shared" si="197"/>
        <v>1010.4750946088302</v>
      </c>
      <c r="AD141" s="6">
        <f t="shared" si="128"/>
        <v>5.5209501892176601E-6</v>
      </c>
      <c r="AE141" s="8">
        <f t="shared" si="129"/>
        <v>27.509463588001545</v>
      </c>
      <c r="AF141" s="7">
        <f t="shared" si="130"/>
        <v>1.3817246405480385E-2</v>
      </c>
      <c r="AG141" s="9">
        <f t="shared" si="131"/>
        <v>0.20049918393922012</v>
      </c>
      <c r="AH141" s="4">
        <f t="shared" si="198"/>
        <v>1007.1770858437171</v>
      </c>
      <c r="AI141" s="6">
        <f t="shared" si="132"/>
        <v>5.514354171687435E-6</v>
      </c>
      <c r="AJ141" s="8">
        <f t="shared" si="133"/>
        <v>27.471536487202748</v>
      </c>
      <c r="AK141" s="7">
        <f t="shared" si="134"/>
        <v>1.3800738594979217E-2</v>
      </c>
      <c r="AL141" s="9">
        <f t="shared" si="135"/>
        <v>0.20077599236465646</v>
      </c>
      <c r="AM141" s="4">
        <f t="shared" si="199"/>
        <v>1003.2795153784373</v>
      </c>
      <c r="AN141" s="6">
        <f t="shared" si="136"/>
        <v>5.5065590307568745E-6</v>
      </c>
      <c r="AO141" s="8">
        <f t="shared" si="137"/>
        <v>27.42671442685203</v>
      </c>
      <c r="AP141" s="7">
        <f t="shared" si="138"/>
        <v>1.3781229746083361E-2</v>
      </c>
      <c r="AQ141" s="9">
        <f t="shared" si="139"/>
        <v>0.20110411018098276</v>
      </c>
      <c r="AR141" s="4">
        <f t="shared" si="200"/>
        <v>998.78237787662044</v>
      </c>
      <c r="AS141" s="6">
        <f t="shared" si="140"/>
        <v>5.4975647557532408E-6</v>
      </c>
      <c r="AT141" s="8">
        <f t="shared" si="141"/>
        <v>27.374997345581136</v>
      </c>
      <c r="AU141" s="7">
        <f t="shared" si="142"/>
        <v>1.3758719832082222E-2</v>
      </c>
      <c r="AV141" s="9">
        <f t="shared" si="143"/>
        <v>0.20148403780175456</v>
      </c>
      <c r="AW141" s="4">
        <f t="shared" si="201"/>
        <v>993.68566330643682</v>
      </c>
      <c r="AX141" s="6">
        <f t="shared" si="144"/>
        <v>5.4873713266128738E-6</v>
      </c>
      <c r="AY141" s="8">
        <f t="shared" si="145"/>
        <v>27.316385128024024</v>
      </c>
      <c r="AZ141" s="7">
        <f t="shared" si="146"/>
        <v>1.373320880276261E-2</v>
      </c>
      <c r="BA141" s="9">
        <f t="shared" si="147"/>
        <v>0.2019163580448092</v>
      </c>
      <c r="BB141" s="4">
        <f t="shared" si="202"/>
        <v>987.98928581159328</v>
      </c>
      <c r="BC141" s="6">
        <f t="shared" si="148"/>
        <v>5.4759785716231868E-6</v>
      </c>
      <c r="BD141" s="8">
        <f t="shared" si="149"/>
        <v>27.250876786833324</v>
      </c>
      <c r="BE141" s="7">
        <f t="shared" si="150"/>
        <v>1.3704696228380539E-2</v>
      </c>
      <c r="BF141" s="9">
        <f t="shared" si="151"/>
        <v>0.20240174447029016</v>
      </c>
      <c r="BG141" s="4">
        <f t="shared" si="203"/>
        <v>981.69266525636624</v>
      </c>
      <c r="BH141" s="6">
        <f t="shared" si="152"/>
        <v>5.4633853305127328E-6</v>
      </c>
      <c r="BI141" s="8">
        <f t="shared" si="153"/>
        <v>27.17846565044821</v>
      </c>
      <c r="BJ141" s="7">
        <f t="shared" si="154"/>
        <v>1.3673179205132151E-2</v>
      </c>
      <c r="BK141" s="9">
        <f t="shared" si="155"/>
        <v>0.20294100008949695</v>
      </c>
      <c r="BL141" s="4">
        <f t="shared" si="204"/>
        <v>974.79229306609341</v>
      </c>
      <c r="BM141" s="6">
        <f t="shared" si="156"/>
        <v>5.4495845861321872E-6</v>
      </c>
      <c r="BN141" s="8">
        <f t="shared" si="157"/>
        <v>27.099111370260076</v>
      </c>
      <c r="BO141" s="7">
        <f t="shared" si="158"/>
        <v>1.3638640171243117E-2</v>
      </c>
      <c r="BP141" s="9">
        <f t="shared" si="159"/>
        <v>0.20353527186331002</v>
      </c>
      <c r="BQ141" s="4">
        <f t="shared" si="205"/>
        <v>967.26914386315434</v>
      </c>
      <c r="BR141" s="6">
        <f t="shared" si="160"/>
        <v>5.4345382877263095E-6</v>
      </c>
      <c r="BS141" s="8">
        <f t="shared" si="161"/>
        <v>27.012595154426272</v>
      </c>
      <c r="BT141" s="7">
        <f t="shared" si="162"/>
        <v>1.3600983897333887E-2</v>
      </c>
      <c r="BU141" s="9">
        <f t="shared" si="163"/>
        <v>0.20418715671219809</v>
      </c>
      <c r="BV141" s="4">
        <f t="shared" si="206"/>
        <v>959.03182770027126</v>
      </c>
      <c r="BW141" s="6">
        <f t="shared" si="164"/>
        <v>5.4180636554005431E-6</v>
      </c>
      <c r="BX141" s="8">
        <f t="shared" si="165"/>
        <v>26.91786601855312</v>
      </c>
      <c r="BY141" s="7">
        <f t="shared" si="166"/>
        <v>1.3559752941342042E-2</v>
      </c>
      <c r="BZ141" s="9">
        <f t="shared" si="167"/>
        <v>0.20490573049878319</v>
      </c>
      <c r="CA141" s="4">
        <f t="shared" si="207"/>
        <v>949.69771893604275</v>
      </c>
      <c r="CB141" s="6">
        <f t="shared" si="168"/>
        <v>5.3993954378720854E-6</v>
      </c>
      <c r="CC141" s="8">
        <f t="shared" si="169"/>
        <v>26.81052376776449</v>
      </c>
      <c r="CD141" s="7">
        <f t="shared" si="170"/>
        <v>1.3513032113821162E-2</v>
      </c>
      <c r="CE141" s="9">
        <f t="shared" si="171"/>
        <v>0.20572611888439443</v>
      </c>
      <c r="CF141" s="4">
        <f t="shared" si="208"/>
        <v>937.90034734536471</v>
      </c>
      <c r="CG141" s="6">
        <f t="shared" si="172"/>
        <v>5.3758006946907296E-6</v>
      </c>
      <c r="CH141" s="8">
        <f t="shared" si="173"/>
        <v>26.674853994471693</v>
      </c>
      <c r="CI141" s="7">
        <f t="shared" si="174"/>
        <v>1.345398170234534E-2</v>
      </c>
      <c r="CJ141" s="9">
        <f t="shared" si="175"/>
        <v>0.20677245323041324</v>
      </c>
      <c r="CK141" s="4">
        <f t="shared" si="209"/>
        <v>919.60048784677258</v>
      </c>
      <c r="CL141" s="6">
        <f t="shared" si="176"/>
        <v>5.3392009756935458E-6</v>
      </c>
      <c r="CM141" s="8">
        <f t="shared" si="177"/>
        <v>26.464405610237883</v>
      </c>
      <c r="CN141" s="7">
        <f t="shared" si="178"/>
        <v>1.336238382183139E-2</v>
      </c>
      <c r="CO141" s="9">
        <f t="shared" si="179"/>
        <v>0.20841673458429211</v>
      </c>
      <c r="CP141" s="4">
        <f t="shared" si="210"/>
        <v>885.35498901880874</v>
      </c>
      <c r="CQ141" s="6">
        <f t="shared" si="180"/>
        <v>5.2707099780376182E-6</v>
      </c>
      <c r="CR141" s="8">
        <f t="shared" si="181"/>
        <v>26.070582373716299</v>
      </c>
      <c r="CS141" s="7">
        <f t="shared" si="182"/>
        <v>1.3190971844049494E-2</v>
      </c>
      <c r="CT141" s="9">
        <f t="shared" si="183"/>
        <v>0.2115650859246134</v>
      </c>
      <c r="CU141" s="4">
        <f t="shared" si="211"/>
        <v>819.02449399900581</v>
      </c>
      <c r="CV141" s="6">
        <f t="shared" si="184"/>
        <v>5.138048987998012E-6</v>
      </c>
      <c r="CW141" s="8">
        <f t="shared" si="185"/>
        <v>25.307781680988565</v>
      </c>
      <c r="CX141" s="7">
        <f t="shared" si="186"/>
        <v>1.2858962040492118E-2</v>
      </c>
      <c r="CY141" s="9">
        <f t="shared" si="187"/>
        <v>0.21794185952470846</v>
      </c>
      <c r="CZ141" s="5">
        <f t="shared" si="212"/>
        <v>703.85460556732698</v>
      </c>
      <c r="DA141" s="6">
        <f t="shared" si="188"/>
        <v>4.9077092111346546E-6</v>
      </c>
      <c r="DB141" s="8">
        <f t="shared" si="189"/>
        <v>23.983327964024259</v>
      </c>
      <c r="DC141" s="7">
        <f t="shared" si="190"/>
        <v>1.2282492167585082E-2</v>
      </c>
      <c r="DD141" s="9">
        <f t="shared" si="191"/>
        <v>0.22997746635803046</v>
      </c>
    </row>
    <row r="142" spans="2:108" x14ac:dyDescent="0.25">
      <c r="B142">
        <v>123</v>
      </c>
      <c r="C142">
        <f t="shared" si="192"/>
        <v>0.12024660396046594</v>
      </c>
      <c r="D142" s="4">
        <f t="shared" si="109"/>
        <v>1017.987638794544</v>
      </c>
      <c r="E142" s="6">
        <f t="shared" si="110"/>
        <v>5.5359752775890886E-6</v>
      </c>
      <c r="F142" s="8">
        <f t="shared" si="111"/>
        <v>27.595857846137257</v>
      </c>
      <c r="G142" s="7">
        <f t="shared" si="107"/>
        <v>1.3854849597173294E-2</v>
      </c>
      <c r="H142" s="9">
        <f t="shared" si="112"/>
        <v>0.19987148182719214</v>
      </c>
      <c r="I142" s="4">
        <f t="shared" si="193"/>
        <v>1017.6631653952628</v>
      </c>
      <c r="J142" s="6">
        <f t="shared" si="113"/>
        <v>5.5353263307905255E-6</v>
      </c>
      <c r="K142" s="8">
        <f t="shared" si="114"/>
        <v>27.592126402045523</v>
      </c>
      <c r="L142" s="7">
        <f t="shared" si="115"/>
        <v>1.3853225482208931E-2</v>
      </c>
      <c r="M142" s="9">
        <f t="shared" si="116"/>
        <v>0.19989851161275859</v>
      </c>
      <c r="N142" s="4">
        <f t="shared" si="194"/>
        <v>1016.7575386126464</v>
      </c>
      <c r="O142" s="6">
        <f t="shared" si="117"/>
        <v>5.533515077225293E-6</v>
      </c>
      <c r="P142" s="8">
        <f t="shared" si="118"/>
        <v>27.581711694045431</v>
      </c>
      <c r="Q142" s="7">
        <f t="shared" si="108"/>
        <v>1.3854849597173294E-2</v>
      </c>
      <c r="R142" s="9">
        <f t="shared" si="119"/>
        <v>0.19997399223017617</v>
      </c>
      <c r="S142" s="4">
        <f t="shared" si="195"/>
        <v>1015.2561959871879</v>
      </c>
      <c r="T142" s="6">
        <f t="shared" si="120"/>
        <v>5.5305123919743763E-6</v>
      </c>
      <c r="U142" s="8">
        <f t="shared" si="121"/>
        <v>27.564446253852658</v>
      </c>
      <c r="V142" s="7">
        <f t="shared" si="122"/>
        <v>1.384117766860367E-2</v>
      </c>
      <c r="W142" s="9">
        <f t="shared" si="123"/>
        <v>0.20009924919964919</v>
      </c>
      <c r="X142" s="4">
        <f t="shared" si="196"/>
        <v>1013.1569929829171</v>
      </c>
      <c r="Y142" s="6">
        <f t="shared" si="124"/>
        <v>5.5263139859658346E-6</v>
      </c>
      <c r="Z142" s="8">
        <f t="shared" si="125"/>
        <v>27.540305419303547</v>
      </c>
      <c r="AA142" s="7">
        <f t="shared" si="126"/>
        <v>1.3830670344983259E-2</v>
      </c>
      <c r="AB142" s="9">
        <f t="shared" si="127"/>
        <v>0.20027464895628896</v>
      </c>
      <c r="AC142" s="4">
        <f t="shared" si="197"/>
        <v>1010.458509352012</v>
      </c>
      <c r="AD142" s="6">
        <f t="shared" si="128"/>
        <v>5.5209170187040246E-6</v>
      </c>
      <c r="AE142" s="8">
        <f t="shared" si="129"/>
        <v>27.509272857548137</v>
      </c>
      <c r="AF142" s="7">
        <f t="shared" si="130"/>
        <v>1.3817163389849998E-2</v>
      </c>
      <c r="AG142" s="9">
        <f t="shared" si="131"/>
        <v>0.20050057406321425</v>
      </c>
      <c r="AH142" s="4">
        <f t="shared" si="198"/>
        <v>1007.1605163939178</v>
      </c>
      <c r="AI142" s="6">
        <f t="shared" si="132"/>
        <v>5.5143210327878363E-6</v>
      </c>
      <c r="AJ142" s="8">
        <f t="shared" si="133"/>
        <v>27.471345938530053</v>
      </c>
      <c r="AK142" s="7">
        <f t="shared" si="134"/>
        <v>1.3800655658469076E-2</v>
      </c>
      <c r="AL142" s="9">
        <f t="shared" si="135"/>
        <v>0.20077738500114903</v>
      </c>
      <c r="AM142" s="4">
        <f t="shared" si="199"/>
        <v>1003.2629657835071</v>
      </c>
      <c r="AN142" s="6">
        <f t="shared" si="136"/>
        <v>5.5065259315670147E-6</v>
      </c>
      <c r="AO142" s="8">
        <f t="shared" si="137"/>
        <v>27.426524106510328</v>
      </c>
      <c r="AP142" s="7">
        <f t="shared" si="138"/>
        <v>1.3781146908954526E-2</v>
      </c>
      <c r="AQ142" s="9">
        <f t="shared" si="139"/>
        <v>0.20110550569879679</v>
      </c>
      <c r="AR142" s="4">
        <f t="shared" si="200"/>
        <v>998.76585162415631</v>
      </c>
      <c r="AS142" s="6">
        <f t="shared" si="140"/>
        <v>5.4975317032483126E-6</v>
      </c>
      <c r="AT142" s="8">
        <f t="shared" si="141"/>
        <v>27.374807293677797</v>
      </c>
      <c r="AU142" s="7">
        <f t="shared" si="142"/>
        <v>1.3758637111791464E-2</v>
      </c>
      <c r="AV142" s="9">
        <f t="shared" si="143"/>
        <v>0.2014854366216427</v>
      </c>
      <c r="AW142" s="4">
        <f t="shared" si="201"/>
        <v>993.66916285980938</v>
      </c>
      <c r="AX142" s="6">
        <f t="shared" si="144"/>
        <v>5.4873383257196197E-6</v>
      </c>
      <c r="AY142" s="8">
        <f t="shared" si="145"/>
        <v>27.316195372887805</v>
      </c>
      <c r="AZ142" s="7">
        <f t="shared" si="146"/>
        <v>1.3733126211640054E-2</v>
      </c>
      <c r="BA142" s="9">
        <f t="shared" si="147"/>
        <v>0.20191776068033376</v>
      </c>
      <c r="BB142" s="4">
        <f t="shared" si="202"/>
        <v>987.97280753009352</v>
      </c>
      <c r="BC142" s="6">
        <f t="shared" si="148"/>
        <v>5.475945615060188E-6</v>
      </c>
      <c r="BD142" s="8">
        <f t="shared" si="149"/>
        <v>27.250687286596076</v>
      </c>
      <c r="BE142" s="7">
        <f t="shared" si="150"/>
        <v>1.370461374820303E-2</v>
      </c>
      <c r="BF142" s="9">
        <f t="shared" si="151"/>
        <v>0.2024031519642808</v>
      </c>
      <c r="BG142" s="4">
        <f t="shared" si="203"/>
        <v>981.6761701784892</v>
      </c>
      <c r="BH142" s="6">
        <f t="shared" si="152"/>
        <v>5.4633523403569791E-6</v>
      </c>
      <c r="BI142" s="8">
        <f t="shared" si="153"/>
        <v>27.178275957052627</v>
      </c>
      <c r="BJ142" s="7">
        <f t="shared" si="154"/>
        <v>1.367309664088227E-2</v>
      </c>
      <c r="BK142" s="9">
        <f t="shared" si="155"/>
        <v>0.20294241653575981</v>
      </c>
      <c r="BL142" s="4">
        <f t="shared" si="204"/>
        <v>974.77556051740055</v>
      </c>
      <c r="BM142" s="6">
        <f t="shared" si="156"/>
        <v>5.4495511210348015E-6</v>
      </c>
      <c r="BN142" s="8">
        <f t="shared" si="157"/>
        <v>27.098918945950103</v>
      </c>
      <c r="BO142" s="7">
        <f t="shared" si="158"/>
        <v>1.3638556418359881E-2</v>
      </c>
      <c r="BP142" s="9">
        <f t="shared" si="159"/>
        <v>0.20353671712886917</v>
      </c>
      <c r="BQ142" s="4">
        <f t="shared" si="205"/>
        <v>967.25113634923775</v>
      </c>
      <c r="BR142" s="6">
        <f t="shared" si="160"/>
        <v>5.4345022726984761E-6</v>
      </c>
      <c r="BS142" s="8">
        <f t="shared" si="161"/>
        <v>27.012388068016236</v>
      </c>
      <c r="BT142" s="7">
        <f t="shared" si="162"/>
        <v>1.3600893762756175E-2</v>
      </c>
      <c r="BU142" s="9">
        <f t="shared" si="163"/>
        <v>0.20418872208232208</v>
      </c>
      <c r="BV142" s="4">
        <f t="shared" si="206"/>
        <v>959.00837508763152</v>
      </c>
      <c r="BW142" s="6">
        <f t="shared" si="164"/>
        <v>5.4180167501752634E-6</v>
      </c>
      <c r="BX142" s="8">
        <f t="shared" si="165"/>
        <v>26.917596313507762</v>
      </c>
      <c r="BY142" s="7">
        <f t="shared" si="166"/>
        <v>1.3559635551937468E-2</v>
      </c>
      <c r="BZ142" s="9">
        <f t="shared" si="167"/>
        <v>0.20490778358363873</v>
      </c>
      <c r="CA142" s="4">
        <f t="shared" si="207"/>
        <v>949.65476681743792</v>
      </c>
      <c r="CB142" s="6">
        <f t="shared" si="168"/>
        <v>5.3993095336348756E-6</v>
      </c>
      <c r="CC142" s="8">
        <f t="shared" si="169"/>
        <v>26.810029818400537</v>
      </c>
      <c r="CD142" s="7">
        <f t="shared" si="170"/>
        <v>1.3512817121841136E-2</v>
      </c>
      <c r="CE142" s="9">
        <f t="shared" si="171"/>
        <v>0.20572990919295656</v>
      </c>
      <c r="CF142" s="4">
        <f t="shared" si="208"/>
        <v>937.79977109106608</v>
      </c>
      <c r="CG142" s="6">
        <f t="shared" si="172"/>
        <v>5.3755995421821325E-6</v>
      </c>
      <c r="CH142" s="8">
        <f t="shared" si="173"/>
        <v>26.673697367547259</v>
      </c>
      <c r="CI142" s="7">
        <f t="shared" si="174"/>
        <v>1.3453478279260344E-2</v>
      </c>
      <c r="CJ142" s="9">
        <f t="shared" si="175"/>
        <v>0.20678141931349284</v>
      </c>
      <c r="CK142" s="4">
        <f t="shared" si="209"/>
        <v>919.36517183332001</v>
      </c>
      <c r="CL142" s="6">
        <f t="shared" si="176"/>
        <v>5.3387303436666411E-6</v>
      </c>
      <c r="CM142" s="8">
        <f t="shared" si="177"/>
        <v>26.461699476083179</v>
      </c>
      <c r="CN142" s="7">
        <f t="shared" si="178"/>
        <v>1.3361205974095189E-2</v>
      </c>
      <c r="CO142" s="9">
        <f t="shared" si="179"/>
        <v>0.20843804854579259</v>
      </c>
      <c r="CP142" s="4">
        <f t="shared" si="210"/>
        <v>884.88896653796019</v>
      </c>
      <c r="CQ142" s="6">
        <f t="shared" si="180"/>
        <v>5.2697779330759215E-6</v>
      </c>
      <c r="CR142" s="8">
        <f t="shared" si="181"/>
        <v>26.065223115186541</v>
      </c>
      <c r="CS142" s="7">
        <f t="shared" si="182"/>
        <v>1.318863922113942E-2</v>
      </c>
      <c r="CT142" s="9">
        <f t="shared" si="183"/>
        <v>0.2116085857245702</v>
      </c>
      <c r="CU142" s="4">
        <f t="shared" si="211"/>
        <v>818.3173756206794</v>
      </c>
      <c r="CV142" s="6">
        <f t="shared" si="184"/>
        <v>5.1366347512413591E-6</v>
      </c>
      <c r="CW142" s="8">
        <f t="shared" si="185"/>
        <v>25.299649819637814</v>
      </c>
      <c r="CX142" s="7">
        <f t="shared" si="186"/>
        <v>1.2855422639288946E-2</v>
      </c>
      <c r="CY142" s="9">
        <f t="shared" si="187"/>
        <v>0.218011910809877</v>
      </c>
      <c r="CZ142" s="5">
        <f t="shared" si="212"/>
        <v>703.10568614241902</v>
      </c>
      <c r="DA142" s="6">
        <f t="shared" si="188"/>
        <v>4.9062113722848384E-6</v>
      </c>
      <c r="DB142" s="8">
        <f t="shared" si="189"/>
        <v>23.974715390637819</v>
      </c>
      <c r="DC142" s="7">
        <f t="shared" si="190"/>
        <v>1.2278743535962934E-2</v>
      </c>
      <c r="DD142" s="9">
        <f t="shared" si="191"/>
        <v>0.23006008247146342</v>
      </c>
    </row>
    <row r="143" spans="2:108" x14ac:dyDescent="0.25">
      <c r="B143">
        <v>124</v>
      </c>
      <c r="C143">
        <f t="shared" si="192"/>
        <v>0.12122421862681118</v>
      </c>
      <c r="D143" s="4">
        <f t="shared" si="109"/>
        <v>1017.9710728219075</v>
      </c>
      <c r="E143" s="6">
        <f t="shared" si="110"/>
        <v>5.5359421456438159E-6</v>
      </c>
      <c r="F143" s="8">
        <f t="shared" si="111"/>
        <v>27.595667337451935</v>
      </c>
      <c r="G143" s="7">
        <f t="shared" si="107"/>
        <v>1.3854766678067697E-2</v>
      </c>
      <c r="H143" s="9">
        <f t="shared" si="112"/>
        <v>0.19987286165442264</v>
      </c>
      <c r="I143" s="4">
        <f t="shared" si="193"/>
        <v>1017.6465922752271</v>
      </c>
      <c r="J143" s="6">
        <f t="shared" si="113"/>
        <v>5.5352931845504545E-6</v>
      </c>
      <c r="K143" s="8">
        <f t="shared" si="114"/>
        <v>27.591935811165111</v>
      </c>
      <c r="L143" s="7">
        <f t="shared" si="115"/>
        <v>1.3853142527327836E-2</v>
      </c>
      <c r="M143" s="9">
        <f t="shared" si="116"/>
        <v>0.19989989240871223</v>
      </c>
      <c r="N143" s="4">
        <f t="shared" si="194"/>
        <v>1016.7409500536024</v>
      </c>
      <c r="O143" s="6">
        <f t="shared" si="117"/>
        <v>5.5334819001072052E-6</v>
      </c>
      <c r="P143" s="8">
        <f t="shared" si="118"/>
        <v>27.581520925616427</v>
      </c>
      <c r="Q143" s="7">
        <f t="shared" si="108"/>
        <v>1.3854766678067697E-2</v>
      </c>
      <c r="R143" s="9">
        <f t="shared" si="119"/>
        <v>0.19997537535638019</v>
      </c>
      <c r="S143" s="4">
        <f t="shared" si="195"/>
        <v>1015.2395986511978</v>
      </c>
      <c r="T143" s="6">
        <f t="shared" si="120"/>
        <v>5.5304791973023955E-6</v>
      </c>
      <c r="U143" s="8">
        <f t="shared" si="121"/>
        <v>27.564255384488774</v>
      </c>
      <c r="V143" s="7">
        <f t="shared" si="122"/>
        <v>1.3841094592512346E-2</v>
      </c>
      <c r="W143" s="9">
        <f t="shared" si="123"/>
        <v>0.20010063479181833</v>
      </c>
      <c r="X143" s="4">
        <f t="shared" si="196"/>
        <v>1013.1403976287586</v>
      </c>
      <c r="Y143" s="6">
        <f t="shared" si="124"/>
        <v>5.5262807952575173E-6</v>
      </c>
      <c r="Z143" s="8">
        <f t="shared" si="125"/>
        <v>27.540114572730722</v>
      </c>
      <c r="AA143" s="7">
        <f t="shared" si="126"/>
        <v>1.3830587278811772E-2</v>
      </c>
      <c r="AB143" s="9">
        <f t="shared" si="127"/>
        <v>0.20027603681291081</v>
      </c>
      <c r="AC143" s="4">
        <f t="shared" si="197"/>
        <v>1010.4419243066549</v>
      </c>
      <c r="AD143" s="6">
        <f t="shared" si="128"/>
        <v>5.5208838486133101E-6</v>
      </c>
      <c r="AE143" s="8">
        <f t="shared" si="129"/>
        <v>27.509082129526529</v>
      </c>
      <c r="AF143" s="7">
        <f t="shared" si="130"/>
        <v>1.3817080375278051E-2</v>
      </c>
      <c r="AG143" s="9">
        <f t="shared" si="131"/>
        <v>0.20050196418876051</v>
      </c>
      <c r="AH143" s="4">
        <f t="shared" si="198"/>
        <v>1007.1439471406603</v>
      </c>
      <c r="AI143" s="6">
        <f t="shared" si="132"/>
        <v>5.514287894281321E-6</v>
      </c>
      <c r="AJ143" s="8">
        <f t="shared" si="133"/>
        <v>27.471155392117595</v>
      </c>
      <c r="AK143" s="7">
        <f t="shared" si="134"/>
        <v>1.3800572722942701E-2</v>
      </c>
      <c r="AL143" s="9">
        <f t="shared" si="135"/>
        <v>0.20077877764044172</v>
      </c>
      <c r="AM143" s="4">
        <f t="shared" si="199"/>
        <v>1003.246416378745</v>
      </c>
      <c r="AN143" s="6">
        <f t="shared" si="136"/>
        <v>5.5064928327574914E-6</v>
      </c>
      <c r="AO143" s="8">
        <f t="shared" si="137"/>
        <v>27.426333788355567</v>
      </c>
      <c r="AP143" s="7">
        <f t="shared" si="138"/>
        <v>1.3781064072777556E-2</v>
      </c>
      <c r="AQ143" s="9">
        <f t="shared" si="139"/>
        <v>0.20110690121994271</v>
      </c>
      <c r="AR143" s="4">
        <f t="shared" si="200"/>
        <v>998.7493255473089</v>
      </c>
      <c r="AS143" s="6">
        <f t="shared" si="140"/>
        <v>5.4974986510946184E-6</v>
      </c>
      <c r="AT143" s="8">
        <f t="shared" si="141"/>
        <v>27.374617243794052</v>
      </c>
      <c r="AU143" s="7">
        <f t="shared" si="142"/>
        <v>1.3758554392379737E-2</v>
      </c>
      <c r="AV143" s="9">
        <f t="shared" si="143"/>
        <v>0.20148683544608889</v>
      </c>
      <c r="AW143" s="4">
        <f t="shared" si="201"/>
        <v>993.65266249896206</v>
      </c>
      <c r="AX143" s="6">
        <f t="shared" si="144"/>
        <v>5.4873053249979253E-6</v>
      </c>
      <c r="AY143" s="8">
        <f t="shared" si="145"/>
        <v>27.31600561873806</v>
      </c>
      <c r="AZ143" s="7">
        <f t="shared" si="146"/>
        <v>1.3733043620946862E-2</v>
      </c>
      <c r="BA143" s="9">
        <f t="shared" si="147"/>
        <v>0.2019191633280536</v>
      </c>
      <c r="BB143" s="4">
        <f t="shared" si="202"/>
        <v>987.95632881632014</v>
      </c>
      <c r="BC143" s="6">
        <f t="shared" si="148"/>
        <v>5.4759126576326405E-6</v>
      </c>
      <c r="BD143" s="8">
        <f t="shared" si="149"/>
        <v>27.250497781387679</v>
      </c>
      <c r="BE143" s="7">
        <f t="shared" si="150"/>
        <v>1.3704531265861818E-2</v>
      </c>
      <c r="BF143" s="9">
        <f t="shared" si="151"/>
        <v>0.20240455951477035</v>
      </c>
      <c r="BG143" s="4">
        <f t="shared" si="203"/>
        <v>981.65967201725789</v>
      </c>
      <c r="BH143" s="6">
        <f t="shared" si="152"/>
        <v>5.4633193440345163E-6</v>
      </c>
      <c r="BI143" s="8">
        <f t="shared" si="153"/>
        <v>27.178086228198467</v>
      </c>
      <c r="BJ143" s="7">
        <f t="shared" si="154"/>
        <v>1.3673014061199005E-2</v>
      </c>
      <c r="BK143" s="9">
        <f t="shared" si="155"/>
        <v>0.20294383326657103</v>
      </c>
      <c r="BL143" s="4">
        <f t="shared" si="204"/>
        <v>974.75881302244125</v>
      </c>
      <c r="BM143" s="6">
        <f t="shared" si="156"/>
        <v>5.4495176260448829E-6</v>
      </c>
      <c r="BN143" s="8">
        <f t="shared" si="157"/>
        <v>27.098726349758074</v>
      </c>
      <c r="BO143" s="7">
        <f t="shared" si="158"/>
        <v>1.3638472590664794E-2</v>
      </c>
      <c r="BP143" s="9">
        <f t="shared" si="159"/>
        <v>0.2035381637059574</v>
      </c>
      <c r="BQ143" s="4">
        <f t="shared" si="205"/>
        <v>967.23306854669659</v>
      </c>
      <c r="BR143" s="6">
        <f t="shared" si="160"/>
        <v>5.4344661370933935E-6</v>
      </c>
      <c r="BS143" s="8">
        <f t="shared" si="161"/>
        <v>27.012180288287009</v>
      </c>
      <c r="BT143" s="7">
        <f t="shared" si="162"/>
        <v>1.360080332641056E-2</v>
      </c>
      <c r="BU143" s="9">
        <f t="shared" si="163"/>
        <v>0.20419029271738123</v>
      </c>
      <c r="BV143" s="4">
        <f t="shared" si="206"/>
        <v>958.98471936303986</v>
      </c>
      <c r="BW143" s="6">
        <f t="shared" si="164"/>
        <v>5.4179694387260808E-6</v>
      </c>
      <c r="BX143" s="8">
        <f t="shared" si="165"/>
        <v>26.917324272674957</v>
      </c>
      <c r="BY143" s="7">
        <f t="shared" si="166"/>
        <v>1.3559517145878955E-2</v>
      </c>
      <c r="BZ143" s="9">
        <f t="shared" si="167"/>
        <v>0.20490985449096702</v>
      </c>
      <c r="CA143" s="4">
        <f t="shared" si="207"/>
        <v>949.61126326368628</v>
      </c>
      <c r="CB143" s="6">
        <f t="shared" si="168"/>
        <v>5.3992225265273734E-6</v>
      </c>
      <c r="CC143" s="8">
        <f t="shared" si="169"/>
        <v>26.809529527532391</v>
      </c>
      <c r="CD143" s="7">
        <f t="shared" si="170"/>
        <v>1.3512599369714747E-2</v>
      </c>
      <c r="CE143" s="9">
        <f t="shared" si="171"/>
        <v>0.20573374830526803</v>
      </c>
      <c r="CF143" s="4">
        <f t="shared" si="208"/>
        <v>937.69807319571976</v>
      </c>
      <c r="CG143" s="6">
        <f t="shared" si="172"/>
        <v>5.3753961463914398E-6</v>
      </c>
      <c r="CH143" s="8">
        <f t="shared" si="173"/>
        <v>26.672527841750778</v>
      </c>
      <c r="CI143" s="7">
        <f t="shared" si="174"/>
        <v>1.3452969241927725E-2</v>
      </c>
      <c r="CJ143" s="9">
        <f t="shared" si="175"/>
        <v>0.20679048617830426</v>
      </c>
      <c r="CK143" s="4">
        <f t="shared" si="209"/>
        <v>919.12842908816901</v>
      </c>
      <c r="CL143" s="6">
        <f t="shared" si="176"/>
        <v>5.3382568581763389E-6</v>
      </c>
      <c r="CM143" s="8">
        <f t="shared" si="177"/>
        <v>26.458976934513942</v>
      </c>
      <c r="CN143" s="7">
        <f t="shared" si="178"/>
        <v>1.3360020985014556E-2</v>
      </c>
      <c r="CO143" s="9">
        <f t="shared" si="179"/>
        <v>0.20845949613438156</v>
      </c>
      <c r="CP143" s="4">
        <f t="shared" si="210"/>
        <v>884.42267149369889</v>
      </c>
      <c r="CQ143" s="6">
        <f t="shared" si="180"/>
        <v>5.268845342987398E-6</v>
      </c>
      <c r="CR143" s="8">
        <f t="shared" si="181"/>
        <v>26.059860722177536</v>
      </c>
      <c r="CS143" s="7">
        <f t="shared" si="182"/>
        <v>1.3186305233943952E-2</v>
      </c>
      <c r="CT143" s="9">
        <f t="shared" si="183"/>
        <v>0.21165212887366192</v>
      </c>
      <c r="CU143" s="4">
        <f t="shared" si="211"/>
        <v>817.61291217597875</v>
      </c>
      <c r="CV143" s="6">
        <f t="shared" si="184"/>
        <v>5.1352258243519575E-6</v>
      </c>
      <c r="CW143" s="8">
        <f t="shared" si="185"/>
        <v>25.291548490023757</v>
      </c>
      <c r="CX143" s="7">
        <f t="shared" si="186"/>
        <v>1.2851896527056275E-2</v>
      </c>
      <c r="CY143" s="9">
        <f t="shared" si="187"/>
        <v>0.21808174387486146</v>
      </c>
      <c r="CZ143" s="5">
        <f t="shared" si="212"/>
        <v>702.36095165693257</v>
      </c>
      <c r="DA143" s="6">
        <f t="shared" si="188"/>
        <v>4.9047219033138657E-6</v>
      </c>
      <c r="DB143" s="8">
        <f t="shared" si="189"/>
        <v>23.966150944054725</v>
      </c>
      <c r="DC143" s="7">
        <f t="shared" si="190"/>
        <v>1.2275015851582543E-2</v>
      </c>
      <c r="DD143" s="9">
        <f t="shared" si="191"/>
        <v>0.23014229581026066</v>
      </c>
    </row>
    <row r="144" spans="2:108" x14ac:dyDescent="0.25">
      <c r="B144">
        <v>125</v>
      </c>
      <c r="C144">
        <f t="shared" si="192"/>
        <v>0.12220183329315643</v>
      </c>
      <c r="D144" s="4">
        <f t="shared" si="109"/>
        <v>1017.9545064843609</v>
      </c>
      <c r="E144" s="6">
        <f t="shared" si="110"/>
        <v>5.5359090129687218E-6</v>
      </c>
      <c r="F144" s="8">
        <f t="shared" si="111"/>
        <v>27.595476824570149</v>
      </c>
      <c r="G144" s="7">
        <f t="shared" si="107"/>
        <v>1.3854683757135583E-2</v>
      </c>
      <c r="H144" s="9">
        <f t="shared" si="112"/>
        <v>0.19987424153109976</v>
      </c>
      <c r="I144" s="4">
        <f t="shared" si="193"/>
        <v>1017.6300189830404</v>
      </c>
      <c r="J144" s="6">
        <f t="shared" si="113"/>
        <v>5.5352600379660808E-6</v>
      </c>
      <c r="K144" s="8">
        <f t="shared" si="114"/>
        <v>27.591745218304965</v>
      </c>
      <c r="L144" s="7">
        <f t="shared" si="115"/>
        <v>1.3853059571585058E-2</v>
      </c>
      <c r="M144" s="9">
        <f t="shared" si="116"/>
        <v>0.19990127323808479</v>
      </c>
      <c r="N144" s="4">
        <f t="shared" si="194"/>
        <v>1016.7243616023183</v>
      </c>
      <c r="O144" s="6">
        <f t="shared" si="117"/>
        <v>5.5334487232046373E-6</v>
      </c>
      <c r="P144" s="8">
        <f t="shared" si="118"/>
        <v>27.58133015842666</v>
      </c>
      <c r="Q144" s="7">
        <f t="shared" si="108"/>
        <v>1.3854683757135583E-2</v>
      </c>
      <c r="R144" s="9">
        <f t="shared" si="119"/>
        <v>0.19997675849273222</v>
      </c>
      <c r="S144" s="4">
        <f t="shared" si="195"/>
        <v>1015.2230015479116</v>
      </c>
      <c r="T144" s="6">
        <f t="shared" si="120"/>
        <v>5.5304460030958237E-6</v>
      </c>
      <c r="U144" s="8">
        <f t="shared" si="121"/>
        <v>27.564064517800983</v>
      </c>
      <c r="V144" s="7">
        <f t="shared" si="122"/>
        <v>1.3841011517585801E-2</v>
      </c>
      <c r="W144" s="9">
        <f t="shared" si="123"/>
        <v>0.20010202038374955</v>
      </c>
      <c r="X144" s="4">
        <f t="shared" si="196"/>
        <v>1013.1238025107242</v>
      </c>
      <c r="Y144" s="6">
        <f t="shared" si="124"/>
        <v>5.5262476050214489E-6</v>
      </c>
      <c r="Z144" s="8">
        <f t="shared" si="125"/>
        <v>27.539923728873326</v>
      </c>
      <c r="AA144" s="7">
        <f t="shared" si="126"/>
        <v>1.3830504213822177E-2</v>
      </c>
      <c r="AB144" s="9">
        <f t="shared" si="127"/>
        <v>0.20027742466902057</v>
      </c>
      <c r="AC144" s="4">
        <f t="shared" si="197"/>
        <v>1010.4253394728414</v>
      </c>
      <c r="AD144" s="6">
        <f t="shared" si="128"/>
        <v>5.5208506789456835E-6</v>
      </c>
      <c r="AE144" s="8">
        <f t="shared" si="129"/>
        <v>27.508891403937675</v>
      </c>
      <c r="AF144" s="7">
        <f t="shared" si="130"/>
        <v>1.3816997361764963E-2</v>
      </c>
      <c r="AG144" s="9">
        <f t="shared" si="131"/>
        <v>0.20050335431585159</v>
      </c>
      <c r="AH144" s="4">
        <f t="shared" si="198"/>
        <v>1007.1273780840359</v>
      </c>
      <c r="AI144" s="6">
        <f t="shared" si="132"/>
        <v>5.5142547561680722E-6</v>
      </c>
      <c r="AJ144" s="8">
        <f t="shared" si="133"/>
        <v>27.470964847966414</v>
      </c>
      <c r="AK144" s="7">
        <f t="shared" si="134"/>
        <v>1.3800489788400552E-2</v>
      </c>
      <c r="AL144" s="9">
        <f t="shared" si="135"/>
        <v>0.20078017028252665</v>
      </c>
      <c r="AM144" s="4">
        <f t="shared" si="199"/>
        <v>1003.2298671640154</v>
      </c>
      <c r="AN144" s="6">
        <f t="shared" si="136"/>
        <v>5.5064597343280317E-6</v>
      </c>
      <c r="AO144" s="8">
        <f t="shared" si="137"/>
        <v>27.426143472386176</v>
      </c>
      <c r="AP144" s="7">
        <f t="shared" si="138"/>
        <v>1.3780981237551771E-2</v>
      </c>
      <c r="AQ144" s="9">
        <f t="shared" si="139"/>
        <v>0.20110829674443179</v>
      </c>
      <c r="AR144" s="4">
        <f t="shared" si="200"/>
        <v>998.73279964494861</v>
      </c>
      <c r="AS144" s="6">
        <f t="shared" si="140"/>
        <v>5.4974655992898976E-6</v>
      </c>
      <c r="AT144" s="8">
        <f t="shared" si="141"/>
        <v>27.374427195916908</v>
      </c>
      <c r="AU144" s="7">
        <f t="shared" si="142"/>
        <v>1.3758471673841383E-2</v>
      </c>
      <c r="AV144" s="9">
        <f t="shared" si="143"/>
        <v>0.20148823427518858</v>
      </c>
      <c r="AW144" s="4">
        <f t="shared" si="201"/>
        <v>993.63616221753762</v>
      </c>
      <c r="AX144" s="6">
        <f t="shared" si="144"/>
        <v>5.4872723244350759E-6</v>
      </c>
      <c r="AY144" s="8">
        <f t="shared" si="145"/>
        <v>27.315815865501683</v>
      </c>
      <c r="AZ144" s="7">
        <f t="shared" si="146"/>
        <v>1.3732961030651211E-2</v>
      </c>
      <c r="BA144" s="9">
        <f t="shared" si="147"/>
        <v>0.20192056598850922</v>
      </c>
      <c r="BB144" s="4">
        <f t="shared" si="202"/>
        <v>987.93984963881019</v>
      </c>
      <c r="BC144" s="6">
        <f t="shared" si="148"/>
        <v>5.4758796992776207E-6</v>
      </c>
      <c r="BD144" s="8">
        <f t="shared" si="149"/>
        <v>27.250308270846318</v>
      </c>
      <c r="BE144" s="7">
        <f t="shared" si="150"/>
        <v>1.3704448781199427E-2</v>
      </c>
      <c r="BF144" s="9">
        <f t="shared" si="151"/>
        <v>0.20240596712444825</v>
      </c>
      <c r="BG144" s="4">
        <f t="shared" si="203"/>
        <v>981.64317063742919</v>
      </c>
      <c r="BH144" s="6">
        <f t="shared" si="152"/>
        <v>5.463286341274859E-6</v>
      </c>
      <c r="BI144" s="8">
        <f t="shared" si="153"/>
        <v>27.177896462330438</v>
      </c>
      <c r="BJ144" s="7">
        <f t="shared" si="154"/>
        <v>1.3672931465405415E-2</v>
      </c>
      <c r="BK144" s="9">
        <f t="shared" si="155"/>
        <v>0.20294525029355598</v>
      </c>
      <c r="BL144" s="4">
        <f t="shared" si="204"/>
        <v>974.7420500910647</v>
      </c>
      <c r="BM144" s="6">
        <f t="shared" si="156"/>
        <v>5.4494841001821295E-6</v>
      </c>
      <c r="BN144" s="8">
        <f t="shared" si="157"/>
        <v>27.098533576047245</v>
      </c>
      <c r="BO144" s="7">
        <f t="shared" si="158"/>
        <v>1.363838868570446E-2</v>
      </c>
      <c r="BP144" s="9">
        <f t="shared" si="159"/>
        <v>0.20353961163696824</v>
      </c>
      <c r="BQ144" s="4">
        <f t="shared" si="205"/>
        <v>967.21493902818963</v>
      </c>
      <c r="BR144" s="6">
        <f t="shared" si="160"/>
        <v>5.4344298780563795E-6</v>
      </c>
      <c r="BS144" s="8">
        <f t="shared" si="161"/>
        <v>27.011971798824177</v>
      </c>
      <c r="BT144" s="7">
        <f t="shared" si="162"/>
        <v>1.3600712581152646E-2</v>
      </c>
      <c r="BU144" s="9">
        <f t="shared" si="163"/>
        <v>0.20419186874169967</v>
      </c>
      <c r="BV144" s="4">
        <f t="shared" si="206"/>
        <v>958.96085749622728</v>
      </c>
      <c r="BW144" s="6">
        <f t="shared" si="164"/>
        <v>5.417921714992455E-6</v>
      </c>
      <c r="BX144" s="8">
        <f t="shared" si="165"/>
        <v>26.917049861206614</v>
      </c>
      <c r="BY144" s="7">
        <f t="shared" si="166"/>
        <v>1.3559397707998827E-2</v>
      </c>
      <c r="BZ144" s="9">
        <f t="shared" si="167"/>
        <v>0.20491194348713632</v>
      </c>
      <c r="CA144" s="4">
        <f t="shared" si="207"/>
        <v>949.56720486402492</v>
      </c>
      <c r="CB144" s="6">
        <f t="shared" si="168"/>
        <v>5.3991344097280497E-6</v>
      </c>
      <c r="CC144" s="8">
        <f t="shared" si="169"/>
        <v>26.809022855936284</v>
      </c>
      <c r="CD144" s="7">
        <f t="shared" si="170"/>
        <v>1.35123788403698E-2</v>
      </c>
      <c r="CE144" s="9">
        <f t="shared" si="171"/>
        <v>0.2057376365277962</v>
      </c>
      <c r="CF144" s="4">
        <f t="shared" si="208"/>
        <v>937.59525692939371</v>
      </c>
      <c r="CG144" s="6">
        <f t="shared" si="172"/>
        <v>5.3751905138587877E-6</v>
      </c>
      <c r="CH144" s="8">
        <f t="shared" si="173"/>
        <v>26.671345454688026</v>
      </c>
      <c r="CI144" s="7">
        <f t="shared" si="174"/>
        <v>1.3452454606715441E-2</v>
      </c>
      <c r="CJ144" s="9">
        <f t="shared" si="175"/>
        <v>0.20679965355967889</v>
      </c>
      <c r="CK144" s="4">
        <f t="shared" si="209"/>
        <v>918.8902797856324</v>
      </c>
      <c r="CL144" s="6">
        <f t="shared" si="176"/>
        <v>5.3377805595712655E-6</v>
      </c>
      <c r="CM144" s="8">
        <f t="shared" si="177"/>
        <v>26.456238217534771</v>
      </c>
      <c r="CN144" s="7">
        <f t="shared" si="178"/>
        <v>1.3358828955569746E-2</v>
      </c>
      <c r="CO144" s="9">
        <f t="shared" si="179"/>
        <v>0.20848107560296808</v>
      </c>
      <c r="CP144" s="4">
        <f t="shared" si="210"/>
        <v>883.95612939181183</v>
      </c>
      <c r="CQ144" s="6">
        <f t="shared" si="180"/>
        <v>5.2679122587836243E-6</v>
      </c>
      <c r="CR144" s="8">
        <f t="shared" si="181"/>
        <v>26.054495488005834</v>
      </c>
      <c r="CS144" s="7">
        <f t="shared" si="182"/>
        <v>1.318397001012944E-2</v>
      </c>
      <c r="CT144" s="9">
        <f t="shared" si="183"/>
        <v>0.21169571303113943</v>
      </c>
      <c r="CU144" s="4">
        <f t="shared" si="211"/>
        <v>816.91108595721266</v>
      </c>
      <c r="CV144" s="6">
        <f t="shared" si="184"/>
        <v>5.1338221719144262E-6</v>
      </c>
      <c r="CW144" s="8">
        <f t="shared" si="185"/>
        <v>25.283477488507945</v>
      </c>
      <c r="CX144" s="7">
        <f t="shared" si="186"/>
        <v>1.2848383615160259E-2</v>
      </c>
      <c r="CY144" s="9">
        <f t="shared" si="187"/>
        <v>0.21815136001394617</v>
      </c>
      <c r="CZ144" s="5">
        <f t="shared" si="212"/>
        <v>701.62034327881486</v>
      </c>
      <c r="DA144" s="6">
        <f t="shared" si="188"/>
        <v>4.9032406865576309E-6</v>
      </c>
      <c r="DB144" s="8">
        <f t="shared" si="189"/>
        <v>23.95763394770637</v>
      </c>
      <c r="DC144" s="7">
        <f t="shared" si="190"/>
        <v>1.2271308819966721E-2</v>
      </c>
      <c r="DD144" s="9">
        <f t="shared" si="191"/>
        <v>0.23022411194858619</v>
      </c>
    </row>
    <row r="145" spans="2:108" x14ac:dyDescent="0.25">
      <c r="B145">
        <v>126</v>
      </c>
      <c r="C145">
        <f t="shared" si="192"/>
        <v>0.12317944795950168</v>
      </c>
      <c r="D145" s="4">
        <f t="shared" si="109"/>
        <v>1017.9379397917455</v>
      </c>
      <c r="E145" s="6">
        <f t="shared" si="110"/>
        <v>5.5358758795834923E-6</v>
      </c>
      <c r="F145" s="8">
        <f t="shared" si="111"/>
        <v>27.595286307605072</v>
      </c>
      <c r="G145" s="7">
        <f t="shared" si="107"/>
        <v>1.3854600834426217E-2</v>
      </c>
      <c r="H145" s="9">
        <f t="shared" si="112"/>
        <v>0.19987562145640544</v>
      </c>
      <c r="I145" s="4">
        <f t="shared" si="193"/>
        <v>1017.6134455231896</v>
      </c>
      <c r="J145" s="6">
        <f t="shared" si="113"/>
        <v>5.5352268910463795E-6</v>
      </c>
      <c r="K145" s="8">
        <f t="shared" si="114"/>
        <v>27.591554623516679</v>
      </c>
      <c r="L145" s="7">
        <f t="shared" si="115"/>
        <v>1.3852976615003058E-2</v>
      </c>
      <c r="M145" s="9">
        <f t="shared" si="116"/>
        <v>0.1999026541005034</v>
      </c>
      <c r="N145" s="4">
        <f t="shared" si="194"/>
        <v>1016.70777325805</v>
      </c>
      <c r="O145" s="6">
        <f t="shared" si="117"/>
        <v>5.5334155465161002E-6</v>
      </c>
      <c r="P145" s="8">
        <f t="shared" si="118"/>
        <v>27.581139392467573</v>
      </c>
      <c r="Q145" s="7">
        <f t="shared" si="108"/>
        <v>1.3854600834426217E-2</v>
      </c>
      <c r="R145" s="9">
        <f t="shared" si="119"/>
        <v>0.19997814163929431</v>
      </c>
      <c r="S145" s="4">
        <f t="shared" si="195"/>
        <v>1015.2064046759428</v>
      </c>
      <c r="T145" s="6">
        <f t="shared" si="120"/>
        <v>5.5304128093518861E-6</v>
      </c>
      <c r="U145" s="8">
        <f t="shared" si="121"/>
        <v>27.563873653773342</v>
      </c>
      <c r="V145" s="7">
        <f t="shared" si="122"/>
        <v>1.3840928443817084E-2</v>
      </c>
      <c r="W145" s="9">
        <f t="shared" si="123"/>
        <v>0.2001034059755582</v>
      </c>
      <c r="X145" s="4">
        <f t="shared" si="196"/>
        <v>1013.1072076283868</v>
      </c>
      <c r="Y145" s="6">
        <f t="shared" si="124"/>
        <v>5.5262144152567738E-6</v>
      </c>
      <c r="Z145" s="8">
        <f t="shared" si="125"/>
        <v>27.539732887726448</v>
      </c>
      <c r="AA145" s="7">
        <f t="shared" si="126"/>
        <v>1.3830421150012338E-2</v>
      </c>
      <c r="AB145" s="9">
        <f t="shared" si="127"/>
        <v>0.20027881252465352</v>
      </c>
      <c r="AC145" s="4">
        <f t="shared" si="197"/>
        <v>1010.4087548506479</v>
      </c>
      <c r="AD145" s="6">
        <f t="shared" si="128"/>
        <v>5.5208175097012963E-6</v>
      </c>
      <c r="AE145" s="8">
        <f t="shared" si="129"/>
        <v>27.50870068078245</v>
      </c>
      <c r="AF145" s="7">
        <f t="shared" si="130"/>
        <v>1.3816914349311116E-2</v>
      </c>
      <c r="AG145" s="9">
        <f t="shared" si="131"/>
        <v>0.2005047444444808</v>
      </c>
      <c r="AH145" s="4">
        <f t="shared" si="198"/>
        <v>1007.110809224132</v>
      </c>
      <c r="AI145" s="6">
        <f t="shared" si="132"/>
        <v>5.5142216184482642E-6</v>
      </c>
      <c r="AJ145" s="8">
        <f t="shared" si="133"/>
        <v>27.470774306077516</v>
      </c>
      <c r="AK145" s="7">
        <f t="shared" si="134"/>
        <v>1.3800406854843066E-2</v>
      </c>
      <c r="AL145" s="9">
        <f t="shared" si="135"/>
        <v>0.20078156292739616</v>
      </c>
      <c r="AM145" s="4">
        <f t="shared" si="199"/>
        <v>1003.2133181391708</v>
      </c>
      <c r="AN145" s="6">
        <f t="shared" si="136"/>
        <v>5.5064266362783418E-6</v>
      </c>
      <c r="AO145" s="8">
        <f t="shared" si="137"/>
        <v>27.425953158600464</v>
      </c>
      <c r="AP145" s="7">
        <f t="shared" si="138"/>
        <v>1.3780898403276433E-2</v>
      </c>
      <c r="AQ145" s="9">
        <f t="shared" si="139"/>
        <v>0.20110969227227618</v>
      </c>
      <c r="AR145" s="4">
        <f t="shared" si="200"/>
        <v>998.71627391588243</v>
      </c>
      <c r="AS145" s="6">
        <f t="shared" si="140"/>
        <v>5.4974325478317657E-6</v>
      </c>
      <c r="AT145" s="8">
        <f t="shared" si="141"/>
        <v>27.374237150032648</v>
      </c>
      <c r="AU145" s="7">
        <f t="shared" si="142"/>
        <v>1.3758388956170438E-2</v>
      </c>
      <c r="AV145" s="9">
        <f t="shared" si="143"/>
        <v>0.20148963310904253</v>
      </c>
      <c r="AW145" s="4">
        <f t="shared" si="201"/>
        <v>993.61966200888241</v>
      </c>
      <c r="AX145" s="6">
        <f t="shared" si="144"/>
        <v>5.4872393240177653E-6</v>
      </c>
      <c r="AY145" s="8">
        <f t="shared" si="145"/>
        <v>27.315626113102148</v>
      </c>
      <c r="AZ145" s="7">
        <f t="shared" si="146"/>
        <v>1.3732878440719798E-2</v>
      </c>
      <c r="BA145" s="9">
        <f t="shared" si="147"/>
        <v>0.20192196866226647</v>
      </c>
      <c r="BB145" s="4">
        <f t="shared" si="202"/>
        <v>987.92336996493248</v>
      </c>
      <c r="BC145" s="6">
        <f t="shared" si="148"/>
        <v>5.4758467399298655E-6</v>
      </c>
      <c r="BD145" s="8">
        <f t="shared" si="149"/>
        <v>27.250118754596723</v>
      </c>
      <c r="BE145" s="7">
        <f t="shared" si="150"/>
        <v>1.3704366294052528E-2</v>
      </c>
      <c r="BF145" s="9">
        <f t="shared" si="151"/>
        <v>0.20240737479610393</v>
      </c>
      <c r="BG145" s="4">
        <f t="shared" si="203"/>
        <v>981.62666590003528</v>
      </c>
      <c r="BH145" s="6">
        <f t="shared" si="152"/>
        <v>5.463253331800071E-6</v>
      </c>
      <c r="BI145" s="8">
        <f t="shared" si="153"/>
        <v>27.177706657850404</v>
      </c>
      <c r="BJ145" s="7">
        <f t="shared" si="154"/>
        <v>1.3672848852805912E-2</v>
      </c>
      <c r="BK145" s="9">
        <f t="shared" si="155"/>
        <v>0.20294666762866051</v>
      </c>
      <c r="BL145" s="4">
        <f t="shared" si="204"/>
        <v>974.72527122443228</v>
      </c>
      <c r="BM145" s="6">
        <f t="shared" si="156"/>
        <v>5.4494505424488652E-6</v>
      </c>
      <c r="BN145" s="8">
        <f t="shared" si="157"/>
        <v>27.098340619080972</v>
      </c>
      <c r="BO145" s="7">
        <f t="shared" si="158"/>
        <v>1.3638304700982007E-2</v>
      </c>
      <c r="BP145" s="9">
        <f t="shared" si="159"/>
        <v>0.20354106096504812</v>
      </c>
      <c r="BQ145" s="4">
        <f t="shared" si="205"/>
        <v>967.19674635599461</v>
      </c>
      <c r="BR145" s="6">
        <f t="shared" si="160"/>
        <v>5.4343934927119902E-6</v>
      </c>
      <c r="BS145" s="8">
        <f t="shared" si="161"/>
        <v>27.011762583093937</v>
      </c>
      <c r="BT145" s="7">
        <f t="shared" si="162"/>
        <v>1.3600621519786081E-2</v>
      </c>
      <c r="BU145" s="9">
        <f t="shared" si="163"/>
        <v>0.2041934502805125</v>
      </c>
      <c r="BV145" s="4">
        <f t="shared" si="206"/>
        <v>958.93678647267484</v>
      </c>
      <c r="BW145" s="6">
        <f t="shared" si="164"/>
        <v>5.4178735729453503E-6</v>
      </c>
      <c r="BX145" s="8">
        <f t="shared" si="165"/>
        <v>26.916773044435757</v>
      </c>
      <c r="BY145" s="7">
        <f t="shared" si="166"/>
        <v>1.3559277223208254E-2</v>
      </c>
      <c r="BZ145" s="9">
        <f t="shared" si="167"/>
        <v>0.20491405083716718</v>
      </c>
      <c r="CA145" s="4">
        <f t="shared" si="207"/>
        <v>949.52258830655182</v>
      </c>
      <c r="CB145" s="6">
        <f t="shared" si="168"/>
        <v>5.3990451766131043E-6</v>
      </c>
      <c r="CC145" s="8">
        <f t="shared" si="169"/>
        <v>26.808509765525343</v>
      </c>
      <c r="CD145" s="7">
        <f t="shared" si="170"/>
        <v>1.3512155517228952E-2</v>
      </c>
      <c r="CE145" s="9">
        <f t="shared" si="171"/>
        <v>0.20574157415839914</v>
      </c>
      <c r="CF145" s="4">
        <f t="shared" si="208"/>
        <v>937.49132571091639</v>
      </c>
      <c r="CG145" s="6">
        <f t="shared" si="172"/>
        <v>5.3749826514218335E-6</v>
      </c>
      <c r="CH145" s="8">
        <f t="shared" si="173"/>
        <v>26.670150245675536</v>
      </c>
      <c r="CI145" s="7">
        <f t="shared" si="174"/>
        <v>1.3451934390736053E-2</v>
      </c>
      <c r="CJ145" s="9">
        <f t="shared" si="175"/>
        <v>0.20680892117937497</v>
      </c>
      <c r="CK145" s="4">
        <f t="shared" si="209"/>
        <v>918.65074395231522</v>
      </c>
      <c r="CL145" s="6">
        <f t="shared" si="176"/>
        <v>5.33730148790463E-6</v>
      </c>
      <c r="CM145" s="8">
        <f t="shared" si="177"/>
        <v>26.453483555451626</v>
      </c>
      <c r="CN145" s="7">
        <f t="shared" si="178"/>
        <v>1.335762998600166E-2</v>
      </c>
      <c r="CO145" s="9">
        <f t="shared" si="179"/>
        <v>0.20850278521685742</v>
      </c>
      <c r="CP145" s="4">
        <f t="shared" si="210"/>
        <v>883.48936506579105</v>
      </c>
      <c r="CQ145" s="6">
        <f t="shared" si="180"/>
        <v>5.2669787301315826E-6</v>
      </c>
      <c r="CR145" s="8">
        <f t="shared" si="181"/>
        <v>26.049127698256598</v>
      </c>
      <c r="CS145" s="7">
        <f t="shared" si="182"/>
        <v>1.3181633673997115E-2</v>
      </c>
      <c r="CT145" s="9">
        <f t="shared" si="183"/>
        <v>0.21173933591523478</v>
      </c>
      <c r="CU145" s="4">
        <f t="shared" si="211"/>
        <v>816.21187925664026</v>
      </c>
      <c r="CV145" s="6">
        <f t="shared" si="184"/>
        <v>5.132423758513281E-6</v>
      </c>
      <c r="CW145" s="8">
        <f t="shared" si="185"/>
        <v>25.275436611451362</v>
      </c>
      <c r="CX145" s="7">
        <f t="shared" si="186"/>
        <v>1.284488381496679E-2</v>
      </c>
      <c r="CY145" s="9">
        <f t="shared" si="187"/>
        <v>0.21822076052688544</v>
      </c>
      <c r="CZ145" s="5">
        <f t="shared" si="212"/>
        <v>700.88380356101186</v>
      </c>
      <c r="DA145" s="6">
        <f t="shared" si="188"/>
        <v>4.9017676071220237E-6</v>
      </c>
      <c r="DB145" s="8">
        <f t="shared" si="189"/>
        <v>23.949163740951636</v>
      </c>
      <c r="DC145" s="7">
        <f t="shared" si="190"/>
        <v>1.2267622153570711E-2</v>
      </c>
      <c r="DD145" s="9">
        <f t="shared" si="191"/>
        <v>0.2303055363293797</v>
      </c>
    </row>
    <row r="146" spans="2:108" x14ac:dyDescent="0.25">
      <c r="B146">
        <v>127</v>
      </c>
      <c r="C146">
        <f t="shared" si="192"/>
        <v>0.12415706262584694</v>
      </c>
      <c r="D146" s="4">
        <f t="shared" si="109"/>
        <v>1017.9213727536293</v>
      </c>
      <c r="E146" s="6">
        <f t="shared" si="110"/>
        <v>5.5358427455072592E-6</v>
      </c>
      <c r="F146" s="8">
        <f t="shared" si="111"/>
        <v>27.595095786666736</v>
      </c>
      <c r="G146" s="7">
        <f t="shared" si="107"/>
        <v>1.3854517909987481E-2</v>
      </c>
      <c r="H146" s="9">
        <f t="shared" si="112"/>
        <v>0.19987700142954434</v>
      </c>
      <c r="I146" s="4">
        <f t="shared" si="193"/>
        <v>1017.5968719000904</v>
      </c>
      <c r="J146" s="6">
        <f t="shared" si="113"/>
        <v>5.5351937438001808E-6</v>
      </c>
      <c r="K146" s="8">
        <f t="shared" si="114"/>
        <v>27.591364026851039</v>
      </c>
      <c r="L146" s="7">
        <f t="shared" si="115"/>
        <v>1.3852893657603935E-2</v>
      </c>
      <c r="M146" s="9">
        <f t="shared" si="116"/>
        <v>0.19990403499560111</v>
      </c>
      <c r="N146" s="4">
        <f t="shared" si="194"/>
        <v>1016.6911850200972</v>
      </c>
      <c r="O146" s="6">
        <f t="shared" si="117"/>
        <v>5.5333823700401947E-6</v>
      </c>
      <c r="P146" s="8">
        <f t="shared" si="118"/>
        <v>27.580948627731118</v>
      </c>
      <c r="Q146" s="7">
        <f t="shared" si="108"/>
        <v>1.3854517909987481E-2</v>
      </c>
      <c r="R146" s="9">
        <f t="shared" si="119"/>
        <v>0.19997952479612482</v>
      </c>
      <c r="S146" s="4">
        <f t="shared" si="195"/>
        <v>1015.1898080339275</v>
      </c>
      <c r="T146" s="6">
        <f t="shared" si="120"/>
        <v>5.530379616067856E-6</v>
      </c>
      <c r="U146" s="8">
        <f t="shared" si="121"/>
        <v>27.563682792390168</v>
      </c>
      <c r="V146" s="7">
        <f t="shared" si="122"/>
        <v>1.3840845371199376E-2</v>
      </c>
      <c r="W146" s="9">
        <f t="shared" si="123"/>
        <v>0.20010479156735775</v>
      </c>
      <c r="X146" s="4">
        <f t="shared" si="196"/>
        <v>1013.0906129813154</v>
      </c>
      <c r="Y146" s="6">
        <f t="shared" si="124"/>
        <v>5.5261812259626315E-6</v>
      </c>
      <c r="Z146" s="8">
        <f t="shared" si="125"/>
        <v>27.539542049285124</v>
      </c>
      <c r="AA146" s="7">
        <f t="shared" si="126"/>
        <v>1.3830338087380097E-2</v>
      </c>
      <c r="AB146" s="9">
        <f t="shared" si="127"/>
        <v>0.20028020037984529</v>
      </c>
      <c r="AC146" s="4">
        <f t="shared" si="197"/>
        <v>1010.3921704401446</v>
      </c>
      <c r="AD146" s="6">
        <f t="shared" si="128"/>
        <v>5.5207843408802901E-6</v>
      </c>
      <c r="AE146" s="8">
        <f t="shared" si="129"/>
        <v>27.508509960061662</v>
      </c>
      <c r="AF146" s="7">
        <f t="shared" si="130"/>
        <v>1.3816831337916859E-2</v>
      </c>
      <c r="AG146" s="9">
        <f t="shared" si="131"/>
        <v>0.20050613457464186</v>
      </c>
      <c r="AH146" s="4">
        <f t="shared" si="198"/>
        <v>1007.0942405610328</v>
      </c>
      <c r="AI146" s="6">
        <f t="shared" si="132"/>
        <v>5.5141884811220665E-6</v>
      </c>
      <c r="AJ146" s="8">
        <f t="shared" si="133"/>
        <v>27.470583766451877</v>
      </c>
      <c r="AK146" s="7">
        <f t="shared" si="134"/>
        <v>1.3800323922270662E-2</v>
      </c>
      <c r="AL146" s="9">
        <f t="shared" si="135"/>
        <v>0.20078295557504283</v>
      </c>
      <c r="AM146" s="4">
        <f t="shared" si="199"/>
        <v>1003.1967693040511</v>
      </c>
      <c r="AN146" s="6">
        <f t="shared" si="136"/>
        <v>5.5063935386081023E-6</v>
      </c>
      <c r="AO146" s="8">
        <f t="shared" si="137"/>
        <v>27.425762846996587</v>
      </c>
      <c r="AP146" s="7">
        <f t="shared" si="138"/>
        <v>1.3780815569950741E-2</v>
      </c>
      <c r="AQ146" s="9">
        <f t="shared" si="139"/>
        <v>0.2011110878034891</v>
      </c>
      <c r="AR146" s="4">
        <f t="shared" si="200"/>
        <v>998.69974835885068</v>
      </c>
      <c r="AS146" s="6">
        <f t="shared" si="140"/>
        <v>5.497399496717702E-6</v>
      </c>
      <c r="AT146" s="8">
        <f t="shared" si="141"/>
        <v>27.374047106126781</v>
      </c>
      <c r="AU146" s="7">
        <f t="shared" si="142"/>
        <v>1.3758306239360587E-2</v>
      </c>
      <c r="AV146" s="9">
        <f t="shared" si="143"/>
        <v>0.20149103194775714</v>
      </c>
      <c r="AW146" s="4">
        <f t="shared" si="201"/>
        <v>993.60316186603654</v>
      </c>
      <c r="AX146" s="6">
        <f t="shared" si="144"/>
        <v>5.4872063237320727E-6</v>
      </c>
      <c r="AY146" s="8">
        <f t="shared" si="145"/>
        <v>27.315436361459419</v>
      </c>
      <c r="AZ146" s="7">
        <f t="shared" si="146"/>
        <v>1.3732795851117783E-2</v>
      </c>
      <c r="BA146" s="9">
        <f t="shared" si="147"/>
        <v>0.20192337134991714</v>
      </c>
      <c r="BB146" s="4">
        <f t="shared" si="202"/>
        <v>987.90688976086199</v>
      </c>
      <c r="BC146" s="6">
        <f t="shared" si="148"/>
        <v>5.4758137795217243E-6</v>
      </c>
      <c r="BD146" s="8">
        <f t="shared" si="149"/>
        <v>27.249929232249912</v>
      </c>
      <c r="BE146" s="7">
        <f t="shared" si="150"/>
        <v>1.3704283804251803E-2</v>
      </c>
      <c r="BF146" s="9">
        <f t="shared" si="151"/>
        <v>0.20240878253262892</v>
      </c>
      <c r="BG146" s="4">
        <f t="shared" si="203"/>
        <v>981.61015766234618</v>
      </c>
      <c r="BH146" s="6">
        <f t="shared" si="152"/>
        <v>5.4632203153246937E-6</v>
      </c>
      <c r="BI146" s="8">
        <f t="shared" si="153"/>
        <v>27.177516813116981</v>
      </c>
      <c r="BJ146" s="7">
        <f t="shared" si="154"/>
        <v>1.3672766222686079E-2</v>
      </c>
      <c r="BK146" s="9">
        <f t="shared" si="155"/>
        <v>0.2029480852841542</v>
      </c>
      <c r="BL146" s="4">
        <f t="shared" si="204"/>
        <v>974.70847591505867</v>
      </c>
      <c r="BM146" s="6">
        <f t="shared" si="156"/>
        <v>5.4494169518301178E-6</v>
      </c>
      <c r="BN146" s="8">
        <f t="shared" si="157"/>
        <v>27.098147473023175</v>
      </c>
      <c r="BO146" s="7">
        <f t="shared" si="158"/>
        <v>1.3638220633957268E-2</v>
      </c>
      <c r="BP146" s="9">
        <f t="shared" si="159"/>
        <v>0.20354251173409291</v>
      </c>
      <c r="BQ146" s="4">
        <f t="shared" si="205"/>
        <v>967.17848908240069</v>
      </c>
      <c r="BR146" s="6">
        <f t="shared" si="160"/>
        <v>5.4343569781648017E-6</v>
      </c>
      <c r="BS146" s="8">
        <f t="shared" si="161"/>
        <v>27.011552624447607</v>
      </c>
      <c r="BT146" s="7">
        <f t="shared" si="162"/>
        <v>1.3600530135064503E-2</v>
      </c>
      <c r="BU146" s="9">
        <f t="shared" si="163"/>
        <v>0.20419503745993187</v>
      </c>
      <c r="BV146" s="4">
        <f t="shared" si="206"/>
        <v>958.9125032944421</v>
      </c>
      <c r="BW146" s="6">
        <f t="shared" si="164"/>
        <v>5.4178250065888847E-6</v>
      </c>
      <c r="BX146" s="8">
        <f t="shared" si="165"/>
        <v>26.916493787886083</v>
      </c>
      <c r="BY146" s="7">
        <f t="shared" si="166"/>
        <v>1.3559155676501383E-2</v>
      </c>
      <c r="BZ146" s="9">
        <f t="shared" si="167"/>
        <v>0.20491617680466012</v>
      </c>
      <c r="CA146" s="4">
        <f t="shared" si="207"/>
        <v>949.47741037783589</v>
      </c>
      <c r="CB146" s="6">
        <f t="shared" si="168"/>
        <v>5.3989548207556723E-6</v>
      </c>
      <c r="CC146" s="8">
        <f t="shared" si="169"/>
        <v>26.807990219345111</v>
      </c>
      <c r="CD146" s="7">
        <f t="shared" si="170"/>
        <v>1.3511929384207727E-2</v>
      </c>
      <c r="CE146" s="9">
        <f t="shared" si="171"/>
        <v>0.20574556148635972</v>
      </c>
      <c r="CF146" s="4">
        <f t="shared" si="208"/>
        <v>937.38628310307956</v>
      </c>
      <c r="CG146" s="6">
        <f t="shared" si="172"/>
        <v>5.3747725662061598E-6</v>
      </c>
      <c r="CH146" s="8">
        <f t="shared" si="173"/>
        <v>26.668942255685415</v>
      </c>
      <c r="CI146" s="7">
        <f t="shared" si="174"/>
        <v>1.3451408611822707E-2</v>
      </c>
      <c r="CJ146" s="9">
        <f t="shared" si="175"/>
        <v>0.20681828874649696</v>
      </c>
      <c r="CK146" s="4">
        <f t="shared" si="209"/>
        <v>918.40984146367464</v>
      </c>
      <c r="CL146" s="6">
        <f t="shared" si="176"/>
        <v>5.3368196829273498E-6</v>
      </c>
      <c r="CM146" s="8">
        <f t="shared" si="177"/>
        <v>26.450713176832259</v>
      </c>
      <c r="CN146" s="7">
        <f t="shared" si="178"/>
        <v>1.3356424175794666E-2</v>
      </c>
      <c r="CO146" s="9">
        <f t="shared" si="179"/>
        <v>0.20852462325405444</v>
      </c>
      <c r="CP146" s="4">
        <f t="shared" si="210"/>
        <v>883.02240269305275</v>
      </c>
      <c r="CQ146" s="6">
        <f t="shared" si="180"/>
        <v>5.2660448053861063E-6</v>
      </c>
      <c r="CR146" s="8">
        <f t="shared" si="181"/>
        <v>26.043757630970106</v>
      </c>
      <c r="CS146" s="7">
        <f t="shared" si="182"/>
        <v>1.3179296346564309E-2</v>
      </c>
      <c r="CT146" s="9">
        <f t="shared" si="183"/>
        <v>0.21178299530176314</v>
      </c>
      <c r="CU146" s="4">
        <f t="shared" si="211"/>
        <v>815.51527437685695</v>
      </c>
      <c r="CV146" s="6">
        <f t="shared" si="184"/>
        <v>5.1310305487537144E-6</v>
      </c>
      <c r="CW146" s="8">
        <f t="shared" si="185"/>
        <v>25.267425655333852</v>
      </c>
      <c r="CX146" s="7">
        <f t="shared" si="186"/>
        <v>1.2841397037893517E-2</v>
      </c>
      <c r="CY146" s="9">
        <f t="shared" si="187"/>
        <v>0.21828994671784752</v>
      </c>
      <c r="CZ146" s="5">
        <f t="shared" si="212"/>
        <v>700.15127639700324</v>
      </c>
      <c r="DA146" s="6">
        <f t="shared" si="188"/>
        <v>4.9003025527940073E-6</v>
      </c>
      <c r="DB146" s="8">
        <f t="shared" si="189"/>
        <v>23.940739678565535</v>
      </c>
      <c r="DC146" s="7">
        <f t="shared" si="190"/>
        <v>1.2263955571559671E-2</v>
      </c>
      <c r="DD146" s="9">
        <f t="shared" si="191"/>
        <v>0.23038657426855583</v>
      </c>
    </row>
    <row r="147" spans="2:108" x14ac:dyDescent="0.25">
      <c r="B147">
        <v>128</v>
      </c>
      <c r="C147">
        <f t="shared" si="192"/>
        <v>0.12513467729219219</v>
      </c>
      <c r="D147" s="4">
        <f t="shared" si="109"/>
        <v>1017.9048053793171</v>
      </c>
      <c r="E147" s="6">
        <f t="shared" si="110"/>
        <v>5.5358096107586344E-6</v>
      </c>
      <c r="F147" s="8">
        <f t="shared" si="111"/>
        <v>27.594905261862145</v>
      </c>
      <c r="G147" s="7">
        <f t="shared" ref="G147:G210" si="213">($E147*$M$8)/($D$6^2)</f>
        <v>1.3854434983865955E-2</v>
      </c>
      <c r="H147" s="9">
        <f t="shared" si="112"/>
        <v>0.19987838144974293</v>
      </c>
      <c r="I147" s="4">
        <f t="shared" si="193"/>
        <v>1017.5802981180873</v>
      </c>
      <c r="J147" s="6">
        <f t="shared" si="113"/>
        <v>5.5351605962361754E-6</v>
      </c>
      <c r="K147" s="8">
        <f t="shared" si="114"/>
        <v>27.591173428358005</v>
      </c>
      <c r="L147" s="7">
        <f t="shared" si="115"/>
        <v>1.3852810699409438E-2</v>
      </c>
      <c r="M147" s="9">
        <f t="shared" si="116"/>
        <v>0.19990541592301694</v>
      </c>
      <c r="N147" s="4">
        <f t="shared" si="194"/>
        <v>1016.674596887801</v>
      </c>
      <c r="O147" s="6">
        <f t="shared" si="117"/>
        <v>5.5333491937756027E-6</v>
      </c>
      <c r="P147" s="8">
        <f t="shared" si="118"/>
        <v>27.580757864209712</v>
      </c>
      <c r="Q147" s="7">
        <f t="shared" ref="Q147:Q210" si="214">($E147*$M$8)/($D$6^2)</f>
        <v>1.3854434983865955E-2</v>
      </c>
      <c r="R147" s="9">
        <f t="shared" si="119"/>
        <v>0.19998090796327878</v>
      </c>
      <c r="S147" s="4">
        <f t="shared" si="195"/>
        <v>1015.1732116205245</v>
      </c>
      <c r="T147" s="6">
        <f t="shared" si="120"/>
        <v>5.5303464232410492E-6</v>
      </c>
      <c r="U147" s="8">
        <f t="shared" si="121"/>
        <v>27.56349193363603</v>
      </c>
      <c r="V147" s="7">
        <f t="shared" si="122"/>
        <v>1.3840762299725959E-2</v>
      </c>
      <c r="W147" s="9">
        <f t="shared" si="123"/>
        <v>0.2001061771592598</v>
      </c>
      <c r="X147" s="4">
        <f t="shared" si="196"/>
        <v>1013.0740185690756</v>
      </c>
      <c r="Y147" s="6">
        <f t="shared" si="124"/>
        <v>5.5261480371381519E-6</v>
      </c>
      <c r="Z147" s="8">
        <f t="shared" si="125"/>
        <v>27.539351213544371</v>
      </c>
      <c r="AA147" s="7">
        <f t="shared" si="126"/>
        <v>1.3830255025923279E-2</v>
      </c>
      <c r="AB147" s="9">
        <f t="shared" si="127"/>
        <v>0.20028158823463174</v>
      </c>
      <c r="AC147" s="4">
        <f t="shared" si="197"/>
        <v>1010.3755862413958</v>
      </c>
      <c r="AD147" s="6">
        <f t="shared" si="128"/>
        <v>5.5207511724827919E-6</v>
      </c>
      <c r="AE147" s="8">
        <f t="shared" si="129"/>
        <v>27.50831924177605</v>
      </c>
      <c r="AF147" s="7">
        <f t="shared" si="130"/>
        <v>1.3816748327582515E-2</v>
      </c>
      <c r="AG147" s="9">
        <f t="shared" si="131"/>
        <v>0.20050752470632913</v>
      </c>
      <c r="AH147" s="4">
        <f t="shared" si="198"/>
        <v>1007.0776720948184</v>
      </c>
      <c r="AI147" s="6">
        <f t="shared" si="132"/>
        <v>5.5141553441896374E-6</v>
      </c>
      <c r="AJ147" s="8">
        <f t="shared" si="133"/>
        <v>27.470393229090412</v>
      </c>
      <c r="AK147" s="7">
        <f t="shared" si="134"/>
        <v>1.3800240990683743E-2</v>
      </c>
      <c r="AL147" s="9">
        <f t="shared" si="135"/>
        <v>0.20078434822545971</v>
      </c>
      <c r="AM147" s="4">
        <f t="shared" si="199"/>
        <v>1003.1802206584832</v>
      </c>
      <c r="AN147" s="6">
        <f t="shared" si="136"/>
        <v>5.5063604413169668E-6</v>
      </c>
      <c r="AO147" s="8">
        <f t="shared" si="137"/>
        <v>27.425572537572556</v>
      </c>
      <c r="AP147" s="7">
        <f t="shared" si="138"/>
        <v>1.3780732737573831E-2</v>
      </c>
      <c r="AQ147" s="9">
        <f t="shared" si="139"/>
        <v>0.20111248333808493</v>
      </c>
      <c r="AR147" s="4">
        <f t="shared" si="200"/>
        <v>998.68322297252462</v>
      </c>
      <c r="AS147" s="6">
        <f t="shared" si="140"/>
        <v>5.4973664459450493E-6</v>
      </c>
      <c r="AT147" s="8">
        <f t="shared" si="141"/>
        <v>27.37385706418403</v>
      </c>
      <c r="AU147" s="7">
        <f t="shared" si="142"/>
        <v>1.3758223523405184E-2</v>
      </c>
      <c r="AV147" s="9">
        <f t="shared" si="143"/>
        <v>0.20149243079144469</v>
      </c>
      <c r="AW147" s="4">
        <f t="shared" si="201"/>
        <v>993.58666178172416</v>
      </c>
      <c r="AX147" s="6">
        <f t="shared" si="144"/>
        <v>5.4871733235634493E-6</v>
      </c>
      <c r="AY147" s="8">
        <f t="shared" si="145"/>
        <v>27.315246610489829</v>
      </c>
      <c r="AZ147" s="7">
        <f t="shared" si="146"/>
        <v>1.3732713261808758E-2</v>
      </c>
      <c r="BA147" s="9">
        <f t="shared" si="147"/>
        <v>0.2019247740520799</v>
      </c>
      <c r="BB147" s="4">
        <f t="shared" si="202"/>
        <v>987.89040899155441</v>
      </c>
      <c r="BC147" s="6">
        <f t="shared" si="148"/>
        <v>5.4757808179831091E-6</v>
      </c>
      <c r="BD147" s="8">
        <f t="shared" si="149"/>
        <v>27.249739703402874</v>
      </c>
      <c r="BE147" s="7">
        <f t="shared" si="150"/>
        <v>1.3704201311621851E-2</v>
      </c>
      <c r="BF147" s="9">
        <f t="shared" si="151"/>
        <v>0.20241019033701901</v>
      </c>
      <c r="BG147" s="4">
        <f t="shared" si="203"/>
        <v>981.59364577783344</v>
      </c>
      <c r="BH147" s="6">
        <f t="shared" si="152"/>
        <v>5.4631872915556674E-6</v>
      </c>
      <c r="BI147" s="8">
        <f t="shared" si="153"/>
        <v>27.177326926445083</v>
      </c>
      <c r="BJ147" s="7">
        <f t="shared" si="154"/>
        <v>1.3672683574312477E-2</v>
      </c>
      <c r="BK147" s="9">
        <f t="shared" si="155"/>
        <v>0.20294950327263361</v>
      </c>
      <c r="BL147" s="4">
        <f t="shared" si="204"/>
        <v>974.69166364685736</v>
      </c>
      <c r="BM147" s="6">
        <f t="shared" si="156"/>
        <v>5.4493833272937147E-6</v>
      </c>
      <c r="BN147" s="8">
        <f t="shared" si="157"/>
        <v>27.097954131938859</v>
      </c>
      <c r="BO147" s="7">
        <f t="shared" si="158"/>
        <v>1.3638136482047029E-2</v>
      </c>
      <c r="BP147" s="9">
        <f t="shared" si="159"/>
        <v>0.203543963988744</v>
      </c>
      <c r="BQ147" s="4">
        <f t="shared" si="205"/>
        <v>967.16016575010281</v>
      </c>
      <c r="BR147" s="6">
        <f t="shared" si="160"/>
        <v>5.4343203315002059E-6</v>
      </c>
      <c r="BS147" s="8">
        <f t="shared" si="161"/>
        <v>27.011341906126184</v>
      </c>
      <c r="BT147" s="7">
        <f t="shared" si="162"/>
        <v>1.3600438419693541E-2</v>
      </c>
      <c r="BU147" s="9">
        <f t="shared" si="163"/>
        <v>0.20419663040691266</v>
      </c>
      <c r="BV147" s="4">
        <f t="shared" si="206"/>
        <v>958.88800498097282</v>
      </c>
      <c r="BW147" s="6">
        <f t="shared" si="164"/>
        <v>5.4177760099619454E-6</v>
      </c>
      <c r="BX147" s="8">
        <f t="shared" si="165"/>
        <v>26.916212057281186</v>
      </c>
      <c r="BY147" s="7">
        <f t="shared" si="166"/>
        <v>1.3559033052959371E-2</v>
      </c>
      <c r="BZ147" s="9">
        <f t="shared" si="167"/>
        <v>0.20491832165172558</v>
      </c>
      <c r="CA147" s="4">
        <f t="shared" si="207"/>
        <v>949.43166796248124</v>
      </c>
      <c r="CB147" s="6">
        <f t="shared" si="168"/>
        <v>5.3988633359249631E-6</v>
      </c>
      <c r="CC147" s="8">
        <f t="shared" si="169"/>
        <v>26.807464181568534</v>
      </c>
      <c r="CD147" s="7">
        <f t="shared" si="170"/>
        <v>1.351170042571237E-2</v>
      </c>
      <c r="CE147" s="9">
        <f t="shared" si="171"/>
        <v>0.20574959879242388</v>
      </c>
      <c r="CF147" s="4">
        <f t="shared" si="208"/>
        <v>937.28013280791868</v>
      </c>
      <c r="CG147" s="6">
        <f t="shared" si="172"/>
        <v>5.3745602656158382E-6</v>
      </c>
      <c r="CH147" s="8">
        <f t="shared" si="173"/>
        <v>26.667721527291064</v>
      </c>
      <c r="CI147" s="7">
        <f t="shared" si="174"/>
        <v>1.3450877288505532E-2</v>
      </c>
      <c r="CJ147" s="9">
        <f t="shared" si="175"/>
        <v>0.20682775595790778</v>
      </c>
      <c r="CK147" s="4">
        <f t="shared" si="209"/>
        <v>918.16759204083587</v>
      </c>
      <c r="CL147" s="6">
        <f t="shared" si="176"/>
        <v>5.3363351840816724E-6</v>
      </c>
      <c r="CM147" s="8">
        <f t="shared" si="177"/>
        <v>26.447927308469612</v>
      </c>
      <c r="CN147" s="7">
        <f t="shared" si="178"/>
        <v>1.335521162366062E-2</v>
      </c>
      <c r="CO147" s="9">
        <f t="shared" si="179"/>
        <v>0.20854658800554443</v>
      </c>
      <c r="CP147" s="4">
        <f t="shared" si="210"/>
        <v>882.55526581081949</v>
      </c>
      <c r="CQ147" s="6">
        <f t="shared" si="180"/>
        <v>5.2651105316216391E-6</v>
      </c>
      <c r="CR147" s="8">
        <f t="shared" si="181"/>
        <v>26.038385556824423</v>
      </c>
      <c r="CS147" s="7">
        <f t="shared" si="182"/>
        <v>1.3176958145643925E-2</v>
      </c>
      <c r="CT147" s="9">
        <f t="shared" si="183"/>
        <v>0.21182668902275337</v>
      </c>
      <c r="CU147" s="4">
        <f t="shared" si="211"/>
        <v>814.821253640495</v>
      </c>
      <c r="CV147" s="6">
        <f t="shared" si="184"/>
        <v>5.1296425072809906E-6</v>
      </c>
      <c r="CW147" s="8">
        <f t="shared" si="185"/>
        <v>25.259444416865691</v>
      </c>
      <c r="CX147" s="7">
        <f t="shared" si="186"/>
        <v>1.2837923195458368E-2</v>
      </c>
      <c r="CY147" s="9">
        <f t="shared" si="187"/>
        <v>0.21835891989442277</v>
      </c>
      <c r="CZ147" s="5">
        <f t="shared" si="212"/>
        <v>699.42270697806168</v>
      </c>
      <c r="DA147" s="6">
        <f t="shared" si="188"/>
        <v>4.8988454139561239E-6</v>
      </c>
      <c r="DB147" s="8">
        <f t="shared" si="189"/>
        <v>23.985920438834569</v>
      </c>
      <c r="DC147" s="7">
        <f t="shared" si="190"/>
        <v>1.2260308799594704E-2</v>
      </c>
      <c r="DD147" s="9">
        <f t="shared" si="191"/>
        <v>0.22995260965970227</v>
      </c>
    </row>
    <row r="148" spans="2:108" x14ac:dyDescent="0.25">
      <c r="B148">
        <v>129</v>
      </c>
      <c r="C148">
        <f t="shared" si="192"/>
        <v>0.12611229195853743</v>
      </c>
      <c r="D148" s="4">
        <f t="shared" ref="D148:D211" si="215">D147+(4*$H$7*(I147-D147))</f>
        <v>1017.8882376778606</v>
      </c>
      <c r="E148" s="6">
        <f t="shared" ref="E148:E211" si="216">IF($D148&gt;=650,((0.00002*$D148)+0.035)/10000,IF($D148&lt;650,((-0.0000000000003*($D148^4))+(0.0000000004*($D148^3))-(0.0000002*($D148^2))-(0.0001*$D148)+0.1409)/10000))</f>
        <v>5.5357764753557224E-6</v>
      </c>
      <c r="F148" s="8">
        <f t="shared" ref="F148:F211" si="217">IF($D148&lt;650,(53.495-(0.029*D148)),IF(D148&lt;700,((0.00000000000000006*(D148^2))-(0.2008*D148) + 164.43),IF(D148&lt;1250,((0.0115*D148)+ 15.889))))</f>
        <v>27.594714733295397</v>
      </c>
      <c r="G148" s="7">
        <f t="shared" si="213"/>
        <v>1.3854352056106948E-2</v>
      </c>
      <c r="H148" s="9">
        <f t="shared" ref="H148:H211" si="218">($C$8*$D$6)/F148</f>
        <v>0.19987976151624876</v>
      </c>
      <c r="I148" s="4">
        <f t="shared" si="193"/>
        <v>1017.5637241814552</v>
      </c>
      <c r="J148" s="6">
        <f t="shared" ref="J148:J211" si="219">IF($I148&gt;=650,((0.00002*$I148)+0.035)/10000,IF($I148&lt;650,((-0.0000000000003*($I148^4))+(0.0000000004*($I148^3))-(0.0000002*($I148^2))-(0.0001*$I148)+0.1409)/10000))</f>
        <v>5.5351274483629106E-6</v>
      </c>
      <c r="K148" s="8">
        <f t="shared" ref="K148:K211" si="220">IF($I148&lt;650,(53.495-(0.029*I148)),IF(I148&lt;700,((0.00000000000000006*(I148^2))-(0.2008*I148) + 164.43),IF(I148&lt;1250,((0.0115*I148)+ 15.889))))</f>
        <v>27.590982828086734</v>
      </c>
      <c r="L148" s="7">
        <f t="shared" ref="L148:L211" si="221">($J148*$M$8)/($D$6^2)</f>
        <v>1.3852727740440959E-2</v>
      </c>
      <c r="M148" s="9">
        <f t="shared" ref="M148:M211" si="222">($C$8*$D$6)/K148</f>
        <v>0.19990679688239563</v>
      </c>
      <c r="N148" s="4">
        <f t="shared" si="194"/>
        <v>1016.6580088605427</v>
      </c>
      <c r="O148" s="6">
        <f t="shared" ref="O148:O211" si="223">IF($N148&gt;=650,((0.00002*$N148)+0.035)/10000,IF($N148&lt;650,((-0.0000000000003*($N148^4))+(0.0000000004*($N148^3))-(0.0000002*($N148^2))-(0.0001*$N148)+0.1409)/10000))</f>
        <v>5.5333160177210859E-6</v>
      </c>
      <c r="P148" s="8">
        <f t="shared" ref="P148:P211" si="224">IF($N148&lt;650,(53.495-(0.029*$N148)),IF($N148&lt;700,((0.00000000000000006*($N148^2))-(0.2008*$N148) + 164.43),IF($N148&lt;1250,((0.0115*$N148)+ 15.889))))</f>
        <v>27.580567101896243</v>
      </c>
      <c r="Q148" s="7">
        <f t="shared" si="214"/>
        <v>1.3854352056106948E-2</v>
      </c>
      <c r="R148" s="9">
        <f t="shared" ref="R148:R211" si="225">($C$8*$D$6)/P148</f>
        <v>0.19998229114080779</v>
      </c>
      <c r="S148" s="4">
        <f t="shared" si="195"/>
        <v>1015.1566154344151</v>
      </c>
      <c r="T148" s="6">
        <f t="shared" ref="T148:T211" si="226">IF($S148&gt;=650,((0.00002*$S148)+0.035)/10000,IF($S148&lt;650,((-0.0000000000003*($S148^4))+(0.0000000004*($S148^3))-(0.0000002*($S148^2))-(0.0001*$S148)+0.1409)/10000))</f>
        <v>5.5303132308688306E-6</v>
      </c>
      <c r="U148" s="8">
        <f t="shared" ref="U148:U211" si="227">IF($S148&lt;650,(53.495-(0.029*$S148)),IF($S148&lt;700,((0.00000000000000006*($S148^2))-(0.2008*$S148) + 164.43),IF($S148&lt;1250,((0.0115*$S148)+ 15.889))))</f>
        <v>27.563301077495773</v>
      </c>
      <c r="V148" s="7">
        <f t="shared" ref="V148:V211" si="228">($T148*$M$8)/($D$6^2)</f>
        <v>1.3840679229390238E-2</v>
      </c>
      <c r="W148" s="9">
        <f t="shared" ref="W148:W211" si="229">($C$8*$D$6)/U148</f>
        <v>0.20010756275137401</v>
      </c>
      <c r="X148" s="4">
        <f t="shared" si="196"/>
        <v>1013.0574243912298</v>
      </c>
      <c r="Y148" s="6">
        <f t="shared" ref="Y148:Y211" si="230">IF($X148&gt;=650,((0.00002*$X148)+0.035)/10000,IF($X148&lt;650,((-0.0000000000003*($X148^4))+(0.0000000004*($X148^3))-(0.0000002*($X148^2))-(0.0001*$X148)+0.1409)/10000))</f>
        <v>5.5261148487824594E-6</v>
      </c>
      <c r="Z148" s="8">
        <f t="shared" ref="Z148:Z211" si="231">IF($X148&lt;650,(53.495-(0.029*$X148)),IF($X148&lt;700,((0.00000000000000006*($X148^2))-(0.2008*$X148) + 164.43),IF($X148&lt;1250,((0.0115*$X148)+ 15.889))))</f>
        <v>27.539160380499141</v>
      </c>
      <c r="AA148" s="7">
        <f t="shared" ref="AA148:AA211" si="232">($Y148*$M$8)/($D$6^2)</f>
        <v>1.3830171965639688E-2</v>
      </c>
      <c r="AB148" s="9">
        <f t="shared" ref="AB148:AB211" si="233">($C$8*$D$6)/Z148</f>
        <v>0.20028297608904919</v>
      </c>
      <c r="AC148" s="4">
        <f t="shared" si="197"/>
        <v>1010.3590022544597</v>
      </c>
      <c r="AD148" s="6">
        <f t="shared" ref="AD148:AD211" si="234">IF(AC148&gt;=650,((0.00002*AC148)+0.035)/10000,IF(AC148&lt;650,((-0.0000000000003*(AC148^4))+(0.0000000004*(AC148^3))-(0.0000002*(AC148^2))-(0.0001*AC148)+0.1409)/10000))</f>
        <v>5.5207180045089194E-6</v>
      </c>
      <c r="AE148" s="8">
        <f t="shared" ref="AE148:AE211" si="235">IF(AC148&lt;650,(53.495-(0.029*AC148)),IF(AC148&lt;700,((0.00000000000000006*(AC148^2))-(0.2008*AC148) + 164.43),IF(AC148&lt;1250,((0.0115*AC148)+ 15.889))))</f>
        <v>27.508128525926288</v>
      </c>
      <c r="AF148" s="7">
        <f t="shared" ref="AF148:AF211" si="236">(AD148*$M$8)/($D$6^2)</f>
        <v>1.3816665318308377E-2</v>
      </c>
      <c r="AG148" s="9">
        <f t="shared" ref="AG148:AG211" si="237">($C$8*$D$6)/AE148</f>
        <v>0.20050891483953726</v>
      </c>
      <c r="AH148" s="4">
        <f t="shared" si="198"/>
        <v>1007.0611038255647</v>
      </c>
      <c r="AI148" s="6">
        <f t="shared" ref="AI148:AI211" si="238">IF(AH148&gt;=650,((0.00002*AH148)+0.035)/10000,IF(AH148&lt;650,((-0.0000000000003*(AH148^4))+(0.0000000004*(AH148^3))-(0.0000002*(AH148^2))-(0.0001*AH148)+0.1409)/10000))</f>
        <v>5.5141222076511304E-6</v>
      </c>
      <c r="AJ148" s="8">
        <f t="shared" ref="AJ148:AJ211" si="239">IF(AH148&lt;650,(53.495-(0.029*AH148)),IF(AH148&lt;700,((0.00000000000000006*(AH148^2))-(0.2008*AH148) + 164.43),IF(AH148&lt;1250,((0.0115*AH148)+ 15.889))))</f>
        <v>27.470202693993993</v>
      </c>
      <c r="AK148" s="7">
        <f t="shared" ref="AK148:AK211" si="240">(AI148*$M$8)/($D$6^2)</f>
        <v>1.380015806008269E-2</v>
      </c>
      <c r="AL148" s="9">
        <f t="shared" ref="AL148:AL211" si="241">($C$8*$D$6)/AJ148</f>
        <v>0.20078574087864012</v>
      </c>
      <c r="AM148" s="4">
        <f t="shared" si="199"/>
        <v>1003.1636722022802</v>
      </c>
      <c r="AN148" s="6">
        <f t="shared" ref="AN148:AN211" si="242">IF(AM148&gt;=650,((0.00002*AM148)+0.035)/10000,IF(AM148&lt;650,((-0.0000000000003*(AM148^4))+(0.0000000004*(AM148^3))-(0.0000002*(AM148^2))-(0.0001*AM148)+0.1409)/10000))</f>
        <v>5.5063273444045609E-6</v>
      </c>
      <c r="AO148" s="8">
        <f t="shared" ref="AO148:AO211" si="243">IF(AM148&lt;650,(53.495-(0.029*AM148)),IF(AM148&lt;700,((0.00000000000000006*(AM148^2))-(0.2008*AM148) + 164.43),IF(AM148&lt;1250,((0.0115*AM148)+ 15.889))))</f>
        <v>27.425382230326221</v>
      </c>
      <c r="AP148" s="7">
        <f t="shared" ref="AP148:AP211" si="244">(AN148*$M$8)/($D$6^2)</f>
        <v>1.3780649906144766E-2</v>
      </c>
      <c r="AQ148" s="9">
        <f t="shared" ref="AQ148:AQ211" si="245">($C$8*$D$6)/AO148</f>
        <v>0.20111387887607912</v>
      </c>
      <c r="AR148" s="4">
        <f t="shared" si="200"/>
        <v>998.66669775550326</v>
      </c>
      <c r="AS148" s="6">
        <f t="shared" ref="AS148:AS211" si="246">IF(AR148&gt;=650,((0.00002*AR148)+0.035)/10000,IF(AR148&lt;650,((-0.0000000000003*(AR148^4))+(0.0000000004*(AR148^3))-(0.0000002*(AR148^2))-(0.0001*AR148)+0.1409)/10000))</f>
        <v>5.4973333955110073E-6</v>
      </c>
      <c r="AT148" s="8">
        <f t="shared" ref="AT148:AT211" si="247">IF(AR148&lt;650,(53.495-(0.029*AR148)),IF(AR148&lt;700,((0.00000000000000006*(AR148^2))-(0.2008*AR148) + 164.43),IF(AR148&lt;1250,((0.0115*AR148)+ 15.889))))</f>
        <v>27.373667024188286</v>
      </c>
      <c r="AU148" s="7">
        <f t="shared" ref="AU148:AU211" si="248">(AS148*$M$8)/($D$6^2)</f>
        <v>1.3758140808297219E-2</v>
      </c>
      <c r="AV148" s="9">
        <f t="shared" ref="AV148:AV211" si="249">($C$8*$D$6)/AT148</f>
        <v>0.20149382964022355</v>
      </c>
      <c r="AW148" s="4">
        <f t="shared" si="201"/>
        <v>993.57016174834359</v>
      </c>
      <c r="AX148" s="6">
        <f t="shared" ref="AX148:AX211" si="250">IF(AW148&gt;=650,((0.00002*AW148)+0.035)/10000,IF(AW148&lt;650,((-0.0000000000003*(AW148^4))+(0.0000000004*(AW148^3))-(0.0000002*(AW148^2))-(0.0001*AW148)+0.1409)/10000))</f>
        <v>5.4871403234966876E-6</v>
      </c>
      <c r="AY148" s="8">
        <f t="shared" ref="AY148:AY211" si="251">IF(AW148&lt;650,(53.495-(0.029*AW148)),IF(AW148&lt;700,((0.00000000000000006*(AW148^2))-(0.2008*AW148) + 164.43),IF(AW148&lt;1250,((0.0115*AW148)+ 15.889))))</f>
        <v>27.315056860105951</v>
      </c>
      <c r="AZ148" s="7">
        <f t="shared" ref="AZ148:AZ211" si="252">(AX148*$M$8)/($D$6^2)</f>
        <v>1.373263067275466E-2</v>
      </c>
      <c r="BA148" s="9">
        <f t="shared" ref="BA148:BA211" si="253">($C$8*$D$6)/AY148</f>
        <v>0.20192617676940122</v>
      </c>
      <c r="BB148" s="4">
        <f t="shared" si="202"/>
        <v>987.87392762072091</v>
      </c>
      <c r="BC148" s="6">
        <f t="shared" ref="BC148:BC211" si="254">IF(BB148&gt;=650,((0.00002*BB148)+0.035)/10000,IF(BB148&lt;650,((-0.0000000000003*(BB148^4))+(0.0000000004*(BB148^3))-(0.0000002*(BB148^2))-(0.0001*BB148)+0.1409)/10000))</f>
        <v>5.4757478552414421E-6</v>
      </c>
      <c r="BD148" s="8">
        <f t="shared" ref="BD148:BD211" si="255">IF(BB148&lt;650,(53.495-(0.029*BB148)),IF(BB148&lt;700,((0.00000000000000006*(BB148^2))-(0.2008*BB148) + 164.43),IF(BB148&lt;1250,((0.0115*BB148)+ 15.889))))</f>
        <v>27.24955016763829</v>
      </c>
      <c r="BE148" s="7">
        <f t="shared" ref="BE148:BE211" si="256">(BC148*$M$8)/($D$6^2)</f>
        <v>1.3704118815981027E-2</v>
      </c>
      <c r="BF148" s="9">
        <f t="shared" ref="BF148:BF211" si="257">($C$8*$D$6)/BD148</f>
        <v>0.20241159821237656</v>
      </c>
      <c r="BG148" s="4">
        <f t="shared" si="203"/>
        <v>981.57713009613508</v>
      </c>
      <c r="BH148" s="6">
        <f t="shared" ref="BH148:BH211" si="258">IF(BG148&gt;=650,((0.00002*BG148)+0.035)/10000,IF(BG148&lt;650,((-0.0000000000003*(BG148^4))+(0.0000000004*(BG148^3))-(0.0000002*(BG148^2))-(0.0001*BG148)+0.1409)/10000))</f>
        <v>5.4631542601922716E-6</v>
      </c>
      <c r="BI148" s="8">
        <f t="shared" ref="BI148:BI211" si="259">IF(BG148&lt;650,(53.495-(0.029*BG148)),IF(BG148&lt;700,((0.00000000000000006*(BG148^2))-(0.2008*BG148) + 164.43),IF(BG148&lt;1250,((0.0115*BG148)+ 15.889))))</f>
        <v>27.177136996105553</v>
      </c>
      <c r="BJ148" s="7">
        <f t="shared" ref="BJ148:BJ211" si="260">(BH148*$M$8)/($D$6^2)</f>
        <v>1.3672600906932496E-2</v>
      </c>
      <c r="BK148" s="9">
        <f t="shared" ref="BK148:BK211" si="261">($C$8*$D$6)/BI148</f>
        <v>0.2029509216070251</v>
      </c>
      <c r="BL148" s="4">
        <f t="shared" si="204"/>
        <v>974.67483389518907</v>
      </c>
      <c r="BM148" s="6">
        <f t="shared" ref="BM148:BM211" si="262">IF(BL148&gt;=650,((0.00002*BL148)+0.035)/10000,IF(BL148&lt;650,((-0.0000000000003*(BL148^4))+(0.0000000004*(BL148^3))-(0.0000002*(BL148^2))-(0.0001*BL148)+0.1409)/10000))</f>
        <v>5.4493496677903795E-6</v>
      </c>
      <c r="BN148" s="8">
        <f t="shared" ref="BN148:BN211" si="263">IF(BL148&lt;650,(53.495-(0.029*BL148)),IF(BL148&lt;700,((0.00000000000000006*(BL148^2))-(0.2008*BL148) + 164.43),IF(BL148&lt;1250,((0.0115*BL148)+ 15.889))))</f>
        <v>27.097760589794675</v>
      </c>
      <c r="BO148" s="7">
        <f t="shared" ref="BO148:BO211" si="264">(BM148*$M$8)/($D$6^2)</f>
        <v>1.3638052242625277E-2</v>
      </c>
      <c r="BP148" s="9">
        <f t="shared" ref="BP148:BP211" si="265">($C$8*$D$6)/BN148</f>
        <v>0.20354541777438417</v>
      </c>
      <c r="BQ148" s="4">
        <f t="shared" si="205"/>
        <v>967.14177489259714</v>
      </c>
      <c r="BR148" s="6">
        <f t="shared" ref="BR148:BR211" si="266">IF(BQ148&gt;=650,((0.00002*BQ148)+0.035)/10000,IF(BQ148&lt;650,((-0.0000000000003*(BQ148^4))+(0.0000000004*(BQ148^3))-(0.0000002*(BQ148^2))-(0.0001*BQ148)+0.1409)/10000))</f>
        <v>5.4342835497851946E-6</v>
      </c>
      <c r="BS148" s="8">
        <f t="shared" ref="BS148:BS211" si="267">IF(BQ148&lt;650,(53.495-(0.029*BQ148)),IF(BQ148&lt;700,((0.00000000000000006*(BQ148^2))-(0.2008*BQ148) + 164.43),IF(BQ148&lt;1250,((0.0115*BQ148)+ 15.889))))</f>
        <v>27.011130411264865</v>
      </c>
      <c r="BT148" s="7">
        <f t="shared" ref="BT148:BT211" si="268">(BR148*$M$8)/($D$6^2)</f>
        <v>1.3600346366332778E-2</v>
      </c>
      <c r="BU148" s="9">
        <f t="shared" ref="BU148:BU211" si="269">($C$8*$D$6)/BS148</f>
        <v>0.20419822924921849</v>
      </c>
      <c r="BV148" s="4">
        <f t="shared" si="206"/>
        <v>958.86328856987745</v>
      </c>
      <c r="BW148" s="6">
        <f t="shared" ref="BW148:BW211" si="270">IF(BV148&gt;=650,((0.00002*BV148)+0.035)/10000,IF(BV148&lt;650,((-0.0000000000003*(BV148^4))+(0.0000000004*(BV148^3))-(0.0000002*(BV148^2))-(0.0001*BV148)+0.1409)/10000))</f>
        <v>5.4177265771397562E-6</v>
      </c>
      <c r="BX148" s="8">
        <f t="shared" ref="BX148:BX211" si="271">IF(BV148&lt;650,(53.495-(0.029*BV148)),IF(BV148&lt;700,((0.00000000000000006*(BV148^2))-(0.2008*BV148) + 164.43),IF(BV148&lt;1250,((0.0115*BV148)+ 15.889))))</f>
        <v>26.915927818553591</v>
      </c>
      <c r="BY148" s="7">
        <f t="shared" ref="BY148:BY211" si="272">(BW148*$M$8)/($D$6^2)</f>
        <v>1.3558909337754325E-2</v>
      </c>
      <c r="BZ148" s="9">
        <f t="shared" ref="BZ148:BZ211" si="273">($C$8*$D$6)/BX148</f>
        <v>0.2049204856389156</v>
      </c>
      <c r="CA148" s="4">
        <f t="shared" si="207"/>
        <v>949.38535804264779</v>
      </c>
      <c r="CB148" s="6">
        <f t="shared" ref="CB148:CB211" si="274">IF(CA148&gt;=650,((0.00002*CA148)+0.035)/10000,IF(CA148&lt;650,((-0.0000000000003*(CA148^4))+(0.0000000004*(CA148^3))-(0.0000002*(CA148^2))-(0.0001*CA148)+0.1409)/10000))</f>
        <v>5.3987707160852962E-6</v>
      </c>
      <c r="CC148" s="8">
        <f t="shared" ref="CC148:CC211" si="275">IF(CA148&lt;650,(53.495-(0.029*CA148)),IF(CA148&lt;700,((0.00000000000000006*(CA148^2))-(0.2008*CA148) + 164.43),IF(CA148&lt;1250,((0.0115*CA148)+ 15.889))))</f>
        <v>26.806931617490449</v>
      </c>
      <c r="CD148" s="7">
        <f t="shared" ref="CD148:CD211" si="276">(CB148*$M$8)/($D$6^2)</f>
        <v>1.3511468626637418E-2</v>
      </c>
      <c r="CE148" s="9">
        <f t="shared" ref="CE148:CE211" si="277">($C$8*$D$6)/CC148</f>
        <v>0.20575368634884253</v>
      </c>
      <c r="CF148" s="4">
        <f t="shared" si="208"/>
        <v>937.17287866207039</v>
      </c>
      <c r="CG148" s="6">
        <f t="shared" ref="CG148:CG211" si="278">IF(CF148&gt;=650,((0.00002*CF148)+0.035)/10000,IF(CF148&lt;650,((-0.0000000000003*(CF148^4))+(0.0000000004*(CF148^3))-(0.0000002*(CF148^2))-(0.0001*CF148)+0.1409)/10000))</f>
        <v>5.3743457573241411E-6</v>
      </c>
      <c r="CH148" s="8">
        <f t="shared" ref="CH148:CH211" si="279">IF(CF148&lt;650,(53.495-(0.029*CF148)),IF(CF148&lt;700,((0.00000000000000006*(CF148^2))-(0.2008*CF148) + 164.43),IF(CF148&lt;1250,((0.0115*CF148)+ 15.889))))</f>
        <v>26.666488104613808</v>
      </c>
      <c r="CI148" s="7">
        <f t="shared" ref="CI148:CI211" si="280">(CG148*$M$8)/($D$6^2)</f>
        <v>1.3450340439988372E-2</v>
      </c>
      <c r="CJ148" s="9">
        <f t="shared" ref="CJ148:CJ211" si="281">($C$8*$D$6)/CH148</f>
        <v>0.20683732249863424</v>
      </c>
      <c r="CK148" s="4">
        <f t="shared" si="209"/>
        <v>917.92401524765364</v>
      </c>
      <c r="CL148" s="6">
        <f t="shared" ref="CL148:CL211" si="282">IF(CK148&gt;=650,((0.00002*CK148)+0.035)/10000,IF(CK148&lt;650,((-0.0000000000003*(CK148^4))+(0.0000000004*(CK148^3))-(0.0000002*(CK148^2))-(0.0001*CK148)+0.1409)/10000))</f>
        <v>5.3358480304953074E-6</v>
      </c>
      <c r="CM148" s="8">
        <f t="shared" ref="CM148:CM211" si="283">IF(CK148&lt;650,(53.495-(0.029*CK148)),IF(CK148&lt;700,((0.00000000000000006*(CK148^2))-(0.2008*CK148) + 164.43),IF(CK148&lt;1250,((0.0115*CK148)+ 15.889))))</f>
        <v>26.445126175348015</v>
      </c>
      <c r="CN148" s="7">
        <f t="shared" ref="CN148:CN211" si="284">(CL148*$M$8)/($D$6^2)</f>
        <v>1.335399242752419E-2</v>
      </c>
      <c r="CO148" s="9">
        <f t="shared" ref="CO148:CO211" si="285">($C$8*$D$6)/CM148</f>
        <v>0.20856867777555291</v>
      </c>
      <c r="CP148" s="4">
        <f t="shared" si="210"/>
        <v>882.08797733166853</v>
      </c>
      <c r="CQ148" s="6">
        <f t="shared" ref="CQ148:CQ211" si="286">IF(CP148&gt;=650,((0.00002*CP148)+0.035)/10000,IF(CP148&lt;650,((-0.0000000000003*(CP148^4))+(0.0000000004*(CP148^3))-(0.0000002*(CP148^2))-(0.0001*CP148)+0.1409)/10000))</f>
        <v>5.2641759546633371E-6</v>
      </c>
      <c r="CR148" s="8">
        <f t="shared" ref="CR148:CR211" si="287">IF(CP148&lt;650,(53.495-(0.029*CP148)),IF(CP148&lt;700,((0.00000000000000006*(CP148^2))-(0.2008*CP148) + 164.43),IF(CP148&lt;1250,((0.0115*CP148)+ 15.889))))</f>
        <v>26.033011739314187</v>
      </c>
      <c r="CS148" s="7">
        <f t="shared" ref="CS148:CS211" si="288">(CQ148*$M$8)/($D$6^2)</f>
        <v>1.3174619185922287E-2</v>
      </c>
      <c r="CT148" s="9">
        <f t="shared" ref="CT148:CT211" si="289">($C$8*$D$6)/CR148</f>
        <v>0.21187041496510706</v>
      </c>
      <c r="CU148" s="4">
        <f t="shared" si="211"/>
        <v>814.12979939927766</v>
      </c>
      <c r="CV148" s="6">
        <f t="shared" ref="CV148:CV211" si="290">IF(CU148&gt;=650,((0.00002*CU148)+0.035)/10000,IF(CU148&lt;650,((-0.0000000000003*(CU148^4))+(0.0000000004*(CU148^3))-(0.0000002*(CU148^2))-(0.0001*CU148)+0.1409)/10000))</f>
        <v>5.1282595987985554E-6</v>
      </c>
      <c r="CW148" s="8">
        <f t="shared" ref="CW148:CW211" si="291">IF(CU148&lt;650,(53.495-(0.029*CU148)),IF(CU148&lt;700,((0.00000000000000006*(CU148^2))-(0.2008*CU148) + 164.43),IF(CU148&lt;1250,((0.0115*CU148)+ 15.889))))</f>
        <v>25.251492693091691</v>
      </c>
      <c r="CX148" s="7">
        <f t="shared" ref="CX148:CX211" si="292">(CV148*$M$8)/($D$6^2)</f>
        <v>1.2834462199324883E-2</v>
      </c>
      <c r="CY148" s="9">
        <f t="shared" ref="CY148:CY211" si="293">($C$8*$D$6)/CW148</f>
        <v>0.21842768136669266</v>
      </c>
      <c r="CZ148" s="5">
        <f t="shared" si="212"/>
        <v>698.69804175216018</v>
      </c>
      <c r="DA148" s="6">
        <f t="shared" ref="DA148:DA211" si="294">IF(CZ148&gt;=650,((0.00002*CZ148)+0.035)/10000,IF(CZ148&lt;650,((-0.0000000000003*(CZ148^4))+(0.0000000004*(CZ148^3))-(0.0000002*(CZ148^2))-(0.0001*CZ148)+0.1409)/10000))</f>
        <v>4.8973960835043211E-6</v>
      </c>
      <c r="DB148" s="8">
        <f t="shared" ref="DB148:DB211" si="295">IF(CZ148&lt;650,(53.495-(0.029*CZ148)),IF(CZ148&lt;700,((0.00000000000000006*(CZ148^2))-(0.2008*CZ148) + 164.43),IF(CZ148&lt;1250,((0.0115*CZ148)+ 15.889))))</f>
        <v>24.131433216195546</v>
      </c>
      <c r="DC148" s="7">
        <f t="shared" ref="DC148:DC211" si="296">(DA148*$M$8)/($D$6^2)</f>
        <v>1.2256681569627182E-2</v>
      </c>
      <c r="DD148" s="9">
        <f t="shared" ref="DD148:DD211" si="297">($C$8*$D$6)/DB148</f>
        <v>0.22856599318345705</v>
      </c>
    </row>
    <row r="149" spans="2:108" x14ac:dyDescent="0.25">
      <c r="B149">
        <v>130</v>
      </c>
      <c r="C149">
        <f t="shared" ref="C149:C212" si="298">$B149*$M$8</f>
        <v>0.12708990662488268</v>
      </c>
      <c r="D149" s="4">
        <f t="shared" si="215"/>
        <v>1017.8716696580675</v>
      </c>
      <c r="E149" s="6">
        <f t="shared" si="216"/>
        <v>5.5357433393161355E-6</v>
      </c>
      <c r="F149" s="8">
        <f t="shared" si="217"/>
        <v>27.594524201067777</v>
      </c>
      <c r="G149" s="7">
        <f t="shared" si="213"/>
        <v>1.385426912675454E-2</v>
      </c>
      <c r="H149" s="9">
        <f t="shared" si="218"/>
        <v>0.19988114162832971</v>
      </c>
      <c r="I149" s="4">
        <f t="shared" ref="I149:I212" si="299">I148+(G149*(D148+N148-(2*I148))+((G149/(2*$I$18))*(N148-D148)))</f>
        <v>1017.5471500944002</v>
      </c>
      <c r="J149" s="6">
        <f t="shared" si="219"/>
        <v>5.5350943001888009E-6</v>
      </c>
      <c r="K149" s="8">
        <f t="shared" si="220"/>
        <v>27.590792226085604</v>
      </c>
      <c r="L149" s="7">
        <f t="shared" si="221"/>
        <v>1.3852644780719557E-2</v>
      </c>
      <c r="M149" s="9">
        <f t="shared" si="222"/>
        <v>0.19990817787338758</v>
      </c>
      <c r="N149" s="4">
        <f t="shared" ref="N149:N212" si="300">N148+(L149*(I148+S148-(2*N148))+((L149/(2*N$18))*(S148-I148)))</f>
        <v>1016.6414209377422</v>
      </c>
      <c r="O149" s="6">
        <f t="shared" si="223"/>
        <v>5.5332828418754847E-6</v>
      </c>
      <c r="P149" s="8">
        <f t="shared" si="224"/>
        <v>27.580376340784035</v>
      </c>
      <c r="Q149" s="7">
        <f t="shared" si="214"/>
        <v>1.385426912675454E-2</v>
      </c>
      <c r="R149" s="9">
        <f t="shared" si="225"/>
        <v>0.1999836743287603</v>
      </c>
      <c r="S149" s="4">
        <f t="shared" ref="S149:S212" si="301">S148+(Q149*(N148+X148-(2*S148))+((Q149/(2*S$18))*(X148-N148)))</f>
        <v>1015.1400194743031</v>
      </c>
      <c r="T149" s="6">
        <f t="shared" si="226"/>
        <v>5.5302800389486066E-6</v>
      </c>
      <c r="U149" s="8">
        <f t="shared" si="227"/>
        <v>27.563110223954485</v>
      </c>
      <c r="V149" s="7">
        <f t="shared" si="228"/>
        <v>1.3840596160185719E-2</v>
      </c>
      <c r="W149" s="9">
        <f t="shared" si="229"/>
        <v>0.20010894834380821</v>
      </c>
      <c r="X149" s="4">
        <f t="shared" ref="X149:X212" si="302">X148+(V149*(S148+AC148-(2*X148))+((V149/(2*X$18))*(AC148-S148)))</f>
        <v>1013.0408304473373</v>
      </c>
      <c r="Y149" s="6">
        <f t="shared" si="230"/>
        <v>5.5260816608946755E-6</v>
      </c>
      <c r="Z149" s="8">
        <f t="shared" si="231"/>
        <v>27.53896955014438</v>
      </c>
      <c r="AA149" s="7">
        <f t="shared" si="232"/>
        <v>1.3830088906527132E-2</v>
      </c>
      <c r="AB149" s="9">
        <f t="shared" si="233"/>
        <v>0.20028436394313393</v>
      </c>
      <c r="AC149" s="4">
        <f t="shared" ref="AC149:AC212" si="303">AC148+(AA149*(X148+AH148-(2*AC148))+((AA149/(2*AC$18))*(AH148-X148)))</f>
        <v>1010.3424184793887</v>
      </c>
      <c r="AD149" s="6">
        <f t="shared" si="234"/>
        <v>5.5206848369587777E-6</v>
      </c>
      <c r="AE149" s="8">
        <f t="shared" si="235"/>
        <v>27.507937812512971</v>
      </c>
      <c r="AF149" s="7">
        <f t="shared" si="236"/>
        <v>1.3816582310094704E-2</v>
      </c>
      <c r="AG149" s="9">
        <f t="shared" si="237"/>
        <v>0.20051030497426167</v>
      </c>
      <c r="AH149" s="4">
        <f t="shared" ref="AH149:AH212" si="304">AH148+(AF149*(AC148+AM148-(2*AH148))+((AF149/(2*AH$18))*(AM148-AC148)))</f>
        <v>1007.0445357533439</v>
      </c>
      <c r="AI149" s="6">
        <f t="shared" si="238"/>
        <v>5.5140890715066876E-6</v>
      </c>
      <c r="AJ149" s="8">
        <f t="shared" si="239"/>
        <v>27.470012161163453</v>
      </c>
      <c r="AK149" s="7">
        <f t="shared" si="240"/>
        <v>1.3800075130467859E-2</v>
      </c>
      <c r="AL149" s="9">
        <f t="shared" si="241"/>
        <v>0.20078713353457772</v>
      </c>
      <c r="AM149" s="4">
        <f t="shared" ref="AM149:AM212" si="305">AM148+(AK149*(AH148+AR148-(2*AM148))+((AK149/(2*AM$18))*(AR148-AH148)))</f>
        <v>1003.1471239352404</v>
      </c>
      <c r="AN149" s="6">
        <f t="shared" si="242"/>
        <v>5.5062942478704815E-6</v>
      </c>
      <c r="AO149" s="8">
        <f t="shared" si="243"/>
        <v>27.425191925255263</v>
      </c>
      <c r="AP149" s="7">
        <f t="shared" si="244"/>
        <v>1.3780567075662534E-2</v>
      </c>
      <c r="AQ149" s="9">
        <f t="shared" si="245"/>
        <v>0.20111527441748844</v>
      </c>
      <c r="AR149" s="4">
        <f t="shared" ref="AR149:AR212" si="306">AR148+(AP149*(AM148+AW148-(2*AR148))+((AP149/(2*AR$18))*(AW148-AM148)))</f>
        <v>998.65017270631063</v>
      </c>
      <c r="AS149" s="6">
        <f t="shared" si="246"/>
        <v>5.4973003454126217E-6</v>
      </c>
      <c r="AT149" s="8">
        <f t="shared" si="247"/>
        <v>27.373476986122572</v>
      </c>
      <c r="AU149" s="7">
        <f t="shared" si="248"/>
        <v>1.3758058094029302E-2</v>
      </c>
      <c r="AV149" s="9">
        <f t="shared" si="249"/>
        <v>0.20149522849421853</v>
      </c>
      <c r="AW149" s="4">
        <f t="shared" ref="AW149:AW212" si="307">AW148+(AU149*(AR148+BB148-(2*AW148))+((AU149/(2*AW$18))*(BB148-AR148)))</f>
        <v>993.55366175795723</v>
      </c>
      <c r="AX149" s="6">
        <f t="shared" si="250"/>
        <v>5.487107323515915E-6</v>
      </c>
      <c r="AY149" s="8">
        <f t="shared" si="251"/>
        <v>27.314867110216507</v>
      </c>
      <c r="AZ149" s="7">
        <f t="shared" si="252"/>
        <v>1.3732548083915767E-2</v>
      </c>
      <c r="BA149" s="9">
        <f t="shared" si="253"/>
        <v>0.20192757950255616</v>
      </c>
      <c r="BB149" s="4">
        <f t="shared" ref="BB149:BB212" si="308">BB148+(AZ149*(AW148+BG148-(2*BB148))+((AZ149/(2*BB$18))*(BG148-AW148)))</f>
        <v>987.85744561080287</v>
      </c>
      <c r="BC149" s="6">
        <f t="shared" si="254"/>
        <v>5.4757148912216057E-6</v>
      </c>
      <c r="BD149" s="8">
        <f t="shared" si="255"/>
        <v>27.249360624524233</v>
      </c>
      <c r="BE149" s="7">
        <f t="shared" si="256"/>
        <v>1.3704036317141337E-2</v>
      </c>
      <c r="BF149" s="9">
        <f t="shared" si="257"/>
        <v>0.20241300616191252</v>
      </c>
      <c r="BG149" s="4">
        <f t="shared" ref="BG149:BG212" si="309">BG148+(BE149*(BB148+BL148-(2*BG148))+((BE149/(2*BG$18))*(BL148-BB148)))</f>
        <v>981.56061046302204</v>
      </c>
      <c r="BH149" s="6">
        <f t="shared" si="258"/>
        <v>5.4631212209260439E-6</v>
      </c>
      <c r="BI149" s="8">
        <f t="shared" si="259"/>
        <v>27.176947020324754</v>
      </c>
      <c r="BJ149" s="7">
        <f t="shared" si="260"/>
        <v>1.3672518219774148E-2</v>
      </c>
      <c r="BK149" s="9">
        <f t="shared" si="261"/>
        <v>0.20295234030058798</v>
      </c>
      <c r="BL149" s="4">
        <f t="shared" ref="BL149:BL212" si="310">BL148+(BJ149*(BG148+BQ148-(2*BL148))+((BJ149/(2*BL$18))*(BQ148-BG148)))</f>
        <v>974.65798612691503</v>
      </c>
      <c r="BM149" s="6">
        <f t="shared" si="262"/>
        <v>5.4493159722538308E-6</v>
      </c>
      <c r="BN149" s="8">
        <f t="shared" si="263"/>
        <v>27.097566840459521</v>
      </c>
      <c r="BO149" s="7">
        <f t="shared" si="264"/>
        <v>1.3637967913023432E-2</v>
      </c>
      <c r="BP149" s="9">
        <f t="shared" si="265"/>
        <v>0.20354687313713316</v>
      </c>
      <c r="BQ149" s="4">
        <f t="shared" ref="BQ149:BQ212" si="311">BQ148+(BO149*(BL148+BV148-(2*BQ148))+((BO149/(2*BQ$18))*(BV148-BL148)))</f>
        <v>967.12331503457756</v>
      </c>
      <c r="BR149" s="6">
        <f t="shared" si="266"/>
        <v>5.4342466300691564E-6</v>
      </c>
      <c r="BS149" s="8">
        <f t="shared" si="267"/>
        <v>27.010918122897642</v>
      </c>
      <c r="BT149" s="7">
        <f t="shared" si="268"/>
        <v>1.3600253967597736E-2</v>
      </c>
      <c r="BU149" s="9">
        <f t="shared" si="269"/>
        <v>0.20419983411538703</v>
      </c>
      <c r="BV149" s="4">
        <f t="shared" ref="BV149:BV212" si="312">BV148+(BT149*(BQ148+CA148-(2*BV148))+((BT149/(2*BV$18))*(CA148-BQ148)))</f>
        <v>958.83835111769349</v>
      </c>
      <c r="BW149" s="6">
        <f t="shared" si="270"/>
        <v>5.4176767022353873E-6</v>
      </c>
      <c r="BX149" s="8">
        <f t="shared" si="271"/>
        <v>26.915641037853476</v>
      </c>
      <c r="BY149" s="7">
        <f t="shared" si="272"/>
        <v>1.3558784516153064E-2</v>
      </c>
      <c r="BZ149" s="9">
        <f t="shared" si="273"/>
        <v>0.20492266902515771</v>
      </c>
      <c r="CA149" s="4">
        <f t="shared" ref="CA149:CA212" si="313">CA148+(BY149*(BV148+CF148-(2*CA148))+((BY149/(2*CA$18))*(CF148-BV148)))</f>
        <v>949.33847769752947</v>
      </c>
      <c r="CB149" s="6">
        <f t="shared" si="274"/>
        <v>5.3986769553950596E-6</v>
      </c>
      <c r="CC149" s="8">
        <f t="shared" si="275"/>
        <v>26.806392493521589</v>
      </c>
      <c r="CD149" s="7">
        <f t="shared" si="276"/>
        <v>1.3511233972363108E-2</v>
      </c>
      <c r="CE149" s="9">
        <f t="shared" si="277"/>
        <v>0.20575782441941726</v>
      </c>
      <c r="CF149" s="4">
        <f t="shared" ref="CF149:CF212" si="314">CF148+(CD149*(CA148+CK148-(2*CF148))+((CD149/(2*CF$18))*(CK148-CA148)))</f>
        <v>937.06452463220762</v>
      </c>
      <c r="CG149" s="6">
        <f t="shared" si="278"/>
        <v>5.3741290492644155E-6</v>
      </c>
      <c r="CH149" s="8">
        <f t="shared" si="279"/>
        <v>26.665242033270388</v>
      </c>
      <c r="CI149" s="7">
        <f t="shared" si="280"/>
        <v>1.3449798086125965E-2</v>
      </c>
      <c r="CJ149" s="9">
        <f t="shared" si="281"/>
        <v>0.20684698804226567</v>
      </c>
      <c r="CK149" s="4">
        <f t="shared" ref="CK149:CK212" si="315">CK148+(CI149*(CF148+CP148-(2*CK148))+((CI149/(2*CK$18))*(CP148-CF148)))</f>
        <v>917.67913048800915</v>
      </c>
      <c r="CL149" s="6">
        <f t="shared" si="282"/>
        <v>5.3353582609760187E-6</v>
      </c>
      <c r="CM149" s="8">
        <f t="shared" si="283"/>
        <v>26.442310000612103</v>
      </c>
      <c r="CN149" s="7">
        <f t="shared" si="284"/>
        <v>1.3352766684509314E-2</v>
      </c>
      <c r="CO149" s="9">
        <f t="shared" si="285"/>
        <v>0.20859089088178456</v>
      </c>
      <c r="CP149" s="4">
        <f t="shared" ref="CP149:CP212" si="316">CP148+(CN149*(CK148+CU148-(2*CP148))+((CN149/(2*CP$18))*(CU148-CK148)))</f>
        <v>881.62055955874939</v>
      </c>
      <c r="CQ149" s="6">
        <f t="shared" si="286"/>
        <v>5.2632411191175E-6</v>
      </c>
      <c r="CR149" s="8">
        <f t="shared" si="287"/>
        <v>26.027636434925618</v>
      </c>
      <c r="CS149" s="7">
        <f t="shared" si="288"/>
        <v>1.3172279579035296E-2</v>
      </c>
      <c r="CT149" s="9">
        <f t="shared" si="289"/>
        <v>0.21191417106928567</v>
      </c>
      <c r="CU149" s="4">
        <f t="shared" ref="CU149:CU212" si="317">CU148+(CS149*(CP148+CZ148-(2*CU148))+((CS149/(2*CU$18))*(CZ148-CP148)))</f>
        <v>813.44089404246199</v>
      </c>
      <c r="CV149" s="6">
        <f t="shared" si="290"/>
        <v>5.1268817880849248E-6</v>
      </c>
      <c r="CW149" s="8">
        <f t="shared" si="291"/>
        <v>25.24357028148831</v>
      </c>
      <c r="CX149" s="7">
        <f t="shared" si="292"/>
        <v>1.2831013961344487E-2</v>
      </c>
      <c r="CY149" s="9">
        <f t="shared" si="293"/>
        <v>0.21849623244635624</v>
      </c>
      <c r="CZ149" s="5">
        <f t="shared" ref="CZ149:CZ212" si="318">CZ148+((2*$CX149)*(CU148-CZ148))+((2*$CX149*$CY149)*($C$14-CZ148))+((($CX149*$CY149)/$C$5)*($C$14-CZ148))+(((CZ148-$C$14)*$CX149*($D$6^2))/($CW149*($D$4/(2*$C$8))))</f>
        <v>697.97722838445839</v>
      </c>
      <c r="DA149" s="6">
        <f t="shared" si="294"/>
        <v>4.8959544567689172E-6</v>
      </c>
      <c r="DB149" s="8">
        <f t="shared" si="295"/>
        <v>24.276172540429968</v>
      </c>
      <c r="DC149" s="7">
        <f t="shared" si="296"/>
        <v>1.2253073619700971E-2</v>
      </c>
      <c r="DD149" s="9">
        <f t="shared" si="297"/>
        <v>0.22720323769384076</v>
      </c>
    </row>
    <row r="150" spans="2:108" x14ac:dyDescent="0.25">
      <c r="B150">
        <v>131</v>
      </c>
      <c r="C150">
        <f t="shared" si="298"/>
        <v>0.12806752129122795</v>
      </c>
      <c r="D150" s="4">
        <f t="shared" si="215"/>
        <v>1017.8551013285107</v>
      </c>
      <c r="E150" s="6">
        <f t="shared" si="216"/>
        <v>5.535710202657022E-6</v>
      </c>
      <c r="F150" s="8">
        <f t="shared" si="217"/>
        <v>27.594333665277873</v>
      </c>
      <c r="G150" s="7">
        <f t="shared" si="213"/>
        <v>1.3854186195851643E-2</v>
      </c>
      <c r="H150" s="9">
        <f t="shared" si="218"/>
        <v>0.19988252178527313</v>
      </c>
      <c r="I150" s="4">
        <f t="shared" si="299"/>
        <v>1017.5305758610608</v>
      </c>
      <c r="J150" s="6">
        <f t="shared" si="219"/>
        <v>5.5350611517221218E-6</v>
      </c>
      <c r="K150" s="8">
        <f t="shared" si="220"/>
        <v>27.590601622402197</v>
      </c>
      <c r="L150" s="7">
        <f t="shared" si="221"/>
        <v>1.3852561820265947E-2</v>
      </c>
      <c r="M150" s="9">
        <f t="shared" si="222"/>
        <v>0.19990955889564896</v>
      </c>
      <c r="N150" s="4">
        <f t="shared" si="300"/>
        <v>1016.6248331188568</v>
      </c>
      <c r="O150" s="6">
        <f t="shared" si="223"/>
        <v>5.5332496662377141E-6</v>
      </c>
      <c r="P150" s="8">
        <f t="shared" si="224"/>
        <v>27.580185580866853</v>
      </c>
      <c r="Q150" s="7">
        <f t="shared" si="214"/>
        <v>1.3854186195851643E-2</v>
      </c>
      <c r="R150" s="9">
        <f t="shared" si="225"/>
        <v>0.19998505752718151</v>
      </c>
      <c r="S150" s="4">
        <f t="shared" si="301"/>
        <v>1015.1234237389143</v>
      </c>
      <c r="T150" s="6">
        <f t="shared" si="226"/>
        <v>5.5302468474778293E-6</v>
      </c>
      <c r="U150" s="8">
        <f t="shared" si="227"/>
        <v>27.562919372997513</v>
      </c>
      <c r="V150" s="7">
        <f t="shared" si="228"/>
        <v>1.3840513092106026E-2</v>
      </c>
      <c r="W150" s="9">
        <f t="shared" si="229"/>
        <v>0.20011033393666844</v>
      </c>
      <c r="X150" s="4">
        <f t="shared" si="302"/>
        <v>1013.0242367369549</v>
      </c>
      <c r="Y150" s="6">
        <f t="shared" si="230"/>
        <v>5.5260484734739099E-6</v>
      </c>
      <c r="Z150" s="8">
        <f t="shared" si="231"/>
        <v>27.53877872247498</v>
      </c>
      <c r="AA150" s="7">
        <f t="shared" si="232"/>
        <v>1.383000584858338E-2</v>
      </c>
      <c r="AB150" s="9">
        <f t="shared" si="233"/>
        <v>0.20028575179692271</v>
      </c>
      <c r="AC150" s="4">
        <f t="shared" si="303"/>
        <v>1010.3258349162294</v>
      </c>
      <c r="AD150" s="6">
        <f t="shared" si="234"/>
        <v>5.5206516698324592E-6</v>
      </c>
      <c r="AE150" s="8">
        <f t="shared" si="235"/>
        <v>27.507747101536637</v>
      </c>
      <c r="AF150" s="7">
        <f t="shared" si="236"/>
        <v>1.3816499302941734E-2</v>
      </c>
      <c r="AG150" s="9">
        <f t="shared" si="237"/>
        <v>0.20051169511049802</v>
      </c>
      <c r="AH150" s="4">
        <f t="shared" si="304"/>
        <v>1007.0279678782235</v>
      </c>
      <c r="AI150" s="6">
        <f t="shared" si="238"/>
        <v>5.5140559357564481E-6</v>
      </c>
      <c r="AJ150" s="8">
        <f t="shared" si="239"/>
        <v>27.469821630599569</v>
      </c>
      <c r="AK150" s="7">
        <f t="shared" si="240"/>
        <v>1.3799992201839599E-2</v>
      </c>
      <c r="AL150" s="9">
        <f t="shared" si="241"/>
        <v>0.20078852619326648</v>
      </c>
      <c r="AM150" s="4">
        <f t="shared" si="305"/>
        <v>1003.1305758571472</v>
      </c>
      <c r="AN150" s="6">
        <f t="shared" si="242"/>
        <v>5.5062611517142947E-6</v>
      </c>
      <c r="AO150" s="8">
        <f t="shared" si="243"/>
        <v>27.425001622357193</v>
      </c>
      <c r="AP150" s="7">
        <f t="shared" si="244"/>
        <v>1.3780484246126054E-2</v>
      </c>
      <c r="AQ150" s="9">
        <f t="shared" si="245"/>
        <v>0.20111666996233085</v>
      </c>
      <c r="AR150" s="4">
        <f t="shared" si="306"/>
        <v>998.63364782339249</v>
      </c>
      <c r="AS150" s="6">
        <f t="shared" si="246"/>
        <v>5.4972672956467854E-6</v>
      </c>
      <c r="AT150" s="8">
        <f t="shared" si="247"/>
        <v>27.373286949969014</v>
      </c>
      <c r="AU150" s="7">
        <f t="shared" si="248"/>
        <v>1.3757975380593651E-2</v>
      </c>
      <c r="AV150" s="9">
        <f t="shared" si="249"/>
        <v>0.20149662735356097</v>
      </c>
      <c r="AW150" s="4">
        <f t="shared" si="307"/>
        <v>993.5371618022815</v>
      </c>
      <c r="AX150" s="6">
        <f t="shared" si="250"/>
        <v>5.4870743236045635E-6</v>
      </c>
      <c r="AY150" s="8">
        <f t="shared" si="251"/>
        <v>27.314677360726236</v>
      </c>
      <c r="AZ150" s="7">
        <f t="shared" si="252"/>
        <v>1.3732465495250614E-2</v>
      </c>
      <c r="BA150" s="9">
        <f t="shared" si="253"/>
        <v>0.20192898225224915</v>
      </c>
      <c r="BB150" s="4">
        <f t="shared" si="308"/>
        <v>987.84096292294646</v>
      </c>
      <c r="BC150" s="6">
        <f t="shared" si="254"/>
        <v>5.4756819258458932E-6</v>
      </c>
      <c r="BD150" s="8">
        <f t="shared" si="255"/>
        <v>27.249171073613883</v>
      </c>
      <c r="BE150" s="7">
        <f t="shared" si="256"/>
        <v>1.3703953814908304E-2</v>
      </c>
      <c r="BF150" s="9">
        <f t="shared" si="257"/>
        <v>0.20241441418894868</v>
      </c>
      <c r="BG150" s="4">
        <f t="shared" si="309"/>
        <v>981.54408672036595</v>
      </c>
      <c r="BH150" s="6">
        <f t="shared" si="258"/>
        <v>5.463088173440732E-6</v>
      </c>
      <c r="BI150" s="8">
        <f t="shared" si="259"/>
        <v>27.176756997284208</v>
      </c>
      <c r="BJ150" s="7">
        <f t="shared" si="260"/>
        <v>1.3672435512045951E-2</v>
      </c>
      <c r="BK150" s="9">
        <f t="shared" si="261"/>
        <v>0.20295375936691712</v>
      </c>
      <c r="BL150" s="4">
        <f t="shared" si="310"/>
        <v>974.64111980045345</v>
      </c>
      <c r="BM150" s="6">
        <f t="shared" si="262"/>
        <v>5.4492822396009073E-6</v>
      </c>
      <c r="BN150" s="8">
        <f t="shared" si="263"/>
        <v>27.097372877705212</v>
      </c>
      <c r="BO150" s="7">
        <f t="shared" si="264"/>
        <v>1.3637883490530675E-2</v>
      </c>
      <c r="BP150" s="9">
        <f t="shared" si="265"/>
        <v>0.20354833012384263</v>
      </c>
      <c r="BQ150" s="4">
        <f t="shared" si="311"/>
        <v>967.10478469233271</v>
      </c>
      <c r="BR150" s="6">
        <f t="shared" si="266"/>
        <v>5.4342095693846663E-6</v>
      </c>
      <c r="BS150" s="8">
        <f t="shared" si="267"/>
        <v>27.010705023961826</v>
      </c>
      <c r="BT150" s="7">
        <f t="shared" si="268"/>
        <v>1.3600161216061857E-2</v>
      </c>
      <c r="BU150" s="9">
        <f t="shared" si="269"/>
        <v>0.20420144513469607</v>
      </c>
      <c r="BV150" s="4">
        <f t="shared" si="312"/>
        <v>958.81318970062216</v>
      </c>
      <c r="BW150" s="6">
        <f t="shared" si="270"/>
        <v>5.4176263794012451E-6</v>
      </c>
      <c r="BX150" s="8">
        <f t="shared" si="271"/>
        <v>26.915351681557155</v>
      </c>
      <c r="BY150" s="7">
        <f t="shared" si="272"/>
        <v>1.3558658573520845E-2</v>
      </c>
      <c r="BZ150" s="9">
        <f t="shared" si="273"/>
        <v>0.20492487206769056</v>
      </c>
      <c r="CA150" s="4">
        <f t="shared" si="313"/>
        <v>949.29102410279313</v>
      </c>
      <c r="CB150" s="6">
        <f t="shared" si="274"/>
        <v>5.3985820482055871E-6</v>
      </c>
      <c r="CC150" s="8">
        <f t="shared" si="275"/>
        <v>26.805846777182119</v>
      </c>
      <c r="CD150" s="7">
        <f t="shared" si="276"/>
        <v>1.351099644875256E-2</v>
      </c>
      <c r="CE150" s="9">
        <f t="shared" si="277"/>
        <v>0.20576201325954951</v>
      </c>
      <c r="CF150" s="4">
        <f t="shared" si="314"/>
        <v>936.95507481055427</v>
      </c>
      <c r="CG150" s="6">
        <f t="shared" si="278"/>
        <v>5.3739101496211087E-6</v>
      </c>
      <c r="CH150" s="8">
        <f t="shared" si="279"/>
        <v>26.663983360321375</v>
      </c>
      <c r="CI150" s="7">
        <f t="shared" si="280"/>
        <v>1.3449250247401472E-2</v>
      </c>
      <c r="CJ150" s="9">
        <f t="shared" si="281"/>
        <v>0.20685675225134559</v>
      </c>
      <c r="CK150" s="4">
        <f t="shared" si="315"/>
        <v>917.43295700333181</v>
      </c>
      <c r="CL150" s="6">
        <f t="shared" si="282"/>
        <v>5.3348659140066646E-6</v>
      </c>
      <c r="CM150" s="8">
        <f t="shared" si="283"/>
        <v>26.439479005538317</v>
      </c>
      <c r="CN150" s="7">
        <f t="shared" si="284"/>
        <v>1.3351534490926797E-2</v>
      </c>
      <c r="CO150" s="9">
        <f t="shared" si="285"/>
        <v>0.20861322565564297</v>
      </c>
      <c r="CP150" s="4">
        <f t="shared" si="316"/>
        <v>881.15303420067391</v>
      </c>
      <c r="CQ150" s="6">
        <f t="shared" si="286"/>
        <v>5.2623060684013488E-6</v>
      </c>
      <c r="CR150" s="8">
        <f t="shared" si="287"/>
        <v>26.022259893307748</v>
      </c>
      <c r="CS150" s="7">
        <f t="shared" si="288"/>
        <v>1.3169939433642948E-2</v>
      </c>
      <c r="CT150" s="9">
        <f t="shared" si="289"/>
        <v>0.21195795532802575</v>
      </c>
      <c r="CU150" s="4">
        <f t="shared" si="317"/>
        <v>812.7545200047058</v>
      </c>
      <c r="CV150" s="6">
        <f t="shared" si="290"/>
        <v>5.1255090400094123E-6</v>
      </c>
      <c r="CW150" s="8">
        <f t="shared" si="291"/>
        <v>25.235676980054116</v>
      </c>
      <c r="CX150" s="7">
        <f t="shared" si="292"/>
        <v>1.282757839359583E-2</v>
      </c>
      <c r="CY150" s="9">
        <f t="shared" si="293"/>
        <v>0.21856457444591099</v>
      </c>
      <c r="CZ150" s="5">
        <f t="shared" si="318"/>
        <v>697.26021571929732</v>
      </c>
      <c r="DA150" s="6">
        <f t="shared" si="294"/>
        <v>4.8945204314385958E-6</v>
      </c>
      <c r="DB150" s="8">
        <f t="shared" si="295"/>
        <v>24.420148683594249</v>
      </c>
      <c r="DC150" s="7">
        <f t="shared" si="296"/>
        <v>1.2249484693762198E-2</v>
      </c>
      <c r="DD150" s="9">
        <f t="shared" si="297"/>
        <v>0.22586369442154394</v>
      </c>
    </row>
    <row r="151" spans="2:108" x14ac:dyDescent="0.25">
      <c r="B151">
        <v>132</v>
      </c>
      <c r="C151">
        <f t="shared" si="298"/>
        <v>0.12904513595757319</v>
      </c>
      <c r="D151" s="4">
        <f t="shared" si="215"/>
        <v>1017.8385326975366</v>
      </c>
      <c r="E151" s="6">
        <f t="shared" si="216"/>
        <v>5.5356770653950743E-6</v>
      </c>
      <c r="F151" s="8">
        <f t="shared" si="217"/>
        <v>27.59414312602167</v>
      </c>
      <c r="G151" s="7">
        <f t="shared" si="213"/>
        <v>1.385410326344004E-2</v>
      </c>
      <c r="H151" s="9">
        <f t="shared" si="218"/>
        <v>0.19988390198638517</v>
      </c>
      <c r="I151" s="4">
        <f t="shared" si="299"/>
        <v>1017.5140014855087</v>
      </c>
      <c r="J151" s="6">
        <f t="shared" si="219"/>
        <v>5.5350280029710183E-6</v>
      </c>
      <c r="K151" s="8">
        <f t="shared" si="220"/>
        <v>27.590411017083348</v>
      </c>
      <c r="L151" s="7">
        <f t="shared" si="221"/>
        <v>1.3852478859100507E-2</v>
      </c>
      <c r="M151" s="9">
        <f t="shared" si="222"/>
        <v>0.19991093994884135</v>
      </c>
      <c r="N151" s="4">
        <f t="shared" si="300"/>
        <v>1016.6082454033798</v>
      </c>
      <c r="O151" s="6">
        <f t="shared" si="223"/>
        <v>5.53321649080676E-6</v>
      </c>
      <c r="P151" s="8">
        <f t="shared" si="224"/>
        <v>27.579994822138865</v>
      </c>
      <c r="Q151" s="7">
        <f t="shared" si="214"/>
        <v>1.385410326344004E-2</v>
      </c>
      <c r="R151" s="9">
        <f t="shared" si="225"/>
        <v>0.19998644073611382</v>
      </c>
      <c r="S151" s="4">
        <f t="shared" si="301"/>
        <v>1015.1068282269962</v>
      </c>
      <c r="T151" s="6">
        <f t="shared" si="226"/>
        <v>5.5302136564539931E-6</v>
      </c>
      <c r="U151" s="8">
        <f t="shared" si="227"/>
        <v>27.562728524610456</v>
      </c>
      <c r="V151" s="7">
        <f t="shared" si="228"/>
        <v>1.3840430025144892E-2</v>
      </c>
      <c r="W151" s="9">
        <f t="shared" si="229"/>
        <v>0.20011171953005882</v>
      </c>
      <c r="X151" s="4">
        <f t="shared" si="302"/>
        <v>1013.007643259637</v>
      </c>
      <c r="Y151" s="6">
        <f t="shared" si="230"/>
        <v>5.5260152865192743E-6</v>
      </c>
      <c r="Z151" s="8">
        <f t="shared" si="231"/>
        <v>27.538587897485826</v>
      </c>
      <c r="AA151" s="7">
        <f t="shared" si="232"/>
        <v>1.3829922791806205E-2</v>
      </c>
      <c r="AB151" s="9">
        <f t="shared" si="233"/>
        <v>0.20028713965045233</v>
      </c>
      <c r="AC151" s="4">
        <f t="shared" si="303"/>
        <v>1010.3092515650225</v>
      </c>
      <c r="AD151" s="6">
        <f t="shared" si="234"/>
        <v>5.520618503130045E-6</v>
      </c>
      <c r="AE151" s="8">
        <f t="shared" si="235"/>
        <v>27.507556392997756</v>
      </c>
      <c r="AF151" s="7">
        <f t="shared" si="236"/>
        <v>1.3816416296849664E-2</v>
      </c>
      <c r="AG151" s="9">
        <f t="shared" si="237"/>
        <v>0.2005130852482426</v>
      </c>
      <c r="AH151" s="4">
        <f t="shared" si="304"/>
        <v>1007.0114002002667</v>
      </c>
      <c r="AI151" s="6">
        <f t="shared" si="238"/>
        <v>5.5140228004005337E-6</v>
      </c>
      <c r="AJ151" s="8">
        <f t="shared" si="239"/>
        <v>27.469631102303069</v>
      </c>
      <c r="AK151" s="7">
        <f t="shared" si="240"/>
        <v>1.3799909274198212E-2</v>
      </c>
      <c r="AL151" s="9">
        <f t="shared" si="241"/>
        <v>0.20078991885470085</v>
      </c>
      <c r="AM151" s="4">
        <f t="shared" si="305"/>
        <v>1003.1140279677674</v>
      </c>
      <c r="AN151" s="6">
        <f t="shared" si="242"/>
        <v>5.5062280559355349E-6</v>
      </c>
      <c r="AO151" s="8">
        <f t="shared" si="243"/>
        <v>27.424811321629324</v>
      </c>
      <c r="AP151" s="7">
        <f t="shared" si="244"/>
        <v>1.3780401417534158E-2</v>
      </c>
      <c r="AQ151" s="9">
        <f t="shared" si="245"/>
        <v>0.20111806551062586</v>
      </c>
      <c r="AR151" s="4">
        <f t="shared" si="306"/>
        <v>998.61712310511359</v>
      </c>
      <c r="AS151" s="6">
        <f t="shared" si="246"/>
        <v>5.4972342462102281E-6</v>
      </c>
      <c r="AT151" s="8">
        <f t="shared" si="247"/>
        <v>27.373096915708807</v>
      </c>
      <c r="AU151" s="7">
        <f t="shared" si="248"/>
        <v>1.3757892667982085E-2</v>
      </c>
      <c r="AV151" s="9">
        <f t="shared" si="249"/>
        <v>0.20149802621838914</v>
      </c>
      <c r="AW151" s="4">
        <f t="shared" si="307"/>
        <v>993.52066187267644</v>
      </c>
      <c r="AX151" s="6">
        <f t="shared" si="250"/>
        <v>5.4870413237453536E-6</v>
      </c>
      <c r="AY151" s="8">
        <f t="shared" si="251"/>
        <v>27.314487611535778</v>
      </c>
      <c r="AZ151" s="7">
        <f t="shared" si="252"/>
        <v>1.3732382906715957E-2</v>
      </c>
      <c r="BA151" s="9">
        <f t="shared" si="253"/>
        <v>0.20193038501921506</v>
      </c>
      <c r="BB151" s="4">
        <f t="shared" si="308"/>
        <v>987.82447951697759</v>
      </c>
      <c r="BC151" s="6">
        <f t="shared" si="254"/>
        <v>5.4756489590339558E-6</v>
      </c>
      <c r="BD151" s="8">
        <f t="shared" si="255"/>
        <v>27.248981514445241</v>
      </c>
      <c r="BE151" s="7">
        <f t="shared" si="256"/>
        <v>1.3703871309080842E-2</v>
      </c>
      <c r="BF151" s="9">
        <f t="shared" si="257"/>
        <v>0.20241582229691979</v>
      </c>
      <c r="BG151" s="4">
        <f t="shared" si="309"/>
        <v>981.52755870610804</v>
      </c>
      <c r="BH151" s="6">
        <f t="shared" si="258"/>
        <v>5.4630551174122162E-6</v>
      </c>
      <c r="BI151" s="8">
        <f t="shared" si="259"/>
        <v>27.176566925120241</v>
      </c>
      <c r="BJ151" s="7">
        <f t="shared" si="260"/>
        <v>1.3672352782936735E-2</v>
      </c>
      <c r="BK151" s="9">
        <f t="shared" si="261"/>
        <v>0.20295517881994568</v>
      </c>
      <c r="BL151" s="4">
        <f t="shared" si="310"/>
        <v>974.62423436584004</v>
      </c>
      <c r="BM151" s="6">
        <f t="shared" si="262"/>
        <v>5.4492484687316809E-6</v>
      </c>
      <c r="BN151" s="8">
        <f t="shared" si="263"/>
        <v>27.097178695207159</v>
      </c>
      <c r="BO151" s="7">
        <f t="shared" si="264"/>
        <v>1.3637798972394225E-2</v>
      </c>
      <c r="BP151" s="9">
        <f t="shared" si="265"/>
        <v>0.20354978878209123</v>
      </c>
      <c r="BQ151" s="4">
        <f t="shared" si="311"/>
        <v>967.08618237414339</v>
      </c>
      <c r="BR151" s="6">
        <f t="shared" si="266"/>
        <v>5.4341723647482872E-6</v>
      </c>
      <c r="BS151" s="8">
        <f t="shared" si="267"/>
        <v>27.010491097302648</v>
      </c>
      <c r="BT151" s="7">
        <f t="shared" si="268"/>
        <v>1.3600068104258515E-2</v>
      </c>
      <c r="BU151" s="9">
        <f t="shared" si="269"/>
        <v>0.20420306243712866</v>
      </c>
      <c r="BV151" s="4">
        <f t="shared" si="312"/>
        <v>958.78780141524294</v>
      </c>
      <c r="BW151" s="6">
        <f t="shared" si="270"/>
        <v>5.417575602830486E-6</v>
      </c>
      <c r="BX151" s="8">
        <f t="shared" si="271"/>
        <v>26.915059716275294</v>
      </c>
      <c r="BY151" s="7">
        <f t="shared" si="272"/>
        <v>1.3558531495324927E-2</v>
      </c>
      <c r="BZ151" s="9">
        <f t="shared" si="273"/>
        <v>0.20492709502200179</v>
      </c>
      <c r="CA151" s="4">
        <f t="shared" si="313"/>
        <v>949.24299452997923</v>
      </c>
      <c r="CB151" s="6">
        <f t="shared" si="274"/>
        <v>5.3984859890599589E-6</v>
      </c>
      <c r="CC151" s="8">
        <f t="shared" si="275"/>
        <v>26.805294437094759</v>
      </c>
      <c r="CD151" s="7">
        <f t="shared" si="276"/>
        <v>1.3510756042148776E-2</v>
      </c>
      <c r="CE151" s="9">
        <f t="shared" si="277"/>
        <v>0.20576625311629296</v>
      </c>
      <c r="CF151" s="4">
        <f t="shared" si="314"/>
        <v>936.84453341047822</v>
      </c>
      <c r="CG151" s="6">
        <f t="shared" si="278"/>
        <v>5.3736890668209569E-6</v>
      </c>
      <c r="CH151" s="8">
        <f t="shared" si="279"/>
        <v>26.662712134220499</v>
      </c>
      <c r="CI151" s="7">
        <f t="shared" si="280"/>
        <v>1.3448696944904437E-2</v>
      </c>
      <c r="CJ151" s="9">
        <f t="shared" si="281"/>
        <v>0.20686661477775628</v>
      </c>
      <c r="CK151" s="4">
        <f t="shared" si="315"/>
        <v>917.18551387033733</v>
      </c>
      <c r="CL151" s="6">
        <f t="shared" si="282"/>
        <v>5.3343710277406754E-6</v>
      </c>
      <c r="CM151" s="8">
        <f t="shared" si="283"/>
        <v>26.436633409508879</v>
      </c>
      <c r="CN151" s="7">
        <f t="shared" si="284"/>
        <v>1.3350295942262978E-2</v>
      </c>
      <c r="CO151" s="9">
        <f t="shared" si="285"/>
        <v>0.20863568044243139</v>
      </c>
      <c r="CP151" s="4">
        <f t="shared" si="316"/>
        <v>880.68542238608279</v>
      </c>
      <c r="CQ151" s="6">
        <f t="shared" si="286"/>
        <v>5.2613708447721661E-6</v>
      </c>
      <c r="CR151" s="8">
        <f t="shared" si="287"/>
        <v>26.016882357439954</v>
      </c>
      <c r="CS151" s="7">
        <f t="shared" si="288"/>
        <v>1.3167598855502271E-2</v>
      </c>
      <c r="CT151" s="9">
        <f t="shared" si="289"/>
        <v>0.21200176578508134</v>
      </c>
      <c r="CU151" s="4">
        <f t="shared" si="317"/>
        <v>812.07065977338902</v>
      </c>
      <c r="CV151" s="6">
        <f t="shared" si="290"/>
        <v>5.1241413195467778E-6</v>
      </c>
      <c r="CW151" s="8">
        <f t="shared" si="291"/>
        <v>25.227812587393974</v>
      </c>
      <c r="CX151" s="7">
        <f t="shared" si="292"/>
        <v>1.2824155408421477E-2</v>
      </c>
      <c r="CY151" s="9">
        <f t="shared" si="293"/>
        <v>0.21863270867788553</v>
      </c>
      <c r="CZ151" s="5">
        <f t="shared" si="318"/>
        <v>696.54695374363962</v>
      </c>
      <c r="DA151" s="6">
        <f t="shared" si="294"/>
        <v>4.8930939074872792E-6</v>
      </c>
      <c r="DB151" s="8">
        <f t="shared" si="295"/>
        <v>24.563371688306262</v>
      </c>
      <c r="DC151" s="7">
        <f t="shared" si="296"/>
        <v>1.2245914541476246E-2</v>
      </c>
      <c r="DD151" s="9">
        <f t="shared" si="297"/>
        <v>0.22454673853369206</v>
      </c>
    </row>
    <row r="152" spans="2:108" x14ac:dyDescent="0.25">
      <c r="B152">
        <v>133</v>
      </c>
      <c r="C152">
        <f t="shared" si="298"/>
        <v>0.13002275062391844</v>
      </c>
      <c r="D152" s="4">
        <f t="shared" si="215"/>
        <v>1017.8219637732734</v>
      </c>
      <c r="E152" s="6">
        <f t="shared" si="216"/>
        <v>5.5356439275465478E-6</v>
      </c>
      <c r="F152" s="8">
        <f t="shared" si="217"/>
        <v>27.593952583392642</v>
      </c>
      <c r="G152" s="7">
        <f t="shared" si="213"/>
        <v>1.385402032956041E-2</v>
      </c>
      <c r="H152" s="9">
        <f t="shared" si="218"/>
        <v>0.19988528223099022</v>
      </c>
      <c r="I152" s="4">
        <f t="shared" si="299"/>
        <v>1017.4974269717501</v>
      </c>
      <c r="J152" s="6">
        <f t="shared" si="219"/>
        <v>5.5349948539435009E-6</v>
      </c>
      <c r="K152" s="8">
        <f t="shared" si="220"/>
        <v>27.590220410175124</v>
      </c>
      <c r="L152" s="7">
        <f t="shared" si="221"/>
        <v>1.3852395897243288E-2</v>
      </c>
      <c r="M152" s="9">
        <f t="shared" si="222"/>
        <v>0.19991232103263182</v>
      </c>
      <c r="N152" s="4">
        <f t="shared" si="300"/>
        <v>1016.591657790839</v>
      </c>
      <c r="O152" s="6">
        <f t="shared" si="223"/>
        <v>5.5331833155816791E-6</v>
      </c>
      <c r="P152" s="8">
        <f t="shared" si="224"/>
        <v>27.579804064594647</v>
      </c>
      <c r="Q152" s="7">
        <f t="shared" si="214"/>
        <v>1.385402032956041E-2</v>
      </c>
      <c r="R152" s="9">
        <f t="shared" si="225"/>
        <v>0.19998782395559653</v>
      </c>
      <c r="S152" s="4">
        <f t="shared" si="301"/>
        <v>1015.090232937318</v>
      </c>
      <c r="T152" s="6">
        <f t="shared" si="226"/>
        <v>5.5301804658746367E-6</v>
      </c>
      <c r="U152" s="8">
        <f t="shared" si="227"/>
        <v>27.562537678779158</v>
      </c>
      <c r="V152" s="7">
        <f t="shared" si="228"/>
        <v>1.3840346959296155E-2</v>
      </c>
      <c r="W152" s="9">
        <f t="shared" si="229"/>
        <v>0.20011310512408184</v>
      </c>
      <c r="X152" s="4">
        <f t="shared" si="302"/>
        <v>1012.9910500149358</v>
      </c>
      <c r="Y152" s="6">
        <f t="shared" si="230"/>
        <v>5.5259821000298723E-6</v>
      </c>
      <c r="Z152" s="8">
        <f t="shared" si="231"/>
        <v>27.538397075171758</v>
      </c>
      <c r="AA152" s="7">
        <f t="shared" si="232"/>
        <v>1.382983973619337E-2</v>
      </c>
      <c r="AB152" s="9">
        <f t="shared" si="233"/>
        <v>0.20028852750375992</v>
      </c>
      <c r="AC152" s="4">
        <f t="shared" si="303"/>
        <v>1010.2926684258031</v>
      </c>
      <c r="AD152" s="6">
        <f t="shared" si="234"/>
        <v>5.5205853368516064E-6</v>
      </c>
      <c r="AE152" s="8">
        <f t="shared" si="235"/>
        <v>27.507365686896733</v>
      </c>
      <c r="AF152" s="7">
        <f t="shared" si="236"/>
        <v>1.3816333291818675E-2</v>
      </c>
      <c r="AG152" s="9">
        <f t="shared" si="237"/>
        <v>0.20051447538749212</v>
      </c>
      <c r="AH152" s="4">
        <f t="shared" si="304"/>
        <v>1006.9948327195318</v>
      </c>
      <c r="AI152" s="6">
        <f t="shared" si="238"/>
        <v>5.5139896654390639E-6</v>
      </c>
      <c r="AJ152" s="8">
        <f t="shared" si="239"/>
        <v>27.469440576274614</v>
      </c>
      <c r="AK152" s="7">
        <f t="shared" si="240"/>
        <v>1.3799826347543998E-2</v>
      </c>
      <c r="AL152" s="9">
        <f t="shared" si="241"/>
        <v>0.20079131151887569</v>
      </c>
      <c r="AM152" s="4">
        <f t="shared" si="305"/>
        <v>1003.0974802668511</v>
      </c>
      <c r="AN152" s="6">
        <f t="shared" si="242"/>
        <v>5.506194960533703E-6</v>
      </c>
      <c r="AO152" s="8">
        <f t="shared" si="243"/>
        <v>27.424621023068788</v>
      </c>
      <c r="AP152" s="7">
        <f t="shared" si="244"/>
        <v>1.3780318589885595E-2</v>
      </c>
      <c r="AQ152" s="9">
        <f t="shared" si="245"/>
        <v>0.20111946106239417</v>
      </c>
      <c r="AR152" s="4">
        <f t="shared" si="306"/>
        <v>998.60059854975418</v>
      </c>
      <c r="AS152" s="6">
        <f t="shared" si="246"/>
        <v>5.4972011970995091E-6</v>
      </c>
      <c r="AT152" s="8">
        <f t="shared" si="247"/>
        <v>27.372906883322173</v>
      </c>
      <c r="AU152" s="7">
        <f t="shared" si="248"/>
        <v>1.3757809956185991E-2</v>
      </c>
      <c r="AV152" s="9">
        <f t="shared" si="249"/>
        <v>0.20149942508884844</v>
      </c>
      <c r="AW152" s="4">
        <f t="shared" si="307"/>
        <v>993.50416196013532</v>
      </c>
      <c r="AX152" s="6">
        <f t="shared" si="250"/>
        <v>5.4870083239202716E-6</v>
      </c>
      <c r="AY152" s="8">
        <f t="shared" si="251"/>
        <v>27.314297862541554</v>
      </c>
      <c r="AZ152" s="7">
        <f t="shared" si="252"/>
        <v>1.3732300318266711E-2</v>
      </c>
      <c r="BA152" s="9">
        <f t="shared" si="253"/>
        <v>0.20193178780421997</v>
      </c>
      <c r="BB152" s="4">
        <f t="shared" si="308"/>
        <v>987.80799535137692</v>
      </c>
      <c r="BC152" s="6">
        <f t="shared" si="254"/>
        <v>5.4756159907027539E-6</v>
      </c>
      <c r="BD152" s="8">
        <f t="shared" si="255"/>
        <v>27.248791946540834</v>
      </c>
      <c r="BE152" s="7">
        <f t="shared" si="256"/>
        <v>1.3703788799451125E-2</v>
      </c>
      <c r="BF152" s="9">
        <f t="shared" si="257"/>
        <v>0.20241723048937568</v>
      </c>
      <c r="BG152" s="4">
        <f t="shared" si="309"/>
        <v>981.51102625422971</v>
      </c>
      <c r="BH152" s="6">
        <f t="shared" si="258"/>
        <v>5.4630220525084595E-6</v>
      </c>
      <c r="BI152" s="8">
        <f t="shared" si="259"/>
        <v>27.176376801923642</v>
      </c>
      <c r="BJ152" s="7">
        <f t="shared" si="260"/>
        <v>1.3672270031615509E-2</v>
      </c>
      <c r="BK152" s="9">
        <f t="shared" si="261"/>
        <v>0.20295659867394775</v>
      </c>
      <c r="BL152" s="4">
        <f t="shared" si="310"/>
        <v>974.60732926479159</v>
      </c>
      <c r="BM152" s="6">
        <f t="shared" si="262"/>
        <v>5.4492146585295835E-6</v>
      </c>
      <c r="BN152" s="8">
        <f t="shared" si="263"/>
        <v>27.096984286545101</v>
      </c>
      <c r="BO152" s="7">
        <f t="shared" si="264"/>
        <v>1.3637714355819654E-2</v>
      </c>
      <c r="BP152" s="9">
        <f t="shared" si="265"/>
        <v>0.20355124916017911</v>
      </c>
      <c r="BQ152" s="4">
        <f t="shared" si="311"/>
        <v>967.06750658068006</v>
      </c>
      <c r="BR152" s="6">
        <f t="shared" si="266"/>
        <v>5.4341350131613607E-6</v>
      </c>
      <c r="BS152" s="8">
        <f t="shared" si="267"/>
        <v>27.010276325677822</v>
      </c>
      <c r="BT152" s="7">
        <f t="shared" si="268"/>
        <v>1.3599974624682988E-2</v>
      </c>
      <c r="BU152" s="9">
        <f t="shared" si="269"/>
        <v>0.20420468615333892</v>
      </c>
      <c r="BV152" s="4">
        <f t="shared" si="312"/>
        <v>958.76218337920488</v>
      </c>
      <c r="BW152" s="6">
        <f t="shared" si="270"/>
        <v>5.4175243667584103E-6</v>
      </c>
      <c r="BX152" s="8">
        <f t="shared" si="271"/>
        <v>26.914765108860855</v>
      </c>
      <c r="BY152" s="7">
        <f t="shared" si="272"/>
        <v>1.3558403267138031E-2</v>
      </c>
      <c r="BZ152" s="9">
        <f t="shared" si="273"/>
        <v>0.20492933814176781</v>
      </c>
      <c r="CA152" s="4">
        <f t="shared" si="313"/>
        <v>949.19438634586618</v>
      </c>
      <c r="CB152" s="6">
        <f t="shared" si="274"/>
        <v>5.3983887726917322E-6</v>
      </c>
      <c r="CC152" s="8">
        <f t="shared" si="275"/>
        <v>26.80473544297746</v>
      </c>
      <c r="CD152" s="7">
        <f t="shared" si="276"/>
        <v>1.3510512739371466E-2</v>
      </c>
      <c r="CE152" s="9">
        <f t="shared" si="277"/>
        <v>0.20577054422840915</v>
      </c>
      <c r="CF152" s="4">
        <f t="shared" si="314"/>
        <v>936.73290476216482</v>
      </c>
      <c r="CG152" s="6">
        <f t="shared" si="278"/>
        <v>5.3734658095243306E-6</v>
      </c>
      <c r="CH152" s="8">
        <f t="shared" si="279"/>
        <v>26.661428404764894</v>
      </c>
      <c r="CI152" s="7">
        <f t="shared" si="280"/>
        <v>1.3448138200309106E-2</v>
      </c>
      <c r="CJ152" s="9">
        <f t="shared" si="281"/>
        <v>0.20687657526309636</v>
      </c>
      <c r="CK152" s="4">
        <f t="shared" si="315"/>
        <v>916.93681999897206</v>
      </c>
      <c r="CL152" s="6">
        <f t="shared" si="282"/>
        <v>5.3338736399979451E-6</v>
      </c>
      <c r="CM152" s="8">
        <f t="shared" si="283"/>
        <v>26.433773429988179</v>
      </c>
      <c r="CN152" s="7">
        <f t="shared" si="284"/>
        <v>1.3349051133169467E-2</v>
      </c>
      <c r="CO152" s="9">
        <f t="shared" si="285"/>
        <v>0.20865825360153534</v>
      </c>
      <c r="CP152" s="4">
        <f t="shared" si="316"/>
        <v>880.21774467789226</v>
      </c>
      <c r="CQ152" s="6">
        <f t="shared" si="286"/>
        <v>5.2604354893557843E-6</v>
      </c>
      <c r="CR152" s="8">
        <f t="shared" si="287"/>
        <v>26.011504063795762</v>
      </c>
      <c r="CS152" s="7">
        <f t="shared" si="288"/>
        <v>1.3165257947538622E-2</v>
      </c>
      <c r="CT152" s="9">
        <f t="shared" si="289"/>
        <v>0.2120456005339941</v>
      </c>
      <c r="CU152" s="4">
        <f t="shared" si="317"/>
        <v>811.3892958954217</v>
      </c>
      <c r="CV152" s="6">
        <f t="shared" si="290"/>
        <v>5.1227785917908444E-6</v>
      </c>
      <c r="CW152" s="8">
        <f t="shared" si="291"/>
        <v>25.219976902797349</v>
      </c>
      <c r="CX152" s="7">
        <f t="shared" si="292"/>
        <v>1.2820744918461961E-2</v>
      </c>
      <c r="CY152" s="9">
        <f t="shared" si="293"/>
        <v>0.21870063645412055</v>
      </c>
      <c r="CZ152" s="5">
        <f t="shared" si="318"/>
        <v>695.83739355189095</v>
      </c>
      <c r="DA152" s="6">
        <f t="shared" si="294"/>
        <v>4.8916747871037821E-6</v>
      </c>
      <c r="DB152" s="8">
        <f t="shared" si="295"/>
        <v>24.705851374809356</v>
      </c>
      <c r="DC152" s="7">
        <f t="shared" si="296"/>
        <v>1.2242362918051692E-2</v>
      </c>
      <c r="DD152" s="9">
        <f t="shared" si="297"/>
        <v>0.22325176802544258</v>
      </c>
    </row>
    <row r="153" spans="2:108" x14ac:dyDescent="0.25">
      <c r="B153">
        <v>134</v>
      </c>
      <c r="C153">
        <f t="shared" si="298"/>
        <v>0.13100036529026371</v>
      </c>
      <c r="D153" s="4">
        <f t="shared" si="215"/>
        <v>1017.8053945636387</v>
      </c>
      <c r="E153" s="6">
        <f t="shared" si="216"/>
        <v>5.5356107891272778E-6</v>
      </c>
      <c r="F153" s="8">
        <f t="shared" si="217"/>
        <v>27.593762037481845</v>
      </c>
      <c r="G153" s="7">
        <f t="shared" si="213"/>
        <v>1.3853937394252384E-2</v>
      </c>
      <c r="H153" s="9">
        <f t="shared" si="218"/>
        <v>0.19988666251843004</v>
      </c>
      <c r="I153" s="4">
        <f t="shared" si="299"/>
        <v>1017.4808523237264</v>
      </c>
      <c r="J153" s="6">
        <f t="shared" si="219"/>
        <v>5.5349617046474537E-6</v>
      </c>
      <c r="K153" s="8">
        <f t="shared" si="220"/>
        <v>27.590029801722853</v>
      </c>
      <c r="L153" s="7">
        <f t="shared" si="221"/>
        <v>1.3852312934714022E-2</v>
      </c>
      <c r="M153" s="9">
        <f t="shared" si="222"/>
        <v>0.1999137021466928</v>
      </c>
      <c r="N153" s="4">
        <f t="shared" si="300"/>
        <v>1016.5750702807958</v>
      </c>
      <c r="O153" s="6">
        <f t="shared" si="223"/>
        <v>5.5331501405615919E-6</v>
      </c>
      <c r="P153" s="8">
        <f t="shared" si="224"/>
        <v>27.579613308229149</v>
      </c>
      <c r="Q153" s="7">
        <f t="shared" si="214"/>
        <v>1.3853937394252384E-2</v>
      </c>
      <c r="R153" s="9">
        <f t="shared" si="225"/>
        <v>0.19998920718566635</v>
      </c>
      <c r="S153" s="4">
        <f t="shared" si="301"/>
        <v>1015.0736378686703</v>
      </c>
      <c r="T153" s="6">
        <f t="shared" si="226"/>
        <v>5.5301472757373408E-6</v>
      </c>
      <c r="U153" s="8">
        <f t="shared" si="227"/>
        <v>27.562346835489706</v>
      </c>
      <c r="V153" s="7">
        <f t="shared" si="228"/>
        <v>1.3840263894553758E-2</v>
      </c>
      <c r="W153" s="9">
        <f t="shared" si="229"/>
        <v>0.20011449071883805</v>
      </c>
      <c r="X153" s="4">
        <f t="shared" si="302"/>
        <v>1012.9744570024014</v>
      </c>
      <c r="Y153" s="6">
        <f t="shared" si="230"/>
        <v>5.5259489140048036E-6</v>
      </c>
      <c r="Z153" s="8">
        <f t="shared" si="231"/>
        <v>27.538206255527616</v>
      </c>
      <c r="AA153" s="7">
        <f t="shared" si="232"/>
        <v>1.3829756681742619E-2</v>
      </c>
      <c r="AB153" s="9">
        <f t="shared" si="233"/>
        <v>0.20028991535688256</v>
      </c>
      <c r="AC153" s="4">
        <f t="shared" si="303"/>
        <v>1010.2760854986005</v>
      </c>
      <c r="AD153" s="6">
        <f t="shared" si="234"/>
        <v>5.5205521709972018E-6</v>
      </c>
      <c r="AE153" s="8">
        <f t="shared" si="235"/>
        <v>27.507174983233906</v>
      </c>
      <c r="AF153" s="7">
        <f t="shared" si="236"/>
        <v>1.3816250287848915E-2</v>
      </c>
      <c r="AG153" s="9">
        <f t="shared" si="237"/>
        <v>0.20051586552824374</v>
      </c>
      <c r="AH153" s="4">
        <f t="shared" si="304"/>
        <v>1006.9782654360723</v>
      </c>
      <c r="AI153" s="6">
        <f t="shared" si="238"/>
        <v>5.5139565308721455E-6</v>
      </c>
      <c r="AJ153" s="8">
        <f t="shared" si="239"/>
        <v>27.46925005251483</v>
      </c>
      <c r="AK153" s="7">
        <f t="shared" si="240"/>
        <v>1.3799743421877227E-2</v>
      </c>
      <c r="AL153" s="9">
        <f t="shared" si="241"/>
        <v>0.20079270418578613</v>
      </c>
      <c r="AM153" s="4">
        <f t="shared" si="305"/>
        <v>1003.0809327541307</v>
      </c>
      <c r="AN153" s="6">
        <f t="shared" si="242"/>
        <v>5.5061618655082621E-6</v>
      </c>
      <c r="AO153" s="8">
        <f t="shared" si="243"/>
        <v>27.424430726672504</v>
      </c>
      <c r="AP153" s="7">
        <f t="shared" si="244"/>
        <v>1.3780235763179025E-2</v>
      </c>
      <c r="AQ153" s="9">
        <f t="shared" si="245"/>
        <v>0.20112085661765819</v>
      </c>
      <c r="AR153" s="4">
        <f t="shared" si="306"/>
        <v>998.58407415550676</v>
      </c>
      <c r="AS153" s="6">
        <f t="shared" si="246"/>
        <v>5.4971681483110141E-6</v>
      </c>
      <c r="AT153" s="8">
        <f t="shared" si="247"/>
        <v>27.372716852788329</v>
      </c>
      <c r="AU153" s="7">
        <f t="shared" si="248"/>
        <v>1.3757727245196328E-2</v>
      </c>
      <c r="AV153" s="9">
        <f t="shared" si="249"/>
        <v>0.2015008239650917</v>
      </c>
      <c r="AW153" s="4">
        <f t="shared" si="307"/>
        <v>993.48766205527409</v>
      </c>
      <c r="AX153" s="6">
        <f t="shared" si="250"/>
        <v>5.4869753241105488E-6</v>
      </c>
      <c r="AY153" s="8">
        <f t="shared" si="251"/>
        <v>27.314108113635651</v>
      </c>
      <c r="AZ153" s="7">
        <f t="shared" si="252"/>
        <v>1.3732217729855903E-2</v>
      </c>
      <c r="BA153" s="9">
        <f t="shared" si="253"/>
        <v>0.20193319060806197</v>
      </c>
      <c r="BB153" s="4">
        <f t="shared" si="308"/>
        <v>987.79151038325483</v>
      </c>
      <c r="BC153" s="6">
        <f t="shared" si="254"/>
        <v>5.4755830207665101E-6</v>
      </c>
      <c r="BD153" s="8">
        <f t="shared" si="255"/>
        <v>27.248602369407429</v>
      </c>
      <c r="BE153" s="7">
        <f t="shared" si="256"/>
        <v>1.3703706285804482E-2</v>
      </c>
      <c r="BF153" s="9">
        <f t="shared" si="257"/>
        <v>0.20241863876998353</v>
      </c>
      <c r="BG153" s="4">
        <f t="shared" si="309"/>
        <v>981.49448919472434</v>
      </c>
      <c r="BH153" s="6">
        <f t="shared" si="258"/>
        <v>5.4629889783894493E-6</v>
      </c>
      <c r="BI153" s="8">
        <f t="shared" si="259"/>
        <v>27.176186625739327</v>
      </c>
      <c r="BJ153" s="7">
        <f t="shared" si="260"/>
        <v>1.3672187257231327E-2</v>
      </c>
      <c r="BK153" s="9">
        <f t="shared" si="261"/>
        <v>0.20295801894354071</v>
      </c>
      <c r="BL153" s="4">
        <f t="shared" si="310"/>
        <v>974.59040393077362</v>
      </c>
      <c r="BM153" s="6">
        <f t="shared" si="262"/>
        <v>5.4491808078615475E-6</v>
      </c>
      <c r="BN153" s="8">
        <f t="shared" si="263"/>
        <v>27.096789645203895</v>
      </c>
      <c r="BO153" s="7">
        <f t="shared" si="264"/>
        <v>1.3637629637971235E-2</v>
      </c>
      <c r="BP153" s="9">
        <f t="shared" si="265"/>
        <v>0.20355271130712196</v>
      </c>
      <c r="BQ153" s="4">
        <f t="shared" si="311"/>
        <v>967.04875580540011</v>
      </c>
      <c r="BR153" s="6">
        <f t="shared" si="266"/>
        <v>5.4340975116108016E-6</v>
      </c>
      <c r="BS153" s="8">
        <f t="shared" si="267"/>
        <v>27.010060691762099</v>
      </c>
      <c r="BT153" s="7">
        <f t="shared" si="268"/>
        <v>1.3599880769794445E-2</v>
      </c>
      <c r="BU153" s="9">
        <f t="shared" si="269"/>
        <v>0.20420631641461773</v>
      </c>
      <c r="BV153" s="4">
        <f t="shared" si="312"/>
        <v>958.73633273189591</v>
      </c>
      <c r="BW153" s="6">
        <f t="shared" si="270"/>
        <v>5.4174726654637917E-6</v>
      </c>
      <c r="BX153" s="8">
        <f t="shared" si="271"/>
        <v>26.914467826416804</v>
      </c>
      <c r="BY153" s="7">
        <f t="shared" si="272"/>
        <v>1.3558273874641676E-2</v>
      </c>
      <c r="BZ153" s="9">
        <f t="shared" si="273"/>
        <v>0.20493160167879532</v>
      </c>
      <c r="CA153" s="4">
        <f t="shared" si="313"/>
        <v>949.14519701180052</v>
      </c>
      <c r="CB153" s="6">
        <f t="shared" si="274"/>
        <v>5.398290394023601E-6</v>
      </c>
      <c r="CC153" s="8">
        <f t="shared" si="275"/>
        <v>26.804169765635706</v>
      </c>
      <c r="CD153" s="7">
        <f t="shared" si="276"/>
        <v>1.3510266527713687E-2</v>
      </c>
      <c r="CE153" s="9">
        <f t="shared" si="277"/>
        <v>0.20577488682642611</v>
      </c>
      <c r="CF153" s="4">
        <f t="shared" si="314"/>
        <v>936.62019330836983</v>
      </c>
      <c r="CG153" s="6">
        <f t="shared" si="278"/>
        <v>5.3732403866167402E-6</v>
      </c>
      <c r="CH153" s="8">
        <f t="shared" si="279"/>
        <v>26.660132223046254</v>
      </c>
      <c r="CI153" s="7">
        <f t="shared" si="280"/>
        <v>1.3447574035853194E-2</v>
      </c>
      <c r="CJ153" s="9">
        <f t="shared" si="281"/>
        <v>0.20688663333905141</v>
      </c>
      <c r="CK153" s="4">
        <f t="shared" si="315"/>
        <v>916.68689413055506</v>
      </c>
      <c r="CL153" s="6">
        <f t="shared" si="282"/>
        <v>5.3333737882611104E-6</v>
      </c>
      <c r="CM153" s="8">
        <f t="shared" si="283"/>
        <v>26.430899282501382</v>
      </c>
      <c r="CN153" s="7">
        <f t="shared" si="284"/>
        <v>1.334780015745381E-2</v>
      </c>
      <c r="CO153" s="9">
        <f t="shared" si="285"/>
        <v>0.20868094350658845</v>
      </c>
      <c r="CP153" s="4">
        <f t="shared" si="316"/>
        <v>879.75002108722504</v>
      </c>
      <c r="CQ153" s="6">
        <f t="shared" si="286"/>
        <v>5.25950004217445E-6</v>
      </c>
      <c r="CR153" s="8">
        <f t="shared" si="287"/>
        <v>26.006125242503089</v>
      </c>
      <c r="CS153" s="7">
        <f t="shared" si="288"/>
        <v>1.316291680991542E-2</v>
      </c>
      <c r="CT153" s="9">
        <f t="shared" si="289"/>
        <v>0.21208945771688983</v>
      </c>
      <c r="CU153" s="4">
        <f t="shared" si="317"/>
        <v>810.71041098356613</v>
      </c>
      <c r="CV153" s="6">
        <f t="shared" si="290"/>
        <v>5.1214208219671327E-6</v>
      </c>
      <c r="CW153" s="8">
        <f t="shared" si="291"/>
        <v>25.212169726311011</v>
      </c>
      <c r="CX153" s="7">
        <f t="shared" si="292"/>
        <v>1.2817346836687416E-2</v>
      </c>
      <c r="CY153" s="9">
        <f t="shared" si="293"/>
        <v>0.21876835908509626</v>
      </c>
      <c r="CZ153" s="5">
        <f t="shared" si="318"/>
        <v>695.13148731204615</v>
      </c>
      <c r="DA153" s="6">
        <f t="shared" si="294"/>
        <v>4.8902629746240923E-6</v>
      </c>
      <c r="DB153" s="8">
        <f t="shared" si="295"/>
        <v>24.847597347770119</v>
      </c>
      <c r="DC153" s="7">
        <f t="shared" si="296"/>
        <v>1.2238829584070831E-2</v>
      </c>
      <c r="DD153" s="9">
        <f t="shared" si="297"/>
        <v>0.22197820267298338</v>
      </c>
    </row>
    <row r="154" spans="2:108" x14ac:dyDescent="0.25">
      <c r="B154">
        <v>135</v>
      </c>
      <c r="C154">
        <f t="shared" si="298"/>
        <v>0.13197797995660895</v>
      </c>
      <c r="D154" s="4">
        <f t="shared" si="215"/>
        <v>1017.7888250763474</v>
      </c>
      <c r="E154" s="6">
        <f t="shared" si="216"/>
        <v>5.5355776501526955E-6</v>
      </c>
      <c r="F154" s="8">
        <f t="shared" si="217"/>
        <v>27.593571488377997</v>
      </c>
      <c r="G154" s="7">
        <f t="shared" si="213"/>
        <v>1.3853854457554582E-2</v>
      </c>
      <c r="H154" s="9">
        <f t="shared" si="218"/>
        <v>0.19988804284806336</v>
      </c>
      <c r="I154" s="4">
        <f t="shared" si="299"/>
        <v>1017.4642775453153</v>
      </c>
      <c r="J154" s="6">
        <f t="shared" si="219"/>
        <v>5.5349285550906313E-6</v>
      </c>
      <c r="K154" s="8">
        <f t="shared" si="220"/>
        <v>27.589839191771127</v>
      </c>
      <c r="L154" s="7">
        <f t="shared" si="221"/>
        <v>1.3852229971532114E-2</v>
      </c>
      <c r="M154" s="9">
        <f t="shared" si="222"/>
        <v>0.19991508329070204</v>
      </c>
      <c r="N154" s="4">
        <f t="shared" si="300"/>
        <v>1016.5584828728435</v>
      </c>
      <c r="O154" s="6">
        <f t="shared" si="223"/>
        <v>5.5331169657456872E-6</v>
      </c>
      <c r="P154" s="8">
        <f t="shared" si="224"/>
        <v>27.579422553037698</v>
      </c>
      <c r="Q154" s="7">
        <f t="shared" si="214"/>
        <v>1.3853854457554582E-2</v>
      </c>
      <c r="R154" s="9">
        <f t="shared" si="225"/>
        <v>0.19999059042635717</v>
      </c>
      <c r="S154" s="4">
        <f t="shared" si="301"/>
        <v>1015.0570430198649</v>
      </c>
      <c r="T154" s="6">
        <f t="shared" si="226"/>
        <v>5.5301140860397304E-6</v>
      </c>
      <c r="U154" s="8">
        <f t="shared" si="227"/>
        <v>27.562155994728442</v>
      </c>
      <c r="V154" s="7">
        <f t="shared" si="228"/>
        <v>1.3840180830911758E-2</v>
      </c>
      <c r="W154" s="9">
        <f t="shared" si="229"/>
        <v>0.20011587631442629</v>
      </c>
      <c r="X154" s="4">
        <f t="shared" si="302"/>
        <v>1012.9578642215823</v>
      </c>
      <c r="Y154" s="6">
        <f t="shared" si="230"/>
        <v>5.5259157284431644E-6</v>
      </c>
      <c r="Z154" s="8">
        <f t="shared" si="231"/>
        <v>27.538015438548197</v>
      </c>
      <c r="AA154" s="7">
        <f t="shared" si="232"/>
        <v>1.3829673628451689E-2</v>
      </c>
      <c r="AB154" s="9">
        <f t="shared" si="233"/>
        <v>0.20029130320985772</v>
      </c>
      <c r="AC154" s="4">
        <f t="shared" si="303"/>
        <v>1010.2595027834387</v>
      </c>
      <c r="AD154" s="6">
        <f t="shared" si="234"/>
        <v>5.5205190055668778E-6</v>
      </c>
      <c r="AE154" s="8">
        <f t="shared" si="235"/>
        <v>27.506984282009544</v>
      </c>
      <c r="AF154" s="7">
        <f t="shared" si="236"/>
        <v>1.3816167284940499E-2</v>
      </c>
      <c r="AG154" s="9">
        <f t="shared" si="237"/>
        <v>0.20051725567049519</v>
      </c>
      <c r="AH154" s="4">
        <f t="shared" si="304"/>
        <v>1006.9616983499366</v>
      </c>
      <c r="AI154" s="6">
        <f t="shared" si="238"/>
        <v>5.5139233966998741E-6</v>
      </c>
      <c r="AJ154" s="8">
        <f t="shared" si="239"/>
        <v>27.469059531024271</v>
      </c>
      <c r="AK154" s="7">
        <f t="shared" si="240"/>
        <v>1.3799660497198139E-2</v>
      </c>
      <c r="AL154" s="9">
        <f t="shared" si="241"/>
        <v>0.20079409685542782</v>
      </c>
      <c r="AM154" s="4">
        <f t="shared" si="305"/>
        <v>1003.0643854293197</v>
      </c>
      <c r="AN154" s="6">
        <f t="shared" si="242"/>
        <v>5.5061287708586395E-6</v>
      </c>
      <c r="AO154" s="8">
        <f t="shared" si="243"/>
        <v>27.424240432437173</v>
      </c>
      <c r="AP154" s="7">
        <f t="shared" si="244"/>
        <v>1.3780152937413012E-2</v>
      </c>
      <c r="AQ154" s="9">
        <f t="shared" si="245"/>
        <v>0.20112225217644178</v>
      </c>
      <c r="AR154" s="4">
        <f t="shared" si="306"/>
        <v>998.56754992047286</v>
      </c>
      <c r="AS154" s="6">
        <f t="shared" si="246"/>
        <v>5.497135099840946E-6</v>
      </c>
      <c r="AT154" s="8">
        <f t="shared" si="247"/>
        <v>27.372526824085437</v>
      </c>
      <c r="AU154" s="7">
        <f t="shared" si="248"/>
        <v>1.3757644535003588E-2</v>
      </c>
      <c r="AV154" s="9">
        <f t="shared" si="249"/>
        <v>0.20150222284727951</v>
      </c>
      <c r="AW154" s="4">
        <f t="shared" si="307"/>
        <v>993.47116214832079</v>
      </c>
      <c r="AX154" s="6">
        <f t="shared" si="250"/>
        <v>5.4869423242966425E-6</v>
      </c>
      <c r="AY154" s="8">
        <f t="shared" si="251"/>
        <v>27.313918364705689</v>
      </c>
      <c r="AZ154" s="7">
        <f t="shared" si="252"/>
        <v>1.3732135141434624E-2</v>
      </c>
      <c r="BA154" s="9">
        <f t="shared" si="253"/>
        <v>0.20193459343157233</v>
      </c>
      <c r="BB154" s="4">
        <f t="shared" si="308"/>
        <v>987.7750245683269</v>
      </c>
      <c r="BC154" s="6">
        <f t="shared" si="254"/>
        <v>5.4755500491366545E-6</v>
      </c>
      <c r="BD154" s="8">
        <f t="shared" si="255"/>
        <v>27.248412782535759</v>
      </c>
      <c r="BE154" s="7">
        <f t="shared" si="256"/>
        <v>1.3703623767919247E-2</v>
      </c>
      <c r="BF154" s="9">
        <f t="shared" si="257"/>
        <v>0.20242004714252981</v>
      </c>
      <c r="BG154" s="4">
        <f t="shared" si="309"/>
        <v>981.47794735357058</v>
      </c>
      <c r="BH154" s="6">
        <f t="shared" si="258"/>
        <v>5.4629558947071416E-6</v>
      </c>
      <c r="BI154" s="8">
        <f t="shared" si="259"/>
        <v>27.175996394566063</v>
      </c>
      <c r="BJ154" s="7">
        <f t="shared" si="260"/>
        <v>1.3672104458913144E-2</v>
      </c>
      <c r="BK154" s="9">
        <f t="shared" si="261"/>
        <v>0.20295943964368751</v>
      </c>
      <c r="BL154" s="4">
        <f t="shared" si="310"/>
        <v>974.57345778907131</v>
      </c>
      <c r="BM154" s="6">
        <f t="shared" si="262"/>
        <v>5.4491469155781433E-6</v>
      </c>
      <c r="BN154" s="8">
        <f t="shared" si="263"/>
        <v>27.09659476457432</v>
      </c>
      <c r="BO154" s="7">
        <f t="shared" si="264"/>
        <v>1.3637544815972307E-2</v>
      </c>
      <c r="BP154" s="9">
        <f t="shared" si="265"/>
        <v>0.20355417527264516</v>
      </c>
      <c r="BQ154" s="4">
        <f t="shared" si="311"/>
        <v>967.02992853494459</v>
      </c>
      <c r="BR154" s="6">
        <f t="shared" si="266"/>
        <v>5.4340598570698893E-6</v>
      </c>
      <c r="BS154" s="8">
        <f t="shared" si="267"/>
        <v>27.009844178151862</v>
      </c>
      <c r="BT154" s="7">
        <f t="shared" si="268"/>
        <v>1.3599786532017931E-2</v>
      </c>
      <c r="BU154" s="9">
        <f t="shared" si="269"/>
        <v>0.20420795335285805</v>
      </c>
      <c r="BV154" s="4">
        <f t="shared" si="312"/>
        <v>958.71024663508945</v>
      </c>
      <c r="BW154" s="6">
        <f t="shared" si="270"/>
        <v>5.4174204932701795E-6</v>
      </c>
      <c r="BX154" s="8">
        <f t="shared" si="271"/>
        <v>26.914167836303527</v>
      </c>
      <c r="BY154" s="7">
        <f t="shared" si="272"/>
        <v>1.355814330362945E-2</v>
      </c>
      <c r="BZ154" s="9">
        <f t="shared" si="273"/>
        <v>0.20493388588296521</v>
      </c>
      <c r="CA154" s="4">
        <f t="shared" si="313"/>
        <v>949.09542408299433</v>
      </c>
      <c r="CB154" s="6">
        <f t="shared" si="274"/>
        <v>5.3981908481659889E-6</v>
      </c>
      <c r="CC154" s="8">
        <f t="shared" si="275"/>
        <v>26.803597376954436</v>
      </c>
      <c r="CD154" s="7">
        <f t="shared" si="276"/>
        <v>1.3510017394938324E-2</v>
      </c>
      <c r="CE154" s="9">
        <f t="shared" si="277"/>
        <v>0.20577928113269975</v>
      </c>
      <c r="CF154" s="4">
        <f t="shared" si="314"/>
        <v>936.50640360025227</v>
      </c>
      <c r="CG154" s="6">
        <f t="shared" si="278"/>
        <v>5.373012807200505E-6</v>
      </c>
      <c r="CH154" s="8">
        <f t="shared" si="279"/>
        <v>26.658823641402901</v>
      </c>
      <c r="CI154" s="7">
        <f t="shared" si="280"/>
        <v>1.3447004474317015E-2</v>
      </c>
      <c r="CJ154" s="9">
        <f t="shared" si="281"/>
        <v>0.20689678862775748</v>
      </c>
      <c r="CK154" s="4">
        <f t="shared" si="315"/>
        <v>916.43575483610869</v>
      </c>
      <c r="CL154" s="6">
        <f t="shared" si="282"/>
        <v>5.3328715096722182E-6</v>
      </c>
      <c r="CM154" s="8">
        <f t="shared" si="283"/>
        <v>26.42801118061525</v>
      </c>
      <c r="CN154" s="7">
        <f t="shared" si="284"/>
        <v>1.3346543108071174E-2</v>
      </c>
      <c r="CO154" s="9">
        <f t="shared" si="285"/>
        <v>0.20870374854562154</v>
      </c>
      <c r="CP154" s="4">
        <f t="shared" si="316"/>
        <v>879.28227108702993</v>
      </c>
      <c r="CQ154" s="6">
        <f t="shared" si="286"/>
        <v>5.2585645421740605E-6</v>
      </c>
      <c r="CR154" s="8">
        <f t="shared" si="287"/>
        <v>26.000746117500846</v>
      </c>
      <c r="CS154" s="7">
        <f t="shared" si="288"/>
        <v>1.3160575540102307E-2</v>
      </c>
      <c r="CT154" s="9">
        <f t="shared" si="289"/>
        <v>0.21213333552330205</v>
      </c>
      <c r="CU154" s="4">
        <f t="shared" si="317"/>
        <v>810.03398772230207</v>
      </c>
      <c r="CV154" s="6">
        <f t="shared" si="290"/>
        <v>5.1200679754446049E-6</v>
      </c>
      <c r="CW154" s="8">
        <f t="shared" si="291"/>
        <v>25.204390858806473</v>
      </c>
      <c r="CX154" s="7">
        <f t="shared" si="292"/>
        <v>1.2813961076426969E-2</v>
      </c>
      <c r="CY154" s="9">
        <f t="shared" si="293"/>
        <v>0.21883587787930323</v>
      </c>
      <c r="CZ154" s="5">
        <f t="shared" si="318"/>
        <v>694.4291882331014</v>
      </c>
      <c r="DA154" s="6">
        <f t="shared" si="294"/>
        <v>4.8888583764662032E-6</v>
      </c>
      <c r="DB154" s="8">
        <f t="shared" si="295"/>
        <v>24.988619002822162</v>
      </c>
      <c r="DC154" s="7">
        <f t="shared" si="296"/>
        <v>1.2235314305326577E-2</v>
      </c>
      <c r="DD154" s="9">
        <f t="shared" si="297"/>
        <v>0.22072548304398401</v>
      </c>
    </row>
    <row r="155" spans="2:108" x14ac:dyDescent="0.25">
      <c r="B155">
        <v>136</v>
      </c>
      <c r="C155">
        <f t="shared" si="298"/>
        <v>0.1329555946229542</v>
      </c>
      <c r="D155" s="4">
        <f t="shared" si="215"/>
        <v>1017.7722553189183</v>
      </c>
      <c r="E155" s="6">
        <f t="shared" si="216"/>
        <v>5.5355445106378366E-6</v>
      </c>
      <c r="F155" s="8">
        <f t="shared" si="217"/>
        <v>27.593380936167559</v>
      </c>
      <c r="G155" s="7">
        <f t="shared" si="213"/>
        <v>1.3853771519504631E-2</v>
      </c>
      <c r="H155" s="9">
        <f t="shared" si="218"/>
        <v>0.19988942321926514</v>
      </c>
      <c r="I155" s="4">
        <f t="shared" si="299"/>
        <v>1017.4477026403324</v>
      </c>
      <c r="J155" s="6">
        <f t="shared" si="219"/>
        <v>5.5348954052806655E-6</v>
      </c>
      <c r="K155" s="8">
        <f t="shared" si="220"/>
        <v>27.589648580363821</v>
      </c>
      <c r="L155" s="7">
        <f t="shared" si="221"/>
        <v>1.3852147007716666E-2</v>
      </c>
      <c r="M155" s="9">
        <f t="shared" si="222"/>
        <v>0.19991646446434244</v>
      </c>
      <c r="N155" s="4">
        <f t="shared" si="300"/>
        <v>1016.5418955666065</v>
      </c>
      <c r="O155" s="6">
        <f t="shared" si="223"/>
        <v>5.5330837911332135E-6</v>
      </c>
      <c r="P155" s="8">
        <f t="shared" si="224"/>
        <v>27.579231799015972</v>
      </c>
      <c r="Q155" s="7">
        <f t="shared" si="214"/>
        <v>1.3853771519504631E-2</v>
      </c>
      <c r="R155" s="9">
        <f t="shared" si="225"/>
        <v>0.19999197367770039</v>
      </c>
      <c r="S155" s="4">
        <f t="shared" si="301"/>
        <v>1015.0404483897344</v>
      </c>
      <c r="T155" s="6">
        <f t="shared" si="226"/>
        <v>5.5300808967794693E-6</v>
      </c>
      <c r="U155" s="8">
        <f t="shared" si="227"/>
        <v>27.561965156481946</v>
      </c>
      <c r="V155" s="7">
        <f t="shared" si="228"/>
        <v>1.3840097768364312E-2</v>
      </c>
      <c r="W155" s="9">
        <f t="shared" si="229"/>
        <v>0.20011726191094362</v>
      </c>
      <c r="X155" s="4">
        <f t="shared" si="302"/>
        <v>1012.9412716720256</v>
      </c>
      <c r="Y155" s="6">
        <f t="shared" si="230"/>
        <v>5.5258825433440519E-6</v>
      </c>
      <c r="Z155" s="8">
        <f t="shared" si="231"/>
        <v>27.537824624228293</v>
      </c>
      <c r="AA155" s="7">
        <f t="shared" si="232"/>
        <v>1.3829590576318322E-2</v>
      </c>
      <c r="AB155" s="9">
        <f t="shared" si="233"/>
        <v>0.20029269106272288</v>
      </c>
      <c r="AC155" s="4">
        <f t="shared" si="303"/>
        <v>1010.2429202803359</v>
      </c>
      <c r="AD155" s="6">
        <f t="shared" si="234"/>
        <v>5.5204858405606725E-6</v>
      </c>
      <c r="AE155" s="8">
        <f t="shared" si="235"/>
        <v>27.50679358322386</v>
      </c>
      <c r="AF155" s="7">
        <f t="shared" si="236"/>
        <v>1.3816084283093522E-2</v>
      </c>
      <c r="AG155" s="9">
        <f t="shared" si="237"/>
        <v>0.20051864581424456</v>
      </c>
      <c r="AH155" s="4">
        <f t="shared" si="304"/>
        <v>1006.9451314611675</v>
      </c>
      <c r="AI155" s="6">
        <f t="shared" si="238"/>
        <v>5.5138902629223353E-6</v>
      </c>
      <c r="AJ155" s="8">
        <f t="shared" si="239"/>
        <v>27.468869011803427</v>
      </c>
      <c r="AK155" s="7">
        <f t="shared" si="240"/>
        <v>1.3799577573506944E-2</v>
      </c>
      <c r="AL155" s="9">
        <f t="shared" si="241"/>
        <v>0.20079548952779691</v>
      </c>
      <c r="AM155" s="4">
        <f t="shared" si="305"/>
        <v>1003.0478382921124</v>
      </c>
      <c r="AN155" s="6">
        <f t="shared" si="242"/>
        <v>5.5060956765842254E-6</v>
      </c>
      <c r="AO155" s="8">
        <f t="shared" si="243"/>
        <v>27.424050140359292</v>
      </c>
      <c r="AP155" s="7">
        <f t="shared" si="244"/>
        <v>1.3780070112586033E-2</v>
      </c>
      <c r="AQ155" s="9">
        <f t="shared" si="245"/>
        <v>0.20112364773877042</v>
      </c>
      <c r="AR155" s="4">
        <f t="shared" si="306"/>
        <v>998.55102584265978</v>
      </c>
      <c r="AS155" s="6">
        <f t="shared" si="246"/>
        <v>5.4971020516853202E-6</v>
      </c>
      <c r="AT155" s="8">
        <f t="shared" si="247"/>
        <v>27.372336797190584</v>
      </c>
      <c r="AU155" s="7">
        <f t="shared" si="248"/>
        <v>1.3757561825597802E-2</v>
      </c>
      <c r="AV155" s="9">
        <f t="shared" si="249"/>
        <v>0.2015036217355804</v>
      </c>
      <c r="AW155" s="4">
        <f t="shared" si="307"/>
        <v>993.45466222910466</v>
      </c>
      <c r="AX155" s="6">
        <f t="shared" si="250"/>
        <v>5.4869093244582095E-6</v>
      </c>
      <c r="AY155" s="8">
        <f t="shared" si="251"/>
        <v>27.313728615634702</v>
      </c>
      <c r="AZ155" s="7">
        <f t="shared" si="252"/>
        <v>1.3732052552951965E-2</v>
      </c>
      <c r="BA155" s="9">
        <f t="shared" si="253"/>
        <v>0.20193599627561618</v>
      </c>
      <c r="BB155" s="4">
        <f t="shared" si="308"/>
        <v>987.75853786088919</v>
      </c>
      <c r="BC155" s="6">
        <f t="shared" si="254"/>
        <v>5.4755170757217785E-6</v>
      </c>
      <c r="BD155" s="8">
        <f t="shared" si="255"/>
        <v>27.248223185400224</v>
      </c>
      <c r="BE155" s="7">
        <f t="shared" si="256"/>
        <v>1.3703541245566652E-2</v>
      </c>
      <c r="BF155" s="9">
        <f t="shared" si="257"/>
        <v>0.20242145561092248</v>
      </c>
      <c r="BG155" s="4">
        <f t="shared" si="309"/>
        <v>981.46140055270712</v>
      </c>
      <c r="BH155" s="6">
        <f t="shared" si="258"/>
        <v>5.4629228011054148E-6</v>
      </c>
      <c r="BI155" s="8">
        <f t="shared" si="259"/>
        <v>27.175806106356131</v>
      </c>
      <c r="BJ155" s="7">
        <f t="shared" si="260"/>
        <v>1.3672021635769693E-2</v>
      </c>
      <c r="BK155" s="9">
        <f t="shared" si="261"/>
        <v>0.20296086078969905</v>
      </c>
      <c r="BL155" s="4">
        <f t="shared" si="310"/>
        <v>974.55649025686353</v>
      </c>
      <c r="BM155" s="6">
        <f t="shared" si="262"/>
        <v>5.4491129805137273E-6</v>
      </c>
      <c r="BN155" s="8">
        <f t="shared" si="263"/>
        <v>27.09639963795393</v>
      </c>
      <c r="BO155" s="7">
        <f t="shared" si="264"/>
        <v>1.3637459886905614E-2</v>
      </c>
      <c r="BP155" s="9">
        <f t="shared" si="265"/>
        <v>0.20355564110717733</v>
      </c>
      <c r="BQ155" s="4">
        <f t="shared" si="311"/>
        <v>967.01102324953433</v>
      </c>
      <c r="BR155" s="6">
        <f t="shared" si="266"/>
        <v>5.434022046499069E-6</v>
      </c>
      <c r="BS155" s="8">
        <f t="shared" si="267"/>
        <v>27.009626767369646</v>
      </c>
      <c r="BT155" s="7">
        <f t="shared" si="268"/>
        <v>1.3599691903746375E-2</v>
      </c>
      <c r="BU155" s="9">
        <f t="shared" si="269"/>
        <v>0.20420959710052089</v>
      </c>
      <c r="BV155" s="4">
        <f t="shared" si="312"/>
        <v>958.68392227356867</v>
      </c>
      <c r="BW155" s="6">
        <f t="shared" si="270"/>
        <v>5.4173678445471382E-6</v>
      </c>
      <c r="BX155" s="8">
        <f t="shared" si="271"/>
        <v>26.913865106146041</v>
      </c>
      <c r="BY155" s="7">
        <f t="shared" si="272"/>
        <v>1.3558011540010097E-2</v>
      </c>
      <c r="BZ155" s="9">
        <f t="shared" si="273"/>
        <v>0.20493619100217805</v>
      </c>
      <c r="CA155" s="4">
        <f t="shared" si="313"/>
        <v>949.04506520779171</v>
      </c>
      <c r="CB155" s="6">
        <f t="shared" si="274"/>
        <v>5.3980901304155836E-6</v>
      </c>
      <c r="CC155" s="8">
        <f t="shared" si="275"/>
        <v>26.803018249889604</v>
      </c>
      <c r="CD155" s="7">
        <f t="shared" si="276"/>
        <v>1.3509765329274432E-2</v>
      </c>
      <c r="CE155" s="9">
        <f t="shared" si="277"/>
        <v>0.20578372736147796</v>
      </c>
      <c r="CF155" s="4">
        <f t="shared" si="314"/>
        <v>936.3915402932879</v>
      </c>
      <c r="CG155" s="6">
        <f t="shared" si="278"/>
        <v>5.3727830805865763E-6</v>
      </c>
      <c r="CH155" s="8">
        <f t="shared" si="279"/>
        <v>26.657502713372811</v>
      </c>
      <c r="CI155" s="7">
        <f t="shared" si="280"/>
        <v>1.3446429539003029E-2</v>
      </c>
      <c r="CJ155" s="9">
        <f t="shared" si="281"/>
        <v>0.20690704074215741</v>
      </c>
      <c r="CK155" s="4">
        <f t="shared" si="315"/>
        <v>916.18342051487002</v>
      </c>
      <c r="CL155" s="6">
        <f t="shared" si="282"/>
        <v>5.3323668410297405E-6</v>
      </c>
      <c r="CM155" s="8">
        <f t="shared" si="283"/>
        <v>26.425109335921004</v>
      </c>
      <c r="CN155" s="7">
        <f t="shared" si="284"/>
        <v>1.3345280077116856E-2</v>
      </c>
      <c r="CO155" s="9">
        <f t="shared" si="285"/>
        <v>0.20872666712119631</v>
      </c>
      <c r="CP155" s="4">
        <f t="shared" si="316"/>
        <v>878.81451362539474</v>
      </c>
      <c r="CQ155" s="6">
        <f t="shared" si="286"/>
        <v>5.2576290272507902E-6</v>
      </c>
      <c r="CR155" s="8">
        <f t="shared" si="287"/>
        <v>25.995366906692041</v>
      </c>
      <c r="CS155" s="7">
        <f t="shared" si="288"/>
        <v>1.3158234232941799E-2</v>
      </c>
      <c r="CT155" s="9">
        <f t="shared" si="289"/>
        <v>0.2121772321890214</v>
      </c>
      <c r="CU155" s="4">
        <f t="shared" si="317"/>
        <v>809.36000887325861</v>
      </c>
      <c r="CV155" s="6">
        <f t="shared" si="290"/>
        <v>5.118720017746518E-6</v>
      </c>
      <c r="CW155" s="8">
        <f t="shared" si="291"/>
        <v>25.196640102042473</v>
      </c>
      <c r="CX155" s="7">
        <f t="shared" si="292"/>
        <v>1.2810587551395896E-2</v>
      </c>
      <c r="CY155" s="9">
        <f t="shared" si="293"/>
        <v>0.21890319414265461</v>
      </c>
      <c r="CZ155" s="5">
        <f t="shared" si="318"/>
        <v>693.73045053367957</v>
      </c>
      <c r="DA155" s="6">
        <f t="shared" si="294"/>
        <v>4.8874609010673592E-6</v>
      </c>
      <c r="DB155" s="8">
        <f t="shared" si="295"/>
        <v>25.12892553286602</v>
      </c>
      <c r="DC155" s="7">
        <f t="shared" si="296"/>
        <v>1.2231816852665417E-2</v>
      </c>
      <c r="DD155" s="9">
        <f t="shared" si="297"/>
        <v>0.21949306956185358</v>
      </c>
    </row>
    <row r="156" spans="2:108" x14ac:dyDescent="0.25">
      <c r="B156">
        <v>137</v>
      </c>
      <c r="C156">
        <f t="shared" si="298"/>
        <v>0.13393320928929944</v>
      </c>
      <c r="D156" s="4">
        <f t="shared" si="215"/>
        <v>1017.755685298681</v>
      </c>
      <c r="E156" s="6">
        <f t="shared" si="216"/>
        <v>5.5355113705973625E-6</v>
      </c>
      <c r="F156" s="8">
        <f t="shared" si="217"/>
        <v>27.593190380934828</v>
      </c>
      <c r="G156" s="7">
        <f t="shared" si="213"/>
        <v>1.3853688580139228E-2</v>
      </c>
      <c r="H156" s="9">
        <f t="shared" si="218"/>
        <v>0.19989080363142611</v>
      </c>
      <c r="I156" s="4">
        <f t="shared" si="299"/>
        <v>1017.4311276125312</v>
      </c>
      <c r="J156" s="6">
        <f t="shared" si="219"/>
        <v>5.5348622552250636E-6</v>
      </c>
      <c r="K156" s="8">
        <f t="shared" si="220"/>
        <v>27.589457967544107</v>
      </c>
      <c r="L156" s="7">
        <f t="shared" si="221"/>
        <v>1.3852064043286467E-2</v>
      </c>
      <c r="M156" s="9">
        <f t="shared" si="222"/>
        <v>0.19991784566730206</v>
      </c>
      <c r="N156" s="4">
        <f t="shared" si="300"/>
        <v>1016.525308361739</v>
      </c>
      <c r="O156" s="6">
        <f t="shared" si="223"/>
        <v>5.533050616723478E-6</v>
      </c>
      <c r="P156" s="8">
        <f t="shared" si="224"/>
        <v>27.579041046159997</v>
      </c>
      <c r="Q156" s="7">
        <f t="shared" si="214"/>
        <v>1.3853688580139228E-2</v>
      </c>
      <c r="R156" s="9">
        <f t="shared" si="225"/>
        <v>0.19999335693972489</v>
      </c>
      <c r="S156" s="4">
        <f t="shared" si="301"/>
        <v>1015.0238539771321</v>
      </c>
      <c r="T156" s="6">
        <f t="shared" si="226"/>
        <v>5.5300477079542647E-6</v>
      </c>
      <c r="U156" s="8">
        <f t="shared" si="227"/>
        <v>27.561774320737019</v>
      </c>
      <c r="V156" s="7">
        <f t="shared" si="228"/>
        <v>1.3840014706905679E-2</v>
      </c>
      <c r="W156" s="9">
        <f t="shared" si="229"/>
        <v>0.20011864750848554</v>
      </c>
      <c r="X156" s="4">
        <f t="shared" si="302"/>
        <v>1012.9246793532768</v>
      </c>
      <c r="Y156" s="6">
        <f t="shared" si="230"/>
        <v>5.5258493587065544E-6</v>
      </c>
      <c r="Z156" s="8">
        <f t="shared" si="231"/>
        <v>27.537633812562682</v>
      </c>
      <c r="AA156" s="7">
        <f t="shared" si="232"/>
        <v>1.3829507525340234E-2</v>
      </c>
      <c r="AB156" s="9">
        <f t="shared" si="233"/>
        <v>0.20029407891551559</v>
      </c>
      <c r="AC156" s="4">
        <f t="shared" si="303"/>
        <v>1010.2263379893046</v>
      </c>
      <c r="AD156" s="6">
        <f t="shared" si="234"/>
        <v>5.5204526759786096E-6</v>
      </c>
      <c r="AE156" s="8">
        <f t="shared" si="235"/>
        <v>27.506602886877005</v>
      </c>
      <c r="AF156" s="7">
        <f t="shared" si="236"/>
        <v>1.3816001282308043E-2</v>
      </c>
      <c r="AG156" s="9">
        <f t="shared" si="237"/>
        <v>0.20052003595949042</v>
      </c>
      <c r="AH156" s="4">
        <f t="shared" si="304"/>
        <v>1006.9285647698027</v>
      </c>
      <c r="AI156" s="6">
        <f t="shared" si="238"/>
        <v>5.5138571295396062E-6</v>
      </c>
      <c r="AJ156" s="8">
        <f t="shared" si="239"/>
        <v>27.468678494852732</v>
      </c>
      <c r="AK156" s="7">
        <f t="shared" si="240"/>
        <v>1.3799494650803835E-2</v>
      </c>
      <c r="AL156" s="9">
        <f t="shared" si="241"/>
        <v>0.20079688220288994</v>
      </c>
      <c r="AM156" s="4">
        <f t="shared" si="305"/>
        <v>1003.0312913421823</v>
      </c>
      <c r="AN156" s="6">
        <f t="shared" si="242"/>
        <v>5.506062582684365E-6</v>
      </c>
      <c r="AO156" s="8">
        <f t="shared" si="243"/>
        <v>27.423859850435093</v>
      </c>
      <c r="AP156" s="7">
        <f t="shared" si="244"/>
        <v>1.3779987288696444E-2</v>
      </c>
      <c r="AQ156" s="9">
        <f t="shared" si="245"/>
        <v>0.20112504330467149</v>
      </c>
      <c r="AR156" s="4">
        <f t="shared" si="306"/>
        <v>998.53450191997661</v>
      </c>
      <c r="AS156" s="6">
        <f t="shared" si="246"/>
        <v>5.4970690038399532E-6</v>
      </c>
      <c r="AT156" s="8">
        <f t="shared" si="247"/>
        <v>27.372146772079731</v>
      </c>
      <c r="AU156" s="7">
        <f t="shared" si="248"/>
        <v>1.3757479116968497E-2</v>
      </c>
      <c r="AV156" s="9">
        <f t="shared" si="249"/>
        <v>0.2015050206301712</v>
      </c>
      <c r="AW156" s="4">
        <f t="shared" si="307"/>
        <v>993.43816228704566</v>
      </c>
      <c r="AX156" s="6">
        <f t="shared" si="250"/>
        <v>5.4868763245740918E-6</v>
      </c>
      <c r="AY156" s="8">
        <f t="shared" si="251"/>
        <v>27.313538866301023</v>
      </c>
      <c r="AZ156" s="7">
        <f t="shared" si="252"/>
        <v>1.3731969964354969E-2</v>
      </c>
      <c r="BA156" s="9">
        <f t="shared" si="253"/>
        <v>0.20193739914109349</v>
      </c>
      <c r="BB156" s="4">
        <f t="shared" si="308"/>
        <v>987.74205021379362</v>
      </c>
      <c r="BC156" s="6">
        <f t="shared" si="254"/>
        <v>5.475484100427588E-6</v>
      </c>
      <c r="BD156" s="8">
        <f t="shared" si="255"/>
        <v>27.248033577458628</v>
      </c>
      <c r="BE156" s="7">
        <f t="shared" si="256"/>
        <v>1.3703458718510707E-2</v>
      </c>
      <c r="BF156" s="9">
        <f t="shared" si="257"/>
        <v>0.20242286417919306</v>
      </c>
      <c r="BG156" s="4">
        <f t="shared" si="309"/>
        <v>981.44484861000853</v>
      </c>
      <c r="BH156" s="6">
        <f t="shared" si="258"/>
        <v>5.4628896972200177E-6</v>
      </c>
      <c r="BI156" s="8">
        <f t="shared" si="259"/>
        <v>27.175615759015095</v>
      </c>
      <c r="BJ156" s="7">
        <f t="shared" si="260"/>
        <v>1.3671938786889368E-2</v>
      </c>
      <c r="BK156" s="9">
        <f t="shared" si="261"/>
        <v>0.20296228239723604</v>
      </c>
      <c r="BL156" s="4">
        <f t="shared" si="310"/>
        <v>974.53950074330055</v>
      </c>
      <c r="BM156" s="6">
        <f t="shared" si="262"/>
        <v>5.4490790014866014E-6</v>
      </c>
      <c r="BN156" s="8">
        <f t="shared" si="263"/>
        <v>27.096204258547957</v>
      </c>
      <c r="BO156" s="7">
        <f t="shared" si="264"/>
        <v>1.3637374847813735E-2</v>
      </c>
      <c r="BP156" s="9">
        <f t="shared" si="265"/>
        <v>0.20355710886184372</v>
      </c>
      <c r="BQ156" s="4">
        <f t="shared" si="311"/>
        <v>966.99203842336465</v>
      </c>
      <c r="BR156" s="6">
        <f t="shared" si="266"/>
        <v>5.4339840768467299E-6</v>
      </c>
      <c r="BS156" s="8">
        <f t="shared" si="267"/>
        <v>27.009408441868693</v>
      </c>
      <c r="BT156" s="7">
        <f t="shared" si="268"/>
        <v>1.3599596877342529E-2</v>
      </c>
      <c r="BU156" s="9">
        <f t="shared" si="269"/>
        <v>0.20421124779060107</v>
      </c>
      <c r="BV156" s="4">
        <f t="shared" si="312"/>
        <v>958.65735685572861</v>
      </c>
      <c r="BW156" s="6">
        <f t="shared" si="270"/>
        <v>5.4173147137114578E-6</v>
      </c>
      <c r="BX156" s="8">
        <f t="shared" si="271"/>
        <v>26.913559603840881</v>
      </c>
      <c r="BY156" s="7">
        <f t="shared" si="272"/>
        <v>1.3557878569810555E-2</v>
      </c>
      <c r="BZ156" s="9">
        <f t="shared" si="273"/>
        <v>0.20493851728230167</v>
      </c>
      <c r="CA156" s="4">
        <f t="shared" si="313"/>
        <v>948.9941181269063</v>
      </c>
      <c r="CB156" s="6">
        <f t="shared" si="274"/>
        <v>5.3979882362538133E-6</v>
      </c>
      <c r="CC156" s="8">
        <f t="shared" si="275"/>
        <v>26.80243235845942</v>
      </c>
      <c r="CD156" s="7">
        <f t="shared" si="276"/>
        <v>1.3509510319413411E-2</v>
      </c>
      <c r="CE156" s="9">
        <f t="shared" si="277"/>
        <v>0.20578822571896729</v>
      </c>
      <c r="CF156" s="4">
        <f t="shared" si="314"/>
        <v>936.27560814326205</v>
      </c>
      <c r="CG156" s="6">
        <f t="shared" si="278"/>
        <v>5.3725512162865242E-6</v>
      </c>
      <c r="CH156" s="8">
        <f t="shared" si="279"/>
        <v>26.656169493647511</v>
      </c>
      <c r="CI156" s="7">
        <f t="shared" si="280"/>
        <v>1.3445849253715777E-2</v>
      </c>
      <c r="CJ156" s="9">
        <f t="shared" si="281"/>
        <v>0.20691738928635039</v>
      </c>
      <c r="CK156" s="4">
        <f t="shared" si="315"/>
        <v>915.92990939297454</v>
      </c>
      <c r="CL156" s="6">
        <f t="shared" si="282"/>
        <v>5.3318598187859503E-6</v>
      </c>
      <c r="CM156" s="8">
        <f t="shared" si="283"/>
        <v>26.422193958019207</v>
      </c>
      <c r="CN156" s="7">
        <f t="shared" si="284"/>
        <v>1.3344011155819723E-2</v>
      </c>
      <c r="CO156" s="9">
        <f t="shared" si="285"/>
        <v>0.20874969765052356</v>
      </c>
      <c r="CP156" s="4">
        <f t="shared" si="316"/>
        <v>878.34676713855629</v>
      </c>
      <c r="CQ156" s="6">
        <f t="shared" si="286"/>
        <v>5.2566935342771124E-6</v>
      </c>
      <c r="CR156" s="8">
        <f t="shared" si="287"/>
        <v>25.989987822093397</v>
      </c>
      <c r="CS156" s="7">
        <f t="shared" si="288"/>
        <v>1.3155892980714392E-2</v>
      </c>
      <c r="CT156" s="9">
        <f t="shared" si="289"/>
        <v>0.21222114599497097</v>
      </c>
      <c r="CU156" s="4">
        <f t="shared" si="317"/>
        <v>808.6884572802395</v>
      </c>
      <c r="CV156" s="6">
        <f t="shared" si="290"/>
        <v>5.1173769145604794E-6</v>
      </c>
      <c r="CW156" s="8">
        <f t="shared" si="291"/>
        <v>25.188917258722753</v>
      </c>
      <c r="CX156" s="7">
        <f t="shared" si="292"/>
        <v>1.2807226175720795E-2</v>
      </c>
      <c r="CY156" s="9">
        <f t="shared" si="293"/>
        <v>0.21897030917793722</v>
      </c>
      <c r="CZ156" s="5">
        <f t="shared" si="318"/>
        <v>693.03522941181825</v>
      </c>
      <c r="DA156" s="6">
        <f t="shared" si="294"/>
        <v>4.8860704588236369E-6</v>
      </c>
      <c r="DB156" s="8">
        <f t="shared" si="295"/>
        <v>25.26852593413571</v>
      </c>
      <c r="DC156" s="7">
        <f t="shared" si="296"/>
        <v>1.2228337001836183E-2</v>
      </c>
      <c r="DD156" s="9">
        <f t="shared" si="297"/>
        <v>0.21828044162041293</v>
      </c>
    </row>
    <row r="157" spans="2:108" x14ac:dyDescent="0.25">
      <c r="B157">
        <v>138</v>
      </c>
      <c r="C157">
        <f t="shared" si="298"/>
        <v>0.13491082395564469</v>
      </c>
      <c r="D157" s="4">
        <f t="shared" si="215"/>
        <v>1017.7391150227828</v>
      </c>
      <c r="E157" s="6">
        <f t="shared" si="216"/>
        <v>5.5354782300455668E-6</v>
      </c>
      <c r="F157" s="8">
        <f t="shared" si="217"/>
        <v>27.592999822762003</v>
      </c>
      <c r="G157" s="7">
        <f t="shared" si="213"/>
        <v>1.3853605639494143E-2</v>
      </c>
      <c r="H157" s="9">
        <f t="shared" si="218"/>
        <v>0.1998921840839521</v>
      </c>
      <c r="I157" s="4">
        <f t="shared" si="299"/>
        <v>1017.4145524656051</v>
      </c>
      <c r="J157" s="6">
        <f t="shared" si="219"/>
        <v>5.5348291049312107E-6</v>
      </c>
      <c r="K157" s="8">
        <f t="shared" si="220"/>
        <v>27.589267353354458</v>
      </c>
      <c r="L157" s="7">
        <f t="shared" si="221"/>
        <v>1.3851981078259998E-2</v>
      </c>
      <c r="M157" s="9">
        <f t="shared" si="222"/>
        <v>0.19991922689927391</v>
      </c>
      <c r="N157" s="4">
        <f t="shared" si="300"/>
        <v>1016.508721257924</v>
      </c>
      <c r="O157" s="6">
        <f t="shared" si="223"/>
        <v>5.5330174425158487E-6</v>
      </c>
      <c r="P157" s="8">
        <f t="shared" si="224"/>
        <v>27.578850294466125</v>
      </c>
      <c r="Q157" s="7">
        <f t="shared" si="214"/>
        <v>1.3853605639494143E-2</v>
      </c>
      <c r="R157" s="9">
        <f t="shared" si="225"/>
        <v>0.19999474021245714</v>
      </c>
      <c r="S157" s="4">
        <f t="shared" si="301"/>
        <v>1015.0072597809319</v>
      </c>
      <c r="T157" s="6">
        <f t="shared" si="226"/>
        <v>5.5300145195618643E-6</v>
      </c>
      <c r="U157" s="8">
        <f t="shared" si="227"/>
        <v>27.561583487480718</v>
      </c>
      <c r="V157" s="7">
        <f t="shared" si="228"/>
        <v>1.3839931646530221E-2</v>
      </c>
      <c r="W157" s="9">
        <f t="shared" si="229"/>
        <v>0.20012003310714566</v>
      </c>
      <c r="X157" s="4">
        <f t="shared" si="302"/>
        <v>1012.9080872648807</v>
      </c>
      <c r="Y157" s="6">
        <f t="shared" si="230"/>
        <v>5.5258161745297616E-6</v>
      </c>
      <c r="Z157" s="8">
        <f t="shared" si="231"/>
        <v>27.537443003546127</v>
      </c>
      <c r="AA157" s="7">
        <f t="shared" si="232"/>
        <v>1.3829424475515151E-2</v>
      </c>
      <c r="AB157" s="9">
        <f t="shared" si="233"/>
        <v>0.20029546676827353</v>
      </c>
      <c r="AC157" s="4">
        <f t="shared" si="303"/>
        <v>1010.2097559103524</v>
      </c>
      <c r="AD157" s="6">
        <f t="shared" si="234"/>
        <v>5.5204195118207053E-6</v>
      </c>
      <c r="AE157" s="8">
        <f t="shared" si="235"/>
        <v>27.506412192969051</v>
      </c>
      <c r="AF157" s="7">
        <f t="shared" si="236"/>
        <v>1.38159182825841E-2</v>
      </c>
      <c r="AG157" s="9">
        <f t="shared" si="237"/>
        <v>0.20052142610623191</v>
      </c>
      <c r="AH157" s="4">
        <f t="shared" si="304"/>
        <v>1006.911998275874</v>
      </c>
      <c r="AI157" s="6">
        <f t="shared" si="238"/>
        <v>5.5138239965517486E-6</v>
      </c>
      <c r="AJ157" s="8">
        <f t="shared" si="239"/>
        <v>27.468487980172551</v>
      </c>
      <c r="AK157" s="7">
        <f t="shared" si="240"/>
        <v>1.3799411729088969E-2</v>
      </c>
      <c r="AL157" s="9">
        <f t="shared" si="241"/>
        <v>0.20079827488070395</v>
      </c>
      <c r="AM157" s="4">
        <f t="shared" si="305"/>
        <v>1003.0147445791816</v>
      </c>
      <c r="AN157" s="6">
        <f t="shared" si="242"/>
        <v>5.5060294891583638E-6</v>
      </c>
      <c r="AO157" s="8">
        <f t="shared" si="243"/>
        <v>27.423669562660589</v>
      </c>
      <c r="AP157" s="7">
        <f t="shared" si="244"/>
        <v>1.3779904465742513E-2</v>
      </c>
      <c r="AQ157" s="9">
        <f t="shared" si="245"/>
        <v>0.20112643887417397</v>
      </c>
      <c r="AR157" s="4">
        <f t="shared" si="306"/>
        <v>998.51797815023122</v>
      </c>
      <c r="AS157" s="6">
        <f t="shared" si="246"/>
        <v>5.4970359563004625E-6</v>
      </c>
      <c r="AT157" s="8">
        <f t="shared" si="247"/>
        <v>27.371956748727658</v>
      </c>
      <c r="AU157" s="7">
        <f t="shared" si="248"/>
        <v>1.3757396409104708E-2</v>
      </c>
      <c r="AV157" s="9">
        <f t="shared" si="249"/>
        <v>0.20150641953123738</v>
      </c>
      <c r="AW157" s="4">
        <f t="shared" si="307"/>
        <v>993.42166231114288</v>
      </c>
      <c r="AX157" s="6">
        <f t="shared" si="250"/>
        <v>5.4868433246222861E-6</v>
      </c>
      <c r="AY157" s="8">
        <f t="shared" si="251"/>
        <v>27.313349116578141</v>
      </c>
      <c r="AZ157" s="7">
        <f t="shared" si="252"/>
        <v>1.3731887375588572E-2</v>
      </c>
      <c r="BA157" s="9">
        <f t="shared" si="253"/>
        <v>0.20193880202894013</v>
      </c>
      <c r="BB157" s="4">
        <f t="shared" si="308"/>
        <v>987.72556157842405</v>
      </c>
      <c r="BC157" s="6">
        <f t="shared" si="254"/>
        <v>5.4754511231568487E-6</v>
      </c>
      <c r="BD157" s="8">
        <f t="shared" si="255"/>
        <v>27.247843958151876</v>
      </c>
      <c r="BE157" s="7">
        <f t="shared" si="256"/>
        <v>1.3703376186508071E-2</v>
      </c>
      <c r="BF157" s="9">
        <f t="shared" si="257"/>
        <v>0.20242427285149886</v>
      </c>
      <c r="BG157" s="4">
        <f t="shared" si="309"/>
        <v>981.4282913392633</v>
      </c>
      <c r="BH157" s="6">
        <f t="shared" si="258"/>
        <v>5.4628565826785268E-6</v>
      </c>
      <c r="BI157" s="8">
        <f t="shared" si="259"/>
        <v>27.175425350401525</v>
      </c>
      <c r="BJ157" s="7">
        <f t="shared" si="260"/>
        <v>1.3671855911340104E-2</v>
      </c>
      <c r="BK157" s="9">
        <f t="shared" si="261"/>
        <v>0.20296370448231107</v>
      </c>
      <c r="BL157" s="4">
        <f t="shared" si="310"/>
        <v>974.52248864958472</v>
      </c>
      <c r="BM157" s="6">
        <f t="shared" si="262"/>
        <v>5.4490449772991693E-6</v>
      </c>
      <c r="BN157" s="8">
        <f t="shared" si="263"/>
        <v>27.096008619470226</v>
      </c>
      <c r="BO157" s="7">
        <f t="shared" si="264"/>
        <v>1.3637289695699445E-2</v>
      </c>
      <c r="BP157" s="9">
        <f t="shared" si="265"/>
        <v>0.20355857858845927</v>
      </c>
      <c r="BQ157" s="4">
        <f t="shared" si="311"/>
        <v>966.97297252499959</v>
      </c>
      <c r="BR157" s="6">
        <f t="shared" si="266"/>
        <v>5.4339459450499994E-6</v>
      </c>
      <c r="BS157" s="8">
        <f t="shared" si="267"/>
        <v>27.009189184037496</v>
      </c>
      <c r="BT157" s="7">
        <f t="shared" si="268"/>
        <v>1.3599501445140959E-2</v>
      </c>
      <c r="BU157" s="9">
        <f t="shared" si="269"/>
        <v>0.20421290555659291</v>
      </c>
      <c r="BV157" s="4">
        <f t="shared" si="312"/>
        <v>958.63054761415651</v>
      </c>
      <c r="BW157" s="6">
        <f t="shared" si="270"/>
        <v>5.4172610952283141E-6</v>
      </c>
      <c r="BX157" s="8">
        <f t="shared" si="271"/>
        <v>26.913251297562798</v>
      </c>
      <c r="BY157" s="7">
        <f t="shared" si="272"/>
        <v>1.3557744379178853E-2</v>
      </c>
      <c r="BZ157" s="9">
        <f t="shared" si="273"/>
        <v>0.20494086496712058</v>
      </c>
      <c r="CA157" s="4">
        <f t="shared" si="313"/>
        <v>948.94258067263092</v>
      </c>
      <c r="CB157" s="6">
        <f t="shared" si="274"/>
        <v>5.3978851613452619E-6</v>
      </c>
      <c r="CC157" s="8">
        <f t="shared" si="275"/>
        <v>26.801839677735256</v>
      </c>
      <c r="CD157" s="7">
        <f t="shared" si="276"/>
        <v>1.3509252354505041E-2</v>
      </c>
      <c r="CE157" s="9">
        <f t="shared" si="277"/>
        <v>0.20579277640340202</v>
      </c>
      <c r="CF157" s="4">
        <f t="shared" si="314"/>
        <v>936.15861200234269</v>
      </c>
      <c r="CG157" s="6">
        <f t="shared" si="278"/>
        <v>5.3723172240046858E-6</v>
      </c>
      <c r="CH157" s="8">
        <f t="shared" si="279"/>
        <v>26.654824038026938</v>
      </c>
      <c r="CI157" s="7">
        <f t="shared" si="280"/>
        <v>1.3445263642742242E-2</v>
      </c>
      <c r="CJ157" s="9">
        <f t="shared" si="281"/>
        <v>0.20692783385593422</v>
      </c>
      <c r="CK157" s="4">
        <f t="shared" si="315"/>
        <v>915.67523952230442</v>
      </c>
      <c r="CL157" s="6">
        <f t="shared" si="282"/>
        <v>5.3313504790446098E-6</v>
      </c>
      <c r="CM157" s="8">
        <f t="shared" si="283"/>
        <v>26.419265254506499</v>
      </c>
      <c r="CN157" s="7">
        <f t="shared" si="284"/>
        <v>1.3342736434536429E-2</v>
      </c>
      <c r="CO157" s="9">
        <f t="shared" si="285"/>
        <v>0.2087728385655678</v>
      </c>
      <c r="CP157" s="4">
        <f t="shared" si="316"/>
        <v>877.87904956361285</v>
      </c>
      <c r="CQ157" s="6">
        <f t="shared" si="286"/>
        <v>5.2557580991272263E-6</v>
      </c>
      <c r="CR157" s="8">
        <f t="shared" si="287"/>
        <v>25.984609069981545</v>
      </c>
      <c r="CS157" s="7">
        <f t="shared" si="288"/>
        <v>1.3153551873202217E-2</v>
      </c>
      <c r="CT157" s="9">
        <f t="shared" si="289"/>
        <v>0.21226507526610702</v>
      </c>
      <c r="CU157" s="4">
        <f t="shared" si="317"/>
        <v>808.01931587386377</v>
      </c>
      <c r="CV157" s="6">
        <f t="shared" si="290"/>
        <v>5.1160386317477284E-6</v>
      </c>
      <c r="CW157" s="8">
        <f t="shared" si="291"/>
        <v>25.181222132549433</v>
      </c>
      <c r="CX157" s="7">
        <f t="shared" si="292"/>
        <v>1.2803876863962808E-2</v>
      </c>
      <c r="CY157" s="9">
        <f t="shared" si="293"/>
        <v>0.21903722428429964</v>
      </c>
      <c r="CZ157" s="5">
        <f t="shared" si="318"/>
        <v>692.34348101586954</v>
      </c>
      <c r="DA157" s="6">
        <f t="shared" si="294"/>
        <v>4.88468696203174E-6</v>
      </c>
      <c r="DB157" s="8">
        <f t="shared" si="295"/>
        <v>25.407429012042172</v>
      </c>
      <c r="DC157" s="7">
        <f t="shared" si="296"/>
        <v>1.2224874533344409E-2</v>
      </c>
      <c r="DD157" s="9">
        <f t="shared" si="297"/>
        <v>0.21708709674582974</v>
      </c>
    </row>
    <row r="158" spans="2:108" x14ac:dyDescent="0.25">
      <c r="B158">
        <v>139</v>
      </c>
      <c r="C158">
        <f t="shared" si="298"/>
        <v>0.13588843862198996</v>
      </c>
      <c r="D158" s="4">
        <f t="shared" si="215"/>
        <v>1017.7225444981946</v>
      </c>
      <c r="E158" s="6">
        <f t="shared" si="216"/>
        <v>5.5354450889963891E-6</v>
      </c>
      <c r="F158" s="8">
        <f t="shared" si="217"/>
        <v>27.592809261729236</v>
      </c>
      <c r="G158" s="7">
        <f t="shared" si="213"/>
        <v>1.3853522697604264E-2</v>
      </c>
      <c r="H158" s="9">
        <f t="shared" si="218"/>
        <v>0.1998935645762637</v>
      </c>
      <c r="I158" s="4">
        <f t="shared" si="299"/>
        <v>1017.3979772031877</v>
      </c>
      <c r="J158" s="6">
        <f t="shared" si="219"/>
        <v>5.5347959544063754E-6</v>
      </c>
      <c r="K158" s="8">
        <f t="shared" si="220"/>
        <v>27.589076737836656</v>
      </c>
      <c r="L158" s="7">
        <f t="shared" si="221"/>
        <v>1.3851898112655452E-2</v>
      </c>
      <c r="M158" s="9">
        <f t="shared" si="222"/>
        <v>0.19992060815995602</v>
      </c>
      <c r="N158" s="4">
        <f t="shared" si="300"/>
        <v>1016.4921342548718</v>
      </c>
      <c r="O158" s="6">
        <f t="shared" si="223"/>
        <v>5.5329842685097439E-6</v>
      </c>
      <c r="P158" s="8">
        <f t="shared" si="224"/>
        <v>27.578659543931025</v>
      </c>
      <c r="Q158" s="7">
        <f t="shared" si="214"/>
        <v>1.3853522697604264E-2</v>
      </c>
      <c r="R158" s="9">
        <f t="shared" si="225"/>
        <v>0.19999612349592139</v>
      </c>
      <c r="S158" s="4">
        <f t="shared" si="301"/>
        <v>1014.9906658000276</v>
      </c>
      <c r="T158" s="6">
        <f t="shared" si="226"/>
        <v>5.5299813316000565E-6</v>
      </c>
      <c r="U158" s="8">
        <f t="shared" si="227"/>
        <v>27.561392656700317</v>
      </c>
      <c r="V158" s="7">
        <f t="shared" si="228"/>
        <v>1.3839848587232407E-2</v>
      </c>
      <c r="W158" s="9">
        <f t="shared" si="229"/>
        <v>0.200121418707016</v>
      </c>
      <c r="X158" s="4">
        <f t="shared" si="302"/>
        <v>1012.8914954063807</v>
      </c>
      <c r="Y158" s="6">
        <f t="shared" si="230"/>
        <v>5.525782990812762E-6</v>
      </c>
      <c r="Z158" s="8">
        <f t="shared" si="231"/>
        <v>27.537252197173377</v>
      </c>
      <c r="AA158" s="7">
        <f t="shared" si="232"/>
        <v>1.382934142684079E-2</v>
      </c>
      <c r="AB158" s="9">
        <f t="shared" si="233"/>
        <v>0.20029685462103455</v>
      </c>
      <c r="AC158" s="4">
        <f t="shared" si="303"/>
        <v>1010.1931740434813</v>
      </c>
      <c r="AD158" s="6">
        <f t="shared" si="234"/>
        <v>5.5203863480869629E-6</v>
      </c>
      <c r="AE158" s="8">
        <f t="shared" si="235"/>
        <v>27.506221501500036</v>
      </c>
      <c r="AF158" s="7">
        <f t="shared" si="236"/>
        <v>1.3815835283921709E-2</v>
      </c>
      <c r="AG158" s="9">
        <f t="shared" si="237"/>
        <v>0.20052281625446841</v>
      </c>
      <c r="AH158" s="4">
        <f t="shared" si="304"/>
        <v>1006.895431979407</v>
      </c>
      <c r="AI158" s="6">
        <f t="shared" si="238"/>
        <v>5.5137908639588142E-6</v>
      </c>
      <c r="AJ158" s="8">
        <f t="shared" si="239"/>
        <v>27.468297467763179</v>
      </c>
      <c r="AK158" s="7">
        <f t="shared" si="240"/>
        <v>1.3799328808362476E-2</v>
      </c>
      <c r="AL158" s="9">
        <f t="shared" si="241"/>
        <v>0.20079966756123646</v>
      </c>
      <c r="AM158" s="4">
        <f t="shared" si="305"/>
        <v>1002.9981980027403</v>
      </c>
      <c r="AN158" s="6">
        <f t="shared" si="242"/>
        <v>5.5059963960054807E-6</v>
      </c>
      <c r="AO158" s="8">
        <f t="shared" si="243"/>
        <v>27.423479277031511</v>
      </c>
      <c r="AP158" s="7">
        <f t="shared" si="244"/>
        <v>1.377982164372238E-2</v>
      </c>
      <c r="AQ158" s="9">
        <f t="shared" si="245"/>
        <v>0.20112783444730889</v>
      </c>
      <c r="AR158" s="4">
        <f t="shared" si="306"/>
        <v>998.50145453112623</v>
      </c>
      <c r="AS158" s="6">
        <f t="shared" si="246"/>
        <v>5.497002909062253E-6</v>
      </c>
      <c r="AT158" s="8">
        <f t="shared" si="247"/>
        <v>27.37176672710795</v>
      </c>
      <c r="AU158" s="7">
        <f t="shared" si="248"/>
        <v>1.3757313701994935E-2</v>
      </c>
      <c r="AV158" s="9">
        <f t="shared" si="249"/>
        <v>0.20150781843897334</v>
      </c>
      <c r="AW158" s="4">
        <f t="shared" si="307"/>
        <v>993.4051622899641</v>
      </c>
      <c r="AX158" s="6">
        <f t="shared" si="250"/>
        <v>5.4868103245799282E-6</v>
      </c>
      <c r="AY158" s="8">
        <f t="shared" si="251"/>
        <v>27.313159366334588</v>
      </c>
      <c r="AZ158" s="7">
        <f t="shared" si="252"/>
        <v>1.3731804786595549E-2</v>
      </c>
      <c r="BA158" s="9">
        <f t="shared" si="253"/>
        <v>0.2019402049401286</v>
      </c>
      <c r="BB158" s="4">
        <f t="shared" si="308"/>
        <v>987.70907190467199</v>
      </c>
      <c r="BC158" s="6">
        <f t="shared" si="254"/>
        <v>5.4754181438093446E-6</v>
      </c>
      <c r="BD158" s="8">
        <f t="shared" si="255"/>
        <v>27.247654326903728</v>
      </c>
      <c r="BE158" s="7">
        <f t="shared" si="256"/>
        <v>1.3703293649307923E-2</v>
      </c>
      <c r="BF158" s="9">
        <f t="shared" si="257"/>
        <v>0.20242568163212474</v>
      </c>
      <c r="BG158" s="4">
        <f t="shared" si="309"/>
        <v>981.41172855015247</v>
      </c>
      <c r="BH158" s="6">
        <f t="shared" si="258"/>
        <v>5.4628234571003051E-6</v>
      </c>
      <c r="BI158" s="8">
        <f t="shared" si="259"/>
        <v>27.175234878326755</v>
      </c>
      <c r="BJ158" s="7">
        <f t="shared" si="260"/>
        <v>1.3671773008169288E-2</v>
      </c>
      <c r="BK158" s="9">
        <f t="shared" si="261"/>
        <v>0.20296512706129038</v>
      </c>
      <c r="BL158" s="4">
        <f t="shared" si="310"/>
        <v>974.50545336905418</v>
      </c>
      <c r="BM158" s="6">
        <f t="shared" si="262"/>
        <v>5.449010906738109E-6</v>
      </c>
      <c r="BN158" s="8">
        <f t="shared" si="263"/>
        <v>27.095812713744124</v>
      </c>
      <c r="BO158" s="7">
        <f t="shared" si="264"/>
        <v>1.3637204427526176E-2</v>
      </c>
      <c r="BP158" s="9">
        <f t="shared" si="265"/>
        <v>0.20356005033952149</v>
      </c>
      <c r="BQ158" s="4">
        <f t="shared" si="311"/>
        <v>966.95382401776396</v>
      </c>
      <c r="BR158" s="6">
        <f t="shared" si="266"/>
        <v>5.4339076480355283E-6</v>
      </c>
      <c r="BS158" s="8">
        <f t="shared" si="267"/>
        <v>27.008968976204287</v>
      </c>
      <c r="BT158" s="7">
        <f t="shared" si="268"/>
        <v>1.3599405599450018E-2</v>
      </c>
      <c r="BU158" s="9">
        <f t="shared" si="269"/>
        <v>0.20421457053245651</v>
      </c>
      <c r="BV158" s="4">
        <f t="shared" si="312"/>
        <v>958.60349180619028</v>
      </c>
      <c r="BW158" s="6">
        <f t="shared" si="270"/>
        <v>5.4172069836123811E-6</v>
      </c>
      <c r="BX158" s="8">
        <f t="shared" si="271"/>
        <v>26.912940155771189</v>
      </c>
      <c r="BY158" s="7">
        <f t="shared" si="272"/>
        <v>1.3557608954386903E-2</v>
      </c>
      <c r="BZ158" s="9">
        <f t="shared" si="273"/>
        <v>0.20494323429828731</v>
      </c>
      <c r="CA158" s="4">
        <f t="shared" si="313"/>
        <v>948.8904507680212</v>
      </c>
      <c r="CB158" s="6">
        <f t="shared" si="274"/>
        <v>5.3977809015360434E-6</v>
      </c>
      <c r="CC158" s="8">
        <f t="shared" si="275"/>
        <v>26.801240183832242</v>
      </c>
      <c r="CD158" s="7">
        <f t="shared" si="276"/>
        <v>1.350899142415342E-2</v>
      </c>
      <c r="CE158" s="9">
        <f t="shared" si="277"/>
        <v>0.20579737960511552</v>
      </c>
      <c r="CF158" s="4">
        <f t="shared" si="314"/>
        <v>936.04055681523369</v>
      </c>
      <c r="CG158" s="6">
        <f t="shared" si="278"/>
        <v>5.372081113630468E-6</v>
      </c>
      <c r="CH158" s="8">
        <f t="shared" si="279"/>
        <v>26.653466403375187</v>
      </c>
      <c r="CI158" s="7">
        <f t="shared" si="280"/>
        <v>1.344467273083258E-2</v>
      </c>
      <c r="CJ158" s="9">
        <f t="shared" si="281"/>
        <v>0.20693837403834062</v>
      </c>
      <c r="CK158" s="4">
        <f t="shared" si="315"/>
        <v>915.41942877949396</v>
      </c>
      <c r="CL158" s="6">
        <f t="shared" si="282"/>
        <v>5.330838857558988E-6</v>
      </c>
      <c r="CM158" s="8">
        <f t="shared" si="283"/>
        <v>26.41632343096418</v>
      </c>
      <c r="CN158" s="7">
        <f t="shared" si="284"/>
        <v>1.3341456002746447E-2</v>
      </c>
      <c r="CO158" s="9">
        <f t="shared" si="285"/>
        <v>0.20879608831313748</v>
      </c>
      <c r="CP158" s="4">
        <f t="shared" si="316"/>
        <v>877.41137835094423</v>
      </c>
      <c r="CQ158" s="6">
        <f t="shared" si="286"/>
        <v>5.2548227567018896E-6</v>
      </c>
      <c r="CR158" s="8">
        <f t="shared" si="287"/>
        <v>25.979230851035858</v>
      </c>
      <c r="CS158" s="7">
        <f t="shared" si="288"/>
        <v>1.3151210997751173E-2</v>
      </c>
      <c r="CT158" s="9">
        <f t="shared" si="289"/>
        <v>0.2123090183703448</v>
      </c>
      <c r="CU158" s="4">
        <f t="shared" si="317"/>
        <v>807.35256767584383</v>
      </c>
      <c r="CV158" s="6">
        <f t="shared" si="290"/>
        <v>5.1147051353516881E-6</v>
      </c>
      <c r="CW158" s="8">
        <f t="shared" si="291"/>
        <v>25.173554528272206</v>
      </c>
      <c r="CX158" s="7">
        <f t="shared" si="292"/>
        <v>1.2800539531139032E-2</v>
      </c>
      <c r="CY158" s="9">
        <f t="shared" si="293"/>
        <v>0.21910394075677506</v>
      </c>
      <c r="CZ158" s="5">
        <f t="shared" si="318"/>
        <v>691.65516241646719</v>
      </c>
      <c r="DA158" s="6">
        <f t="shared" si="294"/>
        <v>4.883310324832935E-6</v>
      </c>
      <c r="DB158" s="8">
        <f t="shared" si="295"/>
        <v>25.545643386802084</v>
      </c>
      <c r="DC158" s="7">
        <f t="shared" si="296"/>
        <v>1.222142923231199E-2</v>
      </c>
      <c r="DD158" s="9">
        <f t="shared" si="297"/>
        <v>0.2159125498028989</v>
      </c>
    </row>
    <row r="159" spans="2:108" x14ac:dyDescent="0.25">
      <c r="B159">
        <v>140</v>
      </c>
      <c r="C159">
        <f t="shared" si="298"/>
        <v>0.1368660532883352</v>
      </c>
      <c r="D159" s="4">
        <f t="shared" si="215"/>
        <v>1017.7059737317167</v>
      </c>
      <c r="E159" s="6">
        <f t="shared" si="216"/>
        <v>5.5354119474634335E-6</v>
      </c>
      <c r="F159" s="8">
        <f t="shared" si="217"/>
        <v>27.592618697914741</v>
      </c>
      <c r="G159" s="7">
        <f t="shared" si="213"/>
        <v>1.3853439754503635E-2</v>
      </c>
      <c r="H159" s="9">
        <f t="shared" si="218"/>
        <v>0.19989494510779554</v>
      </c>
      <c r="I159" s="4">
        <f t="shared" si="299"/>
        <v>1017.3814018288542</v>
      </c>
      <c r="J159" s="6">
        <f t="shared" si="219"/>
        <v>5.5347628036577082E-6</v>
      </c>
      <c r="K159" s="8">
        <f t="shared" si="220"/>
        <v>27.588886121031823</v>
      </c>
      <c r="L159" s="7">
        <f t="shared" si="221"/>
        <v>1.3851815146490724E-2</v>
      </c>
      <c r="M159" s="9">
        <f t="shared" si="222"/>
        <v>0.19992198944905124</v>
      </c>
      <c r="N159" s="4">
        <f t="shared" si="300"/>
        <v>1016.4755473523196</v>
      </c>
      <c r="O159" s="6">
        <f t="shared" si="223"/>
        <v>5.53295109470464E-6</v>
      </c>
      <c r="P159" s="8">
        <f t="shared" si="224"/>
        <v>27.578468794551675</v>
      </c>
      <c r="Q159" s="7">
        <f t="shared" si="214"/>
        <v>1.3853439754503635E-2</v>
      </c>
      <c r="R159" s="9">
        <f t="shared" si="225"/>
        <v>0.19999750679013953</v>
      </c>
      <c r="S159" s="4">
        <f t="shared" si="301"/>
        <v>1014.9740720333331</v>
      </c>
      <c r="T159" s="6">
        <f t="shared" si="226"/>
        <v>5.5299481440666669E-6</v>
      </c>
      <c r="U159" s="8">
        <f t="shared" si="227"/>
        <v>27.561201828383329</v>
      </c>
      <c r="V159" s="7">
        <f t="shared" si="228"/>
        <v>1.383976552900679E-2</v>
      </c>
      <c r="W159" s="9">
        <f t="shared" si="229"/>
        <v>0.20012280430818691</v>
      </c>
      <c r="X159" s="4">
        <f t="shared" si="302"/>
        <v>1012.87490377732</v>
      </c>
      <c r="Y159" s="6">
        <f t="shared" si="230"/>
        <v>5.5257498075546408E-6</v>
      </c>
      <c r="Z159" s="8">
        <f t="shared" si="231"/>
        <v>27.537061393439181</v>
      </c>
      <c r="AA159" s="7">
        <f t="shared" si="232"/>
        <v>1.382925837931486E-2</v>
      </c>
      <c r="AB159" s="9">
        <f t="shared" si="233"/>
        <v>0.20029824247383637</v>
      </c>
      <c r="AC159" s="4">
        <f t="shared" si="303"/>
        <v>1010.1765923886878</v>
      </c>
      <c r="AD159" s="6">
        <f t="shared" si="234"/>
        <v>5.5203531847773765E-6</v>
      </c>
      <c r="AE159" s="8">
        <f t="shared" si="235"/>
        <v>27.506030812469909</v>
      </c>
      <c r="AF159" s="7">
        <f t="shared" si="236"/>
        <v>1.3815752286320846E-2</v>
      </c>
      <c r="AG159" s="9">
        <f t="shared" si="237"/>
        <v>0.20052420640419996</v>
      </c>
      <c r="AH159" s="4">
        <f t="shared" si="304"/>
        <v>1006.8788658804212</v>
      </c>
      <c r="AI159" s="6">
        <f t="shared" si="238"/>
        <v>5.5137577317608437E-6</v>
      </c>
      <c r="AJ159" s="8">
        <f t="shared" si="239"/>
        <v>27.468106957624844</v>
      </c>
      <c r="AK159" s="7">
        <f t="shared" si="240"/>
        <v>1.3799245888624455E-2</v>
      </c>
      <c r="AL159" s="9">
        <f t="shared" si="241"/>
        <v>0.20080106024448557</v>
      </c>
      <c r="AM159" s="4">
        <f t="shared" si="305"/>
        <v>1002.9816516124647</v>
      </c>
      <c r="AN159" s="6">
        <f t="shared" si="242"/>
        <v>5.5059633032249295E-6</v>
      </c>
      <c r="AO159" s="8">
        <f t="shared" si="243"/>
        <v>27.423288993543345</v>
      </c>
      <c r="AP159" s="7">
        <f t="shared" si="244"/>
        <v>1.377973882263408E-2</v>
      </c>
      <c r="AQ159" s="9">
        <f t="shared" si="245"/>
        <v>0.20112923002410915</v>
      </c>
      <c r="AR159" s="4">
        <f t="shared" si="306"/>
        <v>998.48493106025558</v>
      </c>
      <c r="AS159" s="6">
        <f t="shared" si="246"/>
        <v>5.496969862120511E-6</v>
      </c>
      <c r="AT159" s="8">
        <f t="shared" si="247"/>
        <v>27.371576707192936</v>
      </c>
      <c r="AU159" s="7">
        <f t="shared" si="248"/>
        <v>1.3757230995627126E-2</v>
      </c>
      <c r="AV159" s="9">
        <f t="shared" si="249"/>
        <v>0.2015092173535826</v>
      </c>
      <c r="AW159" s="4">
        <f t="shared" si="307"/>
        <v>993.38866221163426</v>
      </c>
      <c r="AX159" s="6">
        <f t="shared" si="250"/>
        <v>5.4867773244232692E-6</v>
      </c>
      <c r="AY159" s="8">
        <f t="shared" si="251"/>
        <v>27.312969615433794</v>
      </c>
      <c r="AZ159" s="7">
        <f t="shared" si="252"/>
        <v>1.3731722197316469E-2</v>
      </c>
      <c r="BA159" s="9">
        <f t="shared" si="253"/>
        <v>0.20194160787566925</v>
      </c>
      <c r="BB159" s="4">
        <f t="shared" si="308"/>
        <v>987.69258114091292</v>
      </c>
      <c r="BC159" s="6">
        <f t="shared" si="254"/>
        <v>5.4753851622818259E-6</v>
      </c>
      <c r="BD159" s="8">
        <f t="shared" si="255"/>
        <v>27.247464683120498</v>
      </c>
      <c r="BE159" s="7">
        <f t="shared" si="256"/>
        <v>1.3703211106651871E-2</v>
      </c>
      <c r="BF159" s="9">
        <f t="shared" si="257"/>
        <v>0.20242709052548541</v>
      </c>
      <c r="BG159" s="4">
        <f t="shared" si="309"/>
        <v>981.39516004823031</v>
      </c>
      <c r="BH159" s="6">
        <f t="shared" si="258"/>
        <v>5.462790320096461E-6</v>
      </c>
      <c r="BI159" s="8">
        <f t="shared" si="259"/>
        <v>27.175044340554649</v>
      </c>
      <c r="BJ159" s="7">
        <f t="shared" si="260"/>
        <v>1.3671690076403637E-2</v>
      </c>
      <c r="BK159" s="9">
        <f t="shared" si="261"/>
        <v>0.20296655015089571</v>
      </c>
      <c r="BL159" s="4">
        <f t="shared" si="310"/>
        <v>974.48839428726978</v>
      </c>
      <c r="BM159" s="6">
        <f t="shared" si="262"/>
        <v>5.4489767885745398E-6</v>
      </c>
      <c r="BN159" s="8">
        <f t="shared" si="263"/>
        <v>27.095616534303602</v>
      </c>
      <c r="BO159" s="7">
        <f t="shared" si="264"/>
        <v>1.3637119040218415E-2</v>
      </c>
      <c r="BP159" s="9">
        <f t="shared" si="265"/>
        <v>0.20356152416820286</v>
      </c>
      <c r="BQ159" s="4">
        <f t="shared" si="311"/>
        <v>966.93459136013416</v>
      </c>
      <c r="BR159" s="6">
        <f t="shared" si="266"/>
        <v>5.4338691827202694E-6</v>
      </c>
      <c r="BS159" s="8">
        <f t="shared" si="267"/>
        <v>27.008747800641544</v>
      </c>
      <c r="BT159" s="7">
        <f t="shared" si="268"/>
        <v>1.359930933255378E-2</v>
      </c>
      <c r="BU159" s="9">
        <f t="shared" si="269"/>
        <v>0.20421624285258372</v>
      </c>
      <c r="BV159" s="4">
        <f t="shared" si="312"/>
        <v>958.57618671445528</v>
      </c>
      <c r="BW159" s="6">
        <f t="shared" si="270"/>
        <v>5.4171523734289116E-6</v>
      </c>
      <c r="BX159" s="8">
        <f t="shared" si="271"/>
        <v>26.912626147216237</v>
      </c>
      <c r="BY159" s="7">
        <f t="shared" si="272"/>
        <v>1.3557472281833197E-2</v>
      </c>
      <c r="BZ159" s="9">
        <f t="shared" si="273"/>
        <v>0.20494562551527584</v>
      </c>
      <c r="CA159" s="4">
        <f t="shared" si="313"/>
        <v>948.83772642605447</v>
      </c>
      <c r="CB159" s="6">
        <f t="shared" si="274"/>
        <v>5.3976754528521087E-6</v>
      </c>
      <c r="CC159" s="8">
        <f t="shared" si="275"/>
        <v>26.800633853899626</v>
      </c>
      <c r="CD159" s="7">
        <f t="shared" si="276"/>
        <v>1.3508727518412717E-2</v>
      </c>
      <c r="CE159" s="9">
        <f t="shared" si="277"/>
        <v>0.20580203550661355</v>
      </c>
      <c r="CF159" s="4">
        <f t="shared" si="314"/>
        <v>935.92144761540635</v>
      </c>
      <c r="CG159" s="6">
        <f t="shared" si="278"/>
        <v>5.3718428952308133E-6</v>
      </c>
      <c r="CH159" s="8">
        <f t="shared" si="279"/>
        <v>26.652096647577174</v>
      </c>
      <c r="CI159" s="7">
        <f t="shared" si="280"/>
        <v>1.3444076543181263E-2</v>
      </c>
      <c r="CJ159" s="9">
        <f t="shared" si="281"/>
        <v>0.2069490094131638</v>
      </c>
      <c r="CK159" s="4">
        <f t="shared" si="315"/>
        <v>915.16249486508468</v>
      </c>
      <c r="CL159" s="6">
        <f t="shared" si="282"/>
        <v>5.3303249897301699E-6</v>
      </c>
      <c r="CM159" s="8">
        <f t="shared" si="283"/>
        <v>26.413368690948474</v>
      </c>
      <c r="CN159" s="7">
        <f t="shared" si="284"/>
        <v>1.3340169949047848E-2</v>
      </c>
      <c r="CO159" s="9">
        <f t="shared" si="285"/>
        <v>0.2088194453549628</v>
      </c>
      <c r="CP159" s="4">
        <f t="shared" si="316"/>
        <v>876.94377047634282</v>
      </c>
      <c r="CQ159" s="6">
        <f t="shared" si="286"/>
        <v>5.2538875409526867E-6</v>
      </c>
      <c r="CR159" s="8">
        <f t="shared" si="287"/>
        <v>25.973853360477939</v>
      </c>
      <c r="CS159" s="7">
        <f t="shared" si="288"/>
        <v>1.3148870439331672E-2</v>
      </c>
      <c r="CT159" s="9">
        <f t="shared" si="289"/>
        <v>0.21235297371750883</v>
      </c>
      <c r="CU159" s="4">
        <f t="shared" si="317"/>
        <v>806.68819580292143</v>
      </c>
      <c r="CV159" s="6">
        <f t="shared" si="290"/>
        <v>5.1133763916058433E-6</v>
      </c>
      <c r="CW159" s="8">
        <f t="shared" si="291"/>
        <v>25.165914251733597</v>
      </c>
      <c r="CX159" s="7">
        <f t="shared" si="292"/>
        <v>1.2797214092742227E-2</v>
      </c>
      <c r="CY159" s="9">
        <f t="shared" si="293"/>
        <v>0.21917045988583733</v>
      </c>
      <c r="CZ159" s="5">
        <f t="shared" si="318"/>
        <v>690.97023157951412</v>
      </c>
      <c r="DA159" s="6">
        <f t="shared" si="294"/>
        <v>4.8819404631590293E-6</v>
      </c>
      <c r="DB159" s="8">
        <f t="shared" si="295"/>
        <v>25.683177498862221</v>
      </c>
      <c r="DC159" s="7">
        <f t="shared" si="296"/>
        <v>1.2218000888342007E-2</v>
      </c>
      <c r="DD159" s="9">
        <f t="shared" si="297"/>
        <v>0.21475633224293783</v>
      </c>
    </row>
    <row r="160" spans="2:108" x14ac:dyDescent="0.25">
      <c r="B160">
        <v>141</v>
      </c>
      <c r="C160">
        <f t="shared" si="298"/>
        <v>0.13784366795468045</v>
      </c>
      <c r="D160" s="4">
        <f t="shared" si="215"/>
        <v>1017.689402729985</v>
      </c>
      <c r="E160" s="6">
        <f t="shared" si="216"/>
        <v>5.5353788054599699E-6</v>
      </c>
      <c r="F160" s="8">
        <f t="shared" si="217"/>
        <v>27.592428131394826</v>
      </c>
      <c r="G160" s="7">
        <f t="shared" si="213"/>
        <v>1.3853356810225471E-2</v>
      </c>
      <c r="H160" s="9">
        <f t="shared" si="218"/>
        <v>0.19989632567799606</v>
      </c>
      <c r="I160" s="4">
        <f t="shared" si="299"/>
        <v>1017.3648263461223</v>
      </c>
      <c r="J160" s="6">
        <f t="shared" si="219"/>
        <v>5.5347296526922454E-6</v>
      </c>
      <c r="K160" s="8">
        <f t="shared" si="220"/>
        <v>27.588695502980407</v>
      </c>
      <c r="L160" s="7">
        <f t="shared" si="221"/>
        <v>1.3851732179783421E-2</v>
      </c>
      <c r="M160" s="9">
        <f t="shared" si="222"/>
        <v>0.19992337076626718</v>
      </c>
      <c r="N160" s="4">
        <f t="shared" si="300"/>
        <v>1016.4589605500303</v>
      </c>
      <c r="O160" s="6">
        <f t="shared" si="223"/>
        <v>5.532917921100061E-6</v>
      </c>
      <c r="P160" s="8">
        <f t="shared" si="224"/>
        <v>27.578278046325348</v>
      </c>
      <c r="Q160" s="7">
        <f t="shared" si="214"/>
        <v>1.3853356810225471E-2</v>
      </c>
      <c r="R160" s="9">
        <f t="shared" si="225"/>
        <v>0.19999889009513147</v>
      </c>
      <c r="S160" s="4">
        <f t="shared" si="301"/>
        <v>1014.9574784797817</v>
      </c>
      <c r="T160" s="6">
        <f t="shared" si="226"/>
        <v>5.5299149569595636E-6</v>
      </c>
      <c r="U160" s="8">
        <f t="shared" si="227"/>
        <v>27.561011002517489</v>
      </c>
      <c r="V160" s="7">
        <f t="shared" si="228"/>
        <v>1.3839682471848035E-2</v>
      </c>
      <c r="W160" s="9">
        <f t="shared" si="229"/>
        <v>0.2001241899107471</v>
      </c>
      <c r="X160" s="4">
        <f t="shared" si="302"/>
        <v>1012.858312377241</v>
      </c>
      <c r="Y160" s="6">
        <f t="shared" si="230"/>
        <v>5.5257166247544832E-6</v>
      </c>
      <c r="Z160" s="8">
        <f t="shared" si="231"/>
        <v>27.536870592338268</v>
      </c>
      <c r="AA160" s="7">
        <f t="shared" si="232"/>
        <v>1.3829175332935073E-2</v>
      </c>
      <c r="AB160" s="9">
        <f t="shared" si="233"/>
        <v>0.20029963032671702</v>
      </c>
      <c r="AC160" s="4">
        <f t="shared" si="303"/>
        <v>1010.1600109459632</v>
      </c>
      <c r="AD160" s="6">
        <f t="shared" si="234"/>
        <v>5.5203200218919265E-6</v>
      </c>
      <c r="AE160" s="8">
        <f t="shared" si="235"/>
        <v>27.505840125878578</v>
      </c>
      <c r="AF160" s="7">
        <f t="shared" si="236"/>
        <v>1.3815669289781469E-2</v>
      </c>
      <c r="AG160" s="9">
        <f t="shared" si="237"/>
        <v>0.2005255965554269</v>
      </c>
      <c r="AH160" s="4">
        <f t="shared" si="304"/>
        <v>1006.8622999789297</v>
      </c>
      <c r="AI160" s="6">
        <f t="shared" si="238"/>
        <v>5.5137245999578598E-6</v>
      </c>
      <c r="AJ160" s="8">
        <f t="shared" si="239"/>
        <v>27.467916449757691</v>
      </c>
      <c r="AK160" s="7">
        <f t="shared" si="240"/>
        <v>1.3799162969874965E-2</v>
      </c>
      <c r="AL160" s="9">
        <f t="shared" si="241"/>
        <v>0.20080245293044993</v>
      </c>
      <c r="AM160" s="4">
        <f t="shared" si="305"/>
        <v>1002.9651054079367</v>
      </c>
      <c r="AN160" s="6">
        <f t="shared" si="242"/>
        <v>5.5059302108158733E-6</v>
      </c>
      <c r="AO160" s="8">
        <f t="shared" si="243"/>
        <v>27.423098712191269</v>
      </c>
      <c r="AP160" s="7">
        <f t="shared" si="244"/>
        <v>1.3779656002475519E-2</v>
      </c>
      <c r="AQ160" s="9">
        <f t="shared" si="245"/>
        <v>0.20113062560460981</v>
      </c>
      <c r="AR160" s="4">
        <f t="shared" si="306"/>
        <v>998.46840773510041</v>
      </c>
      <c r="AS160" s="6">
        <f t="shared" si="246"/>
        <v>5.4969368154702016E-6</v>
      </c>
      <c r="AT160" s="8">
        <f t="shared" si="247"/>
        <v>27.371386688953656</v>
      </c>
      <c r="AU160" s="7">
        <f t="shared" si="248"/>
        <v>1.3757148289988684E-2</v>
      </c>
      <c r="AV160" s="9">
        <f t="shared" si="249"/>
        <v>0.20151061627527828</v>
      </c>
      <c r="AW160" s="4">
        <f t="shared" si="307"/>
        <v>993.37216206382436</v>
      </c>
      <c r="AX160" s="6">
        <f t="shared" si="250"/>
        <v>5.4867443241276493E-6</v>
      </c>
      <c r="AY160" s="8">
        <f t="shared" si="251"/>
        <v>27.312779863733979</v>
      </c>
      <c r="AZ160" s="7">
        <f t="shared" si="252"/>
        <v>1.3731639607689609E-2</v>
      </c>
      <c r="BA160" s="9">
        <f t="shared" si="253"/>
        <v>0.20194301083661093</v>
      </c>
      <c r="BB160" s="4">
        <f t="shared" si="308"/>
        <v>987.67608923398257</v>
      </c>
      <c r="BC160" s="6">
        <f t="shared" si="254"/>
        <v>5.4753521784679655E-6</v>
      </c>
      <c r="BD160" s="8">
        <f t="shared" si="255"/>
        <v>27.247275026190799</v>
      </c>
      <c r="BE160" s="7">
        <f t="shared" si="256"/>
        <v>1.3703128558273806E-2</v>
      </c>
      <c r="BF160" s="9">
        <f t="shared" si="257"/>
        <v>0.2024284995361274</v>
      </c>
      <c r="BG160" s="4">
        <f t="shared" si="309"/>
        <v>981.37858563490624</v>
      </c>
      <c r="BH160" s="6">
        <f t="shared" si="258"/>
        <v>5.4627571712698132E-6</v>
      </c>
      <c r="BI160" s="8">
        <f t="shared" si="259"/>
        <v>27.17485373480142</v>
      </c>
      <c r="BJ160" s="7">
        <f t="shared" si="260"/>
        <v>1.3671607115049134E-2</v>
      </c>
      <c r="BK160" s="9">
        <f t="shared" si="261"/>
        <v>0.20296797376820566</v>
      </c>
      <c r="BL160" s="4">
        <f t="shared" si="310"/>
        <v>974.47131078210487</v>
      </c>
      <c r="BM160" s="6">
        <f t="shared" si="262"/>
        <v>5.4489426215642103E-6</v>
      </c>
      <c r="BN160" s="8">
        <f t="shared" si="263"/>
        <v>27.095420073994205</v>
      </c>
      <c r="BO160" s="7">
        <f t="shared" si="264"/>
        <v>1.3637033530662182E-2</v>
      </c>
      <c r="BP160" s="9">
        <f t="shared" si="265"/>
        <v>0.20356300012834339</v>
      </c>
      <c r="BQ160" s="4">
        <f t="shared" si="311"/>
        <v>966.91527300612654</v>
      </c>
      <c r="BR160" s="6">
        <f t="shared" si="266"/>
        <v>5.433830546012254E-6</v>
      </c>
      <c r="BS160" s="8">
        <f t="shared" si="267"/>
        <v>27.008525639570454</v>
      </c>
      <c r="BT160" s="7">
        <f t="shared" si="268"/>
        <v>1.3599212636713995E-2</v>
      </c>
      <c r="BU160" s="9">
        <f t="shared" si="269"/>
        <v>0.20421792265176461</v>
      </c>
      <c r="BV160" s="4">
        <f t="shared" si="312"/>
        <v>958.54862964738027</v>
      </c>
      <c r="BW160" s="6">
        <f t="shared" si="270"/>
        <v>5.4170972592947604E-6</v>
      </c>
      <c r="BX160" s="8">
        <f t="shared" si="271"/>
        <v>26.912309240944872</v>
      </c>
      <c r="BY160" s="7">
        <f t="shared" si="272"/>
        <v>1.3557334348045371E-2</v>
      </c>
      <c r="BZ160" s="9">
        <f t="shared" si="273"/>
        <v>0.20494803885533647</v>
      </c>
      <c r="CA160" s="4">
        <f t="shared" si="313"/>
        <v>948.78440574876652</v>
      </c>
      <c r="CB160" s="6">
        <f t="shared" si="274"/>
        <v>5.3975688114975339E-6</v>
      </c>
      <c r="CC160" s="8">
        <f t="shared" si="275"/>
        <v>26.800020666110814</v>
      </c>
      <c r="CD160" s="7">
        <f t="shared" si="276"/>
        <v>1.3508460627782904E-2</v>
      </c>
      <c r="CE160" s="9">
        <f t="shared" si="277"/>
        <v>0.20580674428264986</v>
      </c>
      <c r="CF160" s="4">
        <f t="shared" si="314"/>
        <v>935.80128952141092</v>
      </c>
      <c r="CG160" s="6">
        <f t="shared" si="278"/>
        <v>5.3716025790428223E-6</v>
      </c>
      <c r="CH160" s="8">
        <f t="shared" si="279"/>
        <v>26.650714829496224</v>
      </c>
      <c r="CI160" s="7">
        <f t="shared" si="280"/>
        <v>1.3443475105408616E-2</v>
      </c>
      <c r="CJ160" s="9">
        <f t="shared" si="281"/>
        <v>0.2069597395524817</v>
      </c>
      <c r="CK160" s="4">
        <f t="shared" si="315"/>
        <v>914.90445530282352</v>
      </c>
      <c r="CL160" s="6">
        <f t="shared" si="282"/>
        <v>5.3298089106056477E-6</v>
      </c>
      <c r="CM160" s="8">
        <f t="shared" si="283"/>
        <v>26.410401235982469</v>
      </c>
      <c r="CN160" s="7">
        <f t="shared" si="284"/>
        <v>1.3338878361153762E-2</v>
      </c>
      <c r="CO160" s="9">
        <f t="shared" si="285"/>
        <v>0.20884290816776069</v>
      </c>
      <c r="CP160" s="4">
        <f t="shared" si="316"/>
        <v>876.47624245286261</v>
      </c>
      <c r="CQ160" s="6">
        <f t="shared" si="286"/>
        <v>5.2529524849057259E-6</v>
      </c>
      <c r="CR160" s="8">
        <f t="shared" si="287"/>
        <v>25.968476788207919</v>
      </c>
      <c r="CS160" s="7">
        <f t="shared" si="288"/>
        <v>1.3146530280597941E-2</v>
      </c>
      <c r="CT160" s="9">
        <f t="shared" si="289"/>
        <v>0.21239693975830734</v>
      </c>
      <c r="CU160" s="4">
        <f t="shared" si="317"/>
        <v>806.02618347048212</v>
      </c>
      <c r="CV160" s="6">
        <f t="shared" si="290"/>
        <v>5.1120523669409646E-6</v>
      </c>
      <c r="CW160" s="8">
        <f t="shared" si="291"/>
        <v>25.158301109910546</v>
      </c>
      <c r="CX160" s="7">
        <f t="shared" si="292"/>
        <v>1.2793900464758897E-2</v>
      </c>
      <c r="CY160" s="9">
        <f t="shared" si="293"/>
        <v>0.21923678295698765</v>
      </c>
      <c r="CZ160" s="5">
        <f t="shared" si="318"/>
        <v>690.28864734014996</v>
      </c>
      <c r="DA160" s="6">
        <f t="shared" si="294"/>
        <v>4.8805772946802999E-6</v>
      </c>
      <c r="DB160" s="8">
        <f t="shared" si="295"/>
        <v>25.820039614126472</v>
      </c>
      <c r="DC160" s="7">
        <f t="shared" si="296"/>
        <v>1.2214589295388394E-2</v>
      </c>
      <c r="DD160" s="9">
        <f t="shared" si="297"/>
        <v>0.21361799139077739</v>
      </c>
    </row>
    <row r="161" spans="2:108" x14ac:dyDescent="0.25">
      <c r="B161">
        <v>142</v>
      </c>
      <c r="C161">
        <f t="shared" si="298"/>
        <v>0.13882128262102572</v>
      </c>
      <c r="D161" s="4">
        <f t="shared" si="215"/>
        <v>1017.672831499476</v>
      </c>
      <c r="E161" s="6">
        <f t="shared" si="216"/>
        <v>5.5353456629989526E-6</v>
      </c>
      <c r="F161" s="8">
        <f t="shared" si="217"/>
        <v>27.592237562243973</v>
      </c>
      <c r="G161" s="7">
        <f t="shared" si="213"/>
        <v>1.3853273864802191E-2</v>
      </c>
      <c r="H161" s="9">
        <f t="shared" si="218"/>
        <v>0.1998977062863268</v>
      </c>
      <c r="I161" s="4">
        <f t="shared" si="299"/>
        <v>1017.3482507584531</v>
      </c>
      <c r="J161" s="6">
        <f t="shared" si="219"/>
        <v>5.5346965015169066E-6</v>
      </c>
      <c r="K161" s="8">
        <f t="shared" si="220"/>
        <v>27.588504883722209</v>
      </c>
      <c r="L161" s="7">
        <f t="shared" si="221"/>
        <v>1.3851649212550863E-2</v>
      </c>
      <c r="M161" s="9">
        <f t="shared" si="222"/>
        <v>0.19992475211131625</v>
      </c>
      <c r="N161" s="4">
        <f t="shared" si="300"/>
        <v>1016.442373847791</v>
      </c>
      <c r="O161" s="6">
        <f t="shared" si="223"/>
        <v>5.5328847476955824E-6</v>
      </c>
      <c r="P161" s="8">
        <f t="shared" si="224"/>
        <v>27.578087299249596</v>
      </c>
      <c r="Q161" s="7">
        <f t="shared" si="214"/>
        <v>1.3853273864802191E-2</v>
      </c>
      <c r="R161" s="9">
        <f t="shared" si="225"/>
        <v>0.20000027341091495</v>
      </c>
      <c r="S161" s="4">
        <f t="shared" si="301"/>
        <v>1014.9408851383263</v>
      </c>
      <c r="T161" s="6">
        <f t="shared" si="226"/>
        <v>5.5298817702766527E-6</v>
      </c>
      <c r="U161" s="8">
        <f t="shared" si="227"/>
        <v>27.560820179090751</v>
      </c>
      <c r="V161" s="7">
        <f t="shared" si="228"/>
        <v>1.3839599415750907E-2</v>
      </c>
      <c r="W161" s="9">
        <f t="shared" si="229"/>
        <v>0.20012557551478369</v>
      </c>
      <c r="X161" s="4">
        <f t="shared" si="302"/>
        <v>1012.8417212056856</v>
      </c>
      <c r="Y161" s="6">
        <f t="shared" si="230"/>
        <v>5.5256834424113719E-6</v>
      </c>
      <c r="Z161" s="8">
        <f t="shared" si="231"/>
        <v>27.536679793865382</v>
      </c>
      <c r="AA161" s="7">
        <f t="shared" si="232"/>
        <v>1.3829092287699133E-2</v>
      </c>
      <c r="AB161" s="9">
        <f t="shared" si="233"/>
        <v>0.20030101817971424</v>
      </c>
      <c r="AC161" s="4">
        <f t="shared" si="303"/>
        <v>1010.1434297152937</v>
      </c>
      <c r="AD161" s="6">
        <f t="shared" si="234"/>
        <v>5.5202868594305877E-6</v>
      </c>
      <c r="AE161" s="8">
        <f t="shared" si="235"/>
        <v>27.505649441725879</v>
      </c>
      <c r="AF161" s="7">
        <f t="shared" si="236"/>
        <v>1.3815586294303513E-2</v>
      </c>
      <c r="AG161" s="9">
        <f t="shared" si="237"/>
        <v>0.20052698670815006</v>
      </c>
      <c r="AH161" s="4">
        <f t="shared" si="304"/>
        <v>1006.8457342749389</v>
      </c>
      <c r="AI161" s="6">
        <f t="shared" si="238"/>
        <v>5.5136914685498779E-6</v>
      </c>
      <c r="AJ161" s="8">
        <f t="shared" si="239"/>
        <v>27.467725944161796</v>
      </c>
      <c r="AK161" s="7">
        <f t="shared" si="240"/>
        <v>1.3799080052114044E-2</v>
      </c>
      <c r="AL161" s="9">
        <f t="shared" si="241"/>
        <v>0.20080384561912865</v>
      </c>
      <c r="AM161" s="4">
        <f t="shared" si="305"/>
        <v>1002.9485593887127</v>
      </c>
      <c r="AN161" s="6">
        <f t="shared" si="242"/>
        <v>5.5058971187774263E-6</v>
      </c>
      <c r="AO161" s="8">
        <f t="shared" si="243"/>
        <v>27.422908432970196</v>
      </c>
      <c r="AP161" s="7">
        <f t="shared" si="244"/>
        <v>1.377957318324448E-2</v>
      </c>
      <c r="AQ161" s="9">
        <f t="shared" si="245"/>
        <v>0.20113202118884799</v>
      </c>
      <c r="AR161" s="4">
        <f t="shared" si="306"/>
        <v>998.45188455302571</v>
      </c>
      <c r="AS161" s="6">
        <f t="shared" si="246"/>
        <v>5.4969037691060522E-6</v>
      </c>
      <c r="AT161" s="8">
        <f t="shared" si="247"/>
        <v>27.371196672359794</v>
      </c>
      <c r="AU161" s="7">
        <f t="shared" si="248"/>
        <v>1.3757065585066413E-2</v>
      </c>
      <c r="AV161" s="9">
        <f t="shared" si="249"/>
        <v>0.20151201520428347</v>
      </c>
      <c r="AW161" s="4">
        <f t="shared" si="307"/>
        <v>993.3556618337401</v>
      </c>
      <c r="AX161" s="6">
        <f t="shared" si="250"/>
        <v>5.4867113236674806E-6</v>
      </c>
      <c r="AY161" s="8">
        <f t="shared" si="251"/>
        <v>27.31259011108801</v>
      </c>
      <c r="AZ161" s="7">
        <f t="shared" si="252"/>
        <v>1.3731557017650936E-2</v>
      </c>
      <c r="BA161" s="9">
        <f t="shared" si="253"/>
        <v>0.20194441382404221</v>
      </c>
      <c r="BB161" s="4">
        <f t="shared" si="308"/>
        <v>987.65959612915367</v>
      </c>
      <c r="BC161" s="6">
        <f t="shared" si="254"/>
        <v>5.4753191922583078E-6</v>
      </c>
      <c r="BD161" s="8">
        <f t="shared" si="255"/>
        <v>27.247085355485268</v>
      </c>
      <c r="BE161" s="7">
        <f t="shared" si="256"/>
        <v>1.3703046003899794E-2</v>
      </c>
      <c r="BF161" s="9">
        <f t="shared" si="257"/>
        <v>0.20242990866873098</v>
      </c>
      <c r="BG161" s="4">
        <f t="shared" si="309"/>
        <v>981.36200510742833</v>
      </c>
      <c r="BH161" s="6">
        <f t="shared" si="258"/>
        <v>5.4627240102148574E-6</v>
      </c>
      <c r="BI161" s="8">
        <f t="shared" si="259"/>
        <v>27.174663058735426</v>
      </c>
      <c r="BJ161" s="7">
        <f t="shared" si="260"/>
        <v>1.3671524123090922E-2</v>
      </c>
      <c r="BK161" s="9">
        <f t="shared" si="261"/>
        <v>0.20296939793065716</v>
      </c>
      <c r="BL161" s="4">
        <f t="shared" si="310"/>
        <v>974.4542022238378</v>
      </c>
      <c r="BM161" s="6">
        <f t="shared" si="262"/>
        <v>5.4489084044476764E-6</v>
      </c>
      <c r="BN161" s="8">
        <f t="shared" si="263"/>
        <v>27.095223325574132</v>
      </c>
      <c r="BO161" s="7">
        <f t="shared" si="264"/>
        <v>1.3636947895705475E-2</v>
      </c>
      <c r="BP161" s="9">
        <f t="shared" si="265"/>
        <v>0.20356447827444238</v>
      </c>
      <c r="BQ161" s="4">
        <f t="shared" si="311"/>
        <v>966.89586740568438</v>
      </c>
      <c r="BR161" s="6">
        <f t="shared" si="266"/>
        <v>5.4337917348113689E-6</v>
      </c>
      <c r="BS161" s="8">
        <f t="shared" si="267"/>
        <v>27.008302475165369</v>
      </c>
      <c r="BT161" s="7">
        <f t="shared" si="268"/>
        <v>1.3599115504172036E-2</v>
      </c>
      <c r="BU161" s="9">
        <f t="shared" si="269"/>
        <v>0.20421961006515379</v>
      </c>
      <c r="BV161" s="4">
        <f t="shared" si="312"/>
        <v>958.52081793969137</v>
      </c>
      <c r="BW161" s="6">
        <f t="shared" si="270"/>
        <v>5.4170416358793832E-6</v>
      </c>
      <c r="BX161" s="8">
        <f t="shared" si="271"/>
        <v>26.91198940630645</v>
      </c>
      <c r="BY161" s="7">
        <f t="shared" si="272"/>
        <v>1.3557195139682707E-2</v>
      </c>
      <c r="BZ161" s="9">
        <f t="shared" si="273"/>
        <v>0.20495047455345275</v>
      </c>
      <c r="CA161" s="4">
        <f t="shared" si="313"/>
        <v>948.73048692636553</v>
      </c>
      <c r="CB161" s="6">
        <f t="shared" si="274"/>
        <v>5.3974609738527311E-6</v>
      </c>
      <c r="CC161" s="8">
        <f t="shared" si="275"/>
        <v>26.799400599653204</v>
      </c>
      <c r="CD161" s="7">
        <f t="shared" si="276"/>
        <v>1.3508190743205258E-2</v>
      </c>
      <c r="CE161" s="9">
        <f t="shared" si="277"/>
        <v>0.20581150610030341</v>
      </c>
      <c r="CF161" s="4">
        <f t="shared" si="314"/>
        <v>935.6800877332663</v>
      </c>
      <c r="CG161" s="6">
        <f t="shared" si="278"/>
        <v>5.371360175466533E-6</v>
      </c>
      <c r="CH161" s="8">
        <f t="shared" si="279"/>
        <v>26.64932100893256</v>
      </c>
      <c r="CI161" s="7">
        <f t="shared" si="280"/>
        <v>1.3442868443542748E-2</v>
      </c>
      <c r="CJ161" s="9">
        <f t="shared" si="281"/>
        <v>0.20697056402117048</v>
      </c>
      <c r="CK161" s="4">
        <f t="shared" si="315"/>
        <v>914.6453274390966</v>
      </c>
      <c r="CL161" s="6">
        <f t="shared" si="282"/>
        <v>5.3292906548781937E-6</v>
      </c>
      <c r="CM161" s="8">
        <f t="shared" si="283"/>
        <v>26.407421265549608</v>
      </c>
      <c r="CN161" s="7">
        <f t="shared" si="284"/>
        <v>1.3337581325889565E-2</v>
      </c>
      <c r="CO161" s="9">
        <f t="shared" si="285"/>
        <v>0.20886647524328822</v>
      </c>
      <c r="CP161" s="4">
        <f t="shared" si="316"/>
        <v>876.00881034238898</v>
      </c>
      <c r="CQ161" s="6">
        <f t="shared" si="286"/>
        <v>5.2520176206847785E-6</v>
      </c>
      <c r="CR161" s="8">
        <f t="shared" si="287"/>
        <v>25.963101318937472</v>
      </c>
      <c r="CS161" s="7">
        <f t="shared" si="288"/>
        <v>1.3144190601945934E-2</v>
      </c>
      <c r="CT161" s="9">
        <f t="shared" si="289"/>
        <v>0.21244091498333084</v>
      </c>
      <c r="CU161" s="4">
        <f t="shared" si="317"/>
        <v>805.36651399586606</v>
      </c>
      <c r="CV161" s="6">
        <f t="shared" si="290"/>
        <v>5.1107330279917321E-6</v>
      </c>
      <c r="CW161" s="8">
        <f t="shared" si="291"/>
        <v>25.150714910952459</v>
      </c>
      <c r="CX161" s="7">
        <f t="shared" si="292"/>
        <v>1.2790598563685873E-2</v>
      </c>
      <c r="CY161" s="9">
        <f t="shared" si="293"/>
        <v>0.21930291125037141</v>
      </c>
      <c r="CZ161" s="5">
        <f t="shared" si="318"/>
        <v>689.61036937765607</v>
      </c>
      <c r="DA161" s="6">
        <f t="shared" si="294"/>
        <v>4.8792207387553123E-6</v>
      </c>
      <c r="DB161" s="8">
        <f t="shared" si="295"/>
        <v>25.956237828995199</v>
      </c>
      <c r="DC161" s="7">
        <f t="shared" si="296"/>
        <v>1.221119425163035E-2</v>
      </c>
      <c r="DD161" s="9">
        <f t="shared" si="297"/>
        <v>0.21249708976847964</v>
      </c>
    </row>
    <row r="162" spans="2:108" x14ac:dyDescent="0.25">
      <c r="B162">
        <v>143</v>
      </c>
      <c r="C162">
        <f t="shared" si="298"/>
        <v>0.13979889728737097</v>
      </c>
      <c r="D162" s="4">
        <f t="shared" si="215"/>
        <v>1017.6562600465126</v>
      </c>
      <c r="E162" s="6">
        <f t="shared" si="216"/>
        <v>5.5353125200930252E-6</v>
      </c>
      <c r="F162" s="8">
        <f t="shared" si="217"/>
        <v>27.592046990534893</v>
      </c>
      <c r="G162" s="7">
        <f t="shared" si="213"/>
        <v>1.3853190918265436E-2</v>
      </c>
      <c r="H162" s="9">
        <f t="shared" si="218"/>
        <v>0.19989908693226227</v>
      </c>
      <c r="I162" s="4">
        <f t="shared" si="299"/>
        <v>1017.3316750692522</v>
      </c>
      <c r="J162" s="6">
        <f t="shared" si="219"/>
        <v>5.5346633501385051E-6</v>
      </c>
      <c r="K162" s="8">
        <f t="shared" si="220"/>
        <v>27.5883142632964</v>
      </c>
      <c r="L162" s="7">
        <f t="shared" si="221"/>
        <v>1.3851566244810102E-2</v>
      </c>
      <c r="M162" s="9">
        <f t="shared" si="222"/>
        <v>0.19992613348391527</v>
      </c>
      <c r="N162" s="4">
        <f t="shared" si="300"/>
        <v>1016.4257872454131</v>
      </c>
      <c r="O162" s="6">
        <f t="shared" si="223"/>
        <v>5.5328515744908267E-6</v>
      </c>
      <c r="P162" s="8">
        <f t="shared" si="224"/>
        <v>27.577896553322248</v>
      </c>
      <c r="Q162" s="7">
        <f t="shared" si="214"/>
        <v>1.3853190918265436E-2</v>
      </c>
      <c r="R162" s="9">
        <f t="shared" si="225"/>
        <v>0.20000165673750578</v>
      </c>
      <c r="S162" s="4">
        <f t="shared" si="301"/>
        <v>1014.9242920079389</v>
      </c>
      <c r="T162" s="6">
        <f t="shared" si="226"/>
        <v>5.5298485840158785E-6</v>
      </c>
      <c r="U162" s="8">
        <f t="shared" si="227"/>
        <v>27.560629358091298</v>
      </c>
      <c r="V162" s="7">
        <f t="shared" si="228"/>
        <v>1.3839516360710256E-2</v>
      </c>
      <c r="W162" s="9">
        <f t="shared" si="229"/>
        <v>0.20012696112038214</v>
      </c>
      <c r="X162" s="4">
        <f t="shared" si="302"/>
        <v>1012.8251302621959</v>
      </c>
      <c r="Y162" s="6">
        <f t="shared" si="230"/>
        <v>5.525650260524392E-6</v>
      </c>
      <c r="Z162" s="8">
        <f t="shared" si="231"/>
        <v>27.536488998015251</v>
      </c>
      <c r="AA162" s="7">
        <f t="shared" si="232"/>
        <v>1.3829009243604747E-2</v>
      </c>
      <c r="AB162" s="9">
        <f t="shared" si="233"/>
        <v>0.20030240603286606</v>
      </c>
      <c r="AC162" s="4">
        <f t="shared" si="303"/>
        <v>1010.12684869666</v>
      </c>
      <c r="AD162" s="6">
        <f t="shared" si="234"/>
        <v>5.520253697393321E-6</v>
      </c>
      <c r="AE162" s="8">
        <f t="shared" si="235"/>
        <v>27.505458760011589</v>
      </c>
      <c r="AF162" s="7">
        <f t="shared" si="236"/>
        <v>1.3815503299886879E-2</v>
      </c>
      <c r="AG162" s="9">
        <f t="shared" si="237"/>
        <v>0.20052837686237071</v>
      </c>
      <c r="AH162" s="4">
        <f t="shared" si="304"/>
        <v>1006.829168768448</v>
      </c>
      <c r="AI162" s="6">
        <f t="shared" si="238"/>
        <v>5.5136583375368963E-6</v>
      </c>
      <c r="AJ162" s="8">
        <f t="shared" si="239"/>
        <v>27.467535440837153</v>
      </c>
      <c r="AK162" s="7">
        <f t="shared" si="240"/>
        <v>1.3798997135341686E-2</v>
      </c>
      <c r="AL162" s="9">
        <f t="shared" si="241"/>
        <v>0.20080523831052149</v>
      </c>
      <c r="AM162" s="4">
        <f t="shared" si="305"/>
        <v>1002.9320135543227</v>
      </c>
      <c r="AN162" s="6">
        <f t="shared" si="242"/>
        <v>5.5058640271086457E-6</v>
      </c>
      <c r="AO162" s="8">
        <f t="shared" si="243"/>
        <v>27.422718155874712</v>
      </c>
      <c r="AP162" s="7">
        <f t="shared" si="244"/>
        <v>1.3779490364938602E-2</v>
      </c>
      <c r="AQ162" s="9">
        <f t="shared" si="245"/>
        <v>0.20113341677686314</v>
      </c>
      <c r="AR162" s="4">
        <f t="shared" si="306"/>
        <v>998.43536151127591</v>
      </c>
      <c r="AS162" s="6">
        <f t="shared" si="246"/>
        <v>5.4968707230225527E-6</v>
      </c>
      <c r="AT162" s="8">
        <f t="shared" si="247"/>
        <v>27.371006657379674</v>
      </c>
      <c r="AU162" s="7">
        <f t="shared" si="248"/>
        <v>1.3756982880846525E-2</v>
      </c>
      <c r="AV162" s="9">
        <f t="shared" si="249"/>
        <v>0.20151341414083127</v>
      </c>
      <c r="AW162" s="4">
        <f t="shared" si="307"/>
        <v>993.33916150811058</v>
      </c>
      <c r="AX162" s="6">
        <f t="shared" si="250"/>
        <v>5.4866783230162221E-6</v>
      </c>
      <c r="AY162" s="8">
        <f t="shared" si="251"/>
        <v>27.312400357343272</v>
      </c>
      <c r="AZ162" s="7">
        <f t="shared" si="252"/>
        <v>1.3731474427134021E-2</v>
      </c>
      <c r="BA162" s="9">
        <f t="shared" si="253"/>
        <v>0.20194581683909218</v>
      </c>
      <c r="BB162" s="4">
        <f t="shared" si="308"/>
        <v>987.64310177011282</v>
      </c>
      <c r="BC162" s="6">
        <f t="shared" si="254"/>
        <v>5.4752862035402265E-6</v>
      </c>
      <c r="BD162" s="8">
        <f t="shared" si="255"/>
        <v>27.246895670356295</v>
      </c>
      <c r="BE162" s="7">
        <f t="shared" si="256"/>
        <v>1.3702963443247968E-2</v>
      </c>
      <c r="BF162" s="9">
        <f t="shared" si="257"/>
        <v>0.20243131792811223</v>
      </c>
      <c r="BG162" s="4">
        <f t="shared" si="309"/>
        <v>981.34541825886811</v>
      </c>
      <c r="BH162" s="6">
        <f t="shared" si="258"/>
        <v>5.4626908365177366E-6</v>
      </c>
      <c r="BI162" s="8">
        <f t="shared" si="259"/>
        <v>27.174472309976984</v>
      </c>
      <c r="BJ162" s="7">
        <f t="shared" si="260"/>
        <v>1.3671441099493246E-2</v>
      </c>
      <c r="BK162" s="9">
        <f t="shared" si="261"/>
        <v>0.20297082265604707</v>
      </c>
      <c r="BL162" s="4">
        <f t="shared" si="310"/>
        <v>974.43706797524749</v>
      </c>
      <c r="BM162" s="6">
        <f t="shared" si="262"/>
        <v>5.448874135950495E-6</v>
      </c>
      <c r="BN162" s="8">
        <f t="shared" si="263"/>
        <v>27.095026281715345</v>
      </c>
      <c r="BO162" s="7">
        <f t="shared" si="264"/>
        <v>1.3636862132158754E-2</v>
      </c>
      <c r="BP162" s="9">
        <f t="shared" si="265"/>
        <v>0.2035659586616505</v>
      </c>
      <c r="BQ162" s="4">
        <f t="shared" si="311"/>
        <v>966.87637300506196</v>
      </c>
      <c r="BR162" s="6">
        <f t="shared" si="266"/>
        <v>5.4337527460101244E-6</v>
      </c>
      <c r="BS162" s="8">
        <f t="shared" si="267"/>
        <v>27.008078289558213</v>
      </c>
      <c r="BT162" s="7">
        <f t="shared" si="268"/>
        <v>1.35990179271508E-2</v>
      </c>
      <c r="BU162" s="9">
        <f t="shared" si="269"/>
        <v>0.20422130522823742</v>
      </c>
      <c r="BV162" s="4">
        <f t="shared" si="312"/>
        <v>958.49274895288613</v>
      </c>
      <c r="BW162" s="6">
        <f t="shared" si="270"/>
        <v>5.4169854979057723E-6</v>
      </c>
      <c r="BX162" s="8">
        <f t="shared" si="271"/>
        <v>26.911666612958189</v>
      </c>
      <c r="BY162" s="7">
        <f t="shared" si="272"/>
        <v>1.3557054643538477E-2</v>
      </c>
      <c r="BZ162" s="9">
        <f t="shared" si="273"/>
        <v>0.20495293284230048</v>
      </c>
      <c r="CA162" s="4">
        <f t="shared" si="313"/>
        <v>948.67596823632709</v>
      </c>
      <c r="CB162" s="6">
        <f t="shared" si="274"/>
        <v>5.3973519364726549E-6</v>
      </c>
      <c r="CC162" s="8">
        <f t="shared" si="275"/>
        <v>26.798773634717762</v>
      </c>
      <c r="CD162" s="7">
        <f t="shared" si="276"/>
        <v>1.3507917856057884E-2</v>
      </c>
      <c r="CE162" s="9">
        <f t="shared" si="277"/>
        <v>0.2058163211190574</v>
      </c>
      <c r="CF162" s="4">
        <f t="shared" si="314"/>
        <v>935.55784752892794</v>
      </c>
      <c r="CG162" s="6">
        <f t="shared" si="278"/>
        <v>5.3711156950578566E-6</v>
      </c>
      <c r="CH162" s="8">
        <f t="shared" si="279"/>
        <v>26.64791524658267</v>
      </c>
      <c r="CI162" s="7">
        <f t="shared" si="280"/>
        <v>1.3442256584001867E-2</v>
      </c>
      <c r="CJ162" s="9">
        <f t="shared" si="281"/>
        <v>0.20698148237721237</v>
      </c>
      <c r="CK162" s="4">
        <f t="shared" si="315"/>
        <v>914.38512844249294</v>
      </c>
      <c r="CL162" s="6">
        <f t="shared" si="282"/>
        <v>5.3287702568849862E-6</v>
      </c>
      <c r="CM162" s="8">
        <f t="shared" si="283"/>
        <v>26.404428977088671</v>
      </c>
      <c r="CN162" s="7">
        <f t="shared" si="284"/>
        <v>1.3336278929190697E-2</v>
      </c>
      <c r="CO162" s="9">
        <f t="shared" si="285"/>
        <v>0.20889014508838463</v>
      </c>
      <c r="CP162" s="4">
        <f t="shared" si="316"/>
        <v>875.54148976693591</v>
      </c>
      <c r="CQ162" s="6">
        <f t="shared" si="286"/>
        <v>5.2510829795338719E-6</v>
      </c>
      <c r="CR162" s="8">
        <f t="shared" si="287"/>
        <v>25.957727132319761</v>
      </c>
      <c r="CS162" s="7">
        <f t="shared" si="288"/>
        <v>1.3141851481569881E-2</v>
      </c>
      <c r="CT162" s="9">
        <f t="shared" si="289"/>
        <v>0.21248489792207342</v>
      </c>
      <c r="CU162" s="4">
        <f t="shared" si="317"/>
        <v>804.70917080139236</v>
      </c>
      <c r="CV162" s="6">
        <f t="shared" si="290"/>
        <v>5.1094183416027852E-6</v>
      </c>
      <c r="CW162" s="8">
        <f t="shared" si="291"/>
        <v>25.143155464216012</v>
      </c>
      <c r="CX162" s="7">
        <f t="shared" si="292"/>
        <v>1.2787308306545446E-2</v>
      </c>
      <c r="CY162" s="9">
        <f t="shared" si="293"/>
        <v>0.21936884604042212</v>
      </c>
      <c r="CZ162" s="5">
        <f t="shared" si="318"/>
        <v>688.93535819126112</v>
      </c>
      <c r="DA162" s="6">
        <f t="shared" si="294"/>
        <v>4.877870716382523E-6</v>
      </c>
      <c r="DB162" s="8">
        <f t="shared" si="295"/>
        <v>26.091780075223255</v>
      </c>
      <c r="DC162" s="7">
        <f t="shared" si="296"/>
        <v>1.2207815559351225E-2</v>
      </c>
      <c r="DD162" s="9">
        <f t="shared" si="297"/>
        <v>0.2113932044535986</v>
      </c>
    </row>
    <row r="163" spans="2:108" x14ac:dyDescent="0.25">
      <c r="B163">
        <v>144</v>
      </c>
      <c r="C163">
        <f t="shared" si="298"/>
        <v>0.14077651195371621</v>
      </c>
      <c r="D163" s="4">
        <f t="shared" si="215"/>
        <v>1017.6396883772682</v>
      </c>
      <c r="E163" s="6">
        <f t="shared" si="216"/>
        <v>5.5352793767545369E-6</v>
      </c>
      <c r="F163" s="8">
        <f t="shared" si="217"/>
        <v>27.591856416338583</v>
      </c>
      <c r="G163" s="7">
        <f t="shared" si="213"/>
        <v>1.3853107970646112E-2</v>
      </c>
      <c r="H163" s="9">
        <f t="shared" si="218"/>
        <v>0.19990046761528918</v>
      </c>
      <c r="I163" s="4">
        <f t="shared" si="299"/>
        <v>1017.3150992818706</v>
      </c>
      <c r="J163" s="6">
        <f t="shared" si="219"/>
        <v>5.5346301985637419E-6</v>
      </c>
      <c r="K163" s="8">
        <f t="shared" si="220"/>
        <v>27.588123641741511</v>
      </c>
      <c r="L163" s="7">
        <f t="shared" si="221"/>
        <v>1.3851483276577908E-2</v>
      </c>
      <c r="M163" s="9">
        <f t="shared" si="222"/>
        <v>0.19992751488378585</v>
      </c>
      <c r="N163" s="4">
        <f t="shared" si="300"/>
        <v>1016.4092007427301</v>
      </c>
      <c r="O163" s="6">
        <f t="shared" si="223"/>
        <v>5.5328184014854608E-6</v>
      </c>
      <c r="P163" s="8">
        <f t="shared" si="224"/>
        <v>27.577705808541396</v>
      </c>
      <c r="Q163" s="7">
        <f t="shared" si="214"/>
        <v>1.3853107970646112E-2</v>
      </c>
      <c r="R163" s="9">
        <f t="shared" si="225"/>
        <v>0.20000304007491787</v>
      </c>
      <c r="S163" s="4">
        <f t="shared" si="301"/>
        <v>1014.9076990876105</v>
      </c>
      <c r="T163" s="6">
        <f t="shared" si="226"/>
        <v>5.5298153981752208E-6</v>
      </c>
      <c r="U163" s="8">
        <f t="shared" si="227"/>
        <v>27.560438539507519</v>
      </c>
      <c r="V163" s="7">
        <f t="shared" si="228"/>
        <v>1.3839433306721029E-2</v>
      </c>
      <c r="W163" s="9">
        <f t="shared" si="229"/>
        <v>0.20012834672762647</v>
      </c>
      <c r="X163" s="4">
        <f t="shared" si="302"/>
        <v>1012.8085395463135</v>
      </c>
      <c r="Y163" s="6">
        <f t="shared" si="230"/>
        <v>5.525617079092628E-6</v>
      </c>
      <c r="Z163" s="8">
        <f t="shared" si="231"/>
        <v>27.536298204782604</v>
      </c>
      <c r="AA163" s="7">
        <f t="shared" si="232"/>
        <v>1.3828926200649632E-2</v>
      </c>
      <c r="AB163" s="9">
        <f t="shared" si="233"/>
        <v>0.20030379388621039</v>
      </c>
      <c r="AC163" s="4">
        <f t="shared" si="303"/>
        <v>1010.1102678900378</v>
      </c>
      <c r="AD163" s="6">
        <f t="shared" si="234"/>
        <v>5.5202205357800764E-6</v>
      </c>
      <c r="AE163" s="8">
        <f t="shared" si="235"/>
        <v>27.505268080735434</v>
      </c>
      <c r="AF163" s="7">
        <f t="shared" si="236"/>
        <v>1.3815420306531441E-2</v>
      </c>
      <c r="AG163" s="9">
        <f t="shared" si="237"/>
        <v>0.20052976701809058</v>
      </c>
      <c r="AH163" s="4">
        <f t="shared" si="304"/>
        <v>1006.8126034594491</v>
      </c>
      <c r="AI163" s="6">
        <f t="shared" si="238"/>
        <v>5.5136252069188988E-6</v>
      </c>
      <c r="AJ163" s="8">
        <f t="shared" si="239"/>
        <v>27.467344939783665</v>
      </c>
      <c r="AK163" s="7">
        <f t="shared" si="240"/>
        <v>1.3798914219557855E-2</v>
      </c>
      <c r="AL163" s="9">
        <f t="shared" si="241"/>
        <v>0.20080663100462892</v>
      </c>
      <c r="AM163" s="4">
        <f t="shared" si="305"/>
        <v>1002.9154679042686</v>
      </c>
      <c r="AN163" s="6">
        <f t="shared" si="242"/>
        <v>5.5058309358085378E-6</v>
      </c>
      <c r="AO163" s="8">
        <f t="shared" si="243"/>
        <v>27.422527880899089</v>
      </c>
      <c r="AP163" s="7">
        <f t="shared" si="244"/>
        <v>1.3779407547555397E-2</v>
      </c>
      <c r="AQ163" s="9">
        <f t="shared" si="245"/>
        <v>0.20113481236869699</v>
      </c>
      <c r="AR163" s="4">
        <f t="shared" si="306"/>
        <v>998.41883860697112</v>
      </c>
      <c r="AS163" s="6">
        <f t="shared" si="246"/>
        <v>5.4968376772139425E-6</v>
      </c>
      <c r="AT163" s="8">
        <f t="shared" si="247"/>
        <v>27.370816643980167</v>
      </c>
      <c r="AU163" s="7">
        <f t="shared" si="248"/>
        <v>1.3756900177314598E-2</v>
      </c>
      <c r="AV163" s="9">
        <f t="shared" si="249"/>
        <v>0.2015148130851655</v>
      </c>
      <c r="AW163" s="4">
        <f t="shared" si="307"/>
        <v>993.32266107317662</v>
      </c>
      <c r="AX163" s="6">
        <f t="shared" si="250"/>
        <v>5.4866453221463537E-6</v>
      </c>
      <c r="AY163" s="8">
        <f t="shared" si="251"/>
        <v>27.31221060234153</v>
      </c>
      <c r="AZ163" s="7">
        <f t="shared" si="252"/>
        <v>1.3731391836069995E-2</v>
      </c>
      <c r="BA163" s="9">
        <f t="shared" si="253"/>
        <v>0.20194721988293157</v>
      </c>
      <c r="BB163" s="4">
        <f t="shared" si="308"/>
        <v>987.6266060989376</v>
      </c>
      <c r="BC163" s="6">
        <f t="shared" si="254"/>
        <v>5.4752532121978754E-6</v>
      </c>
      <c r="BD163" s="8">
        <f t="shared" si="255"/>
        <v>27.246705970137782</v>
      </c>
      <c r="BE163" s="7">
        <f t="shared" si="256"/>
        <v>1.3702880876028396E-2</v>
      </c>
      <c r="BF163" s="9">
        <f t="shared" si="257"/>
        <v>0.20243272731922496</v>
      </c>
      <c r="BG163" s="4">
        <f t="shared" si="309"/>
        <v>981.32882487810696</v>
      </c>
      <c r="BH163" s="6">
        <f t="shared" si="258"/>
        <v>5.4626576497562143E-6</v>
      </c>
      <c r="BI163" s="8">
        <f t="shared" si="259"/>
        <v>27.174281486098231</v>
      </c>
      <c r="BJ163" s="7">
        <f t="shared" si="260"/>
        <v>1.3671358043199376E-2</v>
      </c>
      <c r="BK163" s="9">
        <f t="shared" si="261"/>
        <v>0.20297224796253302</v>
      </c>
      <c r="BL163" s="4">
        <f t="shared" si="310"/>
        <v>974.41990739171126</v>
      </c>
      <c r="BM163" s="6">
        <f t="shared" si="262"/>
        <v>5.4488398147834234E-6</v>
      </c>
      <c r="BN163" s="8">
        <f t="shared" si="263"/>
        <v>27.094828935004678</v>
      </c>
      <c r="BO163" s="7">
        <f t="shared" si="264"/>
        <v>1.3636776236795437E-2</v>
      </c>
      <c r="BP163" s="9">
        <f t="shared" si="265"/>
        <v>0.20356744134576127</v>
      </c>
      <c r="BQ163" s="4">
        <f t="shared" si="311"/>
        <v>966.85678824720617</v>
      </c>
      <c r="BR163" s="6">
        <f t="shared" si="266"/>
        <v>5.4337135764944134E-6</v>
      </c>
      <c r="BS163" s="8">
        <f t="shared" si="267"/>
        <v>27.00785306484287</v>
      </c>
      <c r="BT163" s="7">
        <f t="shared" si="268"/>
        <v>1.3598919897856636E-2</v>
      </c>
      <c r="BU163" s="9">
        <f t="shared" si="269"/>
        <v>0.20422300827679987</v>
      </c>
      <c r="BV163" s="4">
        <f t="shared" si="312"/>
        <v>958.46442007568612</v>
      </c>
      <c r="BW163" s="6">
        <f t="shared" si="270"/>
        <v>5.4169288401513726E-6</v>
      </c>
      <c r="BX163" s="8">
        <f t="shared" si="271"/>
        <v>26.91134083087039</v>
      </c>
      <c r="BY163" s="7">
        <f t="shared" si="272"/>
        <v>1.3556912846542219E-2</v>
      </c>
      <c r="BZ163" s="9">
        <f t="shared" si="273"/>
        <v>0.20495541395220807</v>
      </c>
      <c r="CA163" s="4">
        <f t="shared" si="313"/>
        <v>948.62084804246956</v>
      </c>
      <c r="CB163" s="6">
        <f t="shared" si="274"/>
        <v>5.3972416960849399E-6</v>
      </c>
      <c r="CC163" s="8">
        <f t="shared" si="275"/>
        <v>26.7981397524884</v>
      </c>
      <c r="CD163" s="7">
        <f t="shared" si="276"/>
        <v>1.3507641958151059E-2</v>
      </c>
      <c r="CE163" s="9">
        <f t="shared" si="277"/>
        <v>0.20582118949088005</v>
      </c>
      <c r="CF163" s="4">
        <f t="shared" si="314"/>
        <v>935.43457426083285</v>
      </c>
      <c r="CG163" s="6">
        <f t="shared" si="278"/>
        <v>5.3708691485216664E-6</v>
      </c>
      <c r="CH163" s="8">
        <f t="shared" si="279"/>
        <v>26.646497603999578</v>
      </c>
      <c r="CI163" s="7">
        <f t="shared" si="280"/>
        <v>1.3441639553576993E-2</v>
      </c>
      <c r="CJ163" s="9">
        <f t="shared" si="281"/>
        <v>0.20699249417199644</v>
      </c>
      <c r="CK163" s="4">
        <f t="shared" si="315"/>
        <v>914.1238753034911</v>
      </c>
      <c r="CL163" s="6">
        <f t="shared" si="282"/>
        <v>5.3282477506069828E-6</v>
      </c>
      <c r="CM163" s="8">
        <f t="shared" si="283"/>
        <v>26.401424565990148</v>
      </c>
      <c r="CN163" s="7">
        <f t="shared" si="284"/>
        <v>1.3334971256101072E-2</v>
      </c>
      <c r="CO163" s="9">
        <f t="shared" si="285"/>
        <v>0.20891391622500294</v>
      </c>
      <c r="CP163" s="4">
        <f t="shared" si="316"/>
        <v>875.07429591967525</v>
      </c>
      <c r="CQ163" s="6">
        <f t="shared" si="286"/>
        <v>5.2501485918393517E-6</v>
      </c>
      <c r="CR163" s="8">
        <f t="shared" si="287"/>
        <v>25.952354403076264</v>
      </c>
      <c r="CS163" s="7">
        <f t="shared" si="288"/>
        <v>1.313951299551749E-2</v>
      </c>
      <c r="CT163" s="9">
        <f t="shared" si="289"/>
        <v>0.21252888714197757</v>
      </c>
      <c r="CU163" s="4">
        <f t="shared" si="317"/>
        <v>804.05413741711448</v>
      </c>
      <c r="CV163" s="6">
        <f t="shared" si="290"/>
        <v>5.1081082748342288E-6</v>
      </c>
      <c r="CW163" s="8">
        <f t="shared" si="291"/>
        <v>25.135622580296818</v>
      </c>
      <c r="CX163" s="7">
        <f t="shared" si="292"/>
        <v>1.2784029610899155E-2</v>
      </c>
      <c r="CY163" s="9">
        <f t="shared" si="293"/>
        <v>0.21943458859553214</v>
      </c>
      <c r="CZ163" s="5">
        <f t="shared" si="318"/>
        <v>688.26357507680791</v>
      </c>
      <c r="DA163" s="6">
        <f t="shared" si="294"/>
        <v>4.8765271501536156E-6</v>
      </c>
      <c r="DB163" s="8">
        <f t="shared" si="295"/>
        <v>26.22667412460541</v>
      </c>
      <c r="DC163" s="7">
        <f t="shared" si="296"/>
        <v>1.2204453024821727E-2</v>
      </c>
      <c r="DD163" s="9">
        <f t="shared" si="297"/>
        <v>0.21030592646992691</v>
      </c>
    </row>
    <row r="164" spans="2:108" x14ac:dyDescent="0.25">
      <c r="B164">
        <v>145</v>
      </c>
      <c r="C164">
        <f t="shared" si="298"/>
        <v>0.14175412662006145</v>
      </c>
      <c r="D164" s="4">
        <f t="shared" si="215"/>
        <v>1017.6231164977725</v>
      </c>
      <c r="E164" s="6">
        <f t="shared" si="216"/>
        <v>5.5352462329955457E-6</v>
      </c>
      <c r="F164" s="8">
        <f t="shared" si="217"/>
        <v>27.591665839724385</v>
      </c>
      <c r="G164" s="7">
        <f t="shared" si="213"/>
        <v>1.3853025021974399E-2</v>
      </c>
      <c r="H164" s="9">
        <f t="shared" si="218"/>
        <v>0.19990184833490635</v>
      </c>
      <c r="I164" s="4">
        <f t="shared" si="299"/>
        <v>1017.2985233996058</v>
      </c>
      <c r="J164" s="6">
        <f t="shared" si="219"/>
        <v>5.534597046799212E-6</v>
      </c>
      <c r="K164" s="8">
        <f t="shared" si="220"/>
        <v>27.587933019095466</v>
      </c>
      <c r="L164" s="7">
        <f t="shared" si="221"/>
        <v>1.3851400307870784E-2</v>
      </c>
      <c r="M164" s="9">
        <f t="shared" si="222"/>
        <v>0.1999288963106538</v>
      </c>
      <c r="N164" s="4">
        <f t="shared" si="300"/>
        <v>1016.3926143395981</v>
      </c>
      <c r="O164" s="6">
        <f t="shared" si="223"/>
        <v>5.5327852286791967E-6</v>
      </c>
      <c r="P164" s="8">
        <f t="shared" si="224"/>
        <v>27.577515064905377</v>
      </c>
      <c r="Q164" s="7">
        <f t="shared" si="214"/>
        <v>1.3853025021974399E-2</v>
      </c>
      <c r="R164" s="9">
        <f t="shared" si="225"/>
        <v>0.2000044234231633</v>
      </c>
      <c r="S164" s="4">
        <f t="shared" si="301"/>
        <v>1014.8911063763504</v>
      </c>
      <c r="T164" s="6">
        <f t="shared" si="226"/>
        <v>5.5297822127527017E-6</v>
      </c>
      <c r="U164" s="8">
        <f t="shared" si="227"/>
        <v>27.560247723328029</v>
      </c>
      <c r="V164" s="7">
        <f t="shared" si="228"/>
        <v>1.3839350253778275E-2</v>
      </c>
      <c r="W164" s="9">
        <f t="shared" si="229"/>
        <v>0.20012973233659898</v>
      </c>
      <c r="X164" s="4">
        <f t="shared" si="302"/>
        <v>1012.7919490575803</v>
      </c>
      <c r="Y164" s="6">
        <f t="shared" si="230"/>
        <v>5.5255838981151608E-6</v>
      </c>
      <c r="Z164" s="8">
        <f t="shared" si="231"/>
        <v>27.536107414162174</v>
      </c>
      <c r="AA164" s="7">
        <f t="shared" si="232"/>
        <v>1.382884315883148E-2</v>
      </c>
      <c r="AB164" s="9">
        <f t="shared" si="233"/>
        <v>0.20030518173978518</v>
      </c>
      <c r="AC164" s="4">
        <f t="shared" si="303"/>
        <v>1010.0936872953977</v>
      </c>
      <c r="AD164" s="6">
        <f t="shared" si="234"/>
        <v>5.5201873745907956E-6</v>
      </c>
      <c r="AE164" s="8">
        <f t="shared" si="235"/>
        <v>27.505077403897072</v>
      </c>
      <c r="AF164" s="7">
        <f t="shared" si="236"/>
        <v>1.3815337314237055E-2</v>
      </c>
      <c r="AG164" s="9">
        <f t="shared" si="237"/>
        <v>0.20053115717531178</v>
      </c>
      <c r="AH164" s="4">
        <f t="shared" si="304"/>
        <v>1006.7960383479267</v>
      </c>
      <c r="AI164" s="6">
        <f t="shared" si="238"/>
        <v>5.5135920766958542E-6</v>
      </c>
      <c r="AJ164" s="8">
        <f t="shared" si="239"/>
        <v>27.467154441001156</v>
      </c>
      <c r="AK164" s="7">
        <f t="shared" si="240"/>
        <v>1.3798831304762468E-2</v>
      </c>
      <c r="AL164" s="9">
        <f t="shared" si="241"/>
        <v>0.2008080237014519</v>
      </c>
      <c r="AM164" s="4">
        <f t="shared" si="305"/>
        <v>1002.8989224380234</v>
      </c>
      <c r="AN164" s="6">
        <f t="shared" si="242"/>
        <v>5.5057978448760473E-6</v>
      </c>
      <c r="AO164" s="8">
        <f t="shared" si="243"/>
        <v>27.422337608037267</v>
      </c>
      <c r="AP164" s="7">
        <f t="shared" si="244"/>
        <v>1.3779324731092226E-2</v>
      </c>
      <c r="AQ164" s="9">
        <f t="shared" si="245"/>
        <v>0.20113620796439377</v>
      </c>
      <c r="AR164" s="4">
        <f t="shared" si="306"/>
        <v>998.40231583710295</v>
      </c>
      <c r="AS164" s="6">
        <f t="shared" si="246"/>
        <v>5.496804631674206E-6</v>
      </c>
      <c r="AT164" s="8">
        <f t="shared" si="247"/>
        <v>27.370626632126683</v>
      </c>
      <c r="AU164" s="7">
        <f t="shared" si="248"/>
        <v>1.375681747445558E-2</v>
      </c>
      <c r="AV164" s="9">
        <f t="shared" si="249"/>
        <v>0.20151621203754072</v>
      </c>
      <c r="AW164" s="4">
        <f t="shared" si="307"/>
        <v>993.30616051467939</v>
      </c>
      <c r="AX164" s="6">
        <f t="shared" si="250"/>
        <v>5.4866123210293592E-6</v>
      </c>
      <c r="AY164" s="8">
        <f t="shared" si="251"/>
        <v>27.312020845918813</v>
      </c>
      <c r="AZ164" s="7">
        <f t="shared" si="252"/>
        <v>1.3731309244387488E-2</v>
      </c>
      <c r="BA164" s="9">
        <f t="shared" si="253"/>
        <v>0.20194862295677363</v>
      </c>
      <c r="BB164" s="4">
        <f t="shared" si="308"/>
        <v>987.61010905607418</v>
      </c>
      <c r="BC164" s="6">
        <f t="shared" si="254"/>
        <v>5.4752202181121497E-6</v>
      </c>
      <c r="BD164" s="8">
        <f t="shared" si="255"/>
        <v>27.246516254144851</v>
      </c>
      <c r="BE164" s="7">
        <f t="shared" si="256"/>
        <v>1.3702798301942999E-2</v>
      </c>
      <c r="BF164" s="9">
        <f t="shared" si="257"/>
        <v>0.20243413684716263</v>
      </c>
      <c r="BG164" s="4">
        <f t="shared" si="309"/>
        <v>981.31222474982405</v>
      </c>
      <c r="BH164" s="6">
        <f t="shared" si="258"/>
        <v>5.4626244494996487E-6</v>
      </c>
      <c r="BI164" s="8">
        <f t="shared" si="259"/>
        <v>27.174090584622974</v>
      </c>
      <c r="BJ164" s="7">
        <f t="shared" si="260"/>
        <v>1.3671274953131552E-2</v>
      </c>
      <c r="BK164" s="9">
        <f t="shared" si="261"/>
        <v>0.20297367386863469</v>
      </c>
      <c r="BL164" s="4">
        <f t="shared" si="310"/>
        <v>974.40271982130537</v>
      </c>
      <c r="BM164" s="6">
        <f t="shared" si="262"/>
        <v>5.448805439642611E-6</v>
      </c>
      <c r="BN164" s="8">
        <f t="shared" si="263"/>
        <v>27.094631277945012</v>
      </c>
      <c r="BO164" s="7">
        <f t="shared" si="264"/>
        <v>1.3636690206352388E-2</v>
      </c>
      <c r="BP164" s="9">
        <f t="shared" si="265"/>
        <v>0.20356892638320234</v>
      </c>
      <c r="BQ164" s="4">
        <f t="shared" si="311"/>
        <v>966.83711157213543</v>
      </c>
      <c r="BR164" s="6">
        <f t="shared" si="266"/>
        <v>5.4336742231442713E-6</v>
      </c>
      <c r="BS164" s="8">
        <f t="shared" si="267"/>
        <v>27.007626783079559</v>
      </c>
      <c r="BT164" s="7">
        <f t="shared" si="268"/>
        <v>1.3598821408481229E-2</v>
      </c>
      <c r="BU164" s="9">
        <f t="shared" si="269"/>
        <v>0.20422471934689101</v>
      </c>
      <c r="BV164" s="4">
        <f t="shared" si="312"/>
        <v>958.43582872447007</v>
      </c>
      <c r="BW164" s="6">
        <f t="shared" si="270"/>
        <v>5.4168716574489408E-6</v>
      </c>
      <c r="BX164" s="8">
        <f t="shared" si="271"/>
        <v>26.911012030331406</v>
      </c>
      <c r="BY164" s="7">
        <f t="shared" si="272"/>
        <v>1.3556769735761908E-2</v>
      </c>
      <c r="BZ164" s="9">
        <f t="shared" si="273"/>
        <v>0.20495791811111891</v>
      </c>
      <c r="CA164" s="4">
        <f t="shared" si="313"/>
        <v>948.56512479401215</v>
      </c>
      <c r="CB164" s="6">
        <f t="shared" si="274"/>
        <v>5.397130249588025E-6</v>
      </c>
      <c r="CC164" s="8">
        <f t="shared" si="275"/>
        <v>26.797498935131138</v>
      </c>
      <c r="CD164" s="7">
        <f t="shared" si="276"/>
        <v>1.3507363041722524E-2</v>
      </c>
      <c r="CE164" s="9">
        <f t="shared" si="277"/>
        <v>0.20582611136030662</v>
      </c>
      <c r="CF164" s="4">
        <f t="shared" si="314"/>
        <v>935.31027335252224</v>
      </c>
      <c r="CG164" s="6">
        <f t="shared" si="278"/>
        <v>5.3706205467050445E-6</v>
      </c>
      <c r="CH164" s="8">
        <f t="shared" si="279"/>
        <v>26.645068143554006</v>
      </c>
      <c r="CI164" s="7">
        <f t="shared" si="280"/>
        <v>1.3441017379415051E-2</v>
      </c>
      <c r="CJ164" s="9">
        <f t="shared" si="281"/>
        <v>0.20700359895061271</v>
      </c>
      <c r="CK164" s="4">
        <f t="shared" si="315"/>
        <v>913.86158483426368</v>
      </c>
      <c r="CL164" s="6">
        <f t="shared" si="282"/>
        <v>5.327723169668527E-6</v>
      </c>
      <c r="CM164" s="8">
        <f t="shared" si="283"/>
        <v>26.398408225594032</v>
      </c>
      <c r="CN164" s="7">
        <f t="shared" si="284"/>
        <v>1.3333658390772128E-2</v>
      </c>
      <c r="CO164" s="9">
        <f t="shared" si="285"/>
        <v>0.20893778719023065</v>
      </c>
      <c r="CP164" s="4">
        <f t="shared" si="316"/>
        <v>874.60724357570246</v>
      </c>
      <c r="CQ164" s="6">
        <f t="shared" si="286"/>
        <v>5.2492144871514057E-6</v>
      </c>
      <c r="CR164" s="8">
        <f t="shared" si="287"/>
        <v>25.946983301120575</v>
      </c>
      <c r="CS164" s="7">
        <f t="shared" si="288"/>
        <v>1.3137175217743824E-2</v>
      </c>
      <c r="CT164" s="9">
        <f t="shared" si="289"/>
        <v>0.21257288124750118</v>
      </c>
      <c r="CU164" s="4">
        <f t="shared" si="317"/>
        <v>803.40139748332183</v>
      </c>
      <c r="CV164" s="6">
        <f t="shared" si="290"/>
        <v>5.1068027949666447E-6</v>
      </c>
      <c r="CW164" s="8">
        <f t="shared" si="291"/>
        <v>25.128116071058201</v>
      </c>
      <c r="CX164" s="7">
        <f t="shared" si="292"/>
        <v>1.2780762394860323E-2</v>
      </c>
      <c r="CY164" s="9">
        <f t="shared" si="293"/>
        <v>0.2195001401777481</v>
      </c>
      <c r="CZ164" s="5">
        <f t="shared" si="318"/>
        <v>687.5949821042492</v>
      </c>
      <c r="DA164" s="6">
        <f t="shared" si="294"/>
        <v>4.8751899642084988E-6</v>
      </c>
      <c r="DB164" s="8">
        <f t="shared" si="295"/>
        <v>26.36092759349512</v>
      </c>
      <c r="DC164" s="7">
        <f t="shared" si="296"/>
        <v>1.2201106458187288E-2</v>
      </c>
      <c r="DD164" s="9">
        <f t="shared" si="297"/>
        <v>0.20923486020882845</v>
      </c>
    </row>
    <row r="165" spans="2:108" x14ac:dyDescent="0.25">
      <c r="B165">
        <v>146</v>
      </c>
      <c r="C165">
        <f t="shared" si="298"/>
        <v>0.1427317412864067</v>
      </c>
      <c r="D165" s="4">
        <f t="shared" si="215"/>
        <v>1017.6065444139156</v>
      </c>
      <c r="E165" s="6">
        <f t="shared" si="216"/>
        <v>5.5352130888278316E-6</v>
      </c>
      <c r="F165" s="8">
        <f t="shared" si="217"/>
        <v>27.591475260760028</v>
      </c>
      <c r="G165" s="7">
        <f t="shared" si="213"/>
        <v>1.3852942072279779E-2</v>
      </c>
      <c r="H165" s="9">
        <f t="shared" si="218"/>
        <v>0.19990322909062413</v>
      </c>
      <c r="I165" s="4">
        <f t="shared" si="299"/>
        <v>1017.2819474257021</v>
      </c>
      <c r="J165" s="6">
        <f t="shared" si="219"/>
        <v>5.5345638948514045E-6</v>
      </c>
      <c r="K165" s="8">
        <f t="shared" si="220"/>
        <v>27.587742395395573</v>
      </c>
      <c r="L165" s="7">
        <f t="shared" si="221"/>
        <v>1.3851317338704976E-2</v>
      </c>
      <c r="M165" s="9">
        <f t="shared" si="222"/>
        <v>0.19993027776424954</v>
      </c>
      <c r="N165" s="4">
        <f t="shared" si="300"/>
        <v>1016.3760280358938</v>
      </c>
      <c r="O165" s="6">
        <f t="shared" si="223"/>
        <v>5.5327520560717881E-6</v>
      </c>
      <c r="P165" s="8">
        <f t="shared" si="224"/>
        <v>27.577324322412778</v>
      </c>
      <c r="Q165" s="7">
        <f t="shared" si="214"/>
        <v>1.3852942072279779E-2</v>
      </c>
      <c r="R165" s="9">
        <f t="shared" si="225"/>
        <v>0.20000580678225241</v>
      </c>
      <c r="S165" s="4">
        <f t="shared" si="301"/>
        <v>1014.8745138731866</v>
      </c>
      <c r="T165" s="6">
        <f t="shared" si="226"/>
        <v>5.5297490277463739E-6</v>
      </c>
      <c r="U165" s="8">
        <f t="shared" si="227"/>
        <v>27.560056909541643</v>
      </c>
      <c r="V165" s="7">
        <f t="shared" si="228"/>
        <v>1.383926720187712E-2</v>
      </c>
      <c r="W165" s="9">
        <f t="shared" si="229"/>
        <v>0.20013111794738059</v>
      </c>
      <c r="X165" s="4">
        <f t="shared" si="302"/>
        <v>1012.7753587955384</v>
      </c>
      <c r="Y165" s="6">
        <f t="shared" si="230"/>
        <v>5.5255507175910773E-6</v>
      </c>
      <c r="Z165" s="8">
        <f t="shared" si="231"/>
        <v>27.535916626148691</v>
      </c>
      <c r="AA165" s="7">
        <f t="shared" si="232"/>
        <v>1.3828760118148008E-2</v>
      </c>
      <c r="AB165" s="9">
        <f t="shared" si="233"/>
        <v>0.20030656959362833</v>
      </c>
      <c r="AC165" s="4">
        <f t="shared" si="303"/>
        <v>1010.0771069127051</v>
      </c>
      <c r="AD165" s="6">
        <f t="shared" si="234"/>
        <v>5.5201542138254107E-6</v>
      </c>
      <c r="AE165" s="8">
        <f t="shared" si="235"/>
        <v>27.504886729496107</v>
      </c>
      <c r="AF165" s="7">
        <f t="shared" si="236"/>
        <v>1.3815254323003552E-2</v>
      </c>
      <c r="AG165" s="9">
        <f t="shared" si="237"/>
        <v>0.20053254733403686</v>
      </c>
      <c r="AH165" s="4">
        <f t="shared" si="304"/>
        <v>1006.7794734338576</v>
      </c>
      <c r="AI165" s="6">
        <f t="shared" si="238"/>
        <v>5.5135589468677149E-6</v>
      </c>
      <c r="AJ165" s="8">
        <f t="shared" si="239"/>
        <v>27.466963944489361</v>
      </c>
      <c r="AK165" s="7">
        <f t="shared" si="240"/>
        <v>1.379874839095541E-2</v>
      </c>
      <c r="AL165" s="9">
        <f t="shared" si="241"/>
        <v>0.20080941640099209</v>
      </c>
      <c r="AM165" s="4">
        <f t="shared" si="305"/>
        <v>1002.8823771550303</v>
      </c>
      <c r="AN165" s="6">
        <f t="shared" si="242"/>
        <v>5.5057647543100604E-6</v>
      </c>
      <c r="AO165" s="8">
        <f t="shared" si="243"/>
        <v>27.422147337282848</v>
      </c>
      <c r="AP165" s="7">
        <f t="shared" si="244"/>
        <v>1.3779241915546303E-2</v>
      </c>
      <c r="AQ165" s="9">
        <f t="shared" si="245"/>
        <v>0.20113760356400015</v>
      </c>
      <c r="AR165" s="4">
        <f t="shared" si="306"/>
        <v>998.38579319853045</v>
      </c>
      <c r="AS165" s="6">
        <f t="shared" si="246"/>
        <v>5.4967715863970616E-6</v>
      </c>
      <c r="AT165" s="8">
        <f t="shared" si="247"/>
        <v>27.370436621783099</v>
      </c>
      <c r="AU165" s="7">
        <f t="shared" si="248"/>
        <v>1.3756734772253752E-2</v>
      </c>
      <c r="AV165" s="9">
        <f t="shared" si="249"/>
        <v>0.20151761099822288</v>
      </c>
      <c r="AW165" s="4">
        <f t="shared" si="307"/>
        <v>993.28965981784893</v>
      </c>
      <c r="AX165" s="6">
        <f t="shared" si="250"/>
        <v>5.4865793196356984E-6</v>
      </c>
      <c r="AY165" s="8">
        <f t="shared" si="251"/>
        <v>27.311831087905261</v>
      </c>
      <c r="AZ165" s="7">
        <f t="shared" si="252"/>
        <v>1.3731226652012568E-2</v>
      </c>
      <c r="BA165" s="9">
        <f t="shared" si="253"/>
        <v>0.20195002606187518</v>
      </c>
      <c r="BB165" s="4">
        <f t="shared" si="308"/>
        <v>987.5936105803147</v>
      </c>
      <c r="BC165" s="6">
        <f t="shared" si="254"/>
        <v>5.4751872211606294E-6</v>
      </c>
      <c r="BD165" s="8">
        <f t="shared" si="255"/>
        <v>27.246326521673616</v>
      </c>
      <c r="BE165" s="7">
        <f t="shared" si="256"/>
        <v>1.3702715720685396E-2</v>
      </c>
      <c r="BF165" s="9">
        <f t="shared" si="257"/>
        <v>0.20243554651716039</v>
      </c>
      <c r="BG165" s="4">
        <f t="shared" si="309"/>
        <v>981.29561765448568</v>
      </c>
      <c r="BH165" s="6">
        <f t="shared" si="258"/>
        <v>5.4625912353089719E-6</v>
      </c>
      <c r="BI165" s="8">
        <f t="shared" si="259"/>
        <v>27.173899603026584</v>
      </c>
      <c r="BJ165" s="7">
        <f t="shared" si="260"/>
        <v>1.3671191828190913E-2</v>
      </c>
      <c r="BK165" s="9">
        <f t="shared" si="261"/>
        <v>0.20297510039323466</v>
      </c>
      <c r="BL165" s="4">
        <f t="shared" si="310"/>
        <v>974.38550460490853</v>
      </c>
      <c r="BM165" s="6">
        <f t="shared" si="262"/>
        <v>5.4487710092098173E-6</v>
      </c>
      <c r="BN165" s="8">
        <f t="shared" si="263"/>
        <v>27.094433302956446</v>
      </c>
      <c r="BO165" s="7">
        <f t="shared" si="264"/>
        <v>1.3636604037530456E-2</v>
      </c>
      <c r="BP165" s="9">
        <f t="shared" si="265"/>
        <v>0.20357041383102686</v>
      </c>
      <c r="BQ165" s="4">
        <f t="shared" si="311"/>
        <v>966.81734141731624</v>
      </c>
      <c r="BR165" s="6">
        <f t="shared" si="266"/>
        <v>5.4336346828346326E-6</v>
      </c>
      <c r="BS165" s="8">
        <f t="shared" si="267"/>
        <v>27.007399426299138</v>
      </c>
      <c r="BT165" s="7">
        <f t="shared" si="268"/>
        <v>1.3598722451203495E-2</v>
      </c>
      <c r="BU165" s="9">
        <f t="shared" si="269"/>
        <v>0.20422643857479372</v>
      </c>
      <c r="BV165" s="4">
        <f t="shared" si="312"/>
        <v>958.40697234368599</v>
      </c>
      <c r="BW165" s="6">
        <f t="shared" si="270"/>
        <v>5.4168139446873725E-6</v>
      </c>
      <c r="BX165" s="8">
        <f t="shared" si="271"/>
        <v>26.910680181952387</v>
      </c>
      <c r="BY165" s="7">
        <f t="shared" si="272"/>
        <v>1.3556625298406016E-2</v>
      </c>
      <c r="BZ165" s="9">
        <f t="shared" si="273"/>
        <v>0.20496044554455548</v>
      </c>
      <c r="CA165" s="4">
        <f t="shared" si="313"/>
        <v>948.50879702461737</v>
      </c>
      <c r="CB165" s="6">
        <f t="shared" si="274"/>
        <v>5.3970175940492349E-6</v>
      </c>
      <c r="CC165" s="8">
        <f t="shared" si="275"/>
        <v>26.796851165783099</v>
      </c>
      <c r="CD165" s="7">
        <f t="shared" si="276"/>
        <v>1.3507081099432688E-2</v>
      </c>
      <c r="CE165" s="9">
        <f t="shared" si="277"/>
        <v>0.20583108686452317</v>
      </c>
      <c r="CF165" s="4">
        <f t="shared" si="314"/>
        <v>935.18495029533972</v>
      </c>
      <c r="CG165" s="6">
        <f t="shared" si="278"/>
        <v>5.3703699005906801E-6</v>
      </c>
      <c r="CH165" s="8">
        <f t="shared" si="279"/>
        <v>26.643626928396408</v>
      </c>
      <c r="CI165" s="7">
        <f t="shared" si="280"/>
        <v>1.344039008900234E-2</v>
      </c>
      <c r="CJ165" s="9">
        <f t="shared" si="281"/>
        <v>0.2070147962521395</v>
      </c>
      <c r="CK165" s="4">
        <f t="shared" si="315"/>
        <v>913.59827366859224</v>
      </c>
      <c r="CL165" s="6">
        <f t="shared" si="282"/>
        <v>5.3271965473371842E-6</v>
      </c>
      <c r="CM165" s="8">
        <f t="shared" si="283"/>
        <v>26.39538014718881</v>
      </c>
      <c r="CN165" s="7">
        <f t="shared" si="284"/>
        <v>1.333234041646238E-2</v>
      </c>
      <c r="CO165" s="9">
        <f t="shared" si="285"/>
        <v>0.20896175653630172</v>
      </c>
      <c r="CP165" s="4">
        <f t="shared" si="316"/>
        <v>874.14034710254452</v>
      </c>
      <c r="CQ165" s="6">
        <f t="shared" si="286"/>
        <v>5.2482806942050894E-6</v>
      </c>
      <c r="CR165" s="8">
        <f t="shared" si="287"/>
        <v>25.941613991679262</v>
      </c>
      <c r="CS165" s="7">
        <f t="shared" si="288"/>
        <v>1.3134838220163923E-2</v>
      </c>
      <c r="CT165" s="9">
        <f t="shared" si="289"/>
        <v>0.21261687887920658</v>
      </c>
      <c r="CU165" s="4">
        <f t="shared" si="317"/>
        <v>802.750934752803</v>
      </c>
      <c r="CV165" s="6">
        <f t="shared" si="290"/>
        <v>5.1055018695056062E-6</v>
      </c>
      <c r="CW165" s="8">
        <f t="shared" si="291"/>
        <v>25.120635749657232</v>
      </c>
      <c r="CX165" s="7">
        <f t="shared" si="292"/>
        <v>1.2777506577105358E-2</v>
      </c>
      <c r="CY165" s="9">
        <f t="shared" si="293"/>
        <v>0.21956550204248951</v>
      </c>
      <c r="CZ165" s="5">
        <f t="shared" si="318"/>
        <v>686.92954209593472</v>
      </c>
      <c r="DA165" s="6">
        <f t="shared" si="294"/>
        <v>4.8738590841918702E-6</v>
      </c>
      <c r="DB165" s="8">
        <f t="shared" si="295"/>
        <v>26.494547947164619</v>
      </c>
      <c r="DC165" s="7">
        <f t="shared" si="296"/>
        <v>1.2197775673359381E-2</v>
      </c>
      <c r="DD165" s="9">
        <f t="shared" si="297"/>
        <v>0.20817962287936559</v>
      </c>
    </row>
    <row r="166" spans="2:108" x14ac:dyDescent="0.25">
      <c r="B166">
        <v>147</v>
      </c>
      <c r="C166">
        <f t="shared" si="298"/>
        <v>0.14370935595275197</v>
      </c>
      <c r="D166" s="4">
        <f t="shared" si="215"/>
        <v>1017.5899721314526</v>
      </c>
      <c r="E166" s="6">
        <f t="shared" si="216"/>
        <v>5.5351799442629055E-6</v>
      </c>
      <c r="F166" s="8">
        <f t="shared" si="217"/>
        <v>27.591284679511702</v>
      </c>
      <c r="G166" s="7">
        <f t="shared" si="213"/>
        <v>1.385285912159106E-2</v>
      </c>
      <c r="H166" s="9">
        <f t="shared" si="218"/>
        <v>0.19990460988196412</v>
      </c>
      <c r="I166" s="4">
        <f t="shared" si="299"/>
        <v>1017.2653713633529</v>
      </c>
      <c r="J166" s="6">
        <f t="shared" si="219"/>
        <v>5.5345307427267069E-6</v>
      </c>
      <c r="K166" s="8">
        <f t="shared" si="220"/>
        <v>27.587551770678559</v>
      </c>
      <c r="L166" s="7">
        <f t="shared" si="221"/>
        <v>1.3851234369096464E-2</v>
      </c>
      <c r="M166" s="9">
        <f t="shared" si="222"/>
        <v>0.19993165924430759</v>
      </c>
      <c r="N166" s="4">
        <f t="shared" si="300"/>
        <v>1016.3594418315143</v>
      </c>
      <c r="O166" s="6">
        <f t="shared" si="223"/>
        <v>5.532718883663029E-6</v>
      </c>
      <c r="P166" s="8">
        <f t="shared" si="224"/>
        <v>27.577133581062412</v>
      </c>
      <c r="Q166" s="7">
        <f t="shared" si="214"/>
        <v>1.385285912159106E-2</v>
      </c>
      <c r="R166" s="9">
        <f t="shared" si="225"/>
        <v>0.20000719015219384</v>
      </c>
      <c r="S166" s="4">
        <f t="shared" si="301"/>
        <v>1014.8579215771649</v>
      </c>
      <c r="T166" s="6">
        <f t="shared" si="226"/>
        <v>5.52971584315433E-6</v>
      </c>
      <c r="U166" s="8">
        <f t="shared" si="227"/>
        <v>27.559866098137398</v>
      </c>
      <c r="V166" s="7">
        <f t="shared" si="228"/>
        <v>1.383918415101279E-2</v>
      </c>
      <c r="W166" s="9">
        <f t="shared" si="229"/>
        <v>0.20013250356005058</v>
      </c>
      <c r="X166" s="4">
        <f t="shared" si="302"/>
        <v>1012.7587687597305</v>
      </c>
      <c r="Y166" s="6">
        <f t="shared" si="230"/>
        <v>5.5255175375194619E-6</v>
      </c>
      <c r="Z166" s="8">
        <f t="shared" si="231"/>
        <v>27.535725840736902</v>
      </c>
      <c r="AA166" s="7">
        <f t="shared" si="232"/>
        <v>1.3828677078596927E-2</v>
      </c>
      <c r="AB166" s="9">
        <f t="shared" si="233"/>
        <v>0.20030795744777768</v>
      </c>
      <c r="AC166" s="4">
        <f t="shared" si="303"/>
        <v>1010.0605267419203</v>
      </c>
      <c r="AD166" s="6">
        <f t="shared" si="234"/>
        <v>5.5201210534838412E-6</v>
      </c>
      <c r="AE166" s="8">
        <f t="shared" si="235"/>
        <v>27.504696057532083</v>
      </c>
      <c r="AF166" s="7">
        <f t="shared" si="236"/>
        <v>1.3815171332830729E-2</v>
      </c>
      <c r="AG166" s="9">
        <f t="shared" si="237"/>
        <v>0.20053393749426879</v>
      </c>
      <c r="AH166" s="4">
        <f t="shared" si="304"/>
        <v>1006.7629087172102</v>
      </c>
      <c r="AI166" s="6">
        <f t="shared" si="238"/>
        <v>5.5135258174344209E-6</v>
      </c>
      <c r="AJ166" s="8">
        <f t="shared" si="239"/>
        <v>27.466773450247914</v>
      </c>
      <c r="AK166" s="7">
        <f t="shared" si="240"/>
        <v>1.3798665478136529E-2</v>
      </c>
      <c r="AL166" s="9">
        <f t="shared" si="241"/>
        <v>0.20081080910325186</v>
      </c>
      <c r="AM166" s="4">
        <f t="shared" si="305"/>
        <v>1002.8658320547008</v>
      </c>
      <c r="AN166" s="6">
        <f t="shared" si="242"/>
        <v>5.5057316641094021E-6</v>
      </c>
      <c r="AO166" s="8">
        <f t="shared" si="243"/>
        <v>27.421957068629059</v>
      </c>
      <c r="AP166" s="7">
        <f t="shared" si="244"/>
        <v>1.3779159100914685E-2</v>
      </c>
      <c r="AQ166" s="9">
        <f t="shared" si="245"/>
        <v>0.20113899916756561</v>
      </c>
      <c r="AR166" s="4">
        <f t="shared" si="306"/>
        <v>998.36927068797581</v>
      </c>
      <c r="AS166" s="6">
        <f t="shared" si="246"/>
        <v>5.4967385413759524E-6</v>
      </c>
      <c r="AT166" s="8">
        <f t="shared" si="247"/>
        <v>27.370246612911721</v>
      </c>
      <c r="AU166" s="7">
        <f t="shared" si="248"/>
        <v>1.3756652070692699E-2</v>
      </c>
      <c r="AV166" s="9">
        <f t="shared" si="249"/>
        <v>0.20151900996748939</v>
      </c>
      <c r="AW166" s="4">
        <f t="shared" si="307"/>
        <v>993.27315896739219</v>
      </c>
      <c r="AX166" s="6">
        <f t="shared" si="250"/>
        <v>5.4865463179347848E-6</v>
      </c>
      <c r="AY166" s="8">
        <f t="shared" si="251"/>
        <v>27.31164132812501</v>
      </c>
      <c r="AZ166" s="7">
        <f t="shared" si="252"/>
        <v>1.3731144058868692E-2</v>
      </c>
      <c r="BA166" s="9">
        <f t="shared" si="253"/>
        <v>0.20195142919953749</v>
      </c>
      <c r="BB166" s="4">
        <f t="shared" si="308"/>
        <v>987.57711060877568</v>
      </c>
      <c r="BC166" s="6">
        <f t="shared" si="254"/>
        <v>5.4751542212175515E-6</v>
      </c>
      <c r="BD166" s="8">
        <f t="shared" si="255"/>
        <v>27.24613677200092</v>
      </c>
      <c r="BE166" s="7">
        <f t="shared" si="256"/>
        <v>1.3702633131940842E-2</v>
      </c>
      <c r="BF166" s="9">
        <f t="shared" si="257"/>
        <v>0.20243695633459671</v>
      </c>
      <c r="BG166" s="4">
        <f t="shared" si="309"/>
        <v>981.27900336833602</v>
      </c>
      <c r="BH166" s="6">
        <f t="shared" si="258"/>
        <v>5.4625580067366734E-6</v>
      </c>
      <c r="BI166" s="8">
        <f t="shared" si="259"/>
        <v>27.173708538735863</v>
      </c>
      <c r="BJ166" s="7">
        <f t="shared" si="260"/>
        <v>1.3671108667257483E-2</v>
      </c>
      <c r="BK166" s="9">
        <f t="shared" si="261"/>
        <v>0.20297652755557929</v>
      </c>
      <c r="BL166" s="4">
        <f t="shared" si="310"/>
        <v>974.36826107630691</v>
      </c>
      <c r="BM166" s="6">
        <f t="shared" si="262"/>
        <v>5.4487365221526143E-6</v>
      </c>
      <c r="BN166" s="8">
        <f t="shared" si="263"/>
        <v>27.09423500237753</v>
      </c>
      <c r="BO166" s="7">
        <f t="shared" si="264"/>
        <v>1.3636517726994979E-2</v>
      </c>
      <c r="BP166" s="9">
        <f t="shared" si="265"/>
        <v>0.20357190374690415</v>
      </c>
      <c r="BQ166" s="4">
        <f t="shared" si="311"/>
        <v>966.79747621803563</v>
      </c>
      <c r="BR166" s="6">
        <f t="shared" si="266"/>
        <v>5.4335949524360715E-6</v>
      </c>
      <c r="BS166" s="8">
        <f t="shared" si="267"/>
        <v>27.00717097650741</v>
      </c>
      <c r="BT166" s="7">
        <f t="shared" si="268"/>
        <v>1.3598623018191442E-2</v>
      </c>
      <c r="BU166" s="9">
        <f t="shared" si="269"/>
        <v>0.20422816609699138</v>
      </c>
      <c r="BV166" s="4">
        <f t="shared" si="312"/>
        <v>958.3778484062442</v>
      </c>
      <c r="BW166" s="6">
        <f t="shared" si="270"/>
        <v>5.416755696812489E-6</v>
      </c>
      <c r="BX166" s="8">
        <f t="shared" si="271"/>
        <v>26.910345256671807</v>
      </c>
      <c r="BY166" s="7">
        <f t="shared" si="272"/>
        <v>1.3556479521825487E-2</v>
      </c>
      <c r="BZ166" s="9">
        <f t="shared" si="273"/>
        <v>0.20496299647558502</v>
      </c>
      <c r="CA166" s="4">
        <f t="shared" si="313"/>
        <v>948.45186335141796</v>
      </c>
      <c r="CB166" s="6">
        <f t="shared" si="274"/>
        <v>5.3969037267028367E-6</v>
      </c>
      <c r="CC166" s="8">
        <f t="shared" si="275"/>
        <v>26.796196428541307</v>
      </c>
      <c r="CD166" s="7">
        <f t="shared" si="276"/>
        <v>1.3506796124359777E-2</v>
      </c>
      <c r="CE166" s="9">
        <f t="shared" si="277"/>
        <v>0.20583611613345124</v>
      </c>
      <c r="CF166" s="4">
        <f t="shared" si="314"/>
        <v>935.05861064520548</v>
      </c>
      <c r="CG166" s="6">
        <f t="shared" si="278"/>
        <v>5.3701172212904113E-6</v>
      </c>
      <c r="CH166" s="8">
        <f t="shared" si="279"/>
        <v>26.642174022419862</v>
      </c>
      <c r="CI166" s="7">
        <f t="shared" si="280"/>
        <v>1.3439757710148388E-2</v>
      </c>
      <c r="CJ166" s="9">
        <f t="shared" si="281"/>
        <v>0.20702608560992447</v>
      </c>
      <c r="CK166" s="4">
        <f t="shared" si="315"/>
        <v>913.33395826188871</v>
      </c>
      <c r="CL166" s="6">
        <f t="shared" si="282"/>
        <v>5.3266679165237783E-6</v>
      </c>
      <c r="CM166" s="8">
        <f t="shared" si="283"/>
        <v>26.392340520011722</v>
      </c>
      <c r="CN166" s="7">
        <f t="shared" si="284"/>
        <v>1.3331017415537534E-2</v>
      </c>
      <c r="CO166" s="9">
        <f t="shared" si="285"/>
        <v>0.20898582283059866</v>
      </c>
      <c r="CP166" s="4">
        <f t="shared" si="316"/>
        <v>873.67362047041502</v>
      </c>
      <c r="CQ166" s="6">
        <f t="shared" si="286"/>
        <v>5.2473472409408308E-6</v>
      </c>
      <c r="CR166" s="8">
        <f t="shared" si="287"/>
        <v>25.936246635409773</v>
      </c>
      <c r="CS166" s="7">
        <f t="shared" si="288"/>
        <v>1.3132502072704118E-2</v>
      </c>
      <c r="CT166" s="9">
        <f t="shared" si="289"/>
        <v>0.21266087871287154</v>
      </c>
      <c r="CU166" s="4">
        <f t="shared" si="317"/>
        <v>802.10273309288368</v>
      </c>
      <c r="CV166" s="6">
        <f t="shared" si="290"/>
        <v>5.1042054661857682E-6</v>
      </c>
      <c r="CW166" s="8">
        <f t="shared" si="291"/>
        <v>25.113181430568162</v>
      </c>
      <c r="CX166" s="7">
        <f t="shared" si="292"/>
        <v>1.277426207688399E-2</v>
      </c>
      <c r="CY166" s="9">
        <f t="shared" si="293"/>
        <v>0.21963067543828971</v>
      </c>
      <c r="CZ166" s="5">
        <f t="shared" si="318"/>
        <v>686.26721860566079</v>
      </c>
      <c r="DA166" s="6">
        <f t="shared" si="294"/>
        <v>4.8725344372113218E-6</v>
      </c>
      <c r="DB166" s="8">
        <f t="shared" si="295"/>
        <v>26.627542504011558</v>
      </c>
      <c r="DC166" s="7">
        <f t="shared" si="296"/>
        <v>1.219446048791064E-2</v>
      </c>
      <c r="DD166" s="9">
        <f t="shared" si="297"/>
        <v>0.2071398439855667</v>
      </c>
    </row>
    <row r="167" spans="2:108" x14ac:dyDescent="0.25">
      <c r="B167">
        <v>148</v>
      </c>
      <c r="C167">
        <f t="shared" si="298"/>
        <v>0.14468697061909722</v>
      </c>
      <c r="D167" s="4">
        <f t="shared" si="215"/>
        <v>1017.5733996560076</v>
      </c>
      <c r="E167" s="6">
        <f t="shared" si="216"/>
        <v>5.5351467993120154E-6</v>
      </c>
      <c r="F167" s="8">
        <f t="shared" si="217"/>
        <v>27.591094096044088</v>
      </c>
      <c r="G167" s="7">
        <f t="shared" si="213"/>
        <v>1.385277616993639E-2</v>
      </c>
      <c r="H167" s="9">
        <f t="shared" si="218"/>
        <v>0.19990599070845874</v>
      </c>
      <c r="I167" s="4">
        <f t="shared" si="299"/>
        <v>1017.2487952156999</v>
      </c>
      <c r="J167" s="6">
        <f t="shared" si="219"/>
        <v>5.5344975904314007E-6</v>
      </c>
      <c r="K167" s="8">
        <f t="shared" si="220"/>
        <v>27.587361144980548</v>
      </c>
      <c r="L167" s="7">
        <f t="shared" si="221"/>
        <v>1.3851151399060973E-2</v>
      </c>
      <c r="M167" s="9">
        <f t="shared" si="222"/>
        <v>0.19993304075056684</v>
      </c>
      <c r="N167" s="4">
        <f t="shared" si="300"/>
        <v>1016.3428557263765</v>
      </c>
      <c r="O167" s="6">
        <f t="shared" si="223"/>
        <v>5.5326857114527534E-6</v>
      </c>
      <c r="P167" s="8">
        <f t="shared" si="224"/>
        <v>27.576942840853327</v>
      </c>
      <c r="Q167" s="7">
        <f t="shared" si="214"/>
        <v>1.385277616993639E-2</v>
      </c>
      <c r="R167" s="9">
        <f t="shared" si="225"/>
        <v>0.20000857353299453</v>
      </c>
      <c r="S167" s="4">
        <f t="shared" si="301"/>
        <v>1014.8413294873492</v>
      </c>
      <c r="T167" s="6">
        <f t="shared" si="226"/>
        <v>5.5296826589746988E-6</v>
      </c>
      <c r="U167" s="8">
        <f t="shared" si="227"/>
        <v>27.559675289104515</v>
      </c>
      <c r="V167" s="7">
        <f t="shared" si="228"/>
        <v>1.3839101101180603E-2</v>
      </c>
      <c r="W167" s="9">
        <f t="shared" si="229"/>
        <v>0.20013388917468689</v>
      </c>
      <c r="X167" s="4">
        <f t="shared" si="302"/>
        <v>1012.7421789496995</v>
      </c>
      <c r="Y167" s="6">
        <f t="shared" si="230"/>
        <v>5.5254843578993988E-6</v>
      </c>
      <c r="Z167" s="8">
        <f t="shared" si="231"/>
        <v>27.535535057921543</v>
      </c>
      <c r="AA167" s="7">
        <f t="shared" si="232"/>
        <v>1.3828594040175939E-2</v>
      </c>
      <c r="AB167" s="9">
        <f t="shared" si="233"/>
        <v>0.20030934530227118</v>
      </c>
      <c r="AC167" s="4">
        <f t="shared" si="303"/>
        <v>1010.0439467829984</v>
      </c>
      <c r="AD167" s="6">
        <f t="shared" si="234"/>
        <v>5.5200878935659975E-6</v>
      </c>
      <c r="AE167" s="8">
        <f t="shared" si="235"/>
        <v>27.504505388004482</v>
      </c>
      <c r="AF167" s="7">
        <f t="shared" si="236"/>
        <v>1.3815088343718361E-2</v>
      </c>
      <c r="AG167" s="9">
        <f t="shared" si="237"/>
        <v>0.20053532765601104</v>
      </c>
      <c r="AH167" s="4">
        <f t="shared" si="304"/>
        <v>1006.7463441979447</v>
      </c>
      <c r="AI167" s="6">
        <f t="shared" si="238"/>
        <v>5.51349268839589E-6</v>
      </c>
      <c r="AJ167" s="8">
        <f t="shared" si="239"/>
        <v>27.466582958276362</v>
      </c>
      <c r="AK167" s="7">
        <f t="shared" si="240"/>
        <v>1.3798582566305617E-2</v>
      </c>
      <c r="AL167" s="9">
        <f t="shared" si="241"/>
        <v>0.20081220180823423</v>
      </c>
      <c r="AM167" s="4">
        <f t="shared" si="305"/>
        <v>1002.8492871364141</v>
      </c>
      <c r="AN167" s="6">
        <f t="shared" si="242"/>
        <v>5.5056985742728282E-6</v>
      </c>
      <c r="AO167" s="8">
        <f t="shared" si="243"/>
        <v>27.42176680206876</v>
      </c>
      <c r="AP167" s="7">
        <f t="shared" si="244"/>
        <v>1.3779076287194257E-2</v>
      </c>
      <c r="AQ167" s="9">
        <f t="shared" si="245"/>
        <v>0.20114039477514223</v>
      </c>
      <c r="AR167" s="4">
        <f t="shared" si="306"/>
        <v>998.35274830202025</v>
      </c>
      <c r="AS167" s="6">
        <f t="shared" si="246"/>
        <v>5.4967054966040411E-6</v>
      </c>
      <c r="AT167" s="8">
        <f t="shared" si="247"/>
        <v>27.370056605473231</v>
      </c>
      <c r="AU167" s="7">
        <f t="shared" si="248"/>
        <v>1.3756569369755313E-2</v>
      </c>
      <c r="AV167" s="9">
        <f t="shared" si="249"/>
        <v>0.20152040894562975</v>
      </c>
      <c r="AW167" s="4">
        <f t="shared" si="307"/>
        <v>993.25665794748147</v>
      </c>
      <c r="AX167" s="6">
        <f t="shared" si="250"/>
        <v>5.4865133158949632E-6</v>
      </c>
      <c r="AY167" s="8">
        <f t="shared" si="251"/>
        <v>27.311451566396038</v>
      </c>
      <c r="AZ167" s="7">
        <f t="shared" si="252"/>
        <v>1.373106146487663E-2</v>
      </c>
      <c r="BA167" s="9">
        <f t="shared" si="253"/>
        <v>0.20195283237110748</v>
      </c>
      <c r="BB167" s="4">
        <f t="shared" si="308"/>
        <v>987.5606090768764</v>
      </c>
      <c r="BC167" s="6">
        <f t="shared" si="254"/>
        <v>5.4751212181537526E-6</v>
      </c>
      <c r="BD167" s="8">
        <f t="shared" si="255"/>
        <v>27.245947004384078</v>
      </c>
      <c r="BE167" s="7">
        <f t="shared" si="256"/>
        <v>1.370255053538608E-2</v>
      </c>
      <c r="BF167" s="9">
        <f t="shared" si="257"/>
        <v>0.20243836630499554</v>
      </c>
      <c r="BG167" s="4">
        <f t="shared" si="309"/>
        <v>981.26238166338942</v>
      </c>
      <c r="BH167" s="6">
        <f t="shared" si="258"/>
        <v>5.4625247633267793E-6</v>
      </c>
      <c r="BI167" s="8">
        <f t="shared" si="259"/>
        <v>27.173517389128978</v>
      </c>
      <c r="BJ167" s="7">
        <f t="shared" si="260"/>
        <v>1.36710254691901E-2</v>
      </c>
      <c r="BK167" s="9">
        <f t="shared" si="261"/>
        <v>0.20297795537527938</v>
      </c>
      <c r="BL167" s="4">
        <f t="shared" si="310"/>
        <v>974.35098856230206</v>
      </c>
      <c r="BM167" s="6">
        <f t="shared" si="262"/>
        <v>5.4487019771246052E-6</v>
      </c>
      <c r="BN167" s="8">
        <f t="shared" si="263"/>
        <v>27.094036368466472</v>
      </c>
      <c r="BO167" s="7">
        <f t="shared" si="264"/>
        <v>1.3636431271376339E-2</v>
      </c>
      <c r="BP167" s="9">
        <f t="shared" si="265"/>
        <v>0.20357339618911072</v>
      </c>
      <c r="BQ167" s="4">
        <f t="shared" si="311"/>
        <v>966.77751440777149</v>
      </c>
      <c r="BR167" s="6">
        <f t="shared" si="266"/>
        <v>5.4335550288155435E-6</v>
      </c>
      <c r="BS167" s="8">
        <f t="shared" si="267"/>
        <v>27.006941415689372</v>
      </c>
      <c r="BT167" s="7">
        <f t="shared" si="268"/>
        <v>1.359852310160402E-2</v>
      </c>
      <c r="BU167" s="9">
        <f t="shared" si="269"/>
        <v>0.20422990205013594</v>
      </c>
      <c r="BV167" s="4">
        <f t="shared" si="312"/>
        <v>958.34845441389052</v>
      </c>
      <c r="BW167" s="6">
        <f t="shared" si="270"/>
        <v>5.4166969088277811E-6</v>
      </c>
      <c r="BX167" s="8">
        <f t="shared" si="271"/>
        <v>26.910007225759742</v>
      </c>
      <c r="BY167" s="7">
        <f t="shared" si="272"/>
        <v>1.3556332393515585E-2</v>
      </c>
      <c r="BZ167" s="9">
        <f t="shared" si="273"/>
        <v>0.20496557112478736</v>
      </c>
      <c r="CA167" s="4">
        <f t="shared" si="313"/>
        <v>948.3943224740301</v>
      </c>
      <c r="CB167" s="6">
        <f t="shared" si="274"/>
        <v>5.3967886449480616E-6</v>
      </c>
      <c r="CC167" s="8">
        <f t="shared" si="275"/>
        <v>26.795534708451346</v>
      </c>
      <c r="CD167" s="7">
        <f t="shared" si="276"/>
        <v>1.3506508109994856E-2</v>
      </c>
      <c r="CE167" s="9">
        <f t="shared" si="277"/>
        <v>0.2058411992898341</v>
      </c>
      <c r="CF167" s="4">
        <f t="shared" si="314"/>
        <v>934.93126001946473</v>
      </c>
      <c r="CG167" s="6">
        <f t="shared" si="278"/>
        <v>5.3698625200389301E-6</v>
      </c>
      <c r="CH167" s="8">
        <f t="shared" si="279"/>
        <v>26.640709490223841</v>
      </c>
      <c r="CI167" s="7">
        <f t="shared" si="280"/>
        <v>1.3439120270970188E-2</v>
      </c>
      <c r="CJ167" s="9">
        <f t="shared" si="281"/>
        <v>0.20703746655185859</v>
      </c>
      <c r="CK167" s="4">
        <f t="shared" si="315"/>
        <v>913.06865489131701</v>
      </c>
      <c r="CL167" s="6">
        <f t="shared" si="282"/>
        <v>5.3261373097826341E-6</v>
      </c>
      <c r="CM167" s="8">
        <f t="shared" si="283"/>
        <v>26.389289531250142</v>
      </c>
      <c r="CN167" s="7">
        <f t="shared" si="284"/>
        <v>1.3329689469471093E-2</v>
      </c>
      <c r="CO167" s="9">
        <f t="shared" si="285"/>
        <v>0.2090099846556463</v>
      </c>
      <c r="CP167" s="4">
        <f t="shared" si="316"/>
        <v>873.20707726222122</v>
      </c>
      <c r="CQ167" s="6">
        <f t="shared" si="286"/>
        <v>5.2464141545244427E-6</v>
      </c>
      <c r="CR167" s="8">
        <f t="shared" si="287"/>
        <v>25.930881388515544</v>
      </c>
      <c r="CS167" s="7">
        <f t="shared" si="288"/>
        <v>1.3130166843352109E-2</v>
      </c>
      <c r="CT167" s="9">
        <f t="shared" si="289"/>
        <v>0.2127048794586211</v>
      </c>
      <c r="CU167" s="4">
        <f t="shared" si="317"/>
        <v>801.45677648725371</v>
      </c>
      <c r="CV167" s="6">
        <f t="shared" si="290"/>
        <v>5.1029135529745079E-6</v>
      </c>
      <c r="CW167" s="8">
        <f t="shared" si="291"/>
        <v>25.105752929603419</v>
      </c>
      <c r="CX167" s="7">
        <f t="shared" si="292"/>
        <v>1.2771028814028378E-2</v>
      </c>
      <c r="CY167" s="9">
        <f t="shared" si="293"/>
        <v>0.21969566160655782</v>
      </c>
      <c r="CZ167" s="5">
        <f t="shared" si="318"/>
        <v>685.60797589845004</v>
      </c>
      <c r="DA167" s="6">
        <f t="shared" si="294"/>
        <v>4.8712159517969005E-6</v>
      </c>
      <c r="DB167" s="8">
        <f t="shared" si="295"/>
        <v>26.75991843961944</v>
      </c>
      <c r="DC167" s="7">
        <f t="shared" si="296"/>
        <v>1.2191160722973677E-2</v>
      </c>
      <c r="DD167" s="9">
        <f t="shared" si="297"/>
        <v>0.20611516482927064</v>
      </c>
    </row>
    <row r="168" spans="2:108" x14ac:dyDescent="0.25">
      <c r="B168">
        <v>149</v>
      </c>
      <c r="C168">
        <f t="shared" si="298"/>
        <v>0.14566458528544246</v>
      </c>
      <c r="D168" s="4">
        <f t="shared" si="215"/>
        <v>1017.5568269930783</v>
      </c>
      <c r="E168" s="6">
        <f t="shared" si="216"/>
        <v>5.5351136539861564E-6</v>
      </c>
      <c r="F168" s="8">
        <f t="shared" si="217"/>
        <v>27.5909035104204</v>
      </c>
      <c r="G168" s="7">
        <f t="shared" si="213"/>
        <v>1.3852693217343287E-2</v>
      </c>
      <c r="H168" s="9">
        <f t="shared" si="218"/>
        <v>0.19990737156965102</v>
      </c>
      <c r="I168" s="4">
        <f t="shared" si="299"/>
        <v>1017.2322189858356</v>
      </c>
      <c r="J168" s="6">
        <f t="shared" si="219"/>
        <v>5.5344644379716711E-6</v>
      </c>
      <c r="K168" s="8">
        <f t="shared" si="220"/>
        <v>27.587170518337111</v>
      </c>
      <c r="L168" s="7">
        <f t="shared" si="221"/>
        <v>1.3851068428613977E-2</v>
      </c>
      <c r="M168" s="9">
        <f t="shared" si="222"/>
        <v>0.1999344222827702</v>
      </c>
      <c r="N168" s="4">
        <f t="shared" si="300"/>
        <v>1016.3262697204154</v>
      </c>
      <c r="O168" s="6">
        <f t="shared" si="223"/>
        <v>5.532652539440831E-6</v>
      </c>
      <c r="P168" s="8">
        <f t="shared" si="224"/>
        <v>27.576752101784777</v>
      </c>
      <c r="Q168" s="7">
        <f t="shared" si="214"/>
        <v>1.3852693217343287E-2</v>
      </c>
      <c r="R168" s="9">
        <f t="shared" si="225"/>
        <v>0.20000995692465998</v>
      </c>
      <c r="S168" s="4">
        <f t="shared" si="301"/>
        <v>1014.8247376028207</v>
      </c>
      <c r="T168" s="6">
        <f t="shared" si="226"/>
        <v>5.5296494752056422E-6</v>
      </c>
      <c r="U168" s="8">
        <f t="shared" si="227"/>
        <v>27.559484482432438</v>
      </c>
      <c r="V168" s="7">
        <f t="shared" si="228"/>
        <v>1.3839018052375958E-2</v>
      </c>
      <c r="W168" s="9">
        <f t="shared" si="229"/>
        <v>0.20013527479136589</v>
      </c>
      <c r="X168" s="4">
        <f t="shared" si="302"/>
        <v>1012.725589364989</v>
      </c>
      <c r="Y168" s="6">
        <f t="shared" si="230"/>
        <v>5.5254511787299785E-6</v>
      </c>
      <c r="Z168" s="8">
        <f t="shared" si="231"/>
        <v>27.535344277697373</v>
      </c>
      <c r="AA168" s="7">
        <f t="shared" si="232"/>
        <v>1.3828511002882774E-2</v>
      </c>
      <c r="AB168" s="9">
        <f t="shared" si="233"/>
        <v>0.20031073315714654</v>
      </c>
      <c r="AC168" s="4">
        <f t="shared" si="303"/>
        <v>1010.0273670358898</v>
      </c>
      <c r="AD168" s="6">
        <f t="shared" si="234"/>
        <v>5.5200547340717803E-6</v>
      </c>
      <c r="AE168" s="8">
        <f t="shared" si="235"/>
        <v>27.504314720912731</v>
      </c>
      <c r="AF168" s="7">
        <f t="shared" si="236"/>
        <v>1.3815005355666198E-2</v>
      </c>
      <c r="AG168" s="9">
        <f t="shared" si="237"/>
        <v>0.20053671781926743</v>
      </c>
      <c r="AH168" s="4">
        <f t="shared" si="304"/>
        <v>1006.7297798760126</v>
      </c>
      <c r="AI168" s="6">
        <f t="shared" si="238"/>
        <v>5.5134595597520257E-6</v>
      </c>
      <c r="AJ168" s="8">
        <f t="shared" si="239"/>
        <v>27.466392468574142</v>
      </c>
      <c r="AK168" s="7">
        <f t="shared" si="240"/>
        <v>1.3798499655462435E-2</v>
      </c>
      <c r="AL168" s="9">
        <f t="shared" si="241"/>
        <v>0.20081359451594305</v>
      </c>
      <c r="AM168" s="4">
        <f t="shared" si="305"/>
        <v>1002.832742399515</v>
      </c>
      <c r="AN168" s="6">
        <f t="shared" si="242"/>
        <v>5.505665484799031E-6</v>
      </c>
      <c r="AO168" s="8">
        <f t="shared" si="243"/>
        <v>27.421576537594422</v>
      </c>
      <c r="AP168" s="7">
        <f t="shared" si="244"/>
        <v>1.3778993474381752E-2</v>
      </c>
      <c r="AQ168" s="9">
        <f t="shared" si="245"/>
        <v>0.20114179038678504</v>
      </c>
      <c r="AR168" s="4">
        <f t="shared" si="306"/>
        <v>998.33622603709932</v>
      </c>
      <c r="AS168" s="6">
        <f t="shared" si="246"/>
        <v>5.4966724520741991E-6</v>
      </c>
      <c r="AT168" s="8">
        <f t="shared" si="247"/>
        <v>27.369866599426643</v>
      </c>
      <c r="AU168" s="7">
        <f t="shared" si="248"/>
        <v>1.3756486669423753E-2</v>
      </c>
      <c r="AV168" s="9">
        <f t="shared" si="249"/>
        <v>0.20152180793294563</v>
      </c>
      <c r="AW168" s="4">
        <f t="shared" si="307"/>
        <v>993.24015674174268</v>
      </c>
      <c r="AX168" s="6">
        <f t="shared" si="250"/>
        <v>5.4864803134834855E-6</v>
      </c>
      <c r="AY168" s="8">
        <f t="shared" si="251"/>
        <v>27.311261802530041</v>
      </c>
      <c r="AZ168" s="7">
        <f t="shared" si="252"/>
        <v>1.3730978869954428E-2</v>
      </c>
      <c r="BA168" s="9">
        <f t="shared" si="253"/>
        <v>0.20195423557797859</v>
      </c>
      <c r="BB168" s="4">
        <f t="shared" si="308"/>
        <v>987.54410591831731</v>
      </c>
      <c r="BC168" s="6">
        <f t="shared" si="254"/>
        <v>5.4750882118366356E-6</v>
      </c>
      <c r="BD168" s="8">
        <f t="shared" si="255"/>
        <v>27.245757218060646</v>
      </c>
      <c r="BE168" s="7">
        <f t="shared" si="256"/>
        <v>1.3702467930689258E-2</v>
      </c>
      <c r="BF168" s="9">
        <f t="shared" si="257"/>
        <v>0.20243977643402794</v>
      </c>
      <c r="BG168" s="4">
        <f t="shared" si="309"/>
        <v>981.24575230742448</v>
      </c>
      <c r="BH168" s="6">
        <f t="shared" si="258"/>
        <v>5.4624915046148497E-6</v>
      </c>
      <c r="BI168" s="8">
        <f t="shared" si="259"/>
        <v>27.173326151535381</v>
      </c>
      <c r="BJ168" s="7">
        <f t="shared" si="260"/>
        <v>1.3670942232826409E-2</v>
      </c>
      <c r="BK168" s="9">
        <f t="shared" si="261"/>
        <v>0.20297938387231074</v>
      </c>
      <c r="BL168" s="4">
        <f t="shared" si="310"/>
        <v>974.33368638282104</v>
      </c>
      <c r="BM168" s="6">
        <f t="shared" si="262"/>
        <v>5.4486673727656422E-6</v>
      </c>
      <c r="BN168" s="8">
        <f t="shared" si="263"/>
        <v>27.093837393402442</v>
      </c>
      <c r="BO168" s="7">
        <f t="shared" si="264"/>
        <v>1.3636344667270504E-2</v>
      </c>
      <c r="BP168" s="9">
        <f t="shared" si="265"/>
        <v>0.20357489121652059</v>
      </c>
      <c r="BQ168" s="4">
        <f t="shared" si="311"/>
        <v>966.75745441855838</v>
      </c>
      <c r="BR168" s="6">
        <f t="shared" si="266"/>
        <v>5.4335149088371168E-6</v>
      </c>
      <c r="BS168" s="8">
        <f t="shared" si="267"/>
        <v>27.00671072581342</v>
      </c>
      <c r="BT168" s="7">
        <f t="shared" si="268"/>
        <v>1.3598422693592953E-2</v>
      </c>
      <c r="BU168" s="9">
        <f t="shared" si="269"/>
        <v>0.20423164657101625</v>
      </c>
      <c r="BV168" s="4">
        <f t="shared" si="312"/>
        <v>958.31878789756047</v>
      </c>
      <c r="BW168" s="6">
        <f t="shared" si="270"/>
        <v>5.4166375757951221E-6</v>
      </c>
      <c r="BX168" s="8">
        <f t="shared" si="271"/>
        <v>26.909666060821944</v>
      </c>
      <c r="BY168" s="7">
        <f t="shared" si="272"/>
        <v>1.3556183901117696E-2</v>
      </c>
      <c r="BZ168" s="9">
        <f t="shared" si="273"/>
        <v>0.20496816971022372</v>
      </c>
      <c r="CA168" s="4">
        <f t="shared" si="313"/>
        <v>948.33617317355458</v>
      </c>
      <c r="CB168" s="6">
        <f t="shared" si="274"/>
        <v>5.3966723463471096E-6</v>
      </c>
      <c r="CC168" s="8">
        <f t="shared" si="275"/>
        <v>26.794865991495875</v>
      </c>
      <c r="CD168" s="7">
        <f t="shared" si="276"/>
        <v>1.3506217050236862E-2</v>
      </c>
      <c r="CE168" s="9">
        <f t="shared" si="277"/>
        <v>0.20584633644932365</v>
      </c>
      <c r="CF168" s="4">
        <f t="shared" si="314"/>
        <v>934.80290409381087</v>
      </c>
      <c r="CG168" s="6">
        <f t="shared" si="278"/>
        <v>5.3696058081876222E-6</v>
      </c>
      <c r="CH168" s="8">
        <f t="shared" si="279"/>
        <v>26.639233397078826</v>
      </c>
      <c r="CI168" s="7">
        <f t="shared" si="280"/>
        <v>1.3438477799876778E-2</v>
      </c>
      <c r="CJ168" s="9">
        <f t="shared" si="281"/>
        <v>0.20704893860064405</v>
      </c>
      <c r="CK168" s="4">
        <f t="shared" si="315"/>
        <v>912.80237965601009</v>
      </c>
      <c r="CL168" s="6">
        <f t="shared" si="282"/>
        <v>5.325604759312021E-6</v>
      </c>
      <c r="CM168" s="8">
        <f t="shared" si="283"/>
        <v>26.386227366044118</v>
      </c>
      <c r="CN168" s="7">
        <f t="shared" si="284"/>
        <v>1.332835665884545E-2</v>
      </c>
      <c r="CO168" s="9">
        <f t="shared" si="285"/>
        <v>0.20903424060909678</v>
      </c>
      <c r="CP168" s="4">
        <f t="shared" si="316"/>
        <v>872.74073068332859</v>
      </c>
      <c r="CQ168" s="6">
        <f t="shared" si="286"/>
        <v>5.2454814613666581E-6</v>
      </c>
      <c r="CR168" s="8">
        <f t="shared" si="287"/>
        <v>25.92551840285828</v>
      </c>
      <c r="CS168" s="7">
        <f t="shared" si="288"/>
        <v>1.3127832598205868E-2</v>
      </c>
      <c r="CT168" s="9">
        <f t="shared" si="289"/>
        <v>0.2127488798600804</v>
      </c>
      <c r="CU168" s="4">
        <f t="shared" si="317"/>
        <v>800.81304903759519</v>
      </c>
      <c r="CV168" s="6">
        <f t="shared" si="290"/>
        <v>5.1016260980751903E-6</v>
      </c>
      <c r="CW168" s="8">
        <f t="shared" si="291"/>
        <v>25.098350063932344</v>
      </c>
      <c r="CX168" s="7">
        <f t="shared" si="292"/>
        <v>1.276780670896129E-2</v>
      </c>
      <c r="CY168" s="9">
        <f t="shared" si="293"/>
        <v>0.21976046178136008</v>
      </c>
      <c r="CZ168" s="5">
        <f t="shared" si="318"/>
        <v>684.95177893103119</v>
      </c>
      <c r="DA168" s="6">
        <f t="shared" si="294"/>
        <v>4.8699035578620625E-6</v>
      </c>
      <c r="DB168" s="8">
        <f t="shared" si="295"/>
        <v>26.891682790677066</v>
      </c>
      <c r="DC168" s="7">
        <f t="shared" si="296"/>
        <v>1.2187876203143355E-2</v>
      </c>
      <c r="DD168" s="9">
        <f t="shared" si="297"/>
        <v>0.20510523803709979</v>
      </c>
    </row>
    <row r="169" spans="2:108" x14ac:dyDescent="0.25">
      <c r="B169">
        <v>150</v>
      </c>
      <c r="C169">
        <f t="shared" si="298"/>
        <v>0.14664219995178773</v>
      </c>
      <c r="D169" s="4">
        <f t="shared" si="215"/>
        <v>1017.5402541480394</v>
      </c>
      <c r="E169" s="6">
        <f t="shared" si="216"/>
        <v>5.5350805082960793E-6</v>
      </c>
      <c r="F169" s="8">
        <f t="shared" si="217"/>
        <v>27.590712922702451</v>
      </c>
      <c r="G169" s="7">
        <f t="shared" si="213"/>
        <v>1.3852610263838659E-2</v>
      </c>
      <c r="H169" s="9">
        <f t="shared" si="218"/>
        <v>0.19990875246509421</v>
      </c>
      <c r="I169" s="4">
        <f t="shared" si="299"/>
        <v>1017.215642676803</v>
      </c>
      <c r="J169" s="6">
        <f t="shared" si="219"/>
        <v>5.5344312853536064E-6</v>
      </c>
      <c r="K169" s="8">
        <f t="shared" si="220"/>
        <v>27.586979890783233</v>
      </c>
      <c r="L169" s="7">
        <f t="shared" si="221"/>
        <v>1.3850985457770717E-2</v>
      </c>
      <c r="M169" s="9">
        <f t="shared" si="222"/>
        <v>0.19993580384066476</v>
      </c>
      <c r="N169" s="4">
        <f t="shared" si="300"/>
        <v>1016.3096838135846</v>
      </c>
      <c r="O169" s="6">
        <f t="shared" si="223"/>
        <v>5.5326193676271701E-6</v>
      </c>
      <c r="P169" s="8">
        <f t="shared" si="224"/>
        <v>27.576561363856221</v>
      </c>
      <c r="Q169" s="7">
        <f t="shared" si="214"/>
        <v>1.3852610263838659E-2</v>
      </c>
      <c r="R169" s="9">
        <f t="shared" si="225"/>
        <v>0.20001134032719414</v>
      </c>
      <c r="S169" s="4">
        <f t="shared" si="301"/>
        <v>1014.8081459226782</v>
      </c>
      <c r="T169" s="6">
        <f t="shared" si="226"/>
        <v>5.529616291845357E-6</v>
      </c>
      <c r="U169" s="8">
        <f t="shared" si="227"/>
        <v>27.559293678110798</v>
      </c>
      <c r="V169" s="7">
        <f t="shared" si="228"/>
        <v>1.3838935004594344E-2</v>
      </c>
      <c r="W169" s="9">
        <f t="shared" si="229"/>
        <v>0.20013666041016254</v>
      </c>
      <c r="X169" s="4">
        <f t="shared" si="302"/>
        <v>1012.7090000051434</v>
      </c>
      <c r="Y169" s="6">
        <f t="shared" si="230"/>
        <v>5.5254180000102878E-6</v>
      </c>
      <c r="Z169" s="8">
        <f t="shared" si="231"/>
        <v>27.535153500059145</v>
      </c>
      <c r="AA169" s="7">
        <f t="shared" si="232"/>
        <v>1.3828427966715146E-2</v>
      </c>
      <c r="AB169" s="9">
        <f t="shared" si="233"/>
        <v>0.2003121210124415</v>
      </c>
      <c r="AC169" s="4">
        <f t="shared" si="303"/>
        <v>1010.0107875005395</v>
      </c>
      <c r="AD169" s="6">
        <f t="shared" si="234"/>
        <v>5.5200215750010797E-6</v>
      </c>
      <c r="AE169" s="8">
        <f t="shared" si="235"/>
        <v>27.504124056256202</v>
      </c>
      <c r="AF169" s="7">
        <f t="shared" si="236"/>
        <v>1.381492236867397E-2</v>
      </c>
      <c r="AG169" s="9">
        <f t="shared" si="237"/>
        <v>0.20053810798404223</v>
      </c>
      <c r="AH169" s="4">
        <f t="shared" si="304"/>
        <v>1006.713215751356</v>
      </c>
      <c r="AI169" s="6">
        <f t="shared" si="238"/>
        <v>5.5134264315027126E-6</v>
      </c>
      <c r="AJ169" s="8">
        <f t="shared" si="239"/>
        <v>27.466201981140593</v>
      </c>
      <c r="AK169" s="7">
        <f t="shared" si="240"/>
        <v>1.3798416745606694E-2</v>
      </c>
      <c r="AL169" s="9">
        <f t="shared" si="241"/>
        <v>0.20081498722638286</v>
      </c>
      <c r="AM169" s="4">
        <f t="shared" si="305"/>
        <v>1002.8161978433137</v>
      </c>
      <c r="AN169" s="6">
        <f t="shared" si="242"/>
        <v>5.5056323956866279E-6</v>
      </c>
      <c r="AO169" s="8">
        <f t="shared" si="243"/>
        <v>27.421386275198106</v>
      </c>
      <c r="AP169" s="7">
        <f t="shared" si="244"/>
        <v>1.3778910662473701E-2</v>
      </c>
      <c r="AQ169" s="9">
        <f t="shared" si="245"/>
        <v>0.20114318600255202</v>
      </c>
      <c r="AR169" s="4">
        <f t="shared" si="306"/>
        <v>998.3197038894989</v>
      </c>
      <c r="AS169" s="6">
        <f t="shared" si="246"/>
        <v>5.4966394077789988E-6</v>
      </c>
      <c r="AT169" s="8">
        <f t="shared" si="247"/>
        <v>27.369676594729235</v>
      </c>
      <c r="AU169" s="7">
        <f t="shared" si="248"/>
        <v>1.3756403969679426E-2</v>
      </c>
      <c r="AV169" s="9">
        <f t="shared" si="249"/>
        <v>0.20152320692975165</v>
      </c>
      <c r="AW169" s="4">
        <f t="shared" si="307"/>
        <v>993.22365533324364</v>
      </c>
      <c r="AX169" s="6">
        <f t="shared" si="250"/>
        <v>5.4864473106664883E-6</v>
      </c>
      <c r="AY169" s="8">
        <f t="shared" si="251"/>
        <v>27.311072036332302</v>
      </c>
      <c r="AZ169" s="7">
        <f t="shared" si="252"/>
        <v>1.3730896274017333E-2</v>
      </c>
      <c r="BA169" s="9">
        <f t="shared" si="253"/>
        <v>0.20195563882159173</v>
      </c>
      <c r="BB169" s="4">
        <f t="shared" si="308"/>
        <v>987.52760106505923</v>
      </c>
      <c r="BC169" s="6">
        <f t="shared" si="254"/>
        <v>5.4750552021301189E-6</v>
      </c>
      <c r="BD169" s="8">
        <f t="shared" si="255"/>
        <v>27.245567412248178</v>
      </c>
      <c r="BE169" s="7">
        <f t="shared" si="256"/>
        <v>1.3702385317509809E-2</v>
      </c>
      <c r="BF169" s="9">
        <f t="shared" si="257"/>
        <v>0.20244118672751385</v>
      </c>
      <c r="BG169" s="4">
        <f t="shared" si="309"/>
        <v>981.22911506397872</v>
      </c>
      <c r="BH169" s="6">
        <f t="shared" si="258"/>
        <v>5.462458230127958E-6</v>
      </c>
      <c r="BI169" s="8">
        <f t="shared" si="259"/>
        <v>27.173134823235756</v>
      </c>
      <c r="BJ169" s="7">
        <f t="shared" si="260"/>
        <v>1.3670858956982827E-2</v>
      </c>
      <c r="BK169" s="9">
        <f t="shared" si="261"/>
        <v>0.20298081306701454</v>
      </c>
      <c r="BL169" s="4">
        <f t="shared" si="310"/>
        <v>974.31635385102857</v>
      </c>
      <c r="BM169" s="6">
        <f t="shared" si="262"/>
        <v>5.4486327077020573E-6</v>
      </c>
      <c r="BN169" s="8">
        <f t="shared" si="263"/>
        <v>27.093638069286825</v>
      </c>
      <c r="BO169" s="7">
        <f t="shared" si="264"/>
        <v>1.3636257911239605E-2</v>
      </c>
      <c r="BP169" s="9">
        <f t="shared" si="265"/>
        <v>0.20357638888859586</v>
      </c>
      <c r="BQ169" s="4">
        <f t="shared" si="311"/>
        <v>966.73729468135093</v>
      </c>
      <c r="BR169" s="6">
        <f t="shared" si="266"/>
        <v>5.4334745893627027E-6</v>
      </c>
      <c r="BS169" s="8">
        <f t="shared" si="267"/>
        <v>27.006478888835534</v>
      </c>
      <c r="BT169" s="7">
        <f t="shared" si="268"/>
        <v>1.3598321786304565E-2</v>
      </c>
      <c r="BU169" s="9">
        <f t="shared" si="269"/>
        <v>0.20423339979652649</v>
      </c>
      <c r="BV169" s="4">
        <f t="shared" si="312"/>
        <v>958.28884641771435</v>
      </c>
      <c r="BW169" s="6">
        <f t="shared" si="270"/>
        <v>5.4165776928354294E-6</v>
      </c>
      <c r="BX169" s="8">
        <f t="shared" si="271"/>
        <v>26.909321733803715</v>
      </c>
      <c r="BY169" s="7">
        <f t="shared" si="272"/>
        <v>1.3556034032420967E-2</v>
      </c>
      <c r="BZ169" s="9">
        <f t="shared" si="273"/>
        <v>0.20497079244740776</v>
      </c>
      <c r="CA169" s="4">
        <f t="shared" si="313"/>
        <v>948.27741431156596</v>
      </c>
      <c r="CB169" s="6">
        <f t="shared" si="274"/>
        <v>5.3965548286231327E-6</v>
      </c>
      <c r="CC169" s="8">
        <f t="shared" si="275"/>
        <v>26.794190264583008</v>
      </c>
      <c r="CD169" s="7">
        <f t="shared" si="276"/>
        <v>1.3505922939387544E-2</v>
      </c>
      <c r="CE169" s="9">
        <f t="shared" si="277"/>
        <v>0.20585152772056867</v>
      </c>
      <c r="CF169" s="4">
        <f t="shared" si="314"/>
        <v>934.67354859928082</v>
      </c>
      <c r="CG169" s="6">
        <f t="shared" si="278"/>
        <v>5.3693470971985628E-6</v>
      </c>
      <c r="CH169" s="8">
        <f t="shared" si="279"/>
        <v>26.637745808891729</v>
      </c>
      <c r="CI169" s="7">
        <f t="shared" si="280"/>
        <v>1.3437830325554219E-2</v>
      </c>
      <c r="CJ169" s="9">
        <f t="shared" si="281"/>
        <v>0.20706050127405579</v>
      </c>
      <c r="CK169" s="4">
        <f t="shared" si="315"/>
        <v>912.53514847737677</v>
      </c>
      <c r="CL169" s="6">
        <f t="shared" si="282"/>
        <v>5.3250702969547534E-6</v>
      </c>
      <c r="CM169" s="8">
        <f t="shared" si="283"/>
        <v>26.383154207489831</v>
      </c>
      <c r="CN169" s="7">
        <f t="shared" si="284"/>
        <v>1.332701906335342E-2</v>
      </c>
      <c r="CO169" s="9">
        <f t="shared" si="285"/>
        <v>0.20905858930370755</v>
      </c>
      <c r="CP169" s="4">
        <f t="shared" si="316"/>
        <v>872.27459357108683</v>
      </c>
      <c r="CQ169" s="6">
        <f t="shared" si="286"/>
        <v>5.2445491871421738E-6</v>
      </c>
      <c r="CR169" s="8">
        <f t="shared" si="287"/>
        <v>25.920157826067499</v>
      </c>
      <c r="CS169" s="7">
        <f t="shared" si="288"/>
        <v>1.3125499401521294E-2</v>
      </c>
      <c r="CT169" s="9">
        <f t="shared" si="289"/>
        <v>0.21279287869354799</v>
      </c>
      <c r="CU169" s="4">
        <f t="shared" si="317"/>
        <v>800.17153496502385</v>
      </c>
      <c r="CV169" s="6">
        <f t="shared" si="290"/>
        <v>5.1003430699300485E-6</v>
      </c>
      <c r="CW169" s="8">
        <f t="shared" si="291"/>
        <v>25.090972652097776</v>
      </c>
      <c r="CX169" s="7">
        <f t="shared" si="292"/>
        <v>1.2764595682703307E-2</v>
      </c>
      <c r="CY169" s="9">
        <f t="shared" si="293"/>
        <v>0.21982507718921993</v>
      </c>
      <c r="CZ169" s="5">
        <f t="shared" si="318"/>
        <v>684.2985933329918</v>
      </c>
      <c r="DA169" s="6">
        <f t="shared" si="294"/>
        <v>4.8685971866659839E-6</v>
      </c>
      <c r="DB169" s="8">
        <f t="shared" si="295"/>
        <v>27.022842458763364</v>
      </c>
      <c r="DC169" s="7">
        <f t="shared" si="296"/>
        <v>1.2184606756382452E-2</v>
      </c>
      <c r="DD169" s="9">
        <f t="shared" si="297"/>
        <v>0.2041097271101957</v>
      </c>
    </row>
    <row r="170" spans="2:108" x14ac:dyDescent="0.25">
      <c r="B170">
        <v>151</v>
      </c>
      <c r="C170">
        <f t="shared" si="298"/>
        <v>0.14761981461813298</v>
      </c>
      <c r="D170" s="4">
        <f t="shared" si="215"/>
        <v>1017.5236811261464</v>
      </c>
      <c r="E170" s="6">
        <f t="shared" si="216"/>
        <v>5.535047362252293E-6</v>
      </c>
      <c r="F170" s="8">
        <f t="shared" si="217"/>
        <v>27.590522332950684</v>
      </c>
      <c r="G170" s="7">
        <f t="shared" si="213"/>
        <v>1.3852527309448803E-2</v>
      </c>
      <c r="H170" s="9">
        <f t="shared" si="218"/>
        <v>0.19991013339435132</v>
      </c>
      <c r="I170" s="4">
        <f t="shared" si="299"/>
        <v>1017.1990662915972</v>
      </c>
      <c r="J170" s="6">
        <f t="shared" si="219"/>
        <v>5.5343981325831944E-6</v>
      </c>
      <c r="K170" s="8">
        <f t="shared" si="220"/>
        <v>27.586789262353367</v>
      </c>
      <c r="L170" s="7">
        <f t="shared" si="221"/>
        <v>1.3850902486546182E-2</v>
      </c>
      <c r="M170" s="9">
        <f t="shared" si="222"/>
        <v>0.19993718542400155</v>
      </c>
      <c r="N170" s="4">
        <f t="shared" si="300"/>
        <v>1016.2930980058545</v>
      </c>
      <c r="O170" s="6">
        <f t="shared" si="223"/>
        <v>5.532586196011709E-6</v>
      </c>
      <c r="P170" s="8">
        <f t="shared" si="224"/>
        <v>27.576370627067327</v>
      </c>
      <c r="Q170" s="7">
        <f t="shared" si="214"/>
        <v>1.3852527309448803E-2</v>
      </c>
      <c r="R170" s="9">
        <f t="shared" si="225"/>
        <v>0.2000127237405995</v>
      </c>
      <c r="S170" s="4">
        <f t="shared" si="301"/>
        <v>1014.7915544460375</v>
      </c>
      <c r="T170" s="6">
        <f t="shared" si="226"/>
        <v>5.5295831088920753E-6</v>
      </c>
      <c r="U170" s="8">
        <f t="shared" si="227"/>
        <v>27.55910287612943</v>
      </c>
      <c r="V170" s="7">
        <f t="shared" si="228"/>
        <v>1.3838851957831333E-2</v>
      </c>
      <c r="W170" s="9">
        <f t="shared" si="229"/>
        <v>0.20013804603115035</v>
      </c>
      <c r="X170" s="4">
        <f t="shared" si="302"/>
        <v>1012.6924108697079</v>
      </c>
      <c r="Y170" s="6">
        <f t="shared" si="230"/>
        <v>5.5253848217394169E-6</v>
      </c>
      <c r="Z170" s="8">
        <f t="shared" si="231"/>
        <v>27.534962725001641</v>
      </c>
      <c r="AA170" s="7">
        <f t="shared" si="232"/>
        <v>1.3828344931670776E-2</v>
      </c>
      <c r="AB170" s="9">
        <f t="shared" si="233"/>
        <v>0.20031350886819374</v>
      </c>
      <c r="AC170" s="4">
        <f t="shared" si="303"/>
        <v>1009.9942081768878</v>
      </c>
      <c r="AD170" s="6">
        <f t="shared" si="234"/>
        <v>5.519988416353776E-6</v>
      </c>
      <c r="AE170" s="8">
        <f t="shared" si="235"/>
        <v>27.50393339403421</v>
      </c>
      <c r="AF170" s="7">
        <f t="shared" si="236"/>
        <v>1.3814839382741376E-2</v>
      </c>
      <c r="AG170" s="9">
        <f t="shared" si="237"/>
        <v>0.20053949815034008</v>
      </c>
      <c r="AH170" s="4">
        <f t="shared" si="304"/>
        <v>1006.6966518239078</v>
      </c>
      <c r="AI170" s="6">
        <f t="shared" si="238"/>
        <v>5.5133933036478163E-6</v>
      </c>
      <c r="AJ170" s="8">
        <f t="shared" si="239"/>
        <v>27.466011495974939</v>
      </c>
      <c r="AK170" s="7">
        <f t="shared" si="240"/>
        <v>1.3798333836738057E-2</v>
      </c>
      <c r="AL170" s="9">
        <f t="shared" si="241"/>
        <v>0.20081637993955906</v>
      </c>
      <c r="AM170" s="4">
        <f t="shared" si="305"/>
        <v>1002.7996534670833</v>
      </c>
      <c r="AN170" s="6">
        <f t="shared" si="242"/>
        <v>5.5055993069341665E-6</v>
      </c>
      <c r="AO170" s="8">
        <f t="shared" si="243"/>
        <v>27.421196014871455</v>
      </c>
      <c r="AP170" s="7">
        <f t="shared" si="244"/>
        <v>1.3778827851466478E-2</v>
      </c>
      <c r="AQ170" s="9">
        <f t="shared" si="245"/>
        <v>0.20114458162250426</v>
      </c>
      <c r="AR170" s="4">
        <f t="shared" si="306"/>
        <v>998.30318185535032</v>
      </c>
      <c r="AS170" s="6">
        <f t="shared" si="246"/>
        <v>5.4966063637107016E-6</v>
      </c>
      <c r="AT170" s="8">
        <f t="shared" si="247"/>
        <v>27.369486591336528</v>
      </c>
      <c r="AU170" s="7">
        <f t="shared" si="248"/>
        <v>1.3756321270502971E-2</v>
      </c>
      <c r="AV170" s="9">
        <f t="shared" si="249"/>
        <v>0.20152460593637525</v>
      </c>
      <c r="AW170" s="4">
        <f t="shared" si="307"/>
        <v>993.20715370448193</v>
      </c>
      <c r="AX170" s="6">
        <f t="shared" si="250"/>
        <v>5.4864143074089645E-6</v>
      </c>
      <c r="AY170" s="8">
        <f t="shared" si="251"/>
        <v>27.310882267601542</v>
      </c>
      <c r="AZ170" s="7">
        <f t="shared" si="252"/>
        <v>1.3730813676977737E-2</v>
      </c>
      <c r="BA170" s="9">
        <f t="shared" si="253"/>
        <v>0.20195704210343643</v>
      </c>
      <c r="BB170" s="4">
        <f t="shared" si="308"/>
        <v>987.51109444730287</v>
      </c>
      <c r="BC170" s="6">
        <f t="shared" si="254"/>
        <v>5.4750221888946054E-6</v>
      </c>
      <c r="BD170" s="8">
        <f t="shared" si="255"/>
        <v>27.245377586143981</v>
      </c>
      <c r="BE170" s="7">
        <f t="shared" si="256"/>
        <v>1.3702302695498362E-2</v>
      </c>
      <c r="BF170" s="9">
        <f t="shared" si="257"/>
        <v>0.20244259719142407</v>
      </c>
      <c r="BG170" s="4">
        <f t="shared" si="309"/>
        <v>981.21246969234585</v>
      </c>
      <c r="BH170" s="6">
        <f t="shared" si="258"/>
        <v>5.4624249393846931E-6</v>
      </c>
      <c r="BI170" s="8">
        <f t="shared" si="259"/>
        <v>27.172943401461978</v>
      </c>
      <c r="BJ170" s="7">
        <f t="shared" si="260"/>
        <v>1.3670775640454521E-2</v>
      </c>
      <c r="BK170" s="9">
        <f t="shared" si="261"/>
        <v>0.20298224298009779</v>
      </c>
      <c r="BL170" s="4">
        <f t="shared" si="310"/>
        <v>974.29899027344106</v>
      </c>
      <c r="BM170" s="6">
        <f t="shared" si="262"/>
        <v>5.4485979805468831E-6</v>
      </c>
      <c r="BN170" s="8">
        <f t="shared" si="263"/>
        <v>27.09343838814457</v>
      </c>
      <c r="BO170" s="7">
        <f t="shared" si="264"/>
        <v>1.3636170999812484E-2</v>
      </c>
      <c r="BP170" s="9">
        <f t="shared" si="265"/>
        <v>0.20357788926537665</v>
      </c>
      <c r="BQ170" s="4">
        <f t="shared" si="311"/>
        <v>966.71703362638254</v>
      </c>
      <c r="BR170" s="6">
        <f t="shared" si="266"/>
        <v>5.4334340672527652E-6</v>
      </c>
      <c r="BS170" s="8">
        <f t="shared" si="267"/>
        <v>27.006245886703397</v>
      </c>
      <c r="BT170" s="7">
        <f t="shared" si="268"/>
        <v>1.359822037188156E-2</v>
      </c>
      <c r="BU170" s="9">
        <f t="shared" si="269"/>
        <v>0.20423516186363519</v>
      </c>
      <c r="BV170" s="4">
        <f t="shared" si="312"/>
        <v>958.25862756465381</v>
      </c>
      <c r="BW170" s="6">
        <f t="shared" si="270"/>
        <v>5.4165172551293082E-6</v>
      </c>
      <c r="BX170" s="8">
        <f t="shared" si="271"/>
        <v>26.908974216993517</v>
      </c>
      <c r="BY170" s="7">
        <f t="shared" si="272"/>
        <v>1.3555882775363933E-2</v>
      </c>
      <c r="BZ170" s="9">
        <f t="shared" si="273"/>
        <v>0.20497343954927796</v>
      </c>
      <c r="CA170" s="4">
        <f t="shared" si="313"/>
        <v>948.21804482909181</v>
      </c>
      <c r="CB170" s="6">
        <f t="shared" si="274"/>
        <v>5.396436089658184E-6</v>
      </c>
      <c r="CC170" s="8">
        <f t="shared" si="275"/>
        <v>26.793507515534557</v>
      </c>
      <c r="CD170" s="7">
        <f t="shared" si="276"/>
        <v>1.3505625772146326E-2</v>
      </c>
      <c r="CE170" s="9">
        <f t="shared" si="277"/>
        <v>0.20585677320530379</v>
      </c>
      <c r="CF170" s="4">
        <f t="shared" si="314"/>
        <v>934.54319931932355</v>
      </c>
      <c r="CG170" s="6">
        <f t="shared" si="278"/>
        <v>5.3690863986386476E-6</v>
      </c>
      <c r="CH170" s="8">
        <f t="shared" si="279"/>
        <v>26.636246792172219</v>
      </c>
      <c r="CI170" s="7">
        <f t="shared" si="280"/>
        <v>1.3437177876950911E-2</v>
      </c>
      <c r="CJ170" s="9">
        <f t="shared" si="281"/>
        <v>0.20707215408519625</v>
      </c>
      <c r="CK170" s="4">
        <f t="shared" si="315"/>
        <v>912.26697709949451</v>
      </c>
      <c r="CL170" s="6">
        <f t="shared" si="282"/>
        <v>5.3245339541989898E-6</v>
      </c>
      <c r="CM170" s="8">
        <f t="shared" si="283"/>
        <v>26.380070236644187</v>
      </c>
      <c r="CN170" s="7">
        <f t="shared" si="284"/>
        <v>1.3325676761800211E-2</v>
      </c>
      <c r="CO170" s="9">
        <f t="shared" si="285"/>
        <v>0.20908302936731088</v>
      </c>
      <c r="CP170" s="4">
        <f t="shared" si="316"/>
        <v>871.8086784041235</v>
      </c>
      <c r="CQ170" s="6">
        <f t="shared" si="286"/>
        <v>5.2436173568082472E-6</v>
      </c>
      <c r="CR170" s="8">
        <f t="shared" si="287"/>
        <v>25.914799801647419</v>
      </c>
      <c r="CS170" s="7">
        <f t="shared" si="288"/>
        <v>1.3123167315758756E-2</v>
      </c>
      <c r="CT170" s="9">
        <f t="shared" si="289"/>
        <v>0.21283687476718877</v>
      </c>
      <c r="CU170" s="4">
        <f t="shared" si="317"/>
        <v>799.53221861135466</v>
      </c>
      <c r="CV170" s="6">
        <f t="shared" si="290"/>
        <v>5.09906443722271E-6</v>
      </c>
      <c r="CW170" s="8">
        <f t="shared" si="291"/>
        <v>25.083620514030578</v>
      </c>
      <c r="CX170" s="7">
        <f t="shared" si="292"/>
        <v>1.2761395656879148E-2</v>
      </c>
      <c r="CY170" s="9">
        <f t="shared" si="293"/>
        <v>0.21988950904893587</v>
      </c>
      <c r="CZ170" s="5">
        <f t="shared" si="318"/>
        <v>683.64838538857714</v>
      </c>
      <c r="DA170" s="6">
        <f t="shared" si="294"/>
        <v>4.8672967707771543E-6</v>
      </c>
      <c r="DB170" s="8">
        <f t="shared" si="295"/>
        <v>27.153404214001768</v>
      </c>
      <c r="DC170" s="7">
        <f t="shared" si="296"/>
        <v>1.2181352213930567E-2</v>
      </c>
      <c r="DD170" s="9">
        <f t="shared" si="297"/>
        <v>0.20312830599545395</v>
      </c>
    </row>
    <row r="171" spans="2:108" x14ac:dyDescent="0.25">
      <c r="B171">
        <v>152</v>
      </c>
      <c r="C171">
        <f t="shared" si="298"/>
        <v>0.14859742928447822</v>
      </c>
      <c r="D171" s="4">
        <f t="shared" si="215"/>
        <v>1017.5071079325396</v>
      </c>
      <c r="E171" s="6">
        <f t="shared" si="216"/>
        <v>5.5350142158650798E-6</v>
      </c>
      <c r="F171" s="8">
        <f t="shared" si="217"/>
        <v>27.590331741224205</v>
      </c>
      <c r="G171" s="7">
        <f t="shared" si="213"/>
        <v>1.3852444354199458E-2</v>
      </c>
      <c r="H171" s="9">
        <f t="shared" si="218"/>
        <v>0.19991151435699508</v>
      </c>
      <c r="I171" s="4">
        <f t="shared" si="299"/>
        <v>1017.1824898331658</v>
      </c>
      <c r="J171" s="6">
        <f t="shared" si="219"/>
        <v>5.534364979666332E-6</v>
      </c>
      <c r="K171" s="8">
        <f t="shared" si="220"/>
        <v>27.586598633081408</v>
      </c>
      <c r="L171" s="7">
        <f t="shared" si="221"/>
        <v>1.3850819514955124E-2</v>
      </c>
      <c r="M171" s="9">
        <f t="shared" si="222"/>
        <v>0.19993856703253551</v>
      </c>
      <c r="N171" s="4">
        <f t="shared" si="300"/>
        <v>1016.2765122972125</v>
      </c>
      <c r="O171" s="6">
        <f t="shared" si="223"/>
        <v>5.5325530245944257E-6</v>
      </c>
      <c r="P171" s="8">
        <f t="shared" si="224"/>
        <v>27.576179891417944</v>
      </c>
      <c r="Q171" s="7">
        <f t="shared" si="214"/>
        <v>1.3852444354199458E-2</v>
      </c>
      <c r="R171" s="9">
        <f t="shared" si="225"/>
        <v>0.20001410716487719</v>
      </c>
      <c r="S171" s="4">
        <f t="shared" si="301"/>
        <v>1014.774963172031</v>
      </c>
      <c r="T171" s="6">
        <f t="shared" si="226"/>
        <v>5.5295499263440625E-6</v>
      </c>
      <c r="U171" s="8">
        <f t="shared" si="227"/>
        <v>27.558912076478357</v>
      </c>
      <c r="V171" s="7">
        <f t="shared" si="228"/>
        <v>1.3838768912082586E-2</v>
      </c>
      <c r="W171" s="9">
        <f t="shared" si="229"/>
        <v>0.20013943165440148</v>
      </c>
      <c r="X171" s="4">
        <f t="shared" si="302"/>
        <v>1012.6758219582289</v>
      </c>
      <c r="Y171" s="6">
        <f t="shared" si="230"/>
        <v>5.525351643916458E-6</v>
      </c>
      <c r="Z171" s="8">
        <f t="shared" si="231"/>
        <v>27.53477195251963</v>
      </c>
      <c r="AA171" s="7">
        <f t="shared" si="232"/>
        <v>1.382826189774739E-2</v>
      </c>
      <c r="AB171" s="9">
        <f t="shared" si="233"/>
        <v>0.20031489672444083</v>
      </c>
      <c r="AC171" s="4">
        <f t="shared" si="303"/>
        <v>1009.9776290648697</v>
      </c>
      <c r="AD171" s="6">
        <f t="shared" si="234"/>
        <v>5.5199552581297398E-6</v>
      </c>
      <c r="AE171" s="8">
        <f t="shared" si="235"/>
        <v>27.503742734246</v>
      </c>
      <c r="AF171" s="7">
        <f t="shared" si="236"/>
        <v>1.3814756397868087E-2</v>
      </c>
      <c r="AG171" s="9">
        <f t="shared" si="237"/>
        <v>0.20054088831816613</v>
      </c>
      <c r="AH171" s="4">
        <f t="shared" si="304"/>
        <v>1006.6800880935912</v>
      </c>
      <c r="AI171" s="6">
        <f t="shared" si="238"/>
        <v>5.5133601761871824E-6</v>
      </c>
      <c r="AJ171" s="8">
        <f t="shared" si="239"/>
        <v>27.465821013076297</v>
      </c>
      <c r="AK171" s="7">
        <f t="shared" si="240"/>
        <v>1.3798250928856138E-2</v>
      </c>
      <c r="AL171" s="9">
        <f t="shared" si="241"/>
        <v>0.20081777265547776</v>
      </c>
      <c r="AM171" s="4">
        <f t="shared" si="305"/>
        <v>1002.7831092700591</v>
      </c>
      <c r="AN171" s="6">
        <f t="shared" si="242"/>
        <v>5.5055662185401185E-6</v>
      </c>
      <c r="AO171" s="8">
        <f t="shared" si="243"/>
        <v>27.42100575660568</v>
      </c>
      <c r="AP171" s="7">
        <f t="shared" si="244"/>
        <v>1.3778745041356252E-2</v>
      </c>
      <c r="AQ171" s="9">
        <f t="shared" si="245"/>
        <v>0.20114597724670599</v>
      </c>
      <c r="AR171" s="4">
        <f t="shared" si="306"/>
        <v>998.286659930626</v>
      </c>
      <c r="AS171" s="6">
        <f t="shared" si="246"/>
        <v>5.4965733198612524E-6</v>
      </c>
      <c r="AT171" s="8">
        <f t="shared" si="247"/>
        <v>27.3692965892022</v>
      </c>
      <c r="AU171" s="7">
        <f t="shared" si="248"/>
        <v>1.3756238571874226E-2</v>
      </c>
      <c r="AV171" s="9">
        <f t="shared" si="249"/>
        <v>0.20152600495315753</v>
      </c>
      <c r="AW171" s="4">
        <f t="shared" si="307"/>
        <v>993.19065183737337</v>
      </c>
      <c r="AX171" s="6">
        <f t="shared" si="250"/>
        <v>5.4863813036747474E-6</v>
      </c>
      <c r="AY171" s="8">
        <f t="shared" si="251"/>
        <v>27.310692496129793</v>
      </c>
      <c r="AZ171" s="7">
        <f t="shared" si="252"/>
        <v>1.3730731078745123E-2</v>
      </c>
      <c r="BA171" s="9">
        <f t="shared" si="253"/>
        <v>0.20195844542505179</v>
      </c>
      <c r="BB171" s="4">
        <f t="shared" si="308"/>
        <v>987.49458599346826</v>
      </c>
      <c r="BC171" s="6">
        <f t="shared" si="254"/>
        <v>5.4749891719869364E-6</v>
      </c>
      <c r="BD171" s="8">
        <f t="shared" si="255"/>
        <v>27.245187738924884</v>
      </c>
      <c r="BE171" s="7">
        <f t="shared" si="256"/>
        <v>1.3702220064296635E-2</v>
      </c>
      <c r="BF171" s="9">
        <f t="shared" si="257"/>
        <v>0.20244400783188182</v>
      </c>
      <c r="BG171" s="4">
        <f t="shared" si="309"/>
        <v>981.19581594757369</v>
      </c>
      <c r="BH171" s="6">
        <f t="shared" si="258"/>
        <v>5.462391631895148E-6</v>
      </c>
      <c r="BI171" s="8">
        <f t="shared" si="259"/>
        <v>27.172751883397098</v>
      </c>
      <c r="BJ171" s="7">
        <f t="shared" si="260"/>
        <v>1.3670692282015407E-2</v>
      </c>
      <c r="BK171" s="9">
        <f t="shared" si="261"/>
        <v>0.20298367363263337</v>
      </c>
      <c r="BL171" s="4">
        <f t="shared" si="310"/>
        <v>974.28159495004275</v>
      </c>
      <c r="BM171" s="6">
        <f t="shared" si="262"/>
        <v>5.448563189900086E-6</v>
      </c>
      <c r="BN171" s="8">
        <f t="shared" si="263"/>
        <v>27.093238341925492</v>
      </c>
      <c r="BO171" s="7">
        <f t="shared" si="264"/>
        <v>1.3636083929485289E-2</v>
      </c>
      <c r="BP171" s="9">
        <f t="shared" si="265"/>
        <v>0.20357939240747142</v>
      </c>
      <c r="BQ171" s="4">
        <f t="shared" si="311"/>
        <v>966.69666968352124</v>
      </c>
      <c r="BR171" s="6">
        <f t="shared" si="266"/>
        <v>5.4333933393670431E-6</v>
      </c>
      <c r="BS171" s="8">
        <f t="shared" si="267"/>
        <v>27.006011701360492</v>
      </c>
      <c r="BT171" s="7">
        <f t="shared" si="268"/>
        <v>1.3598118442464828E-2</v>
      </c>
      <c r="BU171" s="9">
        <f t="shared" si="269"/>
        <v>0.2042369329093543</v>
      </c>
      <c r="BV171" s="4">
        <f t="shared" si="312"/>
        <v>958.22812895881998</v>
      </c>
      <c r="BW171" s="6">
        <f t="shared" si="270"/>
        <v>5.4164562579176397E-6</v>
      </c>
      <c r="BX171" s="8">
        <f t="shared" si="271"/>
        <v>26.908623483026428</v>
      </c>
      <c r="BY171" s="7">
        <f t="shared" si="272"/>
        <v>1.3555730118035975E-2</v>
      </c>
      <c r="BZ171" s="9">
        <f t="shared" si="273"/>
        <v>0.20497611122617168</v>
      </c>
      <c r="CA171" s="4">
        <f t="shared" si="313"/>
        <v>948.15806374558235</v>
      </c>
      <c r="CB171" s="6">
        <f t="shared" si="274"/>
        <v>5.3963161274911648E-6</v>
      </c>
      <c r="CC171" s="8">
        <f t="shared" si="275"/>
        <v>26.792817733074195</v>
      </c>
      <c r="CD171" s="7">
        <f t="shared" si="276"/>
        <v>1.3505325543605184E-2</v>
      </c>
      <c r="CE171" s="9">
        <f t="shared" si="277"/>
        <v>0.20586207299843934</v>
      </c>
      <c r="CF171" s="4">
        <f t="shared" si="314"/>
        <v>934.41186208693944</v>
      </c>
      <c r="CG171" s="6">
        <f t="shared" si="278"/>
        <v>5.3688237241738792E-6</v>
      </c>
      <c r="CH171" s="8">
        <f t="shared" si="279"/>
        <v>26.634736413999804</v>
      </c>
      <c r="CI171" s="7">
        <f t="shared" si="280"/>
        <v>1.3436520483263275E-2</v>
      </c>
      <c r="CJ171" s="9">
        <f t="shared" si="281"/>
        <v>0.20708389654274431</v>
      </c>
      <c r="CK171" s="4">
        <f t="shared" si="315"/>
        <v>911.99788108958251</v>
      </c>
      <c r="CL171" s="6">
        <f t="shared" si="282"/>
        <v>5.3239957621791651E-6</v>
      </c>
      <c r="CM171" s="8">
        <f t="shared" si="283"/>
        <v>26.376975632530197</v>
      </c>
      <c r="CN171" s="7">
        <f t="shared" si="284"/>
        <v>1.3324329832105773E-2</v>
      </c>
      <c r="CO171" s="9">
        <f t="shared" si="285"/>
        <v>0.20910755944277742</v>
      </c>
      <c r="CP171" s="4">
        <f t="shared" si="316"/>
        <v>871.34299731140959</v>
      </c>
      <c r="CQ171" s="6">
        <f t="shared" si="286"/>
        <v>5.2426859946228195E-6</v>
      </c>
      <c r="CR171" s="8">
        <f t="shared" si="287"/>
        <v>25.909444469081208</v>
      </c>
      <c r="CS171" s="7">
        <f t="shared" si="288"/>
        <v>1.3120836401628443E-2</v>
      </c>
      <c r="CT171" s="9">
        <f t="shared" si="289"/>
        <v>0.21288086692024674</v>
      </c>
      <c r="CU171" s="4">
        <f t="shared" si="317"/>
        <v>798.89508444020271</v>
      </c>
      <c r="CV171" s="6">
        <f t="shared" si="290"/>
        <v>5.0977901688804065E-6</v>
      </c>
      <c r="CW171" s="8">
        <f t="shared" si="291"/>
        <v>25.076293471062328</v>
      </c>
      <c r="CX171" s="7">
        <f t="shared" si="292"/>
        <v>1.2758206553723192E-2</v>
      </c>
      <c r="CY171" s="9">
        <f t="shared" si="293"/>
        <v>0.21995375857141525</v>
      </c>
      <c r="CZ171" s="5">
        <f t="shared" si="318"/>
        <v>683.00112201910872</v>
      </c>
      <c r="DA171" s="6">
        <f t="shared" si="294"/>
        <v>4.8660022440382179E-6</v>
      </c>
      <c r="DB171" s="8">
        <f t="shared" si="295"/>
        <v>27.283374698590961</v>
      </c>
      <c r="DC171" s="7">
        <f t="shared" si="296"/>
        <v>1.2178112410216107E-2</v>
      </c>
      <c r="DD171" s="9">
        <f t="shared" si="297"/>
        <v>0.20216065867705332</v>
      </c>
    </row>
    <row r="172" spans="2:108" x14ac:dyDescent="0.25">
      <c r="B172">
        <v>153</v>
      </c>
      <c r="C172">
        <f t="shared" si="298"/>
        <v>0.14957504395082347</v>
      </c>
      <c r="D172" s="4">
        <f t="shared" si="215"/>
        <v>1017.4905345722474</v>
      </c>
      <c r="E172" s="6">
        <f t="shared" si="216"/>
        <v>5.5349810691444956E-6</v>
      </c>
      <c r="F172" s="8">
        <f t="shared" si="217"/>
        <v>27.590141147580844</v>
      </c>
      <c r="G172" s="7">
        <f t="shared" si="213"/>
        <v>1.3852361398115786E-2</v>
      </c>
      <c r="H172" s="9">
        <f t="shared" si="218"/>
        <v>0.19991289535260751</v>
      </c>
      <c r="I172" s="4">
        <f t="shared" si="299"/>
        <v>1017.1659133044104</v>
      </c>
      <c r="J172" s="6">
        <f t="shared" si="219"/>
        <v>5.5343318266088207E-6</v>
      </c>
      <c r="K172" s="8">
        <f t="shared" si="220"/>
        <v>27.58640800300072</v>
      </c>
      <c r="L172" s="7">
        <f t="shared" si="221"/>
        <v>1.3850736543012065E-2</v>
      </c>
      <c r="M172" s="9">
        <f t="shared" si="222"/>
        <v>0.19993994866602555</v>
      </c>
      <c r="N172" s="4">
        <f t="shared" si="300"/>
        <v>1016.2599266876617</v>
      </c>
      <c r="O172" s="6">
        <f t="shared" si="223"/>
        <v>5.5325198533753244E-6</v>
      </c>
      <c r="P172" s="8">
        <f t="shared" si="224"/>
        <v>27.575989156908108</v>
      </c>
      <c r="Q172" s="7">
        <f t="shared" si="214"/>
        <v>1.3852361398115786E-2</v>
      </c>
      <c r="R172" s="9">
        <f t="shared" si="225"/>
        <v>0.20001549060002699</v>
      </c>
      <c r="S172" s="4">
        <f t="shared" si="301"/>
        <v>1014.7583720998077</v>
      </c>
      <c r="T172" s="6">
        <f t="shared" si="226"/>
        <v>5.5295167441996159E-6</v>
      </c>
      <c r="U172" s="8">
        <f t="shared" si="227"/>
        <v>27.55872127914779</v>
      </c>
      <c r="V172" s="7">
        <f t="shared" si="228"/>
        <v>1.3838685867343842E-2</v>
      </c>
      <c r="W172" s="9">
        <f t="shared" si="229"/>
        <v>0.20014081727998673</v>
      </c>
      <c r="X172" s="4">
        <f t="shared" si="302"/>
        <v>1012.6592332702535</v>
      </c>
      <c r="Y172" s="6">
        <f t="shared" si="230"/>
        <v>5.5253184665405071E-6</v>
      </c>
      <c r="Z172" s="8">
        <f t="shared" si="231"/>
        <v>27.534581182607916</v>
      </c>
      <c r="AA172" s="7">
        <f t="shared" si="232"/>
        <v>1.382817886494273E-2</v>
      </c>
      <c r="AB172" s="9">
        <f t="shared" si="233"/>
        <v>0.20031628458122028</v>
      </c>
      <c r="AC172" s="4">
        <f t="shared" si="303"/>
        <v>1009.9610501644152</v>
      </c>
      <c r="AD172" s="6">
        <f t="shared" si="234"/>
        <v>5.5199221003288305E-6</v>
      </c>
      <c r="AE172" s="8">
        <f t="shared" si="235"/>
        <v>27.503552076890774</v>
      </c>
      <c r="AF172" s="7">
        <f t="shared" si="236"/>
        <v>1.3814673414053758E-2</v>
      </c>
      <c r="AG172" s="9">
        <f t="shared" si="237"/>
        <v>0.20054227848752587</v>
      </c>
      <c r="AH172" s="4">
        <f t="shared" si="304"/>
        <v>1006.6635245603189</v>
      </c>
      <c r="AI172" s="6">
        <f t="shared" si="238"/>
        <v>5.5133270491206382E-6</v>
      </c>
      <c r="AJ172" s="8">
        <f t="shared" si="239"/>
        <v>27.465630532443669</v>
      </c>
      <c r="AK172" s="7">
        <f t="shared" si="240"/>
        <v>1.3798168021960504E-2</v>
      </c>
      <c r="AL172" s="9">
        <f t="shared" si="241"/>
        <v>0.20081916537414604</v>
      </c>
      <c r="AM172" s="4">
        <f t="shared" si="305"/>
        <v>1002.766565251437</v>
      </c>
      <c r="AN172" s="6">
        <f t="shared" si="242"/>
        <v>5.5055331305028747E-6</v>
      </c>
      <c r="AO172" s="8">
        <f t="shared" si="243"/>
        <v>27.420815500391527</v>
      </c>
      <c r="AP172" s="7">
        <f t="shared" si="244"/>
        <v>1.3778662232138996E-2</v>
      </c>
      <c r="AQ172" s="9">
        <f t="shared" si="245"/>
        <v>0.20114737287522486</v>
      </c>
      <c r="AR172" s="4">
        <f t="shared" si="306"/>
        <v>998.270138111135</v>
      </c>
      <c r="AS172" s="6">
        <f t="shared" si="246"/>
        <v>5.4965402762222706E-6</v>
      </c>
      <c r="AT172" s="8">
        <f t="shared" si="247"/>
        <v>27.369106588278051</v>
      </c>
      <c r="AU172" s="7">
        <f t="shared" si="248"/>
        <v>1.3756155873772213E-2</v>
      </c>
      <c r="AV172" s="9">
        <f t="shared" si="249"/>
        <v>0.20152740398045343</v>
      </c>
      <c r="AW172" s="4">
        <f t="shared" si="307"/>
        <v>993.1741497132399</v>
      </c>
      <c r="AX172" s="6">
        <f t="shared" si="250"/>
        <v>5.4863482994264797E-6</v>
      </c>
      <c r="AY172" s="8">
        <f t="shared" si="251"/>
        <v>27.310502721702257</v>
      </c>
      <c r="AZ172" s="7">
        <f t="shared" si="252"/>
        <v>1.3730648479225997E-2</v>
      </c>
      <c r="BA172" s="9">
        <f t="shared" si="253"/>
        <v>0.20195984878802745</v>
      </c>
      <c r="BB172" s="4">
        <f t="shared" si="308"/>
        <v>987.47807563017534</v>
      </c>
      <c r="BC172" s="6">
        <f t="shared" si="254"/>
        <v>5.4749561512603508E-6</v>
      </c>
      <c r="BD172" s="8">
        <f t="shared" si="255"/>
        <v>27.244997869747017</v>
      </c>
      <c r="BE172" s="7">
        <f t="shared" si="256"/>
        <v>1.3702137423537332E-2</v>
      </c>
      <c r="BF172" s="9">
        <f t="shared" si="257"/>
        <v>0.20244541865516449</v>
      </c>
      <c r="BG172" s="4">
        <f t="shared" si="309"/>
        <v>981.17915358046366</v>
      </c>
      <c r="BH172" s="6">
        <f t="shared" si="258"/>
        <v>5.4623583071609278E-6</v>
      </c>
      <c r="BI172" s="8">
        <f t="shared" si="259"/>
        <v>27.172560266175331</v>
      </c>
      <c r="BJ172" s="7">
        <f t="shared" si="260"/>
        <v>1.3670608880418158E-2</v>
      </c>
      <c r="BK172" s="9">
        <f t="shared" si="261"/>
        <v>0.20298510504606015</v>
      </c>
      <c r="BL172" s="4">
        <f t="shared" si="310"/>
        <v>974.26416717440384</v>
      </c>
      <c r="BM172" s="6">
        <f t="shared" si="262"/>
        <v>5.4485283343488083E-6</v>
      </c>
      <c r="BN172" s="8">
        <f t="shared" si="263"/>
        <v>27.093037922505644</v>
      </c>
      <c r="BO172" s="7">
        <f t="shared" si="264"/>
        <v>1.3635996696722072E-2</v>
      </c>
      <c r="BP172" s="9">
        <f t="shared" si="265"/>
        <v>0.20358089837604668</v>
      </c>
      <c r="BQ172" s="4">
        <f t="shared" si="311"/>
        <v>966.67620128262047</v>
      </c>
      <c r="BR172" s="6">
        <f t="shared" si="266"/>
        <v>5.4333524025652415E-6</v>
      </c>
      <c r="BS172" s="8">
        <f t="shared" si="267"/>
        <v>27.005776314750136</v>
      </c>
      <c r="BT172" s="7">
        <f t="shared" si="268"/>
        <v>1.359801599019517E-2</v>
      </c>
      <c r="BU172" s="9">
        <f t="shared" si="269"/>
        <v>0.20423871307070893</v>
      </c>
      <c r="BV172" s="4">
        <f t="shared" si="312"/>
        <v>958.197348251074</v>
      </c>
      <c r="BW172" s="6">
        <f t="shared" si="270"/>
        <v>5.416394696502148E-6</v>
      </c>
      <c r="BX172" s="8">
        <f t="shared" si="271"/>
        <v>26.90826950488735</v>
      </c>
      <c r="BY172" s="7">
        <f t="shared" si="272"/>
        <v>1.3555576048678748E-2</v>
      </c>
      <c r="BZ172" s="9">
        <f t="shared" si="273"/>
        <v>0.20497880768580071</v>
      </c>
      <c r="CA172" s="4">
        <f t="shared" si="313"/>
        <v>948.09747015787207</v>
      </c>
      <c r="CB172" s="6">
        <f t="shared" si="274"/>
        <v>5.396194940315745E-6</v>
      </c>
      <c r="CC172" s="8">
        <f t="shared" si="275"/>
        <v>26.792120906815526</v>
      </c>
      <c r="CD172" s="7">
        <f t="shared" si="276"/>
        <v>1.3505022249243421E-2</v>
      </c>
      <c r="CE172" s="9">
        <f t="shared" si="277"/>
        <v>0.20586742718815162</v>
      </c>
      <c r="CF172" s="4">
        <f t="shared" si="314"/>
        <v>934.27954278189031</v>
      </c>
      <c r="CG172" s="6">
        <f t="shared" si="278"/>
        <v>5.3685590855637812E-6</v>
      </c>
      <c r="CH172" s="8">
        <f t="shared" si="279"/>
        <v>26.633214741991736</v>
      </c>
      <c r="CI172" s="7">
        <f t="shared" si="280"/>
        <v>1.3435858173921802E-2</v>
      </c>
      <c r="CJ172" s="9">
        <f t="shared" si="281"/>
        <v>0.20709572815119801</v>
      </c>
      <c r="CK172" s="4">
        <f t="shared" si="315"/>
        <v>911.72787583855177</v>
      </c>
      <c r="CL172" s="6">
        <f t="shared" si="282"/>
        <v>5.3234557516771046E-6</v>
      </c>
      <c r="CM172" s="8">
        <f t="shared" si="283"/>
        <v>26.373870572143346</v>
      </c>
      <c r="CN172" s="7">
        <f t="shared" si="284"/>
        <v>1.3322978351307578E-2</v>
      </c>
      <c r="CO172" s="9">
        <f t="shared" si="285"/>
        <v>0.20913217818797225</v>
      </c>
      <c r="CP172" s="4">
        <f t="shared" si="316"/>
        <v>870.87756208110193</v>
      </c>
      <c r="CQ172" s="6">
        <f t="shared" si="286"/>
        <v>5.2417551241622049E-6</v>
      </c>
      <c r="CR172" s="8">
        <f t="shared" si="287"/>
        <v>25.904091963932672</v>
      </c>
      <c r="CS172" s="7">
        <f t="shared" si="288"/>
        <v>1.3118506718134646E-2</v>
      </c>
      <c r="CT172" s="9">
        <f t="shared" si="289"/>
        <v>0.2129248540222769</v>
      </c>
      <c r="CU172" s="4">
        <f t="shared" si="317"/>
        <v>798.26011703792904</v>
      </c>
      <c r="CV172" s="6">
        <f t="shared" si="290"/>
        <v>5.0965202340758592E-6</v>
      </c>
      <c r="CW172" s="8">
        <f t="shared" si="291"/>
        <v>25.068991345936183</v>
      </c>
      <c r="CX172" s="7">
        <f t="shared" si="292"/>
        <v>1.2755028296084209E-2</v>
      </c>
      <c r="CY172" s="9">
        <f t="shared" si="293"/>
        <v>0.22001782695952432</v>
      </c>
      <c r="CZ172" s="5">
        <f t="shared" si="318"/>
        <v>682.35677076599825</v>
      </c>
      <c r="DA172" s="6">
        <f t="shared" si="294"/>
        <v>4.8647135415319969E-6</v>
      </c>
      <c r="DB172" s="8">
        <f t="shared" si="295"/>
        <v>27.412760430215485</v>
      </c>
      <c r="DC172" s="7">
        <f t="shared" si="296"/>
        <v>1.2174887182771274E-2</v>
      </c>
      <c r="DD172" s="9">
        <f t="shared" si="297"/>
        <v>0.20120647878717274</v>
      </c>
    </row>
    <row r="173" spans="2:108" x14ac:dyDescent="0.25">
      <c r="B173">
        <v>154</v>
      </c>
      <c r="C173">
        <f t="shared" si="298"/>
        <v>0.15055265861716871</v>
      </c>
      <c r="D173" s="4">
        <f t="shared" si="215"/>
        <v>1017.4739610501895</v>
      </c>
      <c r="E173" s="6">
        <f t="shared" si="216"/>
        <v>5.5349479221003795E-6</v>
      </c>
      <c r="F173" s="8">
        <f t="shared" si="217"/>
        <v>27.589950552077177</v>
      </c>
      <c r="G173" s="7">
        <f t="shared" si="213"/>
        <v>1.3852278441222414E-2</v>
      </c>
      <c r="H173" s="9">
        <f t="shared" si="218"/>
        <v>0.19991427638077963</v>
      </c>
      <c r="I173" s="4">
        <f t="shared" si="299"/>
        <v>1017.1493367081866</v>
      </c>
      <c r="J173" s="6">
        <f t="shared" si="219"/>
        <v>5.5342986734163737E-6</v>
      </c>
      <c r="K173" s="8">
        <f t="shared" si="220"/>
        <v>27.586217372144148</v>
      </c>
      <c r="L173" s="7">
        <f t="shared" si="221"/>
        <v>1.3850653570731303E-2</v>
      </c>
      <c r="M173" s="9">
        <f t="shared" si="222"/>
        <v>0.19994133032423417</v>
      </c>
      <c r="N173" s="4">
        <f t="shared" si="300"/>
        <v>1016.2433411772206</v>
      </c>
      <c r="O173" s="6">
        <f t="shared" si="223"/>
        <v>5.5324866823544415E-6</v>
      </c>
      <c r="P173" s="8">
        <f t="shared" si="224"/>
        <v>27.575798423538036</v>
      </c>
      <c r="Q173" s="7">
        <f t="shared" si="214"/>
        <v>1.3852278441222414E-2</v>
      </c>
      <c r="R173" s="9">
        <f t="shared" si="225"/>
        <v>0.2000168740460474</v>
      </c>
      <c r="S173" s="4">
        <f t="shared" si="301"/>
        <v>1014.741781228533</v>
      </c>
      <c r="T173" s="6">
        <f t="shared" si="226"/>
        <v>5.5294835624570671E-6</v>
      </c>
      <c r="U173" s="8">
        <f t="shared" si="227"/>
        <v>27.558530484128127</v>
      </c>
      <c r="V173" s="7">
        <f t="shared" si="228"/>
        <v>1.3838602823610926E-2</v>
      </c>
      <c r="W173" s="9">
        <f t="shared" si="229"/>
        <v>0.20014220290797549</v>
      </c>
      <c r="X173" s="4">
        <f t="shared" si="302"/>
        <v>1012.6426448053301</v>
      </c>
      <c r="Y173" s="6">
        <f t="shared" si="230"/>
        <v>5.5252852896106614E-6</v>
      </c>
      <c r="Z173" s="8">
        <f t="shared" si="231"/>
        <v>27.534390415261296</v>
      </c>
      <c r="AA173" s="7">
        <f t="shared" si="232"/>
        <v>1.3828095833254535E-2</v>
      </c>
      <c r="AB173" s="9">
        <f t="shared" si="233"/>
        <v>0.20031767243856952</v>
      </c>
      <c r="AC173" s="4">
        <f t="shared" si="303"/>
        <v>1009.9444714754494</v>
      </c>
      <c r="AD173" s="6">
        <f t="shared" si="234"/>
        <v>5.5198889429508989E-6</v>
      </c>
      <c r="AE173" s="8">
        <f t="shared" si="235"/>
        <v>27.503361421967668</v>
      </c>
      <c r="AF173" s="7">
        <f t="shared" si="236"/>
        <v>1.3814590431298011E-2</v>
      </c>
      <c r="AG173" s="9">
        <f t="shared" si="237"/>
        <v>0.20054366865842527</v>
      </c>
      <c r="AH173" s="4">
        <f t="shared" si="304"/>
        <v>1006.6469612239936</v>
      </c>
      <c r="AI173" s="6">
        <f t="shared" si="238"/>
        <v>5.5132939224479881E-6</v>
      </c>
      <c r="AJ173" s="8">
        <f t="shared" si="239"/>
        <v>27.465440054075927</v>
      </c>
      <c r="AK173" s="7">
        <f t="shared" si="240"/>
        <v>1.3798085116050669E-2</v>
      </c>
      <c r="AL173" s="9">
        <f t="shared" si="241"/>
        <v>0.20082055809557181</v>
      </c>
      <c r="AM173" s="4">
        <f t="shared" si="305"/>
        <v>1002.750021410372</v>
      </c>
      <c r="AN173" s="6">
        <f t="shared" si="242"/>
        <v>5.5055000428207444E-6</v>
      </c>
      <c r="AO173" s="8">
        <f t="shared" si="243"/>
        <v>27.420625246219277</v>
      </c>
      <c r="AP173" s="7">
        <f t="shared" si="244"/>
        <v>1.3778579423810482E-2</v>
      </c>
      <c r="AQ173" s="9">
        <f t="shared" si="245"/>
        <v>0.20114876850813196</v>
      </c>
      <c r="AR173" s="4">
        <f t="shared" si="306"/>
        <v>998.25361639251787</v>
      </c>
      <c r="AS173" s="6">
        <f t="shared" si="246"/>
        <v>5.4965072327850358E-6</v>
      </c>
      <c r="AT173" s="8">
        <f t="shared" si="247"/>
        <v>27.368916588513954</v>
      </c>
      <c r="AU173" s="7">
        <f t="shared" si="248"/>
        <v>1.3756073176175115E-2</v>
      </c>
      <c r="AV173" s="9">
        <f t="shared" si="249"/>
        <v>0.20152880301863205</v>
      </c>
      <c r="AW173" s="4">
        <f t="shared" si="307"/>
        <v>993.15764731279774</v>
      </c>
      <c r="AX173" s="6">
        <f t="shared" si="250"/>
        <v>5.4863152946255958E-6</v>
      </c>
      <c r="AY173" s="8">
        <f t="shared" si="251"/>
        <v>27.310312944097173</v>
      </c>
      <c r="AZ173" s="7">
        <f t="shared" si="252"/>
        <v>1.3730565878323843E-2</v>
      </c>
      <c r="BA173" s="9">
        <f t="shared" si="253"/>
        <v>0.20196125219400468</v>
      </c>
      <c r="BB173" s="4">
        <f t="shared" si="308"/>
        <v>987.46156328222412</v>
      </c>
      <c r="BC173" s="6">
        <f t="shared" si="254"/>
        <v>5.4749231265644485E-6</v>
      </c>
      <c r="BD173" s="8">
        <f t="shared" si="255"/>
        <v>27.244807977745577</v>
      </c>
      <c r="BE173" s="7">
        <f t="shared" si="256"/>
        <v>1.3702054772844042E-2</v>
      </c>
      <c r="BF173" s="9">
        <f t="shared" si="257"/>
        <v>0.20244682966770541</v>
      </c>
      <c r="BG173" s="4">
        <f t="shared" si="309"/>
        <v>981.16248233757187</v>
      </c>
      <c r="BH173" s="6">
        <f t="shared" si="258"/>
        <v>5.4623249646751443E-6</v>
      </c>
      <c r="BI173" s="8">
        <f t="shared" si="259"/>
        <v>27.172368546882076</v>
      </c>
      <c r="BJ173" s="7">
        <f t="shared" si="260"/>
        <v>1.3670525434394185E-2</v>
      </c>
      <c r="BK173" s="9">
        <f t="shared" si="261"/>
        <v>0.20298653724218299</v>
      </c>
      <c r="BL173" s="4">
        <f t="shared" si="310"/>
        <v>974.24670623379984</v>
      </c>
      <c r="BM173" s="6">
        <f t="shared" si="262"/>
        <v>5.4484934124676001E-6</v>
      </c>
      <c r="BN173" s="8">
        <f t="shared" si="263"/>
        <v>27.092837121688696</v>
      </c>
      <c r="BO173" s="7">
        <f t="shared" si="264"/>
        <v>1.3635909297955362E-2</v>
      </c>
      <c r="BP173" s="9">
        <f t="shared" si="265"/>
        <v>0.20358240723281665</v>
      </c>
      <c r="BQ173" s="4">
        <f t="shared" si="311"/>
        <v>966.65562685386692</v>
      </c>
      <c r="BR173" s="6">
        <f t="shared" si="266"/>
        <v>5.4333112537077343E-6</v>
      </c>
      <c r="BS173" s="8">
        <f t="shared" si="267"/>
        <v>27.00553970881947</v>
      </c>
      <c r="BT173" s="7">
        <f t="shared" si="268"/>
        <v>1.3597913007215068E-2</v>
      </c>
      <c r="BU173" s="9">
        <f t="shared" si="269"/>
        <v>0.20424050248470713</v>
      </c>
      <c r="BV173" s="4">
        <f t="shared" si="312"/>
        <v>958.16628312295961</v>
      </c>
      <c r="BW173" s="6">
        <f t="shared" si="270"/>
        <v>5.4163325662459198E-6</v>
      </c>
      <c r="BX173" s="8">
        <f t="shared" si="271"/>
        <v>26.907912255914034</v>
      </c>
      <c r="BY173" s="7">
        <f t="shared" si="272"/>
        <v>1.3555420555687486E-2</v>
      </c>
      <c r="BZ173" s="9">
        <f t="shared" si="273"/>
        <v>0.20498152913322853</v>
      </c>
      <c r="CA173" s="4">
        <f t="shared" si="313"/>
        <v>948.03626323913375</v>
      </c>
      <c r="CB173" s="6">
        <f t="shared" si="274"/>
        <v>5.3960725264782682E-6</v>
      </c>
      <c r="CC173" s="8">
        <f t="shared" si="275"/>
        <v>26.791417027250038</v>
      </c>
      <c r="CD173" s="7">
        <f t="shared" si="276"/>
        <v>1.3504715884922445E-2</v>
      </c>
      <c r="CE173" s="9">
        <f t="shared" si="277"/>
        <v>0.20587283585597424</v>
      </c>
      <c r="CF173" s="4">
        <f t="shared" si="314"/>
        <v>934.14624732797859</v>
      </c>
      <c r="CG173" s="6">
        <f t="shared" si="278"/>
        <v>5.3682924946559576E-6</v>
      </c>
      <c r="CH173" s="8">
        <f t="shared" si="279"/>
        <v>26.631681844271753</v>
      </c>
      <c r="CI173" s="7">
        <f t="shared" si="280"/>
        <v>1.3435190978577411E-2</v>
      </c>
      <c r="CJ173" s="9">
        <f t="shared" si="281"/>
        <v>0.2071076484111109</v>
      </c>
      <c r="CK173" s="4">
        <f t="shared" si="315"/>
        <v>911.45697656162713</v>
      </c>
      <c r="CL173" s="6">
        <f t="shared" si="282"/>
        <v>5.3229139531232547E-6</v>
      </c>
      <c r="CM173" s="8">
        <f t="shared" si="283"/>
        <v>26.370755230458713</v>
      </c>
      <c r="CN173" s="7">
        <f t="shared" si="284"/>
        <v>1.3321622395563709E-2</v>
      </c>
      <c r="CO173" s="9">
        <f t="shared" si="285"/>
        <v>0.20915688427570517</v>
      </c>
      <c r="CP173" s="4">
        <f t="shared" si="316"/>
        <v>870.41238416916735</v>
      </c>
      <c r="CQ173" s="6">
        <f t="shared" si="286"/>
        <v>5.2408247683383354E-6</v>
      </c>
      <c r="CR173" s="8">
        <f t="shared" si="287"/>
        <v>25.898742417945424</v>
      </c>
      <c r="CS173" s="7">
        <f t="shared" si="288"/>
        <v>1.3116178322618908E-2</v>
      </c>
      <c r="CT173" s="9">
        <f t="shared" si="289"/>
        <v>0.21296883497239558</v>
      </c>
      <c r="CU173" s="4">
        <f t="shared" si="317"/>
        <v>797.62730111444137</v>
      </c>
      <c r="CV173" s="6">
        <f t="shared" si="290"/>
        <v>5.0952546022288831E-6</v>
      </c>
      <c r="CW173" s="8">
        <f t="shared" si="291"/>
        <v>25.061713962816075</v>
      </c>
      <c r="CX173" s="7">
        <f t="shared" si="292"/>
        <v>1.2751860807429365E-2</v>
      </c>
      <c r="CY173" s="9">
        <f t="shared" si="293"/>
        <v>0.22008171540795263</v>
      </c>
      <c r="CZ173" s="5">
        <f t="shared" si="318"/>
        <v>681.71529977433295</v>
      </c>
      <c r="DA173" s="6">
        <f t="shared" si="294"/>
        <v>4.863430599548666E-6</v>
      </c>
      <c r="DB173" s="8">
        <f t="shared" si="295"/>
        <v>27.541567805341828</v>
      </c>
      <c r="DC173" s="7">
        <f t="shared" si="296"/>
        <v>1.2171676372149901E-2</v>
      </c>
      <c r="DD173" s="9">
        <f t="shared" si="297"/>
        <v>0.20026546923484204</v>
      </c>
    </row>
    <row r="174" spans="2:108" x14ac:dyDescent="0.25">
      <c r="B174">
        <v>155</v>
      </c>
      <c r="C174">
        <f t="shared" si="298"/>
        <v>0.15153027328351398</v>
      </c>
      <c r="D174" s="4">
        <f t="shared" si="215"/>
        <v>1017.4573873711802</v>
      </c>
      <c r="E174" s="6">
        <f t="shared" si="216"/>
        <v>5.5349147747423614E-6</v>
      </c>
      <c r="F174" s="8">
        <f t="shared" si="217"/>
        <v>27.589759954768571</v>
      </c>
      <c r="G174" s="7">
        <f t="shared" si="213"/>
        <v>1.3852195483543439E-2</v>
      </c>
      <c r="H174" s="9">
        <f t="shared" si="218"/>
        <v>0.19991565744111114</v>
      </c>
      <c r="I174" s="4">
        <f t="shared" si="299"/>
        <v>1017.1327600473055</v>
      </c>
      <c r="J174" s="6">
        <f t="shared" si="219"/>
        <v>5.534265520094611E-6</v>
      </c>
      <c r="K174" s="8">
        <f t="shared" si="220"/>
        <v>27.586026740544014</v>
      </c>
      <c r="L174" s="7">
        <f t="shared" si="221"/>
        <v>1.3850570598126907E-2</v>
      </c>
      <c r="M174" s="9">
        <f t="shared" si="222"/>
        <v>0.19994271200692776</v>
      </c>
      <c r="N174" s="4">
        <f t="shared" si="300"/>
        <v>1016.2267557659222</v>
      </c>
      <c r="O174" s="6">
        <f t="shared" si="223"/>
        <v>5.5324535115318448E-6</v>
      </c>
      <c r="P174" s="8">
        <f t="shared" si="224"/>
        <v>27.575607691308107</v>
      </c>
      <c r="Q174" s="7">
        <f t="shared" si="214"/>
        <v>1.3852195483543439E-2</v>
      </c>
      <c r="R174" s="9">
        <f t="shared" si="225"/>
        <v>0.20001825750293573</v>
      </c>
      <c r="S174" s="4">
        <f t="shared" si="301"/>
        <v>1014.7251905573883</v>
      </c>
      <c r="T174" s="6">
        <f t="shared" si="226"/>
        <v>5.5294503811147768E-6</v>
      </c>
      <c r="U174" s="8">
        <f t="shared" si="227"/>
        <v>27.558339691409962</v>
      </c>
      <c r="V174" s="7">
        <f t="shared" si="228"/>
        <v>1.3838519780879733E-2</v>
      </c>
      <c r="W174" s="9">
        <f t="shared" si="229"/>
        <v>0.20014358853843583</v>
      </c>
      <c r="X174" s="4">
        <f t="shared" si="302"/>
        <v>1012.6260565630084</v>
      </c>
      <c r="Y174" s="6">
        <f t="shared" si="230"/>
        <v>5.5252521131260179E-6</v>
      </c>
      <c r="Z174" s="8">
        <f t="shared" si="231"/>
        <v>27.534199650474598</v>
      </c>
      <c r="AA174" s="7">
        <f t="shared" si="232"/>
        <v>1.3828012802680544E-2</v>
      </c>
      <c r="AB174" s="9">
        <f t="shared" si="233"/>
        <v>0.20031906029652577</v>
      </c>
      <c r="AC174" s="4">
        <f t="shared" si="303"/>
        <v>1009.9278929978924</v>
      </c>
      <c r="AD174" s="6">
        <f t="shared" si="234"/>
        <v>5.5198557859957849E-6</v>
      </c>
      <c r="AE174" s="8">
        <f t="shared" si="235"/>
        <v>27.503170769475762</v>
      </c>
      <c r="AF174" s="7">
        <f t="shared" si="236"/>
        <v>1.3814507449600447E-2</v>
      </c>
      <c r="AG174" s="9">
        <f t="shared" si="237"/>
        <v>0.2005450588308707</v>
      </c>
      <c r="AH174" s="4">
        <f t="shared" si="304"/>
        <v>1006.6303980845065</v>
      </c>
      <c r="AI174" s="6">
        <f t="shared" si="238"/>
        <v>5.5132607961690135E-6</v>
      </c>
      <c r="AJ174" s="8">
        <f t="shared" si="239"/>
        <v>27.465249577971825</v>
      </c>
      <c r="AK174" s="7">
        <f t="shared" si="240"/>
        <v>1.379800221112608E-2</v>
      </c>
      <c r="AL174" s="9">
        <f t="shared" si="241"/>
        <v>0.20082195081976392</v>
      </c>
      <c r="AM174" s="4">
        <f t="shared" si="305"/>
        <v>1002.7334777459769</v>
      </c>
      <c r="AN174" s="6">
        <f t="shared" si="242"/>
        <v>5.5054669554919539E-6</v>
      </c>
      <c r="AO174" s="8">
        <f t="shared" si="243"/>
        <v>27.420434994078732</v>
      </c>
      <c r="AP174" s="7">
        <f t="shared" si="244"/>
        <v>1.377849661636627E-2</v>
      </c>
      <c r="AQ174" s="9">
        <f t="shared" si="245"/>
        <v>0.20115016414550185</v>
      </c>
      <c r="AR174" s="4">
        <f t="shared" si="306"/>
        <v>998.23709477024227</v>
      </c>
      <c r="AS174" s="6">
        <f t="shared" si="246"/>
        <v>5.496474189540485E-6</v>
      </c>
      <c r="AT174" s="8">
        <f t="shared" si="247"/>
        <v>27.368726589857786</v>
      </c>
      <c r="AU174" s="7">
        <f t="shared" si="248"/>
        <v>1.3755990479060244E-2</v>
      </c>
      <c r="AV174" s="9">
        <f t="shared" si="249"/>
        <v>0.20153020206807731</v>
      </c>
      <c r="AW174" s="4">
        <f t="shared" si="307"/>
        <v>993.14114461614554</v>
      </c>
      <c r="AX174" s="6">
        <f t="shared" si="250"/>
        <v>5.4862822892322919E-6</v>
      </c>
      <c r="AY174" s="8">
        <f t="shared" si="251"/>
        <v>27.31012316308567</v>
      </c>
      <c r="AZ174" s="7">
        <f t="shared" si="252"/>
        <v>1.3730483275939044E-2</v>
      </c>
      <c r="BA174" s="9">
        <f t="shared" si="253"/>
        <v>0.20196265564467744</v>
      </c>
      <c r="BB174" s="4">
        <f t="shared" si="308"/>
        <v>987.44504887257574</v>
      </c>
      <c r="BC174" s="6">
        <f t="shared" si="254"/>
        <v>5.4748900977451517E-6</v>
      </c>
      <c r="BD174" s="8">
        <f t="shared" si="255"/>
        <v>27.244618062034618</v>
      </c>
      <c r="BE174" s="7">
        <f t="shared" si="256"/>
        <v>1.3701972111831162E-2</v>
      </c>
      <c r="BF174" s="9">
        <f t="shared" si="257"/>
        <v>0.20244824087609525</v>
      </c>
      <c r="BG174" s="4">
        <f t="shared" si="309"/>
        <v>981.14580196121199</v>
      </c>
      <c r="BH174" s="6">
        <f t="shared" si="258"/>
        <v>5.4622916039224243E-6</v>
      </c>
      <c r="BI174" s="8">
        <f t="shared" si="259"/>
        <v>27.172176722553935</v>
      </c>
      <c r="BJ174" s="7">
        <f t="shared" si="260"/>
        <v>1.3670441942653667E-2</v>
      </c>
      <c r="BK174" s="9">
        <f t="shared" si="261"/>
        <v>0.20298797024317239</v>
      </c>
      <c r="BL174" s="4">
        <f t="shared" si="310"/>
        <v>974.22921140933352</v>
      </c>
      <c r="BM174" s="6">
        <f t="shared" si="262"/>
        <v>5.4484584228186673E-6</v>
      </c>
      <c r="BN174" s="8">
        <f t="shared" si="263"/>
        <v>27.092635931207333</v>
      </c>
      <c r="BO174" s="7">
        <f t="shared" si="264"/>
        <v>1.3635821729586805E-2</v>
      </c>
      <c r="BP174" s="9">
        <f t="shared" si="265"/>
        <v>0.2035839190400329</v>
      </c>
      <c r="BQ174" s="4">
        <f t="shared" si="311"/>
        <v>966.63494482812348</v>
      </c>
      <c r="BR174" s="6">
        <f t="shared" si="266"/>
        <v>5.4332698896562477E-6</v>
      </c>
      <c r="BS174" s="8">
        <f t="shared" si="267"/>
        <v>27.005301865523421</v>
      </c>
      <c r="BT174" s="7">
        <f t="shared" si="268"/>
        <v>1.3597809485670383E-2</v>
      </c>
      <c r="BU174" s="9">
        <f t="shared" si="269"/>
        <v>0.2042423012883102</v>
      </c>
      <c r="BV174" s="4">
        <f t="shared" si="312"/>
        <v>958.13493128694824</v>
      </c>
      <c r="BW174" s="6">
        <f t="shared" si="270"/>
        <v>5.4162698625738973E-6</v>
      </c>
      <c r="BX174" s="8">
        <f t="shared" si="271"/>
        <v>26.907551709799904</v>
      </c>
      <c r="BY174" s="7">
        <f t="shared" si="272"/>
        <v>1.3555263627612215E-2</v>
      </c>
      <c r="BZ174" s="9">
        <f t="shared" si="273"/>
        <v>0.20498427577084888</v>
      </c>
      <c r="CA174" s="4">
        <f t="shared" si="313"/>
        <v>947.97444223782634</v>
      </c>
      <c r="CB174" s="6">
        <f t="shared" si="274"/>
        <v>5.3959488844756532E-6</v>
      </c>
      <c r="CC174" s="8">
        <f t="shared" si="275"/>
        <v>26.790706085735003</v>
      </c>
      <c r="CD174" s="7">
        <f t="shared" si="276"/>
        <v>1.3504406446880507E-2</v>
      </c>
      <c r="CE174" s="9">
        <f t="shared" si="277"/>
        <v>0.2058782990768897</v>
      </c>
      <c r="CF174" s="4">
        <f t="shared" si="314"/>
        <v>934.01198169039594</v>
      </c>
      <c r="CG174" s="6">
        <f t="shared" si="278"/>
        <v>5.3680239633807929E-6</v>
      </c>
      <c r="CH174" s="8">
        <f t="shared" si="279"/>
        <v>26.630137789439551</v>
      </c>
      <c r="CI174" s="7">
        <f t="shared" si="280"/>
        <v>1.3434518927088199E-2</v>
      </c>
      <c r="CJ174" s="9">
        <f t="shared" si="281"/>
        <v>0.20711965681932282</v>
      </c>
      <c r="CK174" s="4">
        <f t="shared" si="315"/>
        <v>911.1851982990371</v>
      </c>
      <c r="CL174" s="6">
        <f t="shared" si="282"/>
        <v>5.3223703965980754E-6</v>
      </c>
      <c r="CM174" s="8">
        <f t="shared" si="283"/>
        <v>26.367629780438925</v>
      </c>
      <c r="CN174" s="7">
        <f t="shared" si="284"/>
        <v>1.3320262040156341E-2</v>
      </c>
      <c r="CO174" s="9">
        <f t="shared" si="285"/>
        <v>0.20918167639367488</v>
      </c>
      <c r="CP174" s="4">
        <f t="shared" si="316"/>
        <v>869.94747470779328</v>
      </c>
      <c r="CQ174" s="6">
        <f t="shared" si="286"/>
        <v>5.2398949494155872E-6</v>
      </c>
      <c r="CR174" s="8">
        <f t="shared" si="287"/>
        <v>25.893395959139621</v>
      </c>
      <c r="CS174" s="7">
        <f t="shared" si="288"/>
        <v>1.3113851270802144E-2</v>
      </c>
      <c r="CT174" s="9">
        <f t="shared" si="289"/>
        <v>0.21301280869854938</v>
      </c>
      <c r="CU174" s="4">
        <f t="shared" si="317"/>
        <v>796.99662150385814</v>
      </c>
      <c r="CV174" s="6">
        <f t="shared" si="290"/>
        <v>5.0939932430077165E-6</v>
      </c>
      <c r="CW174" s="8">
        <f t="shared" si="291"/>
        <v>25.054461147294369</v>
      </c>
      <c r="CX174" s="7">
        <f t="shared" si="292"/>
        <v>1.2748704011847562E-2</v>
      </c>
      <c r="CY174" s="9">
        <f t="shared" si="293"/>
        <v>0.22014542510309118</v>
      </c>
      <c r="CZ174" s="5">
        <f t="shared" si="318"/>
        <v>681.07667777701135</v>
      </c>
      <c r="DA174" s="6">
        <f t="shared" si="294"/>
        <v>4.8621533555540232E-6</v>
      </c>
      <c r="DB174" s="8">
        <f t="shared" si="295"/>
        <v>27.669803102403961</v>
      </c>
      <c r="DC174" s="7">
        <f t="shared" si="296"/>
        <v>1.216847982184804E-2</v>
      </c>
      <c r="DD174" s="9">
        <f t="shared" si="297"/>
        <v>0.19933734185194837</v>
      </c>
    </row>
    <row r="175" spans="2:108" x14ac:dyDescent="0.25">
      <c r="B175">
        <v>156</v>
      </c>
      <c r="C175">
        <f t="shared" si="298"/>
        <v>0.15250788794985923</v>
      </c>
      <c r="D175" s="4">
        <f t="shared" si="215"/>
        <v>1017.4408135399316</v>
      </c>
      <c r="E175" s="6">
        <f t="shared" si="216"/>
        <v>5.5348816270798639E-6</v>
      </c>
      <c r="F175" s="8">
        <f t="shared" si="217"/>
        <v>27.589569355709212</v>
      </c>
      <c r="G175" s="7">
        <f t="shared" si="213"/>
        <v>1.3852112525102447E-2</v>
      </c>
      <c r="H175" s="9">
        <f t="shared" si="218"/>
        <v>0.19991703853321041</v>
      </c>
      <c r="I175" s="4">
        <f t="shared" si="299"/>
        <v>1017.1161833245341</v>
      </c>
      <c r="J175" s="6">
        <f t="shared" si="219"/>
        <v>5.5342323666490688E-6</v>
      </c>
      <c r="K175" s="8">
        <f t="shared" si="220"/>
        <v>27.58583610823214</v>
      </c>
      <c r="L175" s="7">
        <f t="shared" si="221"/>
        <v>1.3850487625212723E-2</v>
      </c>
      <c r="M175" s="9">
        <f t="shared" si="222"/>
        <v>0.19994409371387631</v>
      </c>
      <c r="N175" s="4">
        <f t="shared" si="300"/>
        <v>1016.2101704538139</v>
      </c>
      <c r="O175" s="6">
        <f t="shared" si="223"/>
        <v>5.5324203409076283E-6</v>
      </c>
      <c r="P175" s="8">
        <f t="shared" si="224"/>
        <v>27.57541696021886</v>
      </c>
      <c r="Q175" s="7">
        <f t="shared" si="214"/>
        <v>1.3852112525102447E-2</v>
      </c>
      <c r="R175" s="9">
        <f t="shared" si="225"/>
        <v>0.20001964097068811</v>
      </c>
      <c r="S175" s="4">
        <f t="shared" si="301"/>
        <v>1014.7086000855707</v>
      </c>
      <c r="T175" s="6">
        <f t="shared" si="226"/>
        <v>5.5294172001711418E-6</v>
      </c>
      <c r="U175" s="8">
        <f t="shared" si="227"/>
        <v>27.558148900984062</v>
      </c>
      <c r="V175" s="7">
        <f t="shared" si="228"/>
        <v>1.3838436739146254E-2</v>
      </c>
      <c r="W175" s="9">
        <f t="shared" si="229"/>
        <v>0.20014497417143445</v>
      </c>
      <c r="X175" s="4">
        <f t="shared" si="302"/>
        <v>1012.6094685428394</v>
      </c>
      <c r="Y175" s="6">
        <f t="shared" si="230"/>
        <v>5.5252189370856795E-6</v>
      </c>
      <c r="Z175" s="8">
        <f t="shared" si="231"/>
        <v>27.534008888242653</v>
      </c>
      <c r="AA175" s="7">
        <f t="shared" si="232"/>
        <v>1.3827929773218513E-2</v>
      </c>
      <c r="AB175" s="9">
        <f t="shared" si="233"/>
        <v>0.20032044815512634</v>
      </c>
      <c r="AC175" s="4">
        <f t="shared" si="303"/>
        <v>1009.9113147316591</v>
      </c>
      <c r="AD175" s="6">
        <f t="shared" si="234"/>
        <v>5.5198226294633184E-6</v>
      </c>
      <c r="AE175" s="8">
        <f t="shared" si="235"/>
        <v>27.502980119414079</v>
      </c>
      <c r="AF175" s="7">
        <f t="shared" si="236"/>
        <v>1.381442446896064E-2</v>
      </c>
      <c r="AG175" s="9">
        <f t="shared" si="237"/>
        <v>0.20054644900486895</v>
      </c>
      <c r="AH175" s="4">
        <f t="shared" si="304"/>
        <v>1006.613835141738</v>
      </c>
      <c r="AI175" s="6">
        <f t="shared" si="238"/>
        <v>5.5132276702834772E-6</v>
      </c>
      <c r="AJ175" s="8">
        <f t="shared" si="239"/>
        <v>27.465059104129985</v>
      </c>
      <c r="AK175" s="7">
        <f t="shared" si="240"/>
        <v>1.3797919307186149E-2</v>
      </c>
      <c r="AL175" s="9">
        <f t="shared" si="241"/>
        <v>0.20082334354673217</v>
      </c>
      <c r="AM175" s="4">
        <f t="shared" si="305"/>
        <v>1002.7169342573203</v>
      </c>
      <c r="AN175" s="6">
        <f t="shared" si="242"/>
        <v>5.5054338685146406E-6</v>
      </c>
      <c r="AO175" s="8">
        <f t="shared" si="243"/>
        <v>27.420244743959181</v>
      </c>
      <c r="AP175" s="7">
        <f t="shared" si="244"/>
        <v>1.3778413809801694E-2</v>
      </c>
      <c r="AQ175" s="9">
        <f t="shared" si="245"/>
        <v>0.20115155978741292</v>
      </c>
      <c r="AR175" s="4">
        <f t="shared" si="306"/>
        <v>998.22057323959802</v>
      </c>
      <c r="AS175" s="6">
        <f t="shared" si="246"/>
        <v>5.4964411464791966E-6</v>
      </c>
      <c r="AT175" s="8">
        <f t="shared" si="247"/>
        <v>27.368536592255374</v>
      </c>
      <c r="AU175" s="7">
        <f t="shared" si="248"/>
        <v>1.3755907782404021E-2</v>
      </c>
      <c r="AV175" s="9">
        <f t="shared" si="249"/>
        <v>0.20153160112918814</v>
      </c>
      <c r="AW175" s="4">
        <f t="shared" si="307"/>
        <v>993.12464160275226</v>
      </c>
      <c r="AX175" s="6">
        <f t="shared" si="250"/>
        <v>5.4862492832055048E-6</v>
      </c>
      <c r="AY175" s="8">
        <f t="shared" si="251"/>
        <v>27.309933378431651</v>
      </c>
      <c r="AZ175" s="7">
        <f t="shared" si="252"/>
        <v>1.373040067196883E-2</v>
      </c>
      <c r="BA175" s="9">
        <f t="shared" si="253"/>
        <v>0.20196405914179311</v>
      </c>
      <c r="BB175" s="4">
        <f t="shared" si="308"/>
        <v>987.42853232233369</v>
      </c>
      <c r="BC175" s="6">
        <f t="shared" si="254"/>
        <v>5.4748570646446674E-6</v>
      </c>
      <c r="BD175" s="8">
        <f t="shared" si="255"/>
        <v>27.244428121706836</v>
      </c>
      <c r="BE175" s="7">
        <f t="shared" si="256"/>
        <v>1.370188944010378E-2</v>
      </c>
      <c r="BF175" s="9">
        <f t="shared" si="257"/>
        <v>0.20244965228708392</v>
      </c>
      <c r="BG175" s="4">
        <f t="shared" si="309"/>
        <v>981.12911218945862</v>
      </c>
      <c r="BH175" s="6">
        <f t="shared" si="258"/>
        <v>5.4622582243789171E-6</v>
      </c>
      <c r="BI175" s="8">
        <f t="shared" si="259"/>
        <v>27.171984790178776</v>
      </c>
      <c r="BJ175" s="7">
        <f t="shared" si="260"/>
        <v>1.367035840388557E-2</v>
      </c>
      <c r="BK175" s="9">
        <f t="shared" si="261"/>
        <v>0.20298940407156435</v>
      </c>
      <c r="BL175" s="4">
        <f t="shared" si="310"/>
        <v>974.21168197605766</v>
      </c>
      <c r="BM175" s="6">
        <f t="shared" si="262"/>
        <v>5.4484233639521162E-6</v>
      </c>
      <c r="BN175" s="8">
        <f t="shared" si="263"/>
        <v>27.092434342724662</v>
      </c>
      <c r="BO175" s="7">
        <f t="shared" si="264"/>
        <v>1.3635733987987763E-2</v>
      </c>
      <c r="BP175" s="9">
        <f t="shared" si="265"/>
        <v>0.20358543386047379</v>
      </c>
      <c r="BQ175" s="4">
        <f t="shared" si="311"/>
        <v>966.6141536372678</v>
      </c>
      <c r="BR175" s="6">
        <f t="shared" si="266"/>
        <v>5.4332283072745363E-6</v>
      </c>
      <c r="BS175" s="8">
        <f t="shared" si="267"/>
        <v>27.00506276682858</v>
      </c>
      <c r="BT175" s="7">
        <f t="shared" si="268"/>
        <v>1.3597705417712052E-2</v>
      </c>
      <c r="BU175" s="9">
        <f t="shared" si="269"/>
        <v>0.20424410961840336</v>
      </c>
      <c r="BV175" s="4">
        <f t="shared" si="312"/>
        <v>958.10329048666756</v>
      </c>
      <c r="BW175" s="6">
        <f t="shared" si="270"/>
        <v>5.4162065809733362E-6</v>
      </c>
      <c r="BX175" s="8">
        <f t="shared" si="271"/>
        <v>26.907187840596677</v>
      </c>
      <c r="BY175" s="7">
        <f t="shared" si="272"/>
        <v>1.3555105253158919E-2</v>
      </c>
      <c r="BZ175" s="9">
        <f t="shared" si="273"/>
        <v>0.20498704779836588</v>
      </c>
      <c r="CA175" s="4">
        <f t="shared" si="313"/>
        <v>947.91200647663732</v>
      </c>
      <c r="CB175" s="6">
        <f t="shared" si="274"/>
        <v>5.395824012953275E-6</v>
      </c>
      <c r="CC175" s="8">
        <f t="shared" si="275"/>
        <v>26.789988074481329</v>
      </c>
      <c r="CD175" s="7">
        <f t="shared" si="276"/>
        <v>1.3504093931727388E-2</v>
      </c>
      <c r="CE175" s="9">
        <f t="shared" si="277"/>
        <v>0.20588381691942154</v>
      </c>
      <c r="CF175" s="4">
        <f t="shared" si="314"/>
        <v>933.87675187313835</v>
      </c>
      <c r="CG175" s="6">
        <f t="shared" si="278"/>
        <v>5.3677535037462768E-6</v>
      </c>
      <c r="CH175" s="8">
        <f t="shared" si="279"/>
        <v>26.628582646541091</v>
      </c>
      <c r="CI175" s="7">
        <f t="shared" si="280"/>
        <v>1.3433842049506485E-2</v>
      </c>
      <c r="CJ175" s="9">
        <f t="shared" si="281"/>
        <v>0.20713175286918434</v>
      </c>
      <c r="CK175" s="4">
        <f t="shared" si="315"/>
        <v>910.91255591676827</v>
      </c>
      <c r="CL175" s="6">
        <f t="shared" si="282"/>
        <v>5.3218251118335369E-6</v>
      </c>
      <c r="CM175" s="8">
        <f t="shared" si="283"/>
        <v>26.364494393042833</v>
      </c>
      <c r="CN175" s="7">
        <f t="shared" si="284"/>
        <v>1.3318897359495485E-2</v>
      </c>
      <c r="CO175" s="9">
        <f t="shared" si="285"/>
        <v>0.20920655324440757</v>
      </c>
      <c r="CP175" s="4">
        <f t="shared" si="316"/>
        <v>869.48284451359007</v>
      </c>
      <c r="CQ175" s="6">
        <f t="shared" si="286"/>
        <v>5.238965689027181E-6</v>
      </c>
      <c r="CR175" s="8">
        <f t="shared" si="287"/>
        <v>25.888052711906283</v>
      </c>
      <c r="CS175" s="7">
        <f t="shared" si="288"/>
        <v>1.3111525616825671E-2</v>
      </c>
      <c r="CT175" s="9">
        <f t="shared" si="289"/>
        <v>0.21305677415680191</v>
      </c>
      <c r="CU175" s="4">
        <f t="shared" si="317"/>
        <v>796.3680631650451</v>
      </c>
      <c r="CV175" s="6">
        <f t="shared" si="290"/>
        <v>5.0927361263300908E-6</v>
      </c>
      <c r="CW175" s="8">
        <f t="shared" si="291"/>
        <v>25.047232726398018</v>
      </c>
      <c r="CX175" s="7">
        <f t="shared" si="292"/>
        <v>1.2745557834052096E-2</v>
      </c>
      <c r="CY175" s="9">
        <f t="shared" si="293"/>
        <v>0.22020895722292386</v>
      </c>
      <c r="CZ175" s="5">
        <f t="shared" si="318"/>
        <v>680.44087407940594</v>
      </c>
      <c r="DA175" s="6">
        <f t="shared" si="294"/>
        <v>4.8608817481588125E-6</v>
      </c>
      <c r="DB175" s="8">
        <f t="shared" si="295"/>
        <v>27.797472484883059</v>
      </c>
      <c r="DC175" s="7">
        <f t="shared" si="296"/>
        <v>1.21652973782272E-2</v>
      </c>
      <c r="DD175" s="9">
        <f t="shared" si="297"/>
        <v>0.1984218170554726</v>
      </c>
    </row>
    <row r="176" spans="2:108" x14ac:dyDescent="0.25">
      <c r="B176">
        <v>157</v>
      </c>
      <c r="C176">
        <f t="shared" si="298"/>
        <v>0.15348550261620447</v>
      </c>
      <c r="D176" s="4">
        <f t="shared" si="215"/>
        <v>1017.4242395610564</v>
      </c>
      <c r="E176" s="6">
        <f t="shared" si="216"/>
        <v>5.5348484791221135E-6</v>
      </c>
      <c r="F176" s="8">
        <f t="shared" si="217"/>
        <v>27.589378754952151</v>
      </c>
      <c r="G176" s="7">
        <f t="shared" si="213"/>
        <v>1.3852029565922528E-2</v>
      </c>
      <c r="H176" s="9">
        <f t="shared" si="218"/>
        <v>0.19991841965669394</v>
      </c>
      <c r="I176" s="4">
        <f t="shared" si="299"/>
        <v>1017.0996065425965</v>
      </c>
      <c r="J176" s="6">
        <f t="shared" si="219"/>
        <v>5.5341992130851936E-6</v>
      </c>
      <c r="K176" s="8">
        <f t="shared" si="220"/>
        <v>27.585645475239858</v>
      </c>
      <c r="L176" s="7">
        <f t="shared" si="221"/>
        <v>1.3850404652002392E-2</v>
      </c>
      <c r="M176" s="9">
        <f t="shared" si="222"/>
        <v>0.1999454754448533</v>
      </c>
      <c r="N176" s="4">
        <f t="shared" si="300"/>
        <v>1016.1935852409564</v>
      </c>
      <c r="O176" s="6">
        <f t="shared" si="223"/>
        <v>5.5323871704819131E-6</v>
      </c>
      <c r="P176" s="8">
        <f t="shared" si="224"/>
        <v>27.575226230270999</v>
      </c>
      <c r="Q176" s="7">
        <f t="shared" si="214"/>
        <v>1.3852029565922528E-2</v>
      </c>
      <c r="R176" s="9">
        <f t="shared" si="225"/>
        <v>0.20002102444929948</v>
      </c>
      <c r="S176" s="4">
        <f t="shared" si="301"/>
        <v>1014.6920098122927</v>
      </c>
      <c r="T176" s="6">
        <f t="shared" si="226"/>
        <v>5.5293840196245857E-6</v>
      </c>
      <c r="U176" s="8">
        <f t="shared" si="227"/>
        <v>27.557958112841362</v>
      </c>
      <c r="V176" s="7">
        <f t="shared" si="228"/>
        <v>1.3838353698406539E-2</v>
      </c>
      <c r="W176" s="9">
        <f t="shared" si="229"/>
        <v>0.20014635980703693</v>
      </c>
      <c r="X176" s="4">
        <f t="shared" si="302"/>
        <v>1012.5928807443754</v>
      </c>
      <c r="Y176" s="6">
        <f t="shared" si="230"/>
        <v>5.525185761488752E-6</v>
      </c>
      <c r="Z176" s="8">
        <f t="shared" si="231"/>
        <v>27.533818128560316</v>
      </c>
      <c r="AA176" s="7">
        <f t="shared" si="232"/>
        <v>1.3827846744866201E-2</v>
      </c>
      <c r="AB176" s="9">
        <f t="shared" si="233"/>
        <v>0.20032183601440823</v>
      </c>
      <c r="AC176" s="4">
        <f t="shared" si="303"/>
        <v>1009.8947366766596</v>
      </c>
      <c r="AD176" s="6">
        <f t="shared" si="234"/>
        <v>5.5197894733533198E-6</v>
      </c>
      <c r="AE176" s="8">
        <f t="shared" si="235"/>
        <v>27.502789471781583</v>
      </c>
      <c r="AF176" s="7">
        <f t="shared" si="236"/>
        <v>1.3814341489378143E-2</v>
      </c>
      <c r="AG176" s="9">
        <f t="shared" si="237"/>
        <v>0.20054783918042723</v>
      </c>
      <c r="AH176" s="4">
        <f t="shared" si="304"/>
        <v>1006.5972723955567</v>
      </c>
      <c r="AI176" s="6">
        <f t="shared" si="238"/>
        <v>5.5131945447911141E-6</v>
      </c>
      <c r="AJ176" s="8">
        <f t="shared" si="239"/>
        <v>27.4648686325489</v>
      </c>
      <c r="AK176" s="7">
        <f t="shared" si="240"/>
        <v>1.3797836404230209E-2</v>
      </c>
      <c r="AL176" s="9">
        <f t="shared" si="241"/>
        <v>0.20082473627648725</v>
      </c>
      <c r="AM176" s="4">
        <f t="shared" si="305"/>
        <v>1002.7003909434255</v>
      </c>
      <c r="AN176" s="6">
        <f t="shared" si="242"/>
        <v>5.505400781886852E-6</v>
      </c>
      <c r="AO176" s="8">
        <f t="shared" si="243"/>
        <v>27.420054495849392</v>
      </c>
      <c r="AP176" s="7">
        <f t="shared" si="244"/>
        <v>1.3778331004111874E-2</v>
      </c>
      <c r="AQ176" s="9">
        <f t="shared" si="245"/>
        <v>0.20115295543394734</v>
      </c>
      <c r="AR176" s="4">
        <f t="shared" si="306"/>
        <v>998.20405179569218</v>
      </c>
      <c r="AS176" s="6">
        <f t="shared" si="246"/>
        <v>5.4964081035913856E-6</v>
      </c>
      <c r="AT176" s="8">
        <f t="shared" si="247"/>
        <v>27.368346595650458</v>
      </c>
      <c r="AU176" s="7">
        <f t="shared" si="248"/>
        <v>1.375582508618196E-2</v>
      </c>
      <c r="AV176" s="9">
        <f t="shared" si="249"/>
        <v>0.20153300020237891</v>
      </c>
      <c r="AW176" s="4">
        <f t="shared" si="307"/>
        <v>993.10813825144544</v>
      </c>
      <c r="AX176" s="6">
        <f t="shared" si="250"/>
        <v>5.4862162765028913E-6</v>
      </c>
      <c r="AY176" s="8">
        <f t="shared" si="251"/>
        <v>27.309743589891621</v>
      </c>
      <c r="AZ176" s="7">
        <f t="shared" si="252"/>
        <v>1.3730318066307229E-2</v>
      </c>
      <c r="BA176" s="9">
        <f t="shared" si="253"/>
        <v>0.20196546268715401</v>
      </c>
      <c r="BB176" s="4">
        <f t="shared" si="308"/>
        <v>987.41201355072565</v>
      </c>
      <c r="BC176" s="6">
        <f t="shared" si="254"/>
        <v>5.4748240271014522E-6</v>
      </c>
      <c r="BD176" s="8">
        <f t="shared" si="255"/>
        <v>27.244238155833344</v>
      </c>
      <c r="BE176" s="7">
        <f t="shared" si="256"/>
        <v>1.3701806757257606E-2</v>
      </c>
      <c r="BF176" s="9">
        <f t="shared" si="257"/>
        <v>0.202451063907582</v>
      </c>
      <c r="BG176" s="4">
        <f t="shared" si="309"/>
        <v>981.11241275615282</v>
      </c>
      <c r="BH176" s="6">
        <f t="shared" si="258"/>
        <v>5.4622248255123056E-6</v>
      </c>
      <c r="BI176" s="8">
        <f t="shared" si="259"/>
        <v>27.171792746695758</v>
      </c>
      <c r="BJ176" s="7">
        <f t="shared" si="260"/>
        <v>1.3670274816757663E-2</v>
      </c>
      <c r="BK176" s="9">
        <f t="shared" si="261"/>
        <v>0.20299083875025989</v>
      </c>
      <c r="BL176" s="4">
        <f t="shared" si="310"/>
        <v>974.19411720309949</v>
      </c>
      <c r="BM176" s="6">
        <f t="shared" si="262"/>
        <v>5.4483882344062003E-6</v>
      </c>
      <c r="BN176" s="8">
        <f t="shared" si="263"/>
        <v>27.092232347835644</v>
      </c>
      <c r="BO176" s="7">
        <f t="shared" si="264"/>
        <v>1.3635646069499933E-2</v>
      </c>
      <c r="BP176" s="9">
        <f t="shared" si="265"/>
        <v>0.20358695175743369</v>
      </c>
      <c r="BQ176" s="4">
        <f t="shared" si="311"/>
        <v>966.59325171452724</v>
      </c>
      <c r="BR176" s="6">
        <f t="shared" si="266"/>
        <v>5.433186503429055E-6</v>
      </c>
      <c r="BS176" s="8">
        <f t="shared" si="267"/>
        <v>27.00482239471706</v>
      </c>
      <c r="BT176" s="7">
        <f t="shared" si="268"/>
        <v>1.3597600795497777E-2</v>
      </c>
      <c r="BU176" s="9">
        <f t="shared" si="269"/>
        <v>0.20424592761176683</v>
      </c>
      <c r="BV176" s="4">
        <f t="shared" si="312"/>
        <v>958.07135849711301</v>
      </c>
      <c r="BW176" s="6">
        <f t="shared" si="270"/>
        <v>5.416142716994227E-6</v>
      </c>
      <c r="BX176" s="8">
        <f t="shared" si="271"/>
        <v>26.906820622716801</v>
      </c>
      <c r="BY176" s="7">
        <f t="shared" si="272"/>
        <v>1.3554945421190592E-2</v>
      </c>
      <c r="BZ176" s="9">
        <f t="shared" si="273"/>
        <v>0.20498984541277562</v>
      </c>
      <c r="CA176" s="4">
        <f t="shared" si="313"/>
        <v>947.8489553514205</v>
      </c>
      <c r="CB176" s="6">
        <f t="shared" si="274"/>
        <v>5.3956979107028418E-6</v>
      </c>
      <c r="CC176" s="8">
        <f t="shared" si="275"/>
        <v>26.789262986541335</v>
      </c>
      <c r="CD176" s="7">
        <f t="shared" si="276"/>
        <v>1.3503778336439114E-2</v>
      </c>
      <c r="CE176" s="9">
        <f t="shared" si="277"/>
        <v>0.20588938944572668</v>
      </c>
      <c r="CF176" s="4">
        <f t="shared" si="314"/>
        <v>933.74056391648855</v>
      </c>
      <c r="CG176" s="6">
        <f t="shared" si="278"/>
        <v>5.3674811278329778E-6</v>
      </c>
      <c r="CH176" s="8">
        <f t="shared" si="279"/>
        <v>26.627016485039618</v>
      </c>
      <c r="CI176" s="7">
        <f t="shared" si="280"/>
        <v>1.3433160376066228E-2</v>
      </c>
      <c r="CJ176" s="9">
        <f t="shared" si="281"/>
        <v>0.2071439360507758</v>
      </c>
      <c r="CK176" s="4">
        <f t="shared" si="315"/>
        <v>910.6390641073798</v>
      </c>
      <c r="CL176" s="6">
        <f t="shared" si="282"/>
        <v>5.3212781282147598E-6</v>
      </c>
      <c r="CM176" s="8">
        <f t="shared" si="283"/>
        <v>26.361349237234869</v>
      </c>
      <c r="CN176" s="7">
        <f t="shared" si="284"/>
        <v>1.3317528427123089E-2</v>
      </c>
      <c r="CO176" s="9">
        <f t="shared" si="285"/>
        <v>0.20923151354519032</v>
      </c>
      <c r="CP176" s="4">
        <f t="shared" si="316"/>
        <v>869.01850409558858</v>
      </c>
      <c r="CQ176" s="6">
        <f t="shared" si="286"/>
        <v>5.2380370081911779E-6</v>
      </c>
      <c r="CR176" s="8">
        <f t="shared" si="287"/>
        <v>25.882712797099266</v>
      </c>
      <c r="CS176" s="7">
        <f t="shared" si="288"/>
        <v>1.3109201413291258E-2</v>
      </c>
      <c r="CT176" s="9">
        <f t="shared" si="289"/>
        <v>0.21310073033063784</v>
      </c>
      <c r="CU176" s="4">
        <f t="shared" si="317"/>
        <v>795.74161118203187</v>
      </c>
      <c r="CV176" s="6">
        <f t="shared" si="290"/>
        <v>5.0914832223640639E-6</v>
      </c>
      <c r="CW176" s="8">
        <f t="shared" si="291"/>
        <v>25.040028528593368</v>
      </c>
      <c r="CX176" s="7">
        <f t="shared" si="292"/>
        <v>1.2742422199382758E-2</v>
      </c>
      <c r="CY176" s="9">
        <f t="shared" si="293"/>
        <v>0.22027231293693109</v>
      </c>
      <c r="CZ176" s="5">
        <f t="shared" si="318"/>
        <v>679.80785854453359</v>
      </c>
      <c r="DA176" s="6">
        <f t="shared" si="294"/>
        <v>4.8596157170890674E-6</v>
      </c>
      <c r="DB176" s="8">
        <f t="shared" si="295"/>
        <v>27.924582004285384</v>
      </c>
      <c r="DC176" s="7">
        <f t="shared" si="296"/>
        <v>1.2162128890440112E-2</v>
      </c>
      <c r="DD176" s="9">
        <f t="shared" si="297"/>
        <v>0.19751862352509186</v>
      </c>
    </row>
    <row r="177" spans="2:108" x14ac:dyDescent="0.25">
      <c r="B177">
        <v>158</v>
      </c>
      <c r="C177">
        <f t="shared" si="298"/>
        <v>0.15446311728254974</v>
      </c>
      <c r="D177" s="4">
        <f t="shared" si="215"/>
        <v>1017.407665439071</v>
      </c>
      <c r="E177" s="6">
        <f t="shared" si="216"/>
        <v>5.534815330878143E-6</v>
      </c>
      <c r="F177" s="8">
        <f t="shared" si="217"/>
        <v>27.589188152549315</v>
      </c>
      <c r="G177" s="7">
        <f t="shared" si="213"/>
        <v>1.3851946606026287E-2</v>
      </c>
      <c r="H177" s="9">
        <f t="shared" si="218"/>
        <v>0.19991980081118629</v>
      </c>
      <c r="I177" s="4">
        <f t="shared" si="299"/>
        <v>1017.0830297041742</v>
      </c>
      <c r="J177" s="6">
        <f t="shared" si="219"/>
        <v>5.5341660594083488E-6</v>
      </c>
      <c r="K177" s="8">
        <f t="shared" si="220"/>
        <v>27.585454841598001</v>
      </c>
      <c r="L177" s="7">
        <f t="shared" si="221"/>
        <v>1.3850321678509333E-2</v>
      </c>
      <c r="M177" s="9">
        <f t="shared" si="222"/>
        <v>0.1999468571996359</v>
      </c>
      <c r="N177" s="4">
        <f t="shared" si="300"/>
        <v>1016.1770001274234</v>
      </c>
      <c r="O177" s="6">
        <f t="shared" si="223"/>
        <v>5.5323540002548474E-6</v>
      </c>
      <c r="P177" s="8">
        <f t="shared" si="224"/>
        <v>27.575035501465369</v>
      </c>
      <c r="Q177" s="7">
        <f t="shared" si="214"/>
        <v>1.3851946606026287E-2</v>
      </c>
      <c r="R177" s="9">
        <f t="shared" si="225"/>
        <v>0.2000224079387638</v>
      </c>
      <c r="S177" s="4">
        <f t="shared" si="301"/>
        <v>1014.6754197367824</v>
      </c>
      <c r="T177" s="6">
        <f t="shared" si="226"/>
        <v>5.5293508394735651E-6</v>
      </c>
      <c r="U177" s="8">
        <f t="shared" si="227"/>
        <v>27.557767326972996</v>
      </c>
      <c r="V177" s="7">
        <f t="shared" si="228"/>
        <v>1.383827065865673E-2</v>
      </c>
      <c r="W177" s="9">
        <f t="shared" si="229"/>
        <v>0.20014774544530739</v>
      </c>
      <c r="X177" s="4">
        <f t="shared" si="302"/>
        <v>1012.5762931671703</v>
      </c>
      <c r="Y177" s="6">
        <f t="shared" si="230"/>
        <v>5.5251525863343406E-6</v>
      </c>
      <c r="Z177" s="8">
        <f t="shared" si="231"/>
        <v>27.533627371422458</v>
      </c>
      <c r="AA177" s="7">
        <f t="shared" si="232"/>
        <v>1.3827763717621374E-2</v>
      </c>
      <c r="AB177" s="9">
        <f t="shared" si="233"/>
        <v>0.2003232238744084</v>
      </c>
      <c r="AC177" s="4">
        <f t="shared" si="303"/>
        <v>1009.8781588327986</v>
      </c>
      <c r="AD177" s="6">
        <f t="shared" si="234"/>
        <v>5.5197563176655975E-6</v>
      </c>
      <c r="AE177" s="8">
        <f t="shared" si="235"/>
        <v>27.502598826577184</v>
      </c>
      <c r="AF177" s="7">
        <f t="shared" si="236"/>
        <v>1.3814258510852471E-2</v>
      </c>
      <c r="AG177" s="9">
        <f t="shared" si="237"/>
        <v>0.20054922935755315</v>
      </c>
      <c r="AH177" s="4">
        <f t="shared" si="304"/>
        <v>1006.580709845819</v>
      </c>
      <c r="AI177" s="6">
        <f t="shared" si="238"/>
        <v>5.5131614196916379E-6</v>
      </c>
      <c r="AJ177" s="8">
        <f t="shared" si="239"/>
        <v>27.464678163226917</v>
      </c>
      <c r="AK177" s="7">
        <f t="shared" si="240"/>
        <v>1.3797753502257544E-2</v>
      </c>
      <c r="AL177" s="9">
        <f t="shared" si="241"/>
        <v>0.20082612900904098</v>
      </c>
      <c r="AM177" s="4">
        <f t="shared" si="305"/>
        <v>1002.6838478032689</v>
      </c>
      <c r="AN177" s="6">
        <f t="shared" si="242"/>
        <v>5.5053676956065383E-6</v>
      </c>
      <c r="AO177" s="8">
        <f t="shared" si="243"/>
        <v>27.419864249737593</v>
      </c>
      <c r="AP177" s="7">
        <f t="shared" si="244"/>
        <v>1.3778248199291679E-2</v>
      </c>
      <c r="AQ177" s="9">
        <f t="shared" si="245"/>
        <v>0.20115435108519125</v>
      </c>
      <c r="AR177" s="4">
        <f t="shared" si="306"/>
        <v>998.18753043344429</v>
      </c>
      <c r="AS177" s="6">
        <f t="shared" si="246"/>
        <v>5.4963750608668893E-6</v>
      </c>
      <c r="AT177" s="8">
        <f t="shared" si="247"/>
        <v>27.368156599984609</v>
      </c>
      <c r="AU177" s="7">
        <f t="shared" si="248"/>
        <v>1.3755742390368626E-2</v>
      </c>
      <c r="AV177" s="9">
        <f t="shared" si="249"/>
        <v>0.20153439928808001</v>
      </c>
      <c r="AW177" s="4">
        <f t="shared" si="307"/>
        <v>993.09163454039913</v>
      </c>
      <c r="AX177" s="6">
        <f t="shared" si="250"/>
        <v>5.4861832690807988E-6</v>
      </c>
      <c r="AY177" s="8">
        <f t="shared" si="251"/>
        <v>27.309553797214591</v>
      </c>
      <c r="AZ177" s="7">
        <f t="shared" si="252"/>
        <v>1.3730235458844995E-2</v>
      </c>
      <c r="BA177" s="9">
        <f t="shared" si="253"/>
        <v>0.20196686628261792</v>
      </c>
      <c r="BB177" s="4">
        <f t="shared" si="308"/>
        <v>987.3954924750858</v>
      </c>
      <c r="BC177" s="6">
        <f t="shared" si="254"/>
        <v>5.4747909849501719E-6</v>
      </c>
      <c r="BD177" s="8">
        <f t="shared" si="255"/>
        <v>27.244048163463486</v>
      </c>
      <c r="BE177" s="7">
        <f t="shared" si="256"/>
        <v>1.3701724062878855E-2</v>
      </c>
      <c r="BF177" s="9">
        <f t="shared" si="257"/>
        <v>0.20245247574466219</v>
      </c>
      <c r="BG177" s="4">
        <f t="shared" si="309"/>
        <v>981.09570339090908</v>
      </c>
      <c r="BH177" s="6">
        <f t="shared" si="258"/>
        <v>5.4621914067818185E-6</v>
      </c>
      <c r="BI177" s="8">
        <f t="shared" si="259"/>
        <v>27.171600588995453</v>
      </c>
      <c r="BJ177" s="7">
        <f t="shared" si="260"/>
        <v>1.3670191179916561E-2</v>
      </c>
      <c r="BK177" s="9">
        <f t="shared" si="261"/>
        <v>0.20299227430252445</v>
      </c>
      <c r="BL177" s="4">
        <f t="shared" si="310"/>
        <v>974.17651635378684</v>
      </c>
      <c r="BM177" s="6">
        <f t="shared" si="262"/>
        <v>5.4483530327075741E-6</v>
      </c>
      <c r="BN177" s="8">
        <f t="shared" si="263"/>
        <v>27.092029938068549</v>
      </c>
      <c r="BO177" s="7">
        <f t="shared" si="264"/>
        <v>1.3635557970435978E-2</v>
      </c>
      <c r="BP177" s="9">
        <f t="shared" si="265"/>
        <v>0.20358847279471229</v>
      </c>
      <c r="BQ177" s="4">
        <f t="shared" si="311"/>
        <v>966.57223749480829</v>
      </c>
      <c r="BR177" s="6">
        <f t="shared" si="266"/>
        <v>5.4331444749896164E-6</v>
      </c>
      <c r="BS177" s="8">
        <f t="shared" si="267"/>
        <v>27.004580731190295</v>
      </c>
      <c r="BT177" s="7">
        <f t="shared" si="268"/>
        <v>1.3597495611193651E-2</v>
      </c>
      <c r="BU177" s="9">
        <f t="shared" si="269"/>
        <v>0.20424775540504697</v>
      </c>
      <c r="BV177" s="4">
        <f t="shared" si="312"/>
        <v>958.03913312484315</v>
      </c>
      <c r="BW177" s="6">
        <f t="shared" si="270"/>
        <v>5.4160782662496869E-6</v>
      </c>
      <c r="BX177" s="8">
        <f t="shared" si="271"/>
        <v>26.906450030935694</v>
      </c>
      <c r="BY177" s="7">
        <f t="shared" si="272"/>
        <v>1.3554784120728207E-2</v>
      </c>
      <c r="BZ177" s="9">
        <f t="shared" si="273"/>
        <v>0.20499266880834927</v>
      </c>
      <c r="CA177" s="4">
        <f t="shared" si="313"/>
        <v>947.78528833013002</v>
      </c>
      <c r="CB177" s="6">
        <f t="shared" si="274"/>
        <v>5.395570576660261E-6</v>
      </c>
      <c r="CC177" s="8">
        <f t="shared" si="275"/>
        <v>26.788530815796495</v>
      </c>
      <c r="CD177" s="7">
        <f t="shared" si="276"/>
        <v>1.3503459658352581E-2</v>
      </c>
      <c r="CE177" s="9">
        <f t="shared" si="277"/>
        <v>0.20589501671168844</v>
      </c>
      <c r="CF177" s="4">
        <f t="shared" si="314"/>
        <v>933.60342389456389</v>
      </c>
      <c r="CG177" s="6">
        <f t="shared" si="278"/>
        <v>5.3672068477891289E-6</v>
      </c>
      <c r="CH177" s="8">
        <f t="shared" si="279"/>
        <v>26.625439374787483</v>
      </c>
      <c r="CI177" s="7">
        <f t="shared" si="280"/>
        <v>1.3432473937170734E-2</v>
      </c>
      <c r="CJ177" s="9">
        <f t="shared" si="281"/>
        <v>0.20715620585112032</v>
      </c>
      <c r="CK177" s="4">
        <f t="shared" si="315"/>
        <v>910.36473739087512</v>
      </c>
      <c r="CL177" s="6">
        <f t="shared" si="282"/>
        <v>5.3207294747817501E-6</v>
      </c>
      <c r="CM177" s="8">
        <f t="shared" si="283"/>
        <v>26.358194479995063</v>
      </c>
      <c r="CN177" s="7">
        <f t="shared" si="284"/>
        <v>1.3316155315717389E-2</v>
      </c>
      <c r="CO177" s="9">
        <f t="shared" si="285"/>
        <v>0.20925655602799972</v>
      </c>
      <c r="CP177" s="4">
        <f t="shared" si="316"/>
        <v>868.55446366303886</v>
      </c>
      <c r="CQ177" s="6">
        <f t="shared" si="286"/>
        <v>5.2371089273260781E-6</v>
      </c>
      <c r="CR177" s="8">
        <f t="shared" si="287"/>
        <v>25.877376332124946</v>
      </c>
      <c r="CS177" s="7">
        <f t="shared" si="288"/>
        <v>1.310687871130015E-2</v>
      </c>
      <c r="CT177" s="9">
        <f t="shared" si="289"/>
        <v>0.21314467623028455</v>
      </c>
      <c r="CU177" s="4">
        <f t="shared" si="317"/>
        <v>795.11725076431674</v>
      </c>
      <c r="CV177" s="6">
        <f t="shared" si="290"/>
        <v>5.0902345015286346E-6</v>
      </c>
      <c r="CW177" s="8">
        <f t="shared" si="291"/>
        <v>25.032848383789641</v>
      </c>
      <c r="CX177" s="7">
        <f t="shared" si="292"/>
        <v>1.2739297033807368E-2</v>
      </c>
      <c r="CY177" s="9">
        <f t="shared" si="293"/>
        <v>0.22033549340600478</v>
      </c>
      <c r="CZ177" s="5">
        <f t="shared" si="318"/>
        <v>679.17760157871373</v>
      </c>
      <c r="DA177" s="6">
        <f t="shared" si="294"/>
        <v>4.858355203157428E-6</v>
      </c>
      <c r="DB177" s="8">
        <f t="shared" si="295"/>
        <v>28.051137603021971</v>
      </c>
      <c r="DC177" s="7">
        <f t="shared" si="296"/>
        <v>1.215897421035895E-2</v>
      </c>
      <c r="DD177" s="9">
        <f t="shared" si="297"/>
        <v>0.19662749789533659</v>
      </c>
    </row>
    <row r="178" spans="2:108" x14ac:dyDescent="0.25">
      <c r="B178">
        <v>159</v>
      </c>
      <c r="C178">
        <f t="shared" si="298"/>
        <v>0.15544073194889499</v>
      </c>
      <c r="D178" s="4">
        <f t="shared" si="215"/>
        <v>1017.3910911783981</v>
      </c>
      <c r="E178" s="6">
        <f t="shared" si="216"/>
        <v>5.5347821823567973E-6</v>
      </c>
      <c r="F178" s="8">
        <f t="shared" si="217"/>
        <v>27.588997548551578</v>
      </c>
      <c r="G178" s="7">
        <f t="shared" si="213"/>
        <v>1.385186364543586E-2</v>
      </c>
      <c r="H178" s="9">
        <f t="shared" si="218"/>
        <v>0.19992118199631978</v>
      </c>
      <c r="I178" s="4">
        <f t="shared" si="299"/>
        <v>1017.0664528119075</v>
      </c>
      <c r="J178" s="6">
        <f t="shared" si="219"/>
        <v>5.5341329056238155E-6</v>
      </c>
      <c r="K178" s="8">
        <f t="shared" si="220"/>
        <v>27.585264207336934</v>
      </c>
      <c r="L178" s="7">
        <f t="shared" si="221"/>
        <v>1.385023870474676E-2</v>
      </c>
      <c r="M178" s="9">
        <f t="shared" si="222"/>
        <v>0.19994823897800454</v>
      </c>
      <c r="N178" s="4">
        <f t="shared" si="300"/>
        <v>1016.1604151133012</v>
      </c>
      <c r="O178" s="6">
        <f t="shared" si="223"/>
        <v>5.5323208302266033E-6</v>
      </c>
      <c r="P178" s="8">
        <f t="shared" si="224"/>
        <v>27.574844773802962</v>
      </c>
      <c r="Q178" s="7">
        <f t="shared" si="214"/>
        <v>1.385186364543586E-2</v>
      </c>
      <c r="R178" s="9">
        <f t="shared" si="225"/>
        <v>0.20002379143907387</v>
      </c>
      <c r="S178" s="4">
        <f t="shared" si="301"/>
        <v>1014.6588298582826</v>
      </c>
      <c r="T178" s="6">
        <f t="shared" si="226"/>
        <v>5.5293176597165657E-6</v>
      </c>
      <c r="U178" s="8">
        <f t="shared" si="227"/>
        <v>27.557576543370249</v>
      </c>
      <c r="V178" s="7">
        <f t="shared" si="228"/>
        <v>1.3838187619893035E-2</v>
      </c>
      <c r="W178" s="9">
        <f t="shared" si="229"/>
        <v>0.20014913108630877</v>
      </c>
      <c r="X178" s="4">
        <f t="shared" si="302"/>
        <v>1012.5597058107794</v>
      </c>
      <c r="Y178" s="6">
        <f t="shared" si="230"/>
        <v>5.5251194116215596E-6</v>
      </c>
      <c r="Z178" s="8">
        <f t="shared" si="231"/>
        <v>27.533436616823963</v>
      </c>
      <c r="AA178" s="7">
        <f t="shared" si="232"/>
        <v>1.3827680691481811E-2</v>
      </c>
      <c r="AB178" s="9">
        <f t="shared" si="233"/>
        <v>0.20032461173516372</v>
      </c>
      <c r="AC178" s="4">
        <f t="shared" si="303"/>
        <v>1009.8615811999759</v>
      </c>
      <c r="AD178" s="6">
        <f t="shared" si="234"/>
        <v>5.5197231623999527E-6</v>
      </c>
      <c r="AE178" s="8">
        <f t="shared" si="235"/>
        <v>27.502408183799723</v>
      </c>
      <c r="AF178" s="7">
        <f t="shared" si="236"/>
        <v>1.3814175533383133E-2</v>
      </c>
      <c r="AG178" s="9">
        <f t="shared" si="237"/>
        <v>0.20055061953625486</v>
      </c>
      <c r="AH178" s="4">
        <f t="shared" si="304"/>
        <v>1006.5641474923688</v>
      </c>
      <c r="AI178" s="6">
        <f t="shared" si="238"/>
        <v>5.5131282949847386E-6</v>
      </c>
      <c r="AJ178" s="8">
        <f t="shared" si="239"/>
        <v>27.464487696162237</v>
      </c>
      <c r="AK178" s="7">
        <f t="shared" si="240"/>
        <v>1.3797670601267379E-2</v>
      </c>
      <c r="AL178" s="9">
        <f t="shared" si="241"/>
        <v>0.20082752174440627</v>
      </c>
      <c r="AM178" s="4">
        <f t="shared" si="305"/>
        <v>1002.6673048357781</v>
      </c>
      <c r="AN178" s="6">
        <f t="shared" si="242"/>
        <v>5.5053346096715566E-6</v>
      </c>
      <c r="AO178" s="8">
        <f t="shared" si="243"/>
        <v>27.419674005611448</v>
      </c>
      <c r="AP178" s="7">
        <f t="shared" si="244"/>
        <v>1.377816539533574E-2</v>
      </c>
      <c r="AQ178" s="9">
        <f t="shared" si="245"/>
        <v>0.20115574674123496</v>
      </c>
      <c r="AR178" s="4">
        <f t="shared" si="306"/>
        <v>998.17100914758112</v>
      </c>
      <c r="AS178" s="6">
        <f t="shared" si="246"/>
        <v>5.4963420182951621E-6</v>
      </c>
      <c r="AT178" s="8">
        <f t="shared" si="247"/>
        <v>27.367966605197182</v>
      </c>
      <c r="AU178" s="7">
        <f t="shared" si="248"/>
        <v>1.3755659694937626E-2</v>
      </c>
      <c r="AV178" s="9">
        <f t="shared" si="249"/>
        <v>0.20153579838673807</v>
      </c>
      <c r="AW178" s="4">
        <f t="shared" si="307"/>
        <v>993.07513044712186</v>
      </c>
      <c r="AX178" s="6">
        <f t="shared" si="250"/>
        <v>5.4861502608942445E-6</v>
      </c>
      <c r="AY178" s="8">
        <f t="shared" si="251"/>
        <v>27.309364000141901</v>
      </c>
      <c r="AZ178" s="7">
        <f t="shared" si="252"/>
        <v>1.3730152849469544E-2</v>
      </c>
      <c r="BA178" s="9">
        <f t="shared" si="253"/>
        <v>0.20196826993009945</v>
      </c>
      <c r="BB178" s="4">
        <f t="shared" si="308"/>
        <v>987.37896901083695</v>
      </c>
      <c r="BC178" s="6">
        <f t="shared" si="254"/>
        <v>5.4747579380216741E-6</v>
      </c>
      <c r="BD178" s="8">
        <f t="shared" si="255"/>
        <v>27.243858143624625</v>
      </c>
      <c r="BE178" s="7">
        <f t="shared" si="256"/>
        <v>1.3701641356544194E-2</v>
      </c>
      <c r="BF178" s="9">
        <f t="shared" si="257"/>
        <v>0.20245388780556103</v>
      </c>
      <c r="BG178" s="4">
        <f t="shared" si="309"/>
        <v>981.07898381912287</v>
      </c>
      <c r="BH178" s="6">
        <f t="shared" si="258"/>
        <v>5.4621579676382466E-6</v>
      </c>
      <c r="BI178" s="8">
        <f t="shared" si="259"/>
        <v>27.171408313919912</v>
      </c>
      <c r="BJ178" s="7">
        <f t="shared" si="260"/>
        <v>1.3670107491987767E-2</v>
      </c>
      <c r="BK178" s="9">
        <f t="shared" si="261"/>
        <v>0.20299371075198724</v>
      </c>
      <c r="BL178" s="4">
        <f t="shared" si="310"/>
        <v>974.15887868577533</v>
      </c>
      <c r="BM178" s="6">
        <f t="shared" si="262"/>
        <v>5.4483177573715509E-6</v>
      </c>
      <c r="BN178" s="8">
        <f t="shared" si="263"/>
        <v>27.091827104886416</v>
      </c>
      <c r="BO178" s="7">
        <f t="shared" si="264"/>
        <v>1.3635469687080185E-2</v>
      </c>
      <c r="BP178" s="9">
        <f t="shared" si="265"/>
        <v>0.20358999703660349</v>
      </c>
      <c r="BQ178" s="4">
        <f t="shared" si="311"/>
        <v>966.55110941502221</v>
      </c>
      <c r="BR178" s="6">
        <f t="shared" si="266"/>
        <v>5.4331022188300448E-6</v>
      </c>
      <c r="BS178" s="8">
        <f t="shared" si="267"/>
        <v>27.004337758272754</v>
      </c>
      <c r="BT178" s="7">
        <f t="shared" si="268"/>
        <v>1.359738985697582E-2</v>
      </c>
      <c r="BU178" s="9">
        <f t="shared" si="269"/>
        <v>0.20424959313472862</v>
      </c>
      <c r="BV178" s="4">
        <f t="shared" si="312"/>
        <v>958.00661220815891</v>
      </c>
      <c r="BW178" s="6">
        <f t="shared" si="270"/>
        <v>5.4160132244163184E-6</v>
      </c>
      <c r="BX178" s="8">
        <f t="shared" si="271"/>
        <v>26.906076040393827</v>
      </c>
      <c r="BY178" s="7">
        <f t="shared" si="272"/>
        <v>1.3554621340951624E-2</v>
      </c>
      <c r="BZ178" s="9">
        <f t="shared" si="273"/>
        <v>0.20499551817661729</v>
      </c>
      <c r="CA178" s="4">
        <f t="shared" si="313"/>
        <v>947.7210049517513</v>
      </c>
      <c r="CB178" s="6">
        <f t="shared" si="274"/>
        <v>5.3954420099035032E-6</v>
      </c>
      <c r="CC178" s="8">
        <f t="shared" si="275"/>
        <v>26.787791556945137</v>
      </c>
      <c r="CD178" s="7">
        <f t="shared" si="276"/>
        <v>1.3503137895160234E-2</v>
      </c>
      <c r="CE178" s="9">
        <f t="shared" si="277"/>
        <v>0.20590069876700945</v>
      </c>
      <c r="CF178" s="4">
        <f t="shared" si="314"/>
        <v>933.46533791292848</v>
      </c>
      <c r="CG178" s="6">
        <f t="shared" si="278"/>
        <v>5.3669306758258578E-6</v>
      </c>
      <c r="CH178" s="8">
        <f t="shared" si="279"/>
        <v>26.623851385998677</v>
      </c>
      <c r="CI178" s="7">
        <f t="shared" si="280"/>
        <v>1.3431782763380713E-2</v>
      </c>
      <c r="CJ178" s="9">
        <f t="shared" si="281"/>
        <v>0.20716856175439119</v>
      </c>
      <c r="CK178" s="4">
        <f t="shared" si="315"/>
        <v>910.08959011562649</v>
      </c>
      <c r="CL178" s="6">
        <f t="shared" si="282"/>
        <v>5.3201791802312533E-6</v>
      </c>
      <c r="CM178" s="8">
        <f t="shared" si="283"/>
        <v>26.355030286329704</v>
      </c>
      <c r="CN178" s="7">
        <f t="shared" si="284"/>
        <v>1.3314778097097548E-2</v>
      </c>
      <c r="CO178" s="9">
        <f t="shared" si="285"/>
        <v>0.20928167943942536</v>
      </c>
      <c r="CP178" s="4">
        <f t="shared" si="316"/>
        <v>868.0907331330136</v>
      </c>
      <c r="CQ178" s="6">
        <f t="shared" si="286"/>
        <v>5.2361814662660279E-6</v>
      </c>
      <c r="CR178" s="8">
        <f t="shared" si="287"/>
        <v>25.872043431029656</v>
      </c>
      <c r="CS178" s="7">
        <f t="shared" si="288"/>
        <v>1.3104557560491141E-2</v>
      </c>
      <c r="CT178" s="9">
        <f t="shared" si="289"/>
        <v>0.21318861089205002</v>
      </c>
      <c r="CU178" s="4">
        <f t="shared" si="317"/>
        <v>794.49496724706557</v>
      </c>
      <c r="CV178" s="6">
        <f t="shared" si="290"/>
        <v>5.0889899344941311E-6</v>
      </c>
      <c r="CW178" s="8">
        <f t="shared" si="291"/>
        <v>25.025692123341251</v>
      </c>
      <c r="CX178" s="7">
        <f t="shared" si="292"/>
        <v>1.2736182263922747E-2</v>
      </c>
      <c r="CY178" s="9">
        <f t="shared" si="293"/>
        <v>0.22039849978237458</v>
      </c>
      <c r="CZ178" s="5">
        <f t="shared" si="318"/>
        <v>678.55007411769509</v>
      </c>
      <c r="DA178" s="6">
        <f t="shared" si="294"/>
        <v>4.857100148235391E-6</v>
      </c>
      <c r="DB178" s="8">
        <f t="shared" si="295"/>
        <v>28.177145117194442</v>
      </c>
      <c r="DC178" s="7">
        <f t="shared" si="296"/>
        <v>1.2155833192505889E-2</v>
      </c>
      <c r="DD178" s="9">
        <f t="shared" si="297"/>
        <v>0.19574818446153436</v>
      </c>
    </row>
    <row r="179" spans="2:108" x14ac:dyDescent="0.25">
      <c r="B179">
        <v>160</v>
      </c>
      <c r="C179">
        <f t="shared" si="298"/>
        <v>0.15641834661524023</v>
      </c>
      <c r="D179" s="4">
        <f t="shared" si="215"/>
        <v>1017.3745167833694</v>
      </c>
      <c r="E179" s="6">
        <f t="shared" si="216"/>
        <v>5.5347490335667396E-6</v>
      </c>
      <c r="F179" s="8">
        <f t="shared" si="217"/>
        <v>27.588806943008748</v>
      </c>
      <c r="G179" s="7">
        <f t="shared" si="213"/>
        <v>1.3851780684172929E-2</v>
      </c>
      <c r="H179" s="9">
        <f t="shared" si="218"/>
        <v>0.19992256321173427</v>
      </c>
      <c r="I179" s="4">
        <f t="shared" si="299"/>
        <v>1017.0498758683957</v>
      </c>
      <c r="J179" s="6">
        <f t="shared" si="219"/>
        <v>5.5340997517367913E-6</v>
      </c>
      <c r="K179" s="8">
        <f t="shared" si="220"/>
        <v>27.58507357248655</v>
      </c>
      <c r="L179" s="7">
        <f t="shared" si="221"/>
        <v>1.3850155730727684E-2</v>
      </c>
      <c r="M179" s="9">
        <f t="shared" si="222"/>
        <v>0.19994962077974313</v>
      </c>
      <c r="N179" s="4">
        <f t="shared" si="300"/>
        <v>1016.1438301986876</v>
      </c>
      <c r="O179" s="6">
        <f t="shared" si="223"/>
        <v>5.5322876603973754E-6</v>
      </c>
      <c r="P179" s="8">
        <f t="shared" si="224"/>
        <v>27.574654047284909</v>
      </c>
      <c r="Q179" s="7">
        <f t="shared" si="214"/>
        <v>1.3851780684172929E-2</v>
      </c>
      <c r="R179" s="9">
        <f t="shared" si="225"/>
        <v>0.2000251749502216</v>
      </c>
      <c r="S179" s="4">
        <f t="shared" si="301"/>
        <v>1014.6422401760511</v>
      </c>
      <c r="T179" s="6">
        <f t="shared" si="226"/>
        <v>5.5292844803521025E-6</v>
      </c>
      <c r="U179" s="8">
        <f t="shared" si="227"/>
        <v>27.557385762024587</v>
      </c>
      <c r="V179" s="7">
        <f t="shared" si="228"/>
        <v>1.3838104582111738E-2</v>
      </c>
      <c r="W179" s="9">
        <f t="shared" si="229"/>
        <v>0.20015051673010284</v>
      </c>
      <c r="X179" s="4">
        <f t="shared" si="302"/>
        <v>1012.5431186747597</v>
      </c>
      <c r="Y179" s="6">
        <f t="shared" si="230"/>
        <v>5.5250862373495203E-6</v>
      </c>
      <c r="Z179" s="8">
        <f t="shared" si="231"/>
        <v>27.533245864759735</v>
      </c>
      <c r="AA179" s="7">
        <f t="shared" si="232"/>
        <v>1.3827597666445292E-2</v>
      </c>
      <c r="AB179" s="9">
        <f t="shared" si="233"/>
        <v>0.20032599959671088</v>
      </c>
      <c r="AC179" s="4">
        <f t="shared" si="303"/>
        <v>1009.8450037780863</v>
      </c>
      <c r="AD179" s="6">
        <f t="shared" si="234"/>
        <v>5.5196900075561734E-6</v>
      </c>
      <c r="AE179" s="8">
        <f t="shared" si="235"/>
        <v>27.502217543447991</v>
      </c>
      <c r="AF179" s="7">
        <f t="shared" si="236"/>
        <v>1.3814092556969592E-2</v>
      </c>
      <c r="AG179" s="9">
        <f t="shared" si="237"/>
        <v>0.2005520097165408</v>
      </c>
      <c r="AH179" s="4">
        <f t="shared" si="304"/>
        <v>1006.5475853350367</v>
      </c>
      <c r="AI179" s="6">
        <f t="shared" si="238"/>
        <v>5.513095170670074E-6</v>
      </c>
      <c r="AJ179" s="8">
        <f t="shared" si="239"/>
        <v>27.464297231352923</v>
      </c>
      <c r="AK179" s="7">
        <f t="shared" si="240"/>
        <v>1.3797587701258858E-2</v>
      </c>
      <c r="AL179" s="9">
        <f t="shared" si="241"/>
        <v>0.20082891448259693</v>
      </c>
      <c r="AM179" s="4">
        <f t="shared" si="305"/>
        <v>1002.6507620398302</v>
      </c>
      <c r="AN179" s="6">
        <f t="shared" si="242"/>
        <v>5.5053015240796606E-6</v>
      </c>
      <c r="AO179" s="8">
        <f t="shared" si="243"/>
        <v>27.419483763458047</v>
      </c>
      <c r="AP179" s="7">
        <f t="shared" si="244"/>
        <v>1.3778082592238443E-2</v>
      </c>
      <c r="AQ179" s="9">
        <f t="shared" si="245"/>
        <v>0.20115714240217297</v>
      </c>
      <c r="AR179" s="4">
        <f t="shared" si="306"/>
        <v>998.15448793263192</v>
      </c>
      <c r="AS179" s="6">
        <f t="shared" si="246"/>
        <v>5.4963089758652648E-6</v>
      </c>
      <c r="AT179" s="8">
        <f t="shared" si="247"/>
        <v>27.367776611225267</v>
      </c>
      <c r="AU179" s="7">
        <f t="shared" si="248"/>
        <v>1.3755576999861584E-2</v>
      </c>
      <c r="AV179" s="9">
        <f t="shared" si="249"/>
        <v>0.2015371974988166</v>
      </c>
      <c r="AW179" s="4">
        <f t="shared" si="307"/>
        <v>993.05862594844496</v>
      </c>
      <c r="AX179" s="6">
        <f t="shared" si="250"/>
        <v>5.4861172518968909E-6</v>
      </c>
      <c r="AY179" s="8">
        <f t="shared" si="251"/>
        <v>27.309174198407117</v>
      </c>
      <c r="AZ179" s="7">
        <f t="shared" si="252"/>
        <v>1.3730070238064914E-2</v>
      </c>
      <c r="BA179" s="9">
        <f t="shared" si="253"/>
        <v>0.20196967363157081</v>
      </c>
      <c r="BB179" s="4">
        <f t="shared" si="308"/>
        <v>987.3624430714741</v>
      </c>
      <c r="BC179" s="6">
        <f t="shared" si="254"/>
        <v>5.4747248861429488E-6</v>
      </c>
      <c r="BD179" s="8">
        <f t="shared" si="255"/>
        <v>27.243668095321951</v>
      </c>
      <c r="BE179" s="7">
        <f t="shared" si="256"/>
        <v>1.370155863782063E-2</v>
      </c>
      <c r="BF179" s="9">
        <f t="shared" si="257"/>
        <v>0.20245530009768015</v>
      </c>
      <c r="BG179" s="4">
        <f t="shared" si="309"/>
        <v>981.06225376198074</v>
      </c>
      <c r="BH179" s="6">
        <f t="shared" si="258"/>
        <v>5.4621245075239617E-6</v>
      </c>
      <c r="BI179" s="8">
        <f t="shared" si="259"/>
        <v>27.171215918262778</v>
      </c>
      <c r="BJ179" s="7">
        <f t="shared" si="260"/>
        <v>1.3670023751575701E-2</v>
      </c>
      <c r="BK179" s="9">
        <f t="shared" si="261"/>
        <v>0.2029951481226405</v>
      </c>
      <c r="BL179" s="4">
        <f t="shared" si="310"/>
        <v>974.14120345117703</v>
      </c>
      <c r="BM179" s="6">
        <f t="shared" si="262"/>
        <v>5.4482824069023551E-6</v>
      </c>
      <c r="BN179" s="8">
        <f t="shared" si="263"/>
        <v>27.091623839688538</v>
      </c>
      <c r="BO179" s="7">
        <f t="shared" si="264"/>
        <v>1.3635381215689087E-2</v>
      </c>
      <c r="BP179" s="9">
        <f t="shared" si="265"/>
        <v>0.20359152454788443</v>
      </c>
      <c r="BQ179" s="4">
        <f t="shared" si="311"/>
        <v>966.52986591440572</v>
      </c>
      <c r="BR179" s="6">
        <f t="shared" si="266"/>
        <v>5.4330597318288118E-6</v>
      </c>
      <c r="BS179" s="8">
        <f t="shared" si="267"/>
        <v>27.004093458015667</v>
      </c>
      <c r="BT179" s="7">
        <f t="shared" si="268"/>
        <v>1.3597283525032051E-2</v>
      </c>
      <c r="BU179" s="9">
        <f t="shared" si="269"/>
        <v>0.20425144093710684</v>
      </c>
      <c r="BV179" s="4">
        <f t="shared" si="312"/>
        <v>957.97379361726723</v>
      </c>
      <c r="BW179" s="6">
        <f t="shared" si="270"/>
        <v>5.415947587234535E-6</v>
      </c>
      <c r="BX179" s="8">
        <f t="shared" si="271"/>
        <v>26.905698626598571</v>
      </c>
      <c r="BY179" s="7">
        <f t="shared" si="272"/>
        <v>1.3554457071200409E-2</v>
      </c>
      <c r="BZ179" s="9">
        <f t="shared" si="273"/>
        <v>0.20499839370635542</v>
      </c>
      <c r="CA179" s="4">
        <f t="shared" si="313"/>
        <v>947.65610482523016</v>
      </c>
      <c r="CB179" s="6">
        <f t="shared" si="274"/>
        <v>5.3953122096504607E-6</v>
      </c>
      <c r="CC179" s="8">
        <f t="shared" si="275"/>
        <v>26.787045205490145</v>
      </c>
      <c r="CD179" s="7">
        <f t="shared" si="276"/>
        <v>1.3502813044904695E-2</v>
      </c>
      <c r="CE179" s="9">
        <f t="shared" si="277"/>
        <v>0.20590643565530489</v>
      </c>
      <c r="CF179" s="4">
        <f t="shared" si="314"/>
        <v>933.32631210626892</v>
      </c>
      <c r="CG179" s="6">
        <f t="shared" si="278"/>
        <v>5.3666526242125382E-6</v>
      </c>
      <c r="CH179" s="8">
        <f t="shared" si="279"/>
        <v>26.622252589222093</v>
      </c>
      <c r="CI179" s="7">
        <f t="shared" si="280"/>
        <v>1.3431086885402645E-2</v>
      </c>
      <c r="CJ179" s="9">
        <f t="shared" si="281"/>
        <v>0.207181003242114</v>
      </c>
      <c r="CK179" s="4">
        <f t="shared" si="315"/>
        <v>909.81363645934994</v>
      </c>
      <c r="CL179" s="6">
        <f t="shared" si="282"/>
        <v>5.3196272729187009E-6</v>
      </c>
      <c r="CM179" s="8">
        <f t="shared" si="283"/>
        <v>26.351856819282524</v>
      </c>
      <c r="CN179" s="7">
        <f t="shared" si="284"/>
        <v>1.3313396842228519E-2</v>
      </c>
      <c r="CO179" s="9">
        <f t="shared" si="285"/>
        <v>0.20930688254058952</v>
      </c>
      <c r="CP179" s="4">
        <f t="shared" si="316"/>
        <v>867.62732213782135</v>
      </c>
      <c r="CQ179" s="6">
        <f t="shared" si="286"/>
        <v>5.235254644275643E-6</v>
      </c>
      <c r="CR179" s="8">
        <f t="shared" si="287"/>
        <v>25.866714204584945</v>
      </c>
      <c r="CS179" s="7">
        <f t="shared" si="288"/>
        <v>1.3102238009077659E-2</v>
      </c>
      <c r="CT179" s="9">
        <f t="shared" si="289"/>
        <v>0.21323253337767736</v>
      </c>
      <c r="CU179" s="4">
        <f t="shared" si="317"/>
        <v>793.87474609121352</v>
      </c>
      <c r="CV179" s="6">
        <f t="shared" si="290"/>
        <v>5.087749492182428E-6</v>
      </c>
      <c r="CW179" s="8">
        <f t="shared" si="291"/>
        <v>25.018559580048954</v>
      </c>
      <c r="CX179" s="7">
        <f t="shared" si="292"/>
        <v>1.2733077816955254E-2</v>
      </c>
      <c r="CY179" s="9">
        <f t="shared" si="293"/>
        <v>0.22046133320954392</v>
      </c>
      <c r="CZ179" s="5">
        <f t="shared" si="318"/>
        <v>677.92524761323261</v>
      </c>
      <c r="DA179" s="6">
        <f t="shared" si="294"/>
        <v>4.8558504952264662E-6</v>
      </c>
      <c r="DB179" s="8">
        <f t="shared" si="295"/>
        <v>28.302610279290462</v>
      </c>
      <c r="DC179" s="7">
        <f t="shared" si="296"/>
        <v>1.2152705693985908E-2</v>
      </c>
      <c r="DD179" s="9">
        <f t="shared" si="297"/>
        <v>0.19488043489882217</v>
      </c>
    </row>
    <row r="180" spans="2:108" x14ac:dyDescent="0.25">
      <c r="B180">
        <v>161</v>
      </c>
      <c r="C180">
        <f t="shared" si="298"/>
        <v>0.15739596128158548</v>
      </c>
      <c r="D180" s="4">
        <f t="shared" si="215"/>
        <v>1017.3579422582279</v>
      </c>
      <c r="E180" s="6">
        <f t="shared" si="216"/>
        <v>5.5347158845164565E-6</v>
      </c>
      <c r="F180" s="8">
        <f t="shared" si="217"/>
        <v>27.588616335969618</v>
      </c>
      <c r="G180" s="7">
        <f t="shared" si="213"/>
        <v>1.3851697722258735E-2</v>
      </c>
      <c r="H180" s="9">
        <f t="shared" si="218"/>
        <v>0.19992394445707709</v>
      </c>
      <c r="I180" s="4">
        <f t="shared" si="299"/>
        <v>1017.0332988761979</v>
      </c>
      <c r="J180" s="6">
        <f t="shared" si="219"/>
        <v>5.5340665977523964E-6</v>
      </c>
      <c r="K180" s="8">
        <f t="shared" si="220"/>
        <v>27.584882937076273</v>
      </c>
      <c r="L180" s="7">
        <f t="shared" si="221"/>
        <v>1.385007275646492E-2</v>
      </c>
      <c r="M180" s="9">
        <f t="shared" si="222"/>
        <v>0.19995100260463902</v>
      </c>
      <c r="N180" s="4">
        <f t="shared" si="300"/>
        <v>1016.1272453836923</v>
      </c>
      <c r="O180" s="6">
        <f t="shared" si="223"/>
        <v>5.532254490767385E-6</v>
      </c>
      <c r="P180" s="8">
        <f t="shared" si="224"/>
        <v>27.574463321912461</v>
      </c>
      <c r="Q180" s="7">
        <f t="shared" si="214"/>
        <v>1.3851697722258735E-2</v>
      </c>
      <c r="R180" s="9">
        <f t="shared" si="225"/>
        <v>0.20002655847219794</v>
      </c>
      <c r="S180" s="4">
        <f t="shared" si="301"/>
        <v>1014.6256506893602</v>
      </c>
      <c r="T180" s="6">
        <f t="shared" si="226"/>
        <v>5.5292513013787211E-6</v>
      </c>
      <c r="U180" s="8">
        <f t="shared" si="227"/>
        <v>27.557194982927641</v>
      </c>
      <c r="V180" s="7">
        <f t="shared" si="228"/>
        <v>1.38380215453092E-2</v>
      </c>
      <c r="W180" s="9">
        <f t="shared" si="229"/>
        <v>0.20015190237675007</v>
      </c>
      <c r="X180" s="4">
        <f t="shared" si="302"/>
        <v>1012.5265317586699</v>
      </c>
      <c r="Y180" s="6">
        <f t="shared" si="230"/>
        <v>5.525053063517341E-6</v>
      </c>
      <c r="Z180" s="8">
        <f t="shared" si="231"/>
        <v>27.533055115224702</v>
      </c>
      <c r="AA180" s="7">
        <f t="shared" si="232"/>
        <v>1.3827514642509605E-2</v>
      </c>
      <c r="AB180" s="9">
        <f t="shared" si="233"/>
        <v>0.2003273874590864</v>
      </c>
      <c r="AC180" s="4">
        <f t="shared" si="303"/>
        <v>1009.8284265670189</v>
      </c>
      <c r="AD180" s="6">
        <f t="shared" si="234"/>
        <v>5.5196568531340387E-6</v>
      </c>
      <c r="AE180" s="8">
        <f t="shared" si="235"/>
        <v>27.502026905520715</v>
      </c>
      <c r="AF180" s="7">
        <f t="shared" si="236"/>
        <v>1.3814009581611298E-2</v>
      </c>
      <c r="AG180" s="9">
        <f t="shared" si="237"/>
        <v>0.20055339989841992</v>
      </c>
      <c r="AH180" s="4">
        <f t="shared" si="304"/>
        <v>1006.5310233736403</v>
      </c>
      <c r="AI180" s="6">
        <f t="shared" si="238"/>
        <v>5.5130620467472816E-6</v>
      </c>
      <c r="AJ180" s="8">
        <f t="shared" si="239"/>
        <v>27.464106768796864</v>
      </c>
      <c r="AK180" s="7">
        <f t="shared" si="240"/>
        <v>1.3797504802231072E-2</v>
      </c>
      <c r="AL180" s="9">
        <f t="shared" si="241"/>
        <v>0.20083030722362816</v>
      </c>
      <c r="AM180" s="4">
        <f t="shared" si="305"/>
        <v>1002.6342194142505</v>
      </c>
      <c r="AN180" s="6">
        <f t="shared" si="242"/>
        <v>5.5052684388285021E-6</v>
      </c>
      <c r="AO180" s="8">
        <f t="shared" si="243"/>
        <v>27.419293523263882</v>
      </c>
      <c r="AP180" s="7">
        <f t="shared" si="244"/>
        <v>1.3777999789993904E-2</v>
      </c>
      <c r="AQ180" s="9">
        <f t="shared" si="245"/>
        <v>0.20115853806810419</v>
      </c>
      <c r="AR180" s="4">
        <f t="shared" si="306"/>
        <v>998.13796678292294</v>
      </c>
      <c r="AS180" s="6">
        <f t="shared" si="246"/>
        <v>5.496275933565846E-6</v>
      </c>
      <c r="AT180" s="8">
        <f t="shared" si="247"/>
        <v>27.367586618003614</v>
      </c>
      <c r="AU180" s="7">
        <f t="shared" si="248"/>
        <v>1.3755494305112088E-2</v>
      </c>
      <c r="AV180" s="9">
        <f t="shared" si="249"/>
        <v>0.20153859662479617</v>
      </c>
      <c r="AW180" s="4">
        <f t="shared" si="307"/>
        <v>993.04212102051031</v>
      </c>
      <c r="AX180" s="6">
        <f t="shared" si="250"/>
        <v>5.4860842420410211E-6</v>
      </c>
      <c r="AY180" s="8">
        <f t="shared" si="251"/>
        <v>27.308984391735869</v>
      </c>
      <c r="AZ180" s="7">
        <f t="shared" si="252"/>
        <v>1.3729987624511678E-2</v>
      </c>
      <c r="BA180" s="9">
        <f t="shared" si="253"/>
        <v>0.20197107738906303</v>
      </c>
      <c r="BB180" s="4">
        <f t="shared" si="308"/>
        <v>987.34591456854753</v>
      </c>
      <c r="BC180" s="6">
        <f t="shared" si="254"/>
        <v>5.4746918291370959E-6</v>
      </c>
      <c r="BD180" s="8">
        <f t="shared" si="255"/>
        <v>27.243478017538294</v>
      </c>
      <c r="BE180" s="7">
        <f t="shared" si="256"/>
        <v>1.3701475906265437E-2</v>
      </c>
      <c r="BF180" s="9">
        <f t="shared" si="257"/>
        <v>0.20245671262858783</v>
      </c>
      <c r="BG180" s="4">
        <f t="shared" si="309"/>
        <v>981.04551293647069</v>
      </c>
      <c r="BH180" s="6">
        <f t="shared" si="258"/>
        <v>5.4620910258729425E-6</v>
      </c>
      <c r="BI180" s="8">
        <f t="shared" si="259"/>
        <v>27.171023398769414</v>
      </c>
      <c r="BJ180" s="7">
        <f t="shared" si="260"/>
        <v>1.3669939957263792E-2</v>
      </c>
      <c r="BK180" s="9">
        <f t="shared" si="261"/>
        <v>0.20299658643883856</v>
      </c>
      <c r="BL180" s="4">
        <f t="shared" si="310"/>
        <v>974.1234898966901</v>
      </c>
      <c r="BM180" s="6">
        <f t="shared" si="262"/>
        <v>5.4482469797933811E-6</v>
      </c>
      <c r="BN180" s="8">
        <f t="shared" si="263"/>
        <v>27.091420133811937</v>
      </c>
      <c r="BO180" s="7">
        <f t="shared" si="264"/>
        <v>1.363529255249211E-2</v>
      </c>
      <c r="BP180" s="9">
        <f t="shared" si="265"/>
        <v>0.20359305539380435</v>
      </c>
      <c r="BQ180" s="4">
        <f t="shared" si="311"/>
        <v>966.50850543483659</v>
      </c>
      <c r="BR180" s="6">
        <f t="shared" si="266"/>
        <v>5.4330170108696733E-6</v>
      </c>
      <c r="BS180" s="8">
        <f t="shared" si="267"/>
        <v>27.00384781250062</v>
      </c>
      <c r="BT180" s="7">
        <f t="shared" si="268"/>
        <v>1.3597176607563342E-2</v>
      </c>
      <c r="BU180" s="9">
        <f t="shared" si="269"/>
        <v>0.20425329894825978</v>
      </c>
      <c r="BV180" s="4">
        <f t="shared" si="312"/>
        <v>957.94067525442927</v>
      </c>
      <c r="BW180" s="6">
        <f t="shared" si="270"/>
        <v>5.4158813505088589E-6</v>
      </c>
      <c r="BX180" s="8">
        <f t="shared" si="271"/>
        <v>26.905317765425934</v>
      </c>
      <c r="BY180" s="7">
        <f t="shared" si="272"/>
        <v>1.3554291300974561E-2</v>
      </c>
      <c r="BZ180" s="9">
        <f t="shared" si="273"/>
        <v>0.20500129558357152</v>
      </c>
      <c r="CA180" s="4">
        <f t="shared" si="313"/>
        <v>947.59058762840027</v>
      </c>
      <c r="CB180" s="6">
        <f t="shared" si="274"/>
        <v>5.3951811752568014E-6</v>
      </c>
      <c r="CC180" s="8">
        <f t="shared" si="275"/>
        <v>26.786291757726602</v>
      </c>
      <c r="CD180" s="7">
        <f t="shared" si="276"/>
        <v>1.35024851059734E-2</v>
      </c>
      <c r="CE180" s="9">
        <f t="shared" si="277"/>
        <v>0.20591222741419585</v>
      </c>
      <c r="CF180" s="4">
        <f t="shared" si="314"/>
        <v>933.18635263613294</v>
      </c>
      <c r="CG180" s="6">
        <f t="shared" si="278"/>
        <v>5.3663727052722664E-6</v>
      </c>
      <c r="CH180" s="8">
        <f t="shared" si="279"/>
        <v>26.620643055315526</v>
      </c>
      <c r="CI180" s="7">
        <f t="shared" si="280"/>
        <v>1.3430386334077468E-2</v>
      </c>
      <c r="CJ180" s="9">
        <f t="shared" si="281"/>
        <v>0.20719352979336303</v>
      </c>
      <c r="CK180" s="4">
        <f t="shared" si="315"/>
        <v>909.53689043012707</v>
      </c>
      <c r="CL180" s="6">
        <f t="shared" si="282"/>
        <v>5.3190737808602549E-6</v>
      </c>
      <c r="CM180" s="8">
        <f t="shared" si="283"/>
        <v>26.348674239946462</v>
      </c>
      <c r="CN180" s="7">
        <f t="shared" si="284"/>
        <v>1.3312011621226172E-2</v>
      </c>
      <c r="CO180" s="9">
        <f t="shared" si="285"/>
        <v>0.20933216410706237</v>
      </c>
      <c r="CP180" s="4">
        <f t="shared" si="316"/>
        <v>867.16424003223358</v>
      </c>
      <c r="CQ180" s="6">
        <f t="shared" si="286"/>
        <v>5.2343284800644677E-6</v>
      </c>
      <c r="CR180" s="8">
        <f t="shared" si="287"/>
        <v>25.861388760370687</v>
      </c>
      <c r="CS180" s="7">
        <f t="shared" si="288"/>
        <v>1.3099920103883958E-2</v>
      </c>
      <c r="CT180" s="9">
        <f t="shared" si="289"/>
        <v>0.21327644277371519</v>
      </c>
      <c r="CU180" s="4">
        <f t="shared" si="317"/>
        <v>793.25657288347452</v>
      </c>
      <c r="CV180" s="6">
        <f t="shared" si="290"/>
        <v>5.0865131457669494E-6</v>
      </c>
      <c r="CW180" s="8">
        <f t="shared" si="291"/>
        <v>25.011450588159956</v>
      </c>
      <c r="CX180" s="7">
        <f t="shared" si="292"/>
        <v>1.2729983620760809E-2</v>
      </c>
      <c r="CY180" s="9">
        <f t="shared" si="293"/>
        <v>0.22052399482223609</v>
      </c>
      <c r="CZ180" s="5">
        <f t="shared" si="318"/>
        <v>677.30309402009937</v>
      </c>
      <c r="DA180" s="6">
        <f t="shared" si="294"/>
        <v>4.8546061880401986E-6</v>
      </c>
      <c r="DB180" s="8">
        <f t="shared" si="295"/>
        <v>28.427538720791574</v>
      </c>
      <c r="DC180" s="7">
        <f t="shared" si="296"/>
        <v>1.2149591574421789E-2</v>
      </c>
      <c r="DD180" s="9">
        <f t="shared" si="297"/>
        <v>0.19402400799355646</v>
      </c>
    </row>
    <row r="181" spans="2:108" x14ac:dyDescent="0.25">
      <c r="B181">
        <v>162</v>
      </c>
      <c r="C181">
        <f t="shared" si="298"/>
        <v>0.15837357594793072</v>
      </c>
      <c r="D181" s="4">
        <f t="shared" si="215"/>
        <v>1017.341367607131</v>
      </c>
      <c r="E181" s="6">
        <f t="shared" si="216"/>
        <v>5.5346827352142624E-6</v>
      </c>
      <c r="F181" s="8">
        <f t="shared" si="217"/>
        <v>27.588425727482004</v>
      </c>
      <c r="G181" s="7">
        <f t="shared" si="213"/>
        <v>1.3851614759714085E-2</v>
      </c>
      <c r="H181" s="9">
        <f t="shared" si="218"/>
        <v>0.19992532573200258</v>
      </c>
      <c r="I181" s="4">
        <f t="shared" si="299"/>
        <v>1017.0167218378342</v>
      </c>
      <c r="J181" s="6">
        <f t="shared" si="219"/>
        <v>5.534033443675669E-6</v>
      </c>
      <c r="K181" s="8">
        <f t="shared" si="220"/>
        <v>27.584692301135092</v>
      </c>
      <c r="L181" s="7">
        <f t="shared" si="221"/>
        <v>1.3849989781971076E-2</v>
      </c>
      <c r="M181" s="9">
        <f t="shared" si="222"/>
        <v>0.19995238445248256</v>
      </c>
      <c r="N181" s="4">
        <f t="shared" si="300"/>
        <v>1016.1106606684357</v>
      </c>
      <c r="O181" s="6">
        <f t="shared" si="223"/>
        <v>5.5322213213368717E-6</v>
      </c>
      <c r="P181" s="8">
        <f t="shared" si="224"/>
        <v>27.57427259768701</v>
      </c>
      <c r="Q181" s="7">
        <f t="shared" si="214"/>
        <v>1.3851614759714085E-2</v>
      </c>
      <c r="R181" s="9">
        <f t="shared" si="225"/>
        <v>0.20002794200499283</v>
      </c>
      <c r="S181" s="4">
        <f t="shared" si="301"/>
        <v>1014.6090613974962</v>
      </c>
      <c r="T181" s="6">
        <f t="shared" si="226"/>
        <v>5.5292181227949936E-6</v>
      </c>
      <c r="U181" s="8">
        <f t="shared" si="227"/>
        <v>27.557004206071205</v>
      </c>
      <c r="V181" s="7">
        <f t="shared" si="228"/>
        <v>1.3837938509481845E-2</v>
      </c>
      <c r="W181" s="9">
        <f t="shared" si="229"/>
        <v>0.20015328802630977</v>
      </c>
      <c r="X181" s="4">
        <f t="shared" si="302"/>
        <v>1012.5099450620701</v>
      </c>
      <c r="Y181" s="6">
        <f t="shared" si="230"/>
        <v>5.5250198901241399E-6</v>
      </c>
      <c r="Z181" s="8">
        <f t="shared" si="231"/>
        <v>27.532864368213804</v>
      </c>
      <c r="AA181" s="7">
        <f t="shared" si="232"/>
        <v>1.3827431619672547E-2</v>
      </c>
      <c r="AB181" s="9">
        <f t="shared" si="233"/>
        <v>0.20032877532232679</v>
      </c>
      <c r="AC181" s="4">
        <f t="shared" si="303"/>
        <v>1009.8118495666583</v>
      </c>
      <c r="AD181" s="6">
        <f t="shared" si="234"/>
        <v>5.5196236991333172E-6</v>
      </c>
      <c r="AE181" s="8">
        <f t="shared" si="235"/>
        <v>27.501836270016568</v>
      </c>
      <c r="AF181" s="7">
        <f t="shared" si="236"/>
        <v>1.3813926607307675E-2</v>
      </c>
      <c r="AG181" s="9">
        <f t="shared" si="237"/>
        <v>0.20055479008190158</v>
      </c>
      <c r="AH181" s="4">
        <f t="shared" si="304"/>
        <v>1006.5144616079831</v>
      </c>
      <c r="AI181" s="6">
        <f t="shared" si="238"/>
        <v>5.5130289232159667E-6</v>
      </c>
      <c r="AJ181" s="8">
        <f t="shared" si="239"/>
        <v>27.463916308491804</v>
      </c>
      <c r="AK181" s="7">
        <f t="shared" si="240"/>
        <v>1.3797421904183035E-2</v>
      </c>
      <c r="AL181" s="9">
        <f t="shared" si="241"/>
        <v>0.20083169996751615</v>
      </c>
      <c r="AM181" s="4">
        <f t="shared" si="305"/>
        <v>1002.6176769578105</v>
      </c>
      <c r="AN181" s="6">
        <f t="shared" si="242"/>
        <v>5.5052353539156215E-6</v>
      </c>
      <c r="AO181" s="8">
        <f t="shared" si="243"/>
        <v>27.41910328501482</v>
      </c>
      <c r="AP181" s="7">
        <f t="shared" si="244"/>
        <v>1.3777916988595975E-2</v>
      </c>
      <c r="AQ181" s="9">
        <f t="shared" si="245"/>
        <v>0.20115993373913207</v>
      </c>
      <c r="AR181" s="4">
        <f t="shared" si="306"/>
        <v>998.12144569257248</v>
      </c>
      <c r="AS181" s="6">
        <f t="shared" si="246"/>
        <v>5.4962428913851457E-6</v>
      </c>
      <c r="AT181" s="8">
        <f t="shared" si="247"/>
        <v>27.367396625464583</v>
      </c>
      <c r="AU181" s="7">
        <f t="shared" si="248"/>
        <v>1.3755411610659711E-2</v>
      </c>
      <c r="AV181" s="9">
        <f t="shared" si="249"/>
        <v>0.20153999576517512</v>
      </c>
      <c r="AW181" s="4">
        <f t="shared" si="307"/>
        <v>993.02561563875884</v>
      </c>
      <c r="AX181" s="6">
        <f t="shared" si="250"/>
        <v>5.4860512312775182E-6</v>
      </c>
      <c r="AY181" s="8">
        <f t="shared" si="251"/>
        <v>27.308794579845724</v>
      </c>
      <c r="AZ181" s="7">
        <f t="shared" si="252"/>
        <v>1.3729905008686916E-2</v>
      </c>
      <c r="BA181" s="9">
        <f t="shared" si="253"/>
        <v>0.2019724812046669</v>
      </c>
      <c r="BB181" s="4">
        <f t="shared" si="308"/>
        <v>987.32938341164686</v>
      </c>
      <c r="BC181" s="6">
        <f t="shared" si="254"/>
        <v>5.474658766823294E-6</v>
      </c>
      <c r="BD181" s="8">
        <f t="shared" si="255"/>
        <v>27.243287909233938</v>
      </c>
      <c r="BE181" s="7">
        <f t="shared" si="256"/>
        <v>1.3701393161426073E-2</v>
      </c>
      <c r="BF181" s="9">
        <f t="shared" si="257"/>
        <v>0.20245812540602026</v>
      </c>
      <c r="BG181" s="4">
        <f t="shared" si="309"/>
        <v>981.02876105539451</v>
      </c>
      <c r="BH181" s="6">
        <f t="shared" si="258"/>
        <v>5.462057522110789E-6</v>
      </c>
      <c r="BI181" s="8">
        <f t="shared" si="259"/>
        <v>27.170830752137036</v>
      </c>
      <c r="BJ181" s="7">
        <f t="shared" si="260"/>
        <v>1.3669856107614488E-2</v>
      </c>
      <c r="BK181" s="9">
        <f t="shared" si="261"/>
        <v>0.20299802572529682</v>
      </c>
      <c r="BL181" s="4">
        <f t="shared" si="310"/>
        <v>974.10573726372968</v>
      </c>
      <c r="BM181" s="6">
        <f t="shared" si="262"/>
        <v>5.4482114745274598E-6</v>
      </c>
      <c r="BN181" s="8">
        <f t="shared" si="263"/>
        <v>27.09121597853289</v>
      </c>
      <c r="BO181" s="7">
        <f t="shared" si="264"/>
        <v>1.3635203693692245E-2</v>
      </c>
      <c r="BP181" s="9">
        <f t="shared" si="265"/>
        <v>0.20359458964007326</v>
      </c>
      <c r="BQ181" s="4">
        <f t="shared" si="311"/>
        <v>966.48702642114529</v>
      </c>
      <c r="BR181" s="6">
        <f t="shared" si="266"/>
        <v>5.4329740528422911E-6</v>
      </c>
      <c r="BS181" s="8">
        <f t="shared" si="267"/>
        <v>27.00360080384317</v>
      </c>
      <c r="BT181" s="7">
        <f t="shared" si="268"/>
        <v>1.359706909678547E-2</v>
      </c>
      <c r="BU181" s="9">
        <f t="shared" si="269"/>
        <v>0.20425516730402163</v>
      </c>
      <c r="BV181" s="4">
        <f t="shared" si="312"/>
        <v>957.90725505409353</v>
      </c>
      <c r="BW181" s="6">
        <f t="shared" si="270"/>
        <v>5.4158145101081875E-6</v>
      </c>
      <c r="BX181" s="8">
        <f t="shared" si="271"/>
        <v>26.904933433122075</v>
      </c>
      <c r="BY181" s="7">
        <f t="shared" si="272"/>
        <v>1.3554124019935198E-2</v>
      </c>
      <c r="BZ181" s="9">
        <f t="shared" si="273"/>
        <v>0.20500422399149423</v>
      </c>
      <c r="CA181" s="4">
        <f t="shared" si="313"/>
        <v>947.52445310690996</v>
      </c>
      <c r="CB181" s="6">
        <f t="shared" si="274"/>
        <v>5.3950489062138201E-6</v>
      </c>
      <c r="CC181" s="8">
        <f t="shared" si="275"/>
        <v>26.785531210729463</v>
      </c>
      <c r="CD181" s="7">
        <f t="shared" si="276"/>
        <v>1.3502154077093214E-2</v>
      </c>
      <c r="CE181" s="9">
        <f t="shared" si="277"/>
        <v>0.20591807407540269</v>
      </c>
      <c r="CF181" s="4">
        <f t="shared" si="314"/>
        <v>933.04546568872865</v>
      </c>
      <c r="CG181" s="6">
        <f t="shared" si="278"/>
        <v>5.3660909313774586E-6</v>
      </c>
      <c r="CH181" s="8">
        <f t="shared" si="279"/>
        <v>26.619022855420379</v>
      </c>
      <c r="CI181" s="7">
        <f t="shared" si="280"/>
        <v>1.3429681140369545E-2</v>
      </c>
      <c r="CJ181" s="9">
        <f t="shared" si="281"/>
        <v>0.20720614088495229</v>
      </c>
      <c r="CK181" s="4">
        <f t="shared" si="315"/>
        <v>909.25936586747059</v>
      </c>
      <c r="CL181" s="6">
        <f t="shared" si="282"/>
        <v>5.318518731734942E-6</v>
      </c>
      <c r="CM181" s="8">
        <f t="shared" si="283"/>
        <v>26.345482707475909</v>
      </c>
      <c r="CN181" s="7">
        <f t="shared" si="284"/>
        <v>1.3310622503362624E-2</v>
      </c>
      <c r="CO181" s="9">
        <f t="shared" si="285"/>
        <v>0.20935752292877374</v>
      </c>
      <c r="CP181" s="4">
        <f t="shared" si="316"/>
        <v>866.70149590053018</v>
      </c>
      <c r="CQ181" s="6">
        <f t="shared" si="286"/>
        <v>5.2334029918010612E-6</v>
      </c>
      <c r="CR181" s="8">
        <f t="shared" si="287"/>
        <v>25.856067202856096</v>
      </c>
      <c r="CS181" s="7">
        <f t="shared" si="288"/>
        <v>1.3097603890380378E-2</v>
      </c>
      <c r="CT181" s="9">
        <f t="shared" si="289"/>
        <v>0.21332033819090387</v>
      </c>
      <c r="CU181" s="4">
        <f t="shared" si="317"/>
        <v>792.64043333626489</v>
      </c>
      <c r="CV181" s="6">
        <f t="shared" si="290"/>
        <v>5.0852808666725299E-6</v>
      </c>
      <c r="CW181" s="8">
        <f t="shared" si="291"/>
        <v>25.004364983367047</v>
      </c>
      <c r="CX181" s="7">
        <f t="shared" si="292"/>
        <v>1.2726899603824528E-2</v>
      </c>
      <c r="CY181" s="9">
        <f t="shared" si="293"/>
        <v>0.22058648574634887</v>
      </c>
      <c r="CZ181" s="5">
        <f t="shared" si="318"/>
        <v>676.68358578351376</v>
      </c>
      <c r="DA181" s="6">
        <f t="shared" si="294"/>
        <v>4.853367171567028E-6</v>
      </c>
      <c r="DB181" s="8">
        <f t="shared" si="295"/>
        <v>28.551935974697926</v>
      </c>
      <c r="DC181" s="7">
        <f t="shared" si="296"/>
        <v>1.2146490695891191E-2</v>
      </c>
      <c r="DD181" s="9">
        <f t="shared" si="297"/>
        <v>0.19317866938647596</v>
      </c>
    </row>
    <row r="182" spans="2:108" x14ac:dyDescent="0.25">
      <c r="B182">
        <v>163</v>
      </c>
      <c r="C182">
        <f t="shared" si="298"/>
        <v>0.15935119061427599</v>
      </c>
      <c r="D182" s="4">
        <f t="shared" si="215"/>
        <v>1017.3247928341523</v>
      </c>
      <c r="E182" s="6">
        <f t="shared" si="216"/>
        <v>5.5346495856683057E-6</v>
      </c>
      <c r="F182" s="8">
        <f t="shared" si="217"/>
        <v>27.588235117592752</v>
      </c>
      <c r="G182" s="7">
        <f t="shared" si="213"/>
        <v>1.3851531796559371E-2</v>
      </c>
      <c r="H182" s="9">
        <f t="shared" si="218"/>
        <v>0.19992670703617205</v>
      </c>
      <c r="I182" s="4">
        <f t="shared" si="299"/>
        <v>1017.0001447557859</v>
      </c>
      <c r="J182" s="6">
        <f t="shared" si="219"/>
        <v>5.5340002895115727E-6</v>
      </c>
      <c r="K182" s="8">
        <f t="shared" si="220"/>
        <v>27.584501664691537</v>
      </c>
      <c r="L182" s="7">
        <f t="shared" si="221"/>
        <v>1.3849906807258576E-2</v>
      </c>
      <c r="M182" s="9">
        <f t="shared" si="222"/>
        <v>0.19995376632306758</v>
      </c>
      <c r="N182" s="4">
        <f t="shared" si="300"/>
        <v>1016.0940760530486</v>
      </c>
      <c r="O182" s="6">
        <f t="shared" si="223"/>
        <v>5.5321881521060972E-6</v>
      </c>
      <c r="P182" s="8">
        <f t="shared" si="224"/>
        <v>27.574081874610059</v>
      </c>
      <c r="Q182" s="7">
        <f t="shared" si="214"/>
        <v>1.3851531796559371E-2</v>
      </c>
      <c r="R182" s="9">
        <f t="shared" si="225"/>
        <v>0.20002932554859543</v>
      </c>
      <c r="S182" s="4">
        <f t="shared" si="301"/>
        <v>1014.5924722997598</v>
      </c>
      <c r="T182" s="6">
        <f t="shared" si="226"/>
        <v>5.5291849445995206E-6</v>
      </c>
      <c r="U182" s="8">
        <f t="shared" si="227"/>
        <v>27.556813431447239</v>
      </c>
      <c r="V182" s="7">
        <f t="shared" si="228"/>
        <v>1.3837855474626171E-2</v>
      </c>
      <c r="W182" s="9">
        <f t="shared" si="229"/>
        <v>0.2001546736788401</v>
      </c>
      <c r="X182" s="4">
        <f t="shared" si="302"/>
        <v>1012.4933585845223</v>
      </c>
      <c r="Y182" s="6">
        <f t="shared" si="230"/>
        <v>5.5249867171690445E-6</v>
      </c>
      <c r="Z182" s="8">
        <f t="shared" si="231"/>
        <v>27.532673623722005</v>
      </c>
      <c r="AA182" s="7">
        <f t="shared" si="232"/>
        <v>1.3827348597931935E-2</v>
      </c>
      <c r="AB182" s="9">
        <f t="shared" si="233"/>
        <v>0.20033016318646826</v>
      </c>
      <c r="AC182" s="4">
        <f t="shared" si="303"/>
        <v>1009.7952727768834</v>
      </c>
      <c r="AD182" s="6">
        <f t="shared" si="234"/>
        <v>5.5195905455537677E-6</v>
      </c>
      <c r="AE182" s="8">
        <f t="shared" si="235"/>
        <v>27.501645636934157</v>
      </c>
      <c r="AF182" s="7">
        <f t="shared" si="236"/>
        <v>1.3813843634058114E-2</v>
      </c>
      <c r="AG182" s="9">
        <f t="shared" si="237"/>
        <v>0.20055618026699562</v>
      </c>
      <c r="AH182" s="4">
        <f t="shared" si="304"/>
        <v>1006.497900037854</v>
      </c>
      <c r="AI182" s="6">
        <f t="shared" si="238"/>
        <v>5.5129958000757082E-6</v>
      </c>
      <c r="AJ182" s="8">
        <f t="shared" si="239"/>
        <v>27.463725850435321</v>
      </c>
      <c r="AK182" s="7">
        <f t="shared" si="240"/>
        <v>1.3797339007113692E-2</v>
      </c>
      <c r="AL182" s="9">
        <f t="shared" si="241"/>
        <v>0.20083309271427835</v>
      </c>
      <c r="AM182" s="4">
        <f t="shared" si="305"/>
        <v>1002.601134669226</v>
      </c>
      <c r="AN182" s="6">
        <f t="shared" si="242"/>
        <v>5.5052022693384522E-6</v>
      </c>
      <c r="AO182" s="8">
        <f t="shared" si="243"/>
        <v>27.418913048696098</v>
      </c>
      <c r="AP182" s="7">
        <f t="shared" si="244"/>
        <v>1.3777834188038225E-2</v>
      </c>
      <c r="AQ182" s="9">
        <f t="shared" si="245"/>
        <v>0.2011613294153648</v>
      </c>
      <c r="AR182" s="4">
        <f t="shared" si="306"/>
        <v>998.10492465548566</v>
      </c>
      <c r="AS182" s="6">
        <f t="shared" si="246"/>
        <v>5.4962098493109717E-6</v>
      </c>
      <c r="AT182" s="8">
        <f t="shared" si="247"/>
        <v>27.367206633538082</v>
      </c>
      <c r="AU182" s="7">
        <f t="shared" si="248"/>
        <v>1.3755328916473934E-2</v>
      </c>
      <c r="AV182" s="9">
        <f t="shared" si="249"/>
        <v>0.20154139492046982</v>
      </c>
      <c r="AW182" s="4">
        <f t="shared" si="307"/>
        <v>993.00910977791841</v>
      </c>
      <c r="AX182" s="6">
        <f t="shared" si="250"/>
        <v>5.4860182195558372E-6</v>
      </c>
      <c r="AY182" s="8">
        <f t="shared" si="251"/>
        <v>27.308604762446059</v>
      </c>
      <c r="AZ182" s="7">
        <f t="shared" si="252"/>
        <v>1.3729822390464127E-2</v>
      </c>
      <c r="BA182" s="9">
        <f t="shared" si="253"/>
        <v>0.20197388508053385</v>
      </c>
      <c r="BB182" s="4">
        <f t="shared" si="308"/>
        <v>987.31284950838551</v>
      </c>
      <c r="BC182" s="6">
        <f t="shared" si="254"/>
        <v>5.4746256990167715E-6</v>
      </c>
      <c r="BD182" s="8">
        <f t="shared" si="255"/>
        <v>27.243097769346434</v>
      </c>
      <c r="BE182" s="7">
        <f t="shared" si="256"/>
        <v>1.3701310402840115E-2</v>
      </c>
      <c r="BF182" s="9">
        <f t="shared" si="257"/>
        <v>0.20245953843788303</v>
      </c>
      <c r="BG182" s="4">
        <f t="shared" si="309"/>
        <v>981.01199782738138</v>
      </c>
      <c r="BH182" s="6">
        <f t="shared" si="258"/>
        <v>5.4620239956547635E-6</v>
      </c>
      <c r="BI182" s="8">
        <f t="shared" si="259"/>
        <v>27.170637975014884</v>
      </c>
      <c r="BJ182" s="7">
        <f t="shared" si="260"/>
        <v>1.3669772201169378E-2</v>
      </c>
      <c r="BK182" s="9">
        <f t="shared" si="261"/>
        <v>0.20299946600709065</v>
      </c>
      <c r="BL182" s="4">
        <f t="shared" si="310"/>
        <v>974.08794478855953</v>
      </c>
      <c r="BM182" s="6">
        <f t="shared" si="262"/>
        <v>5.4481758895771198E-6</v>
      </c>
      <c r="BN182" s="8">
        <f t="shared" si="263"/>
        <v>27.091011365068432</v>
      </c>
      <c r="BO182" s="7">
        <f t="shared" si="264"/>
        <v>1.3635114635466699E-2</v>
      </c>
      <c r="BP182" s="9">
        <f t="shared" si="265"/>
        <v>0.20359612735285076</v>
      </c>
      <c r="BQ182" s="4">
        <f t="shared" si="311"/>
        <v>966.46542732142063</v>
      </c>
      <c r="BR182" s="6">
        <f t="shared" si="266"/>
        <v>5.4329308546428417E-6</v>
      </c>
      <c r="BS182" s="8">
        <f t="shared" si="267"/>
        <v>27.003352414196335</v>
      </c>
      <c r="BT182" s="7">
        <f t="shared" si="268"/>
        <v>1.3596960984930517E-2</v>
      </c>
      <c r="BU182" s="9">
        <f t="shared" si="269"/>
        <v>0.20425704613995627</v>
      </c>
      <c r="BV182" s="4">
        <f t="shared" si="312"/>
        <v>957.8735309830148</v>
      </c>
      <c r="BW182" s="6">
        <f t="shared" si="270"/>
        <v>5.4157470619660301E-6</v>
      </c>
      <c r="BX182" s="8">
        <f t="shared" si="271"/>
        <v>26.904545606304669</v>
      </c>
      <c r="BY182" s="7">
        <f t="shared" si="272"/>
        <v>1.3553955217905141E-2</v>
      </c>
      <c r="BZ182" s="9">
        <f t="shared" si="273"/>
        <v>0.20500717911056254</v>
      </c>
      <c r="CA182" s="4">
        <f t="shared" si="313"/>
        <v>947.45770107314866</v>
      </c>
      <c r="CB182" s="6">
        <f t="shared" si="274"/>
        <v>5.3949154021462974E-6</v>
      </c>
      <c r="CC182" s="8">
        <f t="shared" si="275"/>
        <v>26.784763562341208</v>
      </c>
      <c r="CD182" s="7">
        <f t="shared" si="276"/>
        <v>1.3501819957325084E-2</v>
      </c>
      <c r="CE182" s="9">
        <f t="shared" si="277"/>
        <v>0.20592397566483836</v>
      </c>
      <c r="CF182" s="4">
        <f t="shared" si="314"/>
        <v>932.90365747278474</v>
      </c>
      <c r="CG182" s="6">
        <f t="shared" si="278"/>
        <v>5.3658073149455696E-6</v>
      </c>
      <c r="CH182" s="8">
        <f t="shared" si="279"/>
        <v>26.617392060937021</v>
      </c>
      <c r="CI182" s="7">
        <f t="shared" si="280"/>
        <v>1.3428971335355961E-2</v>
      </c>
      <c r="CJ182" s="9">
        <f t="shared" si="281"/>
        <v>0.20721883599162161</v>
      </c>
      <c r="CK182" s="4">
        <f t="shared" si="315"/>
        <v>908.98107644343031</v>
      </c>
      <c r="CL182" s="6">
        <f t="shared" si="282"/>
        <v>5.3179621528868609E-6</v>
      </c>
      <c r="CM182" s="8">
        <f t="shared" si="283"/>
        <v>26.342282379099448</v>
      </c>
      <c r="CN182" s="7">
        <f t="shared" si="284"/>
        <v>1.3309229557071778E-2</v>
      </c>
      <c r="CO182" s="9">
        <f t="shared" si="285"/>
        <v>0.20938295780992081</v>
      </c>
      <c r="CP182" s="4">
        <f t="shared" si="316"/>
        <v>866.23909856336729</v>
      </c>
      <c r="CQ182" s="6">
        <f t="shared" si="286"/>
        <v>5.2324781971267355E-6</v>
      </c>
      <c r="CR182" s="8">
        <f t="shared" si="287"/>
        <v>25.850749633478721</v>
      </c>
      <c r="CS182" s="7">
        <f t="shared" si="288"/>
        <v>1.3095289412717712E-2</v>
      </c>
      <c r="CT182" s="9">
        <f t="shared" si="289"/>
        <v>0.21336421876357656</v>
      </c>
      <c r="CU182" s="4">
        <f t="shared" si="317"/>
        <v>792.02631328754705</v>
      </c>
      <c r="CV182" s="6">
        <f t="shared" si="290"/>
        <v>5.0840526265750948E-6</v>
      </c>
      <c r="CW182" s="8">
        <f t="shared" si="291"/>
        <v>24.997302602806791</v>
      </c>
      <c r="CX182" s="7">
        <f t="shared" si="292"/>
        <v>1.2723825695259931E-2</v>
      </c>
      <c r="CY182" s="9">
        <f t="shared" si="293"/>
        <v>0.22064880709891815</v>
      </c>
      <c r="CZ182" s="5">
        <f t="shared" si="318"/>
        <v>676.06669582696907</v>
      </c>
      <c r="DA182" s="6">
        <f t="shared" si="294"/>
        <v>4.8521333916539384E-6</v>
      </c>
      <c r="DB182" s="8">
        <f t="shared" si="295"/>
        <v>28.675807477972029</v>
      </c>
      <c r="DC182" s="7">
        <f t="shared" si="296"/>
        <v>1.214340292286571E-2</v>
      </c>
      <c r="DD182" s="9">
        <f t="shared" si="297"/>
        <v>0.19234419132702549</v>
      </c>
    </row>
    <row r="183" spans="2:108" x14ac:dyDescent="0.25">
      <c r="B183">
        <v>164</v>
      </c>
      <c r="C183">
        <f t="shared" si="298"/>
        <v>0.16032880528062124</v>
      </c>
      <c r="D183" s="4">
        <f t="shared" si="215"/>
        <v>1017.3082179432841</v>
      </c>
      <c r="E183" s="6">
        <f t="shared" si="216"/>
        <v>5.534616435886569E-6</v>
      </c>
      <c r="F183" s="8">
        <f t="shared" si="217"/>
        <v>27.588044506347767</v>
      </c>
      <c r="G183" s="7">
        <f t="shared" si="213"/>
        <v>1.3851448832814573E-2</v>
      </c>
      <c r="H183" s="9">
        <f t="shared" si="218"/>
        <v>0.19992808836925369</v>
      </c>
      <c r="I183" s="4">
        <f t="shared" si="299"/>
        <v>1016.9835676324965</v>
      </c>
      <c r="J183" s="6">
        <f t="shared" si="219"/>
        <v>5.5339671352649932E-6</v>
      </c>
      <c r="K183" s="8">
        <f t="shared" si="220"/>
        <v>27.584311027773708</v>
      </c>
      <c r="L183" s="7">
        <f t="shared" si="221"/>
        <v>1.3849823832339642E-2</v>
      </c>
      <c r="M183" s="9">
        <f t="shared" si="222"/>
        <v>0.19995514821619087</v>
      </c>
      <c r="N183" s="4">
        <f t="shared" si="300"/>
        <v>1016.077491537672</v>
      </c>
      <c r="O183" s="6">
        <f t="shared" si="223"/>
        <v>5.5321549830753453E-6</v>
      </c>
      <c r="P183" s="8">
        <f t="shared" si="224"/>
        <v>27.573891152683228</v>
      </c>
      <c r="Q183" s="7">
        <f t="shared" si="214"/>
        <v>1.3851448832814573E-2</v>
      </c>
      <c r="R183" s="9">
        <f t="shared" si="225"/>
        <v>0.20003070910299406</v>
      </c>
      <c r="S183" s="4">
        <f t="shared" si="301"/>
        <v>1014.5758833954653</v>
      </c>
      <c r="T183" s="6">
        <f t="shared" si="226"/>
        <v>5.5291517667909307E-6</v>
      </c>
      <c r="U183" s="8">
        <f t="shared" si="227"/>
        <v>27.55662265904785</v>
      </c>
      <c r="V183" s="7">
        <f t="shared" si="228"/>
        <v>1.3837772440738748E-2</v>
      </c>
      <c r="W183" s="9">
        <f t="shared" si="229"/>
        <v>0.20015605933439809</v>
      </c>
      <c r="X183" s="4">
        <f t="shared" si="302"/>
        <v>1012.4767723255904</v>
      </c>
      <c r="Y183" s="6">
        <f t="shared" si="230"/>
        <v>5.5249535446511816E-6</v>
      </c>
      <c r="Z183" s="8">
        <f t="shared" si="231"/>
        <v>27.53248288174429</v>
      </c>
      <c r="AA183" s="7">
        <f t="shared" si="232"/>
        <v>1.3827265577285577E-2</v>
      </c>
      <c r="AB183" s="9">
        <f t="shared" si="233"/>
        <v>0.20033155105154699</v>
      </c>
      <c r="AC183" s="4">
        <f t="shared" si="303"/>
        <v>1009.7786961975678</v>
      </c>
      <c r="AD183" s="6">
        <f t="shared" si="234"/>
        <v>5.5195573923951359E-6</v>
      </c>
      <c r="AE183" s="8">
        <f t="shared" si="235"/>
        <v>27.501455006272028</v>
      </c>
      <c r="AF183" s="7">
        <f t="shared" si="236"/>
        <v>1.3813760661861981E-2</v>
      </c>
      <c r="AG183" s="9">
        <f t="shared" si="237"/>
        <v>0.20055757045371225</v>
      </c>
      <c r="AH183" s="4">
        <f t="shared" si="304"/>
        <v>1006.4813386630273</v>
      </c>
      <c r="AI183" s="6">
        <f t="shared" si="238"/>
        <v>5.5129626773260556E-6</v>
      </c>
      <c r="AJ183" s="8">
        <f t="shared" si="239"/>
        <v>27.463535394624813</v>
      </c>
      <c r="AK183" s="7">
        <f t="shared" si="240"/>
        <v>1.3797256111021916E-2</v>
      </c>
      <c r="AL183" s="9">
        <f t="shared" si="241"/>
        <v>0.20083448546393348</v>
      </c>
      <c r="AM183" s="4">
        <f t="shared" si="305"/>
        <v>1002.5845925471556</v>
      </c>
      <c r="AN183" s="6">
        <f t="shared" si="242"/>
        <v>5.5051691850943118E-6</v>
      </c>
      <c r="AO183" s="8">
        <f t="shared" si="243"/>
        <v>27.418722814292288</v>
      </c>
      <c r="AP183" s="7">
        <f t="shared" si="244"/>
        <v>1.3777751388313945E-2</v>
      </c>
      <c r="AQ183" s="9">
        <f t="shared" si="245"/>
        <v>0.20116272509691532</v>
      </c>
      <c r="AR183" s="4">
        <f t="shared" si="306"/>
        <v>998.08840366534923</v>
      </c>
      <c r="AS183" s="6">
        <f t="shared" si="246"/>
        <v>5.4961768073306997E-6</v>
      </c>
      <c r="AT183" s="8">
        <f t="shared" si="247"/>
        <v>27.367016642151516</v>
      </c>
      <c r="AU183" s="7">
        <f t="shared" si="248"/>
        <v>1.3755246222523164E-2</v>
      </c>
      <c r="AV183" s="9">
        <f t="shared" si="249"/>
        <v>0.20154279409121512</v>
      </c>
      <c r="AW183" s="4">
        <f t="shared" si="307"/>
        <v>992.99260341199204</v>
      </c>
      <c r="AX183" s="6">
        <f t="shared" si="250"/>
        <v>5.4859852068239847E-6</v>
      </c>
      <c r="AY183" s="8">
        <f t="shared" si="251"/>
        <v>27.308414939237906</v>
      </c>
      <c r="AZ183" s="7">
        <f t="shared" si="252"/>
        <v>1.372973976971319E-2</v>
      </c>
      <c r="BA183" s="9">
        <f t="shared" si="253"/>
        <v>0.20197528901887721</v>
      </c>
      <c r="BB183" s="4">
        <f t="shared" si="308"/>
        <v>987.29631276438556</v>
      </c>
      <c r="BC183" s="6">
        <f t="shared" si="254"/>
        <v>5.4745926255287712E-6</v>
      </c>
      <c r="BD183" s="8">
        <f t="shared" si="255"/>
        <v>27.242907596790431</v>
      </c>
      <c r="BE183" s="7">
        <f t="shared" si="256"/>
        <v>1.3701227630035159E-2</v>
      </c>
      <c r="BF183" s="9">
        <f t="shared" si="257"/>
        <v>0.2024609517322524</v>
      </c>
      <c r="BG183" s="4">
        <f t="shared" si="309"/>
        <v>980.99522295690258</v>
      </c>
      <c r="BH183" s="6">
        <f t="shared" si="258"/>
        <v>5.4619904459138058E-6</v>
      </c>
      <c r="BI183" s="8">
        <f t="shared" si="259"/>
        <v>27.17044506400438</v>
      </c>
      <c r="BJ183" s="7">
        <f t="shared" si="260"/>
        <v>1.3669688236449219E-2</v>
      </c>
      <c r="BK183" s="9">
        <f t="shared" si="261"/>
        <v>0.20300090730965403</v>
      </c>
      <c r="BL183" s="4">
        <f t="shared" si="310"/>
        <v>974.07011170242492</v>
      </c>
      <c r="BM183" s="6">
        <f t="shared" si="262"/>
        <v>5.4481402234048499E-6</v>
      </c>
      <c r="BN183" s="8">
        <f t="shared" si="263"/>
        <v>27.090806284577887</v>
      </c>
      <c r="BO183" s="7">
        <f t="shared" si="264"/>
        <v>1.3635025373967553E-2</v>
      </c>
      <c r="BP183" s="9">
        <f t="shared" si="265"/>
        <v>0.2035976685987344</v>
      </c>
      <c r="BQ183" s="4">
        <f t="shared" si="311"/>
        <v>966.44370658731157</v>
      </c>
      <c r="BR183" s="6">
        <f t="shared" si="266"/>
        <v>5.4328874131746235E-6</v>
      </c>
      <c r="BS183" s="8">
        <f t="shared" si="267"/>
        <v>27.003102625754082</v>
      </c>
      <c r="BT183" s="7">
        <f t="shared" si="268"/>
        <v>1.3596852264248385E-2</v>
      </c>
      <c r="BU183" s="9">
        <f t="shared" si="269"/>
        <v>0.20425893559133085</v>
      </c>
      <c r="BV183" s="4">
        <f t="shared" si="312"/>
        <v>957.8395010403583</v>
      </c>
      <c r="BW183" s="6">
        <f t="shared" si="270"/>
        <v>5.4156790020807175E-6</v>
      </c>
      <c r="BX183" s="8">
        <f t="shared" si="271"/>
        <v>26.90415426196412</v>
      </c>
      <c r="BY183" s="7">
        <f t="shared" si="272"/>
        <v>1.3553784884869441E-2</v>
      </c>
      <c r="BZ183" s="9">
        <f t="shared" si="273"/>
        <v>0.20501016111841663</v>
      </c>
      <c r="CA183" s="4">
        <f t="shared" si="313"/>
        <v>947.39033140517472</v>
      </c>
      <c r="CB183" s="6">
        <f t="shared" si="274"/>
        <v>5.3947806628103504E-6</v>
      </c>
      <c r="CC183" s="8">
        <f t="shared" si="275"/>
        <v>26.78398881115951</v>
      </c>
      <c r="CD183" s="7">
        <f t="shared" si="276"/>
        <v>1.3501482746058637E-2</v>
      </c>
      <c r="CE183" s="9">
        <f t="shared" si="277"/>
        <v>0.20592993220270175</v>
      </c>
      <c r="CF183" s="4">
        <f t="shared" si="314"/>
        <v>932.76093421746998</v>
      </c>
      <c r="CG183" s="6">
        <f t="shared" si="278"/>
        <v>5.3655218684349402E-6</v>
      </c>
      <c r="CH183" s="8">
        <f t="shared" si="279"/>
        <v>26.615750743500904</v>
      </c>
      <c r="CI183" s="7">
        <f t="shared" si="280"/>
        <v>1.3428256950216126E-2</v>
      </c>
      <c r="CJ183" s="9">
        <f t="shared" si="281"/>
        <v>0.20723161458621708</v>
      </c>
      <c r="CK183" s="4">
        <f t="shared" si="315"/>
        <v>908.70203566373834</v>
      </c>
      <c r="CL183" s="6">
        <f t="shared" si="282"/>
        <v>5.3174040713274775E-6</v>
      </c>
      <c r="CM183" s="8">
        <f t="shared" si="283"/>
        <v>26.33907341013299</v>
      </c>
      <c r="CN183" s="7">
        <f t="shared" si="284"/>
        <v>1.3307832849955055E-2</v>
      </c>
      <c r="CO183" s="9">
        <f t="shared" si="285"/>
        <v>0.20940846756887302</v>
      </c>
      <c r="CP183" s="4">
        <f t="shared" si="316"/>
        <v>865.77705658447246</v>
      </c>
      <c r="CQ183" s="6">
        <f t="shared" si="286"/>
        <v>5.2315541131689457E-6</v>
      </c>
      <c r="CR183" s="8">
        <f t="shared" si="287"/>
        <v>25.845436150721433</v>
      </c>
      <c r="CS183" s="7">
        <f t="shared" si="288"/>
        <v>1.3092976713760732E-2</v>
      </c>
      <c r="CT183" s="9">
        <f t="shared" si="289"/>
        <v>0.21340808364907551</v>
      </c>
      <c r="CU183" s="4">
        <f t="shared" si="317"/>
        <v>791.41419870059906</v>
      </c>
      <c r="CV183" s="6">
        <f t="shared" si="290"/>
        <v>5.0828283974011983E-6</v>
      </c>
      <c r="CW183" s="8">
        <f t="shared" si="291"/>
        <v>24.990263285056891</v>
      </c>
      <c r="CX183" s="7">
        <f t="shared" si="292"/>
        <v>1.2720761824807787E-2</v>
      </c>
      <c r="CY183" s="9">
        <f t="shared" si="293"/>
        <v>0.22071095998808896</v>
      </c>
      <c r="CZ183" s="5">
        <f t="shared" si="318"/>
        <v>675.45239754044837</v>
      </c>
      <c r="DA183" s="6">
        <f t="shared" si="294"/>
        <v>4.8509047950808969E-6</v>
      </c>
      <c r="DB183" s="8">
        <f t="shared" si="295"/>
        <v>28.799158573905345</v>
      </c>
      <c r="DC183" s="7">
        <f t="shared" si="296"/>
        <v>1.2140328122151914E-2</v>
      </c>
      <c r="DD183" s="9">
        <f t="shared" si="297"/>
        <v>0.19152035243827081</v>
      </c>
    </row>
    <row r="184" spans="2:108" x14ac:dyDescent="0.25">
      <c r="B184">
        <v>165</v>
      </c>
      <c r="C184">
        <f t="shared" si="298"/>
        <v>0.16130641994696648</v>
      </c>
      <c r="D184" s="4">
        <f t="shared" si="215"/>
        <v>1017.2916429384398</v>
      </c>
      <c r="E184" s="6">
        <f t="shared" si="216"/>
        <v>5.5345832858768804E-6</v>
      </c>
      <c r="F184" s="8">
        <f t="shared" si="217"/>
        <v>27.587853893792058</v>
      </c>
      <c r="G184" s="7">
        <f t="shared" si="213"/>
        <v>1.385136586849928E-2</v>
      </c>
      <c r="H184" s="9">
        <f t="shared" si="218"/>
        <v>0.19992946973092207</v>
      </c>
      <c r="I184" s="4">
        <f t="shared" si="299"/>
        <v>1016.9669904703724</v>
      </c>
      <c r="J184" s="6">
        <f t="shared" si="219"/>
        <v>5.533933980940745E-6</v>
      </c>
      <c r="K184" s="8">
        <f t="shared" si="220"/>
        <v>27.584120390409282</v>
      </c>
      <c r="L184" s="7">
        <f t="shared" si="221"/>
        <v>1.3849740857226329E-2</v>
      </c>
      <c r="M184" s="9">
        <f t="shared" si="222"/>
        <v>0.19995653013165238</v>
      </c>
      <c r="N184" s="4">
        <f t="shared" si="300"/>
        <v>1016.0609071224563</v>
      </c>
      <c r="O184" s="6">
        <f t="shared" si="223"/>
        <v>5.5321218142449125E-6</v>
      </c>
      <c r="P184" s="8">
        <f t="shared" si="224"/>
        <v>27.573700431908247</v>
      </c>
      <c r="Q184" s="7">
        <f t="shared" si="214"/>
        <v>1.385136586849928E-2</v>
      </c>
      <c r="R184" s="9">
        <f t="shared" si="225"/>
        <v>0.20003209266817618</v>
      </c>
      <c r="S184" s="4">
        <f t="shared" si="301"/>
        <v>1014.5592946839406</v>
      </c>
      <c r="T184" s="6">
        <f t="shared" si="226"/>
        <v>5.5291185893678822E-6</v>
      </c>
      <c r="U184" s="8">
        <f t="shared" si="227"/>
        <v>27.556431888865315</v>
      </c>
      <c r="V184" s="7">
        <f t="shared" si="228"/>
        <v>1.3837689407816215E-2</v>
      </c>
      <c r="W184" s="9">
        <f t="shared" si="229"/>
        <v>0.20015744499303953</v>
      </c>
      <c r="X184" s="4">
        <f t="shared" si="302"/>
        <v>1012.4601862848402</v>
      </c>
      <c r="Y184" s="6">
        <f t="shared" si="230"/>
        <v>5.5249203725696805E-6</v>
      </c>
      <c r="Z184" s="8">
        <f t="shared" si="231"/>
        <v>27.532292142275661</v>
      </c>
      <c r="AA184" s="7">
        <f t="shared" si="232"/>
        <v>1.3827182557731302E-2</v>
      </c>
      <c r="AB184" s="9">
        <f t="shared" si="233"/>
        <v>0.20033293891759896</v>
      </c>
      <c r="AC184" s="4">
        <f t="shared" si="303"/>
        <v>1009.7621198285799</v>
      </c>
      <c r="AD184" s="6">
        <f t="shared" si="234"/>
        <v>5.5195242396571601E-6</v>
      </c>
      <c r="AE184" s="8">
        <f t="shared" si="235"/>
        <v>27.501264378028669</v>
      </c>
      <c r="AF184" s="7">
        <f t="shared" si="236"/>
        <v>1.3813677690718623E-2</v>
      </c>
      <c r="AG184" s="9">
        <f t="shared" si="237"/>
        <v>0.20055896064206225</v>
      </c>
      <c r="AH184" s="4">
        <f t="shared" si="304"/>
        <v>1006.4647774832615</v>
      </c>
      <c r="AI184" s="6">
        <f t="shared" si="238"/>
        <v>5.5129295549665235E-6</v>
      </c>
      <c r="AJ184" s="8">
        <f t="shared" si="239"/>
        <v>27.463344941057507</v>
      </c>
      <c r="AK184" s="7">
        <f t="shared" si="240"/>
        <v>1.379717321590649E-2</v>
      </c>
      <c r="AL184" s="9">
        <f t="shared" si="241"/>
        <v>0.20083587821650156</v>
      </c>
      <c r="AM184" s="4">
        <f t="shared" si="305"/>
        <v>1002.5680505901986</v>
      </c>
      <c r="AN184" s="6">
        <f t="shared" si="242"/>
        <v>5.5051361011803981E-6</v>
      </c>
      <c r="AO184" s="8">
        <f t="shared" si="243"/>
        <v>27.418532581787282</v>
      </c>
      <c r="AP184" s="7">
        <f t="shared" si="244"/>
        <v>1.3777668589416123E-2</v>
      </c>
      <c r="AQ184" s="9">
        <f t="shared" si="245"/>
        <v>0.20116412078390167</v>
      </c>
      <c r="AR184" s="4">
        <f t="shared" si="306"/>
        <v>998.07188271562597</v>
      </c>
      <c r="AS184" s="6">
        <f t="shared" si="246"/>
        <v>5.4961437654312525E-6</v>
      </c>
      <c r="AT184" s="8">
        <f t="shared" si="247"/>
        <v>27.366826651229697</v>
      </c>
      <c r="AU184" s="7">
        <f t="shared" si="248"/>
        <v>1.3755163528774676E-2</v>
      </c>
      <c r="AV184" s="9">
        <f t="shared" si="249"/>
        <v>0.20154419327796494</v>
      </c>
      <c r="AW184" s="4">
        <f t="shared" si="307"/>
        <v>992.97609651424614</v>
      </c>
      <c r="AX184" s="6">
        <f t="shared" si="250"/>
        <v>5.4859521930284927E-6</v>
      </c>
      <c r="AY184" s="8">
        <f t="shared" si="251"/>
        <v>27.308225109913828</v>
      </c>
      <c r="AZ184" s="7">
        <f t="shared" si="252"/>
        <v>1.3729657146300289E-2</v>
      </c>
      <c r="BA184" s="9">
        <f t="shared" si="253"/>
        <v>0.20197669302197299</v>
      </c>
      <c r="BB184" s="4">
        <f t="shared" si="308"/>
        <v>987.27977308326297</v>
      </c>
      <c r="BC184" s="6">
        <f t="shared" si="254"/>
        <v>5.4745595461665263E-6</v>
      </c>
      <c r="BD184" s="8">
        <f t="shared" si="255"/>
        <v>27.242717390457521</v>
      </c>
      <c r="BE184" s="7">
        <f t="shared" si="256"/>
        <v>1.3701144842528767E-2</v>
      </c>
      <c r="BF184" s="9">
        <f t="shared" si="257"/>
        <v>0.20246236529737643</v>
      </c>
      <c r="BG184" s="4">
        <f t="shared" si="309"/>
        <v>980.97843614428768</v>
      </c>
      <c r="BH184" s="6">
        <f t="shared" si="258"/>
        <v>5.4619568722885755E-6</v>
      </c>
      <c r="BI184" s="8">
        <f t="shared" si="259"/>
        <v>27.170252015659308</v>
      </c>
      <c r="BJ184" s="7">
        <f t="shared" si="260"/>
        <v>1.3669604211954045E-2</v>
      </c>
      <c r="BK184" s="9">
        <f t="shared" si="261"/>
        <v>0.20300234965877842</v>
      </c>
      <c r="BL184" s="4">
        <f t="shared" si="310"/>
        <v>974.05223723168638</v>
      </c>
      <c r="BM184" s="6">
        <f t="shared" si="262"/>
        <v>5.4481044744633739E-6</v>
      </c>
      <c r="BN184" s="8">
        <f t="shared" si="263"/>
        <v>27.090600728164393</v>
      </c>
      <c r="BO184" s="7">
        <f t="shared" si="264"/>
        <v>1.3634935905322451E-2</v>
      </c>
      <c r="BP184" s="9">
        <f t="shared" si="265"/>
        <v>0.20359921344474846</v>
      </c>
      <c r="BQ184" s="4">
        <f t="shared" si="311"/>
        <v>966.42186267432282</v>
      </c>
      <c r="BR184" s="6">
        <f t="shared" si="266"/>
        <v>5.4328437253486464E-6</v>
      </c>
      <c r="BS184" s="8">
        <f t="shared" si="267"/>
        <v>27.002851420754709</v>
      </c>
      <c r="BT184" s="7">
        <f t="shared" si="268"/>
        <v>1.3596742927008279E-2</v>
      </c>
      <c r="BU184" s="9">
        <f t="shared" si="269"/>
        <v>0.20426083579309057</v>
      </c>
      <c r="BV184" s="4">
        <f t="shared" si="312"/>
        <v>957.80516325778956</v>
      </c>
      <c r="BW184" s="6">
        <f t="shared" si="270"/>
        <v>5.4156103265155795E-6</v>
      </c>
      <c r="BX184" s="8">
        <f t="shared" si="271"/>
        <v>26.903759377464581</v>
      </c>
      <c r="BY184" s="7">
        <f t="shared" si="272"/>
        <v>1.3553613010975811E-2</v>
      </c>
      <c r="BZ184" s="9">
        <f t="shared" si="273"/>
        <v>0.20501317018989018</v>
      </c>
      <c r="CA184" s="4">
        <f t="shared" si="313"/>
        <v>947.32234404564383</v>
      </c>
      <c r="CB184" s="6">
        <f t="shared" si="274"/>
        <v>5.3946446880912876E-6</v>
      </c>
      <c r="CC184" s="8">
        <f t="shared" si="275"/>
        <v>26.783206956524904</v>
      </c>
      <c r="CD184" s="7">
        <f t="shared" si="276"/>
        <v>1.3501142443006839E-2</v>
      </c>
      <c r="CE184" s="9">
        <f t="shared" si="277"/>
        <v>0.20593594370357085</v>
      </c>
      <c r="CF184" s="4">
        <f t="shared" si="314"/>
        <v>932.61730217037064</v>
      </c>
      <c r="CG184" s="6">
        <f t="shared" si="278"/>
        <v>5.3652346043407424E-6</v>
      </c>
      <c r="CH184" s="8">
        <f t="shared" si="279"/>
        <v>26.614098974959262</v>
      </c>
      <c r="CI184" s="7">
        <f t="shared" si="280"/>
        <v>1.3427538016221624E-2</v>
      </c>
      <c r="CJ184" s="9">
        <f t="shared" si="281"/>
        <v>0.20724447613986688</v>
      </c>
      <c r="CK184" s="4">
        <f t="shared" si="315"/>
        <v>908.42225686898848</v>
      </c>
      <c r="CL184" s="6">
        <f t="shared" si="282"/>
        <v>5.316844513737978E-6</v>
      </c>
      <c r="CM184" s="8">
        <f t="shared" si="283"/>
        <v>26.335855953993367</v>
      </c>
      <c r="CN184" s="7">
        <f t="shared" si="284"/>
        <v>1.3306432448787287E-2</v>
      </c>
      <c r="CO184" s="9">
        <f t="shared" si="285"/>
        <v>0.20943405103807355</v>
      </c>
      <c r="CP184" s="4">
        <f t="shared" si="316"/>
        <v>865.31537827716988</v>
      </c>
      <c r="CQ184" s="6">
        <f t="shared" si="286"/>
        <v>5.2306307565543404E-6</v>
      </c>
      <c r="CR184" s="8">
        <f t="shared" si="287"/>
        <v>25.840126850187453</v>
      </c>
      <c r="CS184" s="7">
        <f t="shared" si="288"/>
        <v>1.3090665835120849E-2</v>
      </c>
      <c r="CT184" s="9">
        <f t="shared" si="289"/>
        <v>0.21345193202718307</v>
      </c>
      <c r="CU184" s="4">
        <f t="shared" si="317"/>
        <v>790.80407566371389</v>
      </c>
      <c r="CV184" s="6">
        <f t="shared" si="290"/>
        <v>5.0816081513274284E-6</v>
      </c>
      <c r="CW184" s="8">
        <f t="shared" si="291"/>
        <v>24.98324687013271</v>
      </c>
      <c r="CX184" s="7">
        <f t="shared" si="292"/>
        <v>1.2717707922834619E-2</v>
      </c>
      <c r="CY184" s="9">
        <f t="shared" si="293"/>
        <v>0.22077294551309459</v>
      </c>
      <c r="CZ184" s="5">
        <f t="shared" si="318"/>
        <v>674.84066476901114</v>
      </c>
      <c r="DA184" s="6">
        <f t="shared" si="294"/>
        <v>4.8496813295380225E-6</v>
      </c>
      <c r="DB184" s="8">
        <f t="shared" si="295"/>
        <v>28.921994514409874</v>
      </c>
      <c r="DC184" s="7">
        <f t="shared" si="296"/>
        <v>1.21372661628342E-2</v>
      </c>
      <c r="DD184" s="9">
        <f t="shared" si="297"/>
        <v>0.19070693749187792</v>
      </c>
    </row>
    <row r="185" spans="2:108" x14ac:dyDescent="0.25">
      <c r="B185">
        <v>166</v>
      </c>
      <c r="C185">
        <f t="shared" si="298"/>
        <v>0.16228403461331176</v>
      </c>
      <c r="D185" s="4">
        <f t="shared" si="215"/>
        <v>1017.2750678234557</v>
      </c>
      <c r="E185" s="6">
        <f t="shared" si="216"/>
        <v>5.5345501356469125E-6</v>
      </c>
      <c r="F185" s="8">
        <f t="shared" si="217"/>
        <v>27.587663279969739</v>
      </c>
      <c r="G185" s="7">
        <f t="shared" si="213"/>
        <v>1.3851282903632698E-2</v>
      </c>
      <c r="H185" s="9">
        <f t="shared" si="218"/>
        <v>0.19993085112085832</v>
      </c>
      <c r="I185" s="4">
        <f t="shared" si="299"/>
        <v>1016.9504132717833</v>
      </c>
      <c r="J185" s="6">
        <f t="shared" si="219"/>
        <v>5.5339008265435672E-6</v>
      </c>
      <c r="K185" s="8">
        <f t="shared" si="220"/>
        <v>27.583929752625508</v>
      </c>
      <c r="L185" s="7">
        <f t="shared" si="221"/>
        <v>1.3849657881930499E-2</v>
      </c>
      <c r="M185" s="9">
        <f t="shared" si="222"/>
        <v>0.19995791206925506</v>
      </c>
      <c r="N185" s="4">
        <f t="shared" si="300"/>
        <v>1016.0443228075613</v>
      </c>
      <c r="O185" s="6">
        <f t="shared" si="223"/>
        <v>5.5320886456151231E-6</v>
      </c>
      <c r="P185" s="8">
        <f t="shared" si="224"/>
        <v>27.573509712286956</v>
      </c>
      <c r="Q185" s="7">
        <f t="shared" si="214"/>
        <v>1.3851282903632698E-2</v>
      </c>
      <c r="R185" s="9">
        <f t="shared" si="225"/>
        <v>0.20003347624412854</v>
      </c>
      <c r="S185" s="4">
        <f t="shared" si="301"/>
        <v>1014.542706164527</v>
      </c>
      <c r="T185" s="6">
        <f t="shared" si="226"/>
        <v>5.5290854123290547E-6</v>
      </c>
      <c r="U185" s="8">
        <f t="shared" si="227"/>
        <v>27.556241120892061</v>
      </c>
      <c r="V185" s="7">
        <f t="shared" si="228"/>
        <v>1.3837606375855271E-2</v>
      </c>
      <c r="W185" s="9">
        <f t="shared" si="229"/>
        <v>0.20015883065481924</v>
      </c>
      <c r="X185" s="4">
        <f t="shared" si="302"/>
        <v>1012.4436004618391</v>
      </c>
      <c r="Y185" s="6">
        <f t="shared" si="230"/>
        <v>5.524887200923678E-6</v>
      </c>
      <c r="Z185" s="8">
        <f t="shared" si="231"/>
        <v>27.532101405311149</v>
      </c>
      <c r="AA185" s="7">
        <f t="shared" si="232"/>
        <v>1.3827099539266948E-2</v>
      </c>
      <c r="AB185" s="9">
        <f t="shared" si="233"/>
        <v>0.20033432678465998</v>
      </c>
      <c r="AC185" s="4">
        <f t="shared" si="303"/>
        <v>1009.7455436697826</v>
      </c>
      <c r="AD185" s="6">
        <f t="shared" si="234"/>
        <v>5.519491087339566E-6</v>
      </c>
      <c r="AE185" s="8">
        <f t="shared" si="235"/>
        <v>27.501073752202501</v>
      </c>
      <c r="AF185" s="7">
        <f t="shared" si="236"/>
        <v>1.381359472062735E-2</v>
      </c>
      <c r="AG185" s="9">
        <f t="shared" si="237"/>
        <v>0.20056035083205673</v>
      </c>
      <c r="AH185" s="4">
        <f t="shared" si="304"/>
        <v>1006.4482164982995</v>
      </c>
      <c r="AI185" s="6">
        <f t="shared" si="238"/>
        <v>5.5128964329965994E-6</v>
      </c>
      <c r="AJ185" s="8">
        <f t="shared" si="239"/>
        <v>27.463154489730442</v>
      </c>
      <c r="AK185" s="7">
        <f t="shared" si="240"/>
        <v>1.3797090321766138E-2</v>
      </c>
      <c r="AL185" s="9">
        <f t="shared" si="241"/>
        <v>0.20083727097200396</v>
      </c>
      <c r="AM185" s="4">
        <f t="shared" si="305"/>
        <v>1002.5515087968934</v>
      </c>
      <c r="AN185" s="6">
        <f t="shared" si="242"/>
        <v>5.5051030175937873E-6</v>
      </c>
      <c r="AO185" s="8">
        <f t="shared" si="243"/>
        <v>27.418342351164274</v>
      </c>
      <c r="AP185" s="7">
        <f t="shared" si="244"/>
        <v>1.3777585791337438E-2</v>
      </c>
      <c r="AQ185" s="9">
        <f t="shared" si="245"/>
        <v>0.20116551647644695</v>
      </c>
      <c r="AR185" s="4">
        <f t="shared" si="306"/>
        <v>998.05536179954959</v>
      </c>
      <c r="AS185" s="6">
        <f t="shared" si="246"/>
        <v>5.4961107235991003E-6</v>
      </c>
      <c r="AT185" s="8">
        <f t="shared" si="247"/>
        <v>27.366636660694819</v>
      </c>
      <c r="AU185" s="7">
        <f t="shared" si="248"/>
        <v>1.3755080835194604E-2</v>
      </c>
      <c r="AV185" s="9">
        <f t="shared" si="249"/>
        <v>0.20154559248129258</v>
      </c>
      <c r="AW185" s="4">
        <f t="shared" si="307"/>
        <v>992.95958905719863</v>
      </c>
      <c r="AX185" s="6">
        <f t="shared" si="250"/>
        <v>5.4859191781143979E-6</v>
      </c>
      <c r="AY185" s="8">
        <f t="shared" si="251"/>
        <v>27.308035274157781</v>
      </c>
      <c r="AZ185" s="7">
        <f t="shared" si="252"/>
        <v>1.3729574520087866E-2</v>
      </c>
      <c r="BA185" s="9">
        <f t="shared" si="253"/>
        <v>0.20197809709216108</v>
      </c>
      <c r="BB185" s="4">
        <f t="shared" si="308"/>
        <v>987.26323036661358</v>
      </c>
      <c r="BC185" s="6">
        <f t="shared" si="254"/>
        <v>5.4745264607332278E-6</v>
      </c>
      <c r="BD185" s="8">
        <f t="shared" si="255"/>
        <v>27.242527149216055</v>
      </c>
      <c r="BE185" s="7">
        <f t="shared" si="256"/>
        <v>1.3701062039828389E-2</v>
      </c>
      <c r="BF185" s="9">
        <f t="shared" si="257"/>
        <v>0.20246377914167629</v>
      </c>
      <c r="BG185" s="4">
        <f t="shared" si="309"/>
        <v>980.96163708574181</v>
      </c>
      <c r="BH185" s="6">
        <f t="shared" si="258"/>
        <v>5.4619232741714849E-6</v>
      </c>
      <c r="BI185" s="8">
        <f t="shared" si="259"/>
        <v>27.170058826486031</v>
      </c>
      <c r="BJ185" s="7">
        <f t="shared" si="260"/>
        <v>1.3669520126163251E-2</v>
      </c>
      <c r="BK185" s="9">
        <f t="shared" si="261"/>
        <v>0.20300379308061103</v>
      </c>
      <c r="BL185" s="4">
        <f t="shared" si="310"/>
        <v>974.03432059795398</v>
      </c>
      <c r="BM185" s="6">
        <f t="shared" si="262"/>
        <v>5.4480686411959082E-6</v>
      </c>
      <c r="BN185" s="8">
        <f t="shared" si="263"/>
        <v>27.090394686876472</v>
      </c>
      <c r="BO185" s="7">
        <f t="shared" si="264"/>
        <v>1.3634846225635239E-2</v>
      </c>
      <c r="BP185" s="9">
        <f t="shared" si="265"/>
        <v>0.20360076195833204</v>
      </c>
      <c r="BQ185" s="4">
        <f t="shared" si="311"/>
        <v>966.39989404210678</v>
      </c>
      <c r="BR185" s="6">
        <f t="shared" si="266"/>
        <v>5.4327997880842141E-6</v>
      </c>
      <c r="BS185" s="8">
        <f t="shared" si="267"/>
        <v>27.002598781484227</v>
      </c>
      <c r="BT185" s="7">
        <f t="shared" si="268"/>
        <v>1.3596632965500165E-2</v>
      </c>
      <c r="BU185" s="9">
        <f t="shared" si="269"/>
        <v>0.20426274687983301</v>
      </c>
      <c r="BV185" s="4">
        <f t="shared" si="312"/>
        <v>957.77051569955142</v>
      </c>
      <c r="BW185" s="6">
        <f t="shared" si="270"/>
        <v>5.4155410313991028E-6</v>
      </c>
      <c r="BX185" s="8">
        <f t="shared" si="271"/>
        <v>26.903360930544842</v>
      </c>
      <c r="BY185" s="7">
        <f t="shared" si="272"/>
        <v>1.3553439586535047E-2</v>
      </c>
      <c r="BZ185" s="9">
        <f t="shared" si="273"/>
        <v>0.20501620649700358</v>
      </c>
      <c r="CA185" s="4">
        <f t="shared" si="313"/>
        <v>947.25373900073953</v>
      </c>
      <c r="CB185" s="6">
        <f t="shared" si="274"/>
        <v>5.3945074780014798E-6</v>
      </c>
      <c r="CC185" s="8">
        <f t="shared" si="275"/>
        <v>26.782417998508503</v>
      </c>
      <c r="CD185" s="7">
        <f t="shared" si="276"/>
        <v>1.3500799048200654E-2</v>
      </c>
      <c r="CE185" s="9">
        <f t="shared" si="277"/>
        <v>0.20594201017649572</v>
      </c>
      <c r="CF185" s="4">
        <f t="shared" si="314"/>
        <v>932.47276759552517</v>
      </c>
      <c r="CG185" s="6">
        <f t="shared" si="278"/>
        <v>5.3649455351910514E-6</v>
      </c>
      <c r="CH185" s="8">
        <f t="shared" si="279"/>
        <v>26.612436827348539</v>
      </c>
      <c r="CI185" s="7">
        <f t="shared" si="280"/>
        <v>1.3426814564726389E-2</v>
      </c>
      <c r="CJ185" s="9">
        <f t="shared" si="281"/>
        <v>0.20725742012215179</v>
      </c>
      <c r="CK185" s="4">
        <f t="shared" si="315"/>
        <v>908.14175323584925</v>
      </c>
      <c r="CL185" s="6">
        <f t="shared" si="282"/>
        <v>5.3162835064716986E-6</v>
      </c>
      <c r="CM185" s="8">
        <f t="shared" si="283"/>
        <v>26.332630162212265</v>
      </c>
      <c r="CN185" s="7">
        <f t="shared" si="284"/>
        <v>1.3305028419522797E-2</v>
      </c>
      <c r="CO185" s="9">
        <f t="shared" si="285"/>
        <v>0.20945970706393804</v>
      </c>
      <c r="CP185" s="4">
        <f t="shared" si="316"/>
        <v>864.85407171074132</v>
      </c>
      <c r="CQ185" s="6">
        <f t="shared" si="286"/>
        <v>5.2297081434214824E-6</v>
      </c>
      <c r="CR185" s="8">
        <f t="shared" si="287"/>
        <v>25.834821824673526</v>
      </c>
      <c r="CS185" s="7">
        <f t="shared" si="288"/>
        <v>1.3088356817187934E-2</v>
      </c>
      <c r="CT185" s="9">
        <f t="shared" si="289"/>
        <v>0.21349576309956614</v>
      </c>
      <c r="CU185" s="4">
        <f t="shared" si="317"/>
        <v>790.19593038983453</v>
      </c>
      <c r="CV185" s="6">
        <f t="shared" si="290"/>
        <v>5.0803918607796695E-6</v>
      </c>
      <c r="CW185" s="8">
        <f t="shared" si="291"/>
        <v>24.976253199483097</v>
      </c>
      <c r="CX185" s="7">
        <f t="shared" si="292"/>
        <v>1.2714663920330875E-2</v>
      </c>
      <c r="CY185" s="9">
        <f t="shared" si="293"/>
        <v>0.22083476476424216</v>
      </c>
      <c r="CZ185" s="5">
        <f t="shared" si="318"/>
        <v>674.23147180173828</v>
      </c>
      <c r="DA185" s="6">
        <f t="shared" si="294"/>
        <v>4.8484629436034773E-6</v>
      </c>
      <c r="DB185" s="8">
        <f t="shared" si="295"/>
        <v>29.044320462238232</v>
      </c>
      <c r="DC185" s="7">
        <f t="shared" si="296"/>
        <v>1.2134216916219466E-2</v>
      </c>
      <c r="DD185" s="9">
        <f t="shared" si="297"/>
        <v>0.18990373719265013</v>
      </c>
    </row>
    <row r="186" spans="2:108" x14ac:dyDescent="0.25">
      <c r="B186">
        <v>167</v>
      </c>
      <c r="C186">
        <f t="shared" si="298"/>
        <v>0.163261649279657</v>
      </c>
      <c r="D186" s="4">
        <f t="shared" si="215"/>
        <v>1017.2584926020933</v>
      </c>
      <c r="E186" s="6">
        <f t="shared" si="216"/>
        <v>5.5345169852041868E-6</v>
      </c>
      <c r="F186" s="8">
        <f t="shared" si="217"/>
        <v>27.587472664924071</v>
      </c>
      <c r="G186" s="7">
        <f t="shared" si="213"/>
        <v>1.3851199938233645E-2</v>
      </c>
      <c r="H186" s="9">
        <f t="shared" si="218"/>
        <v>0.1999322325387497</v>
      </c>
      <c r="I186" s="4">
        <f t="shared" si="299"/>
        <v>1016.9338360390633</v>
      </c>
      <c r="J186" s="6">
        <f t="shared" si="219"/>
        <v>5.533867672078127E-6</v>
      </c>
      <c r="K186" s="8">
        <f t="shared" si="220"/>
        <v>27.583739114449227</v>
      </c>
      <c r="L186" s="7">
        <f t="shared" si="221"/>
        <v>1.3849574906463824E-2</v>
      </c>
      <c r="M186" s="9">
        <f t="shared" si="222"/>
        <v>0.19995929402880491</v>
      </c>
      <c r="N186" s="4">
        <f t="shared" si="300"/>
        <v>1016.0277385931554</v>
      </c>
      <c r="O186" s="6">
        <f t="shared" si="223"/>
        <v>5.5320554771863109E-6</v>
      </c>
      <c r="P186" s="8">
        <f t="shared" si="224"/>
        <v>27.573318993821285</v>
      </c>
      <c r="Q186" s="7">
        <f t="shared" si="214"/>
        <v>1.3851199938233645E-2</v>
      </c>
      <c r="R186" s="9">
        <f t="shared" si="225"/>
        <v>0.20003485983083713</v>
      </c>
      <c r="S186" s="4">
        <f t="shared" si="301"/>
        <v>1014.5261178365787</v>
      </c>
      <c r="T186" s="6">
        <f t="shared" si="226"/>
        <v>5.529052235673158E-6</v>
      </c>
      <c r="U186" s="8">
        <f t="shared" si="227"/>
        <v>27.556050355120654</v>
      </c>
      <c r="V186" s="7">
        <f t="shared" si="228"/>
        <v>1.3837523344852685E-2</v>
      </c>
      <c r="W186" s="9">
        <f t="shared" si="229"/>
        <v>0.20016021631979086</v>
      </c>
      <c r="X186" s="4">
        <f t="shared" si="302"/>
        <v>1012.4270148561562</v>
      </c>
      <c r="Y186" s="6">
        <f t="shared" si="230"/>
        <v>5.5248540297123134E-6</v>
      </c>
      <c r="Z186" s="8">
        <f t="shared" si="231"/>
        <v>27.531910670845797</v>
      </c>
      <c r="AA186" s="7">
        <f t="shared" si="232"/>
        <v>1.3827016521890358E-2</v>
      </c>
      <c r="AB186" s="9">
        <f t="shared" si="233"/>
        <v>0.20033571465276576</v>
      </c>
      <c r="AC186" s="4">
        <f t="shared" si="303"/>
        <v>1009.7289677210333</v>
      </c>
      <c r="AD186" s="6">
        <f t="shared" si="234"/>
        <v>5.5194579354420663E-6</v>
      </c>
      <c r="AE186" s="8">
        <f t="shared" si="235"/>
        <v>27.500883128791884</v>
      </c>
      <c r="AF186" s="7">
        <f t="shared" si="236"/>
        <v>1.3813511751587446E-2</v>
      </c>
      <c r="AG186" s="9">
        <f t="shared" si="237"/>
        <v>0.20056174102370733</v>
      </c>
      <c r="AH186" s="4">
        <f t="shared" si="304"/>
        <v>1006.4316557078675</v>
      </c>
      <c r="AI186" s="6">
        <f t="shared" si="238"/>
        <v>5.5128633114157362E-6</v>
      </c>
      <c r="AJ186" s="8">
        <f t="shared" si="239"/>
        <v>27.462964040640475</v>
      </c>
      <c r="AK186" s="7">
        <f t="shared" si="240"/>
        <v>1.3797007428599482E-2</v>
      </c>
      <c r="AL186" s="9">
        <f t="shared" si="241"/>
        <v>0.20083866373046336</v>
      </c>
      <c r="AM186" s="4">
        <f t="shared" si="305"/>
        <v>1002.5349671657153</v>
      </c>
      <c r="AN186" s="6">
        <f t="shared" si="242"/>
        <v>5.5050699343314317E-6</v>
      </c>
      <c r="AO186" s="8">
        <f t="shared" si="243"/>
        <v>27.418152122405726</v>
      </c>
      <c r="AP186" s="7">
        <f t="shared" si="244"/>
        <v>1.3777502994070266E-2</v>
      </c>
      <c r="AQ186" s="9">
        <f t="shared" si="245"/>
        <v>0.20116691217467969</v>
      </c>
      <c r="AR186" s="4">
        <f t="shared" si="306"/>
        <v>998.03884091011912</v>
      </c>
      <c r="AS186" s="6">
        <f t="shared" si="246"/>
        <v>5.4960776818202384E-6</v>
      </c>
      <c r="AT186" s="8">
        <f t="shared" si="247"/>
        <v>27.366446670466367</v>
      </c>
      <c r="AU186" s="7">
        <f t="shared" si="248"/>
        <v>1.3754998141747904E-2</v>
      </c>
      <c r="AV186" s="9">
        <f t="shared" si="249"/>
        <v>0.20154699170179133</v>
      </c>
      <c r="AW186" s="4">
        <f t="shared" si="307"/>
        <v>992.94308101260754</v>
      </c>
      <c r="AX186" s="6">
        <f t="shared" si="250"/>
        <v>5.485886162025216E-6</v>
      </c>
      <c r="AY186" s="8">
        <f t="shared" si="251"/>
        <v>27.307845431644985</v>
      </c>
      <c r="AZ186" s="7">
        <f t="shared" si="252"/>
        <v>1.3729491890934562E-2</v>
      </c>
      <c r="BA186" s="9">
        <f t="shared" si="253"/>
        <v>0.20197950123184605</v>
      </c>
      <c r="BB186" s="4">
        <f t="shared" si="308"/>
        <v>987.24668451399918</v>
      </c>
      <c r="BC186" s="6">
        <f t="shared" si="254"/>
        <v>5.4744933690279985E-6</v>
      </c>
      <c r="BD186" s="8">
        <f t="shared" si="255"/>
        <v>27.24233687191099</v>
      </c>
      <c r="BE186" s="7">
        <f t="shared" si="256"/>
        <v>1.3700979221431292E-2</v>
      </c>
      <c r="BF186" s="9">
        <f t="shared" si="257"/>
        <v>0.20246519327374762</v>
      </c>
      <c r="BG186" s="4">
        <f t="shared" si="309"/>
        <v>980.94482547336452</v>
      </c>
      <c r="BH186" s="6">
        <f t="shared" si="258"/>
        <v>5.4618896509467293E-6</v>
      </c>
      <c r="BI186" s="8">
        <f t="shared" si="259"/>
        <v>27.169865492943693</v>
      </c>
      <c r="BJ186" s="7">
        <f t="shared" si="260"/>
        <v>1.3669435977535662E-2</v>
      </c>
      <c r="BK186" s="9">
        <f t="shared" si="261"/>
        <v>0.20300523760165348</v>
      </c>
      <c r="BL186" s="4">
        <f t="shared" si="310"/>
        <v>974.01636101822226</v>
      </c>
      <c r="BM186" s="6">
        <f t="shared" si="262"/>
        <v>5.4480327220364454E-6</v>
      </c>
      <c r="BN186" s="8">
        <f t="shared" si="263"/>
        <v>27.090188151709555</v>
      </c>
      <c r="BO186" s="7">
        <f t="shared" si="264"/>
        <v>1.3634756330986679E-2</v>
      </c>
      <c r="BP186" s="9">
        <f t="shared" si="265"/>
        <v>0.20360231420732788</v>
      </c>
      <c r="BQ186" s="4">
        <f t="shared" si="311"/>
        <v>966.37779915474914</v>
      </c>
      <c r="BR186" s="6">
        <f t="shared" si="266"/>
        <v>5.432755598309499E-6</v>
      </c>
      <c r="BS186" s="8">
        <f t="shared" si="267"/>
        <v>27.002344690279614</v>
      </c>
      <c r="BT186" s="7">
        <f t="shared" si="268"/>
        <v>1.3596522372036192E-2</v>
      </c>
      <c r="BU186" s="9">
        <f t="shared" si="269"/>
        <v>0.20426466898578372</v>
      </c>
      <c r="BV186" s="4">
        <f t="shared" si="312"/>
        <v>957.73555646252714</v>
      </c>
      <c r="BW186" s="6">
        <f t="shared" si="270"/>
        <v>5.4154711129250552E-6</v>
      </c>
      <c r="BX186" s="8">
        <f t="shared" si="271"/>
        <v>26.90295889931906</v>
      </c>
      <c r="BY186" s="7">
        <f t="shared" si="272"/>
        <v>1.3553264602021312E-2</v>
      </c>
      <c r="BZ186" s="9">
        <f t="shared" si="273"/>
        <v>0.20501927020895852</v>
      </c>
      <c r="CA186" s="4">
        <f t="shared" si="313"/>
        <v>947.18451633910615</v>
      </c>
      <c r="CB186" s="6">
        <f t="shared" si="274"/>
        <v>5.3943690326782132E-6</v>
      </c>
      <c r="CC186" s="8">
        <f t="shared" si="275"/>
        <v>26.781621937899722</v>
      </c>
      <c r="CD186" s="7">
        <f t="shared" si="276"/>
        <v>1.3500452561983662E-2</v>
      </c>
      <c r="CE186" s="9">
        <f t="shared" si="277"/>
        <v>0.20594813162509112</v>
      </c>
      <c r="CF186" s="4">
        <f t="shared" si="314"/>
        <v>932.32733677151532</v>
      </c>
      <c r="CG186" s="6">
        <f t="shared" si="278"/>
        <v>5.364654673543031E-6</v>
      </c>
      <c r="CH186" s="8">
        <f t="shared" si="279"/>
        <v>26.610764372872424</v>
      </c>
      <c r="CI186" s="7">
        <f t="shared" si="280"/>
        <v>1.3426086627157156E-2</v>
      </c>
      <c r="CJ186" s="9">
        <f t="shared" si="281"/>
        <v>0.20727044600127101</v>
      </c>
      <c r="CK186" s="4">
        <f t="shared" si="315"/>
        <v>907.86053777830739</v>
      </c>
      <c r="CL186" s="6">
        <f t="shared" si="282"/>
        <v>5.3157210755566151E-6</v>
      </c>
      <c r="CM186" s="8">
        <f t="shared" si="283"/>
        <v>26.329396184450534</v>
      </c>
      <c r="CN186" s="7">
        <f t="shared" si="284"/>
        <v>1.3303620827301636E-2</v>
      </c>
      <c r="CO186" s="9">
        <f t="shared" si="285"/>
        <v>0.20948543450675056</v>
      </c>
      <c r="CP186" s="4">
        <f t="shared" si="316"/>
        <v>864.39314471662578</v>
      </c>
      <c r="CQ186" s="6">
        <f t="shared" si="286"/>
        <v>5.2287862894332526E-6</v>
      </c>
      <c r="CR186" s="8">
        <f t="shared" si="287"/>
        <v>25.829521164241196</v>
      </c>
      <c r="CS186" s="7">
        <f t="shared" si="288"/>
        <v>1.308604969916138E-2</v>
      </c>
      <c r="CT186" s="9">
        <f t="shared" si="289"/>
        <v>0.21353957608923543</v>
      </c>
      <c r="CU186" s="4">
        <f t="shared" si="317"/>
        <v>789.58974921612901</v>
      </c>
      <c r="CV186" s="6">
        <f t="shared" si="290"/>
        <v>5.0791794984322582E-6</v>
      </c>
      <c r="CW186" s="8">
        <f t="shared" si="291"/>
        <v>24.969282115985482</v>
      </c>
      <c r="CX186" s="7">
        <f t="shared" si="292"/>
        <v>1.2711629748908784E-2</v>
      </c>
      <c r="CY186" s="9">
        <f t="shared" si="293"/>
        <v>0.22089641882290498</v>
      </c>
      <c r="CZ186" s="5">
        <f t="shared" si="318"/>
        <v>673.62479336101967</v>
      </c>
      <c r="DA186" s="6">
        <f t="shared" si="294"/>
        <v>4.8472495867220397E-6</v>
      </c>
      <c r="DB186" s="8">
        <f t="shared" si="295"/>
        <v>29.166141493134489</v>
      </c>
      <c r="DC186" s="7">
        <f t="shared" si="296"/>
        <v>1.2131180255783486E-2</v>
      </c>
      <c r="DD186" s="9">
        <f t="shared" si="297"/>
        <v>0.1891105479721526</v>
      </c>
    </row>
    <row r="187" spans="2:108" x14ac:dyDescent="0.25">
      <c r="B187">
        <v>168</v>
      </c>
      <c r="C187">
        <f t="shared" si="298"/>
        <v>0.16423926394600225</v>
      </c>
      <c r="D187" s="4">
        <f t="shared" si="215"/>
        <v>1017.2419172780411</v>
      </c>
      <c r="E187" s="6">
        <f t="shared" si="216"/>
        <v>5.5344838345560819E-6</v>
      </c>
      <c r="F187" s="8">
        <f t="shared" si="217"/>
        <v>27.587282048697475</v>
      </c>
      <c r="G187" s="7">
        <f t="shared" si="213"/>
        <v>1.3851116972320592E-2</v>
      </c>
      <c r="H187" s="9">
        <f t="shared" si="218"/>
        <v>0.19993361398428949</v>
      </c>
      <c r="I187" s="4">
        <f t="shared" si="299"/>
        <v>1016.9172587745111</v>
      </c>
      <c r="J187" s="6">
        <f t="shared" si="219"/>
        <v>5.5338345175490231E-6</v>
      </c>
      <c r="K187" s="8">
        <f t="shared" si="220"/>
        <v>27.583548475906877</v>
      </c>
      <c r="L187" s="7">
        <f t="shared" si="221"/>
        <v>1.384949193083782E-2</v>
      </c>
      <c r="M187" s="9">
        <f t="shared" si="222"/>
        <v>0.19996067601011078</v>
      </c>
      <c r="N187" s="4">
        <f t="shared" si="300"/>
        <v>1016.0111544794154</v>
      </c>
      <c r="O187" s="6">
        <f t="shared" si="223"/>
        <v>5.5320223089588309E-6</v>
      </c>
      <c r="P187" s="8">
        <f t="shared" si="224"/>
        <v>27.573128276513277</v>
      </c>
      <c r="Q187" s="7">
        <f t="shared" si="214"/>
        <v>1.3851116972320592E-2</v>
      </c>
      <c r="R187" s="9">
        <f t="shared" si="225"/>
        <v>0.20003624342828724</v>
      </c>
      <c r="S187" s="4">
        <f t="shared" si="301"/>
        <v>1014.509529699463</v>
      </c>
      <c r="T187" s="6">
        <f t="shared" si="226"/>
        <v>5.529019059398926E-6</v>
      </c>
      <c r="U187" s="8">
        <f t="shared" si="227"/>
        <v>27.555859591543822</v>
      </c>
      <c r="V187" s="7">
        <f t="shared" si="228"/>
        <v>1.3837440314805291E-2</v>
      </c>
      <c r="W187" s="9">
        <f t="shared" si="229"/>
        <v>0.200161601988007</v>
      </c>
      <c r="X187" s="4">
        <f t="shared" si="302"/>
        <v>1012.4104294673631</v>
      </c>
      <c r="Y187" s="6">
        <f t="shared" si="230"/>
        <v>5.5248208589347264E-6</v>
      </c>
      <c r="Z187" s="8">
        <f t="shared" si="231"/>
        <v>27.531719938874673</v>
      </c>
      <c r="AA187" s="7">
        <f t="shared" si="232"/>
        <v>1.382693350559938E-2</v>
      </c>
      <c r="AB187" s="9">
        <f t="shared" si="233"/>
        <v>0.2003371025219518</v>
      </c>
      <c r="AC187" s="4">
        <f t="shared" si="303"/>
        <v>1009.7123919821838</v>
      </c>
      <c r="AD187" s="6">
        <f t="shared" si="234"/>
        <v>5.519424783964368E-6</v>
      </c>
      <c r="AE187" s="8">
        <f t="shared" si="235"/>
        <v>27.500692507795115</v>
      </c>
      <c r="AF187" s="7">
        <f t="shared" si="236"/>
        <v>1.3813428783598175E-2</v>
      </c>
      <c r="AG187" s="9">
        <f t="shared" si="237"/>
        <v>0.20056313121702615</v>
      </c>
      <c r="AH187" s="4">
        <f t="shared" si="304"/>
        <v>1006.4150951116749</v>
      </c>
      <c r="AI187" s="6">
        <f t="shared" si="238"/>
        <v>5.5128301902233503E-6</v>
      </c>
      <c r="AJ187" s="8">
        <f t="shared" si="239"/>
        <v>27.462773593784259</v>
      </c>
      <c r="AK187" s="7">
        <f t="shared" si="240"/>
        <v>1.3796924536405067E-2</v>
      </c>
      <c r="AL187" s="9">
        <f t="shared" si="241"/>
        <v>0.20084005649190401</v>
      </c>
      <c r="AM187" s="4">
        <f t="shared" si="305"/>
        <v>1002.5184256950749</v>
      </c>
      <c r="AN187" s="6">
        <f t="shared" si="242"/>
        <v>5.5050368513901508E-6</v>
      </c>
      <c r="AO187" s="8">
        <f t="shared" si="243"/>
        <v>27.417961895493363</v>
      </c>
      <c r="AP187" s="7">
        <f t="shared" si="244"/>
        <v>1.3777420197606645E-2</v>
      </c>
      <c r="AQ187" s="9">
        <f t="shared" si="245"/>
        <v>0.20116830787873377</v>
      </c>
      <c r="AR187" s="4">
        <f t="shared" si="306"/>
        <v>998.02232004009363</v>
      </c>
      <c r="AS187" s="6">
        <f t="shared" si="246"/>
        <v>5.4960446400801875E-6</v>
      </c>
      <c r="AT187" s="8">
        <f t="shared" si="247"/>
        <v>27.366256680461078</v>
      </c>
      <c r="AU187" s="7">
        <f t="shared" si="248"/>
        <v>1.3754915448398335E-2</v>
      </c>
      <c r="AV187" s="9">
        <f t="shared" si="249"/>
        <v>0.20154839094007471</v>
      </c>
      <c r="AW187" s="4">
        <f t="shared" si="307"/>
        <v>992.92657235145896</v>
      </c>
      <c r="AX187" s="6">
        <f t="shared" si="250"/>
        <v>5.4858531447029176E-6</v>
      </c>
      <c r="AY187" s="8">
        <f t="shared" si="251"/>
        <v>27.307655582041775</v>
      </c>
      <c r="AZ187" s="7">
        <f t="shared" si="252"/>
        <v>1.3729409258695145E-2</v>
      </c>
      <c r="BA187" s="9">
        <f t="shared" si="253"/>
        <v>0.20198090544349837</v>
      </c>
      <c r="BB187" s="4">
        <f t="shared" si="308"/>
        <v>987.2301354229345</v>
      </c>
      <c r="BC187" s="6">
        <f t="shared" si="254"/>
        <v>5.4744602708458699E-6</v>
      </c>
      <c r="BD187" s="8">
        <f t="shared" si="255"/>
        <v>27.242146557363746</v>
      </c>
      <c r="BE187" s="7">
        <f t="shared" si="256"/>
        <v>1.3700896386824498E-2</v>
      </c>
      <c r="BF187" s="9">
        <f t="shared" si="257"/>
        <v>0.20246660770236138</v>
      </c>
      <c r="BG187" s="4">
        <f t="shared" si="309"/>
        <v>980.92800099516944</v>
      </c>
      <c r="BH187" s="6">
        <f t="shared" si="258"/>
        <v>5.4618560019903392E-6</v>
      </c>
      <c r="BI187" s="8">
        <f t="shared" si="259"/>
        <v>27.169672011444447</v>
      </c>
      <c r="BJ187" s="7">
        <f t="shared" si="260"/>
        <v>1.3669351764509683E-2</v>
      </c>
      <c r="BK187" s="9">
        <f t="shared" si="261"/>
        <v>0.20300668324875989</v>
      </c>
      <c r="BL187" s="4">
        <f t="shared" si="310"/>
        <v>973.99835770500601</v>
      </c>
      <c r="BM187" s="6">
        <f t="shared" si="262"/>
        <v>5.4479967154100125E-6</v>
      </c>
      <c r="BN187" s="8">
        <f t="shared" si="263"/>
        <v>27.089981113607568</v>
      </c>
      <c r="BO187" s="7">
        <f t="shared" si="264"/>
        <v>1.3634666217435096E-2</v>
      </c>
      <c r="BP187" s="9">
        <f t="shared" si="265"/>
        <v>0.20360387025997026</v>
      </c>
      <c r="BQ187" s="4">
        <f t="shared" si="311"/>
        <v>966.35557648104998</v>
      </c>
      <c r="BR187" s="6">
        <f t="shared" si="266"/>
        <v>5.4327111529621001E-6</v>
      </c>
      <c r="BS187" s="8">
        <f t="shared" si="267"/>
        <v>27.002089129532074</v>
      </c>
      <c r="BT187" s="7">
        <f t="shared" si="268"/>
        <v>1.3596411138952115E-2</v>
      </c>
      <c r="BU187" s="9">
        <f t="shared" si="269"/>
        <v>0.20426660224477164</v>
      </c>
      <c r="BV187" s="4">
        <f t="shared" si="312"/>
        <v>957.70028367629061</v>
      </c>
      <c r="BW187" s="6">
        <f t="shared" si="270"/>
        <v>5.4154005673525816E-6</v>
      </c>
      <c r="BX187" s="8">
        <f t="shared" si="271"/>
        <v>26.90255326227734</v>
      </c>
      <c r="BY187" s="7">
        <f t="shared" si="272"/>
        <v>1.3553088048072395E-2</v>
      </c>
      <c r="BZ187" s="9">
        <f t="shared" si="273"/>
        <v>0.20502236149213349</v>
      </c>
      <c r="CA187" s="4">
        <f t="shared" si="313"/>
        <v>947.11467619078485</v>
      </c>
      <c r="CB187" s="6">
        <f t="shared" si="274"/>
        <v>5.3942293523815703E-6</v>
      </c>
      <c r="CC187" s="8">
        <f t="shared" si="275"/>
        <v>26.780818776194025</v>
      </c>
      <c r="CD187" s="7">
        <f t="shared" si="276"/>
        <v>1.3500102985006772E-2</v>
      </c>
      <c r="CE187" s="9">
        <f t="shared" si="277"/>
        <v>0.20595430804762935</v>
      </c>
      <c r="CF187" s="4">
        <f t="shared" si="314"/>
        <v>932.18101598961175</v>
      </c>
      <c r="CG187" s="6">
        <f t="shared" si="278"/>
        <v>5.3643620319792241E-6</v>
      </c>
      <c r="CH187" s="8">
        <f t="shared" si="279"/>
        <v>26.609081683880532</v>
      </c>
      <c r="CI187" s="7">
        <f t="shared" si="280"/>
        <v>1.3425354235004169E-2</v>
      </c>
      <c r="CJ187" s="9">
        <f t="shared" si="281"/>
        <v>0.20728355324420311</v>
      </c>
      <c r="CK187" s="4">
        <f t="shared" si="315"/>
        <v>907.57862334893889</v>
      </c>
      <c r="CL187" s="6">
        <f t="shared" si="282"/>
        <v>5.3151572466978786E-6</v>
      </c>
      <c r="CM187" s="8">
        <f t="shared" si="283"/>
        <v>26.326154168512794</v>
      </c>
      <c r="CN187" s="7">
        <f t="shared" si="284"/>
        <v>1.3302209736455914E-2</v>
      </c>
      <c r="CO187" s="9">
        <f t="shared" si="285"/>
        <v>0.20951123224055732</v>
      </c>
      <c r="CP187" s="4">
        <f t="shared" si="316"/>
        <v>863.93260489446175</v>
      </c>
      <c r="CQ187" s="6">
        <f t="shared" si="286"/>
        <v>5.2278652097889238E-6</v>
      </c>
      <c r="CR187" s="8">
        <f t="shared" si="287"/>
        <v>25.824224956286308</v>
      </c>
      <c r="CS187" s="7">
        <f t="shared" si="288"/>
        <v>1.3083744519080311E-2</v>
      </c>
      <c r="CT187" s="9">
        <f t="shared" si="289"/>
        <v>0.21358337024001756</v>
      </c>
      <c r="CU187" s="4">
        <f t="shared" si="317"/>
        <v>788.98551860350926</v>
      </c>
      <c r="CV187" s="6">
        <f t="shared" si="290"/>
        <v>5.0779710372070184E-6</v>
      </c>
      <c r="CW187" s="8">
        <f t="shared" si="291"/>
        <v>24.962333463940354</v>
      </c>
      <c r="CX187" s="7">
        <f t="shared" si="292"/>
        <v>1.2708605340799973E-2</v>
      </c>
      <c r="CY187" s="9">
        <f t="shared" si="293"/>
        <v>0.22095790876152119</v>
      </c>
      <c r="CZ187" s="5">
        <f t="shared" si="318"/>
        <v>673.02060459217489</v>
      </c>
      <c r="DA187" s="6">
        <f t="shared" si="294"/>
        <v>4.8460412091843497E-6</v>
      </c>
      <c r="DB187" s="8">
        <f t="shared" si="295"/>
        <v>29.287462597918449</v>
      </c>
      <c r="DC187" s="7">
        <f t="shared" si="296"/>
        <v>1.2128156057118969E-2</v>
      </c>
      <c r="DD187" s="9">
        <f t="shared" si="297"/>
        <v>0.18832717179097697</v>
      </c>
    </row>
    <row r="188" spans="2:108" x14ac:dyDescent="0.25">
      <c r="B188">
        <v>169</v>
      </c>
      <c r="C188">
        <f t="shared" si="298"/>
        <v>0.16521687861234749</v>
      </c>
      <c r="D188" s="4">
        <f t="shared" si="215"/>
        <v>1017.2253418549168</v>
      </c>
      <c r="E188" s="6">
        <f t="shared" si="216"/>
        <v>5.534450683709834E-6</v>
      </c>
      <c r="F188" s="8">
        <f t="shared" si="217"/>
        <v>27.587091431331544</v>
      </c>
      <c r="G188" s="7">
        <f t="shared" si="213"/>
        <v>1.385103400591165E-2</v>
      </c>
      <c r="H188" s="9">
        <f t="shared" si="218"/>
        <v>0.19993499545717705</v>
      </c>
      <c r="I188" s="4">
        <f t="shared" si="299"/>
        <v>1016.900681480391</v>
      </c>
      <c r="J188" s="6">
        <f t="shared" si="219"/>
        <v>5.5338013629607826E-6</v>
      </c>
      <c r="K188" s="8">
        <f t="shared" si="220"/>
        <v>27.583357837024494</v>
      </c>
      <c r="L188" s="7">
        <f t="shared" si="221"/>
        <v>1.3849408955063815E-2</v>
      </c>
      <c r="M188" s="9">
        <f t="shared" si="222"/>
        <v>0.19996205801298442</v>
      </c>
      <c r="N188" s="4">
        <f t="shared" si="300"/>
        <v>1015.9945704665262</v>
      </c>
      <c r="O188" s="6">
        <f t="shared" si="223"/>
        <v>5.5319891409330522E-6</v>
      </c>
      <c r="P188" s="8">
        <f t="shared" si="224"/>
        <v>27.572937560365048</v>
      </c>
      <c r="Q188" s="7">
        <f t="shared" si="214"/>
        <v>1.385103400591165E-2</v>
      </c>
      <c r="R188" s="9">
        <f t="shared" si="225"/>
        <v>0.20003762703646352</v>
      </c>
      <c r="S188" s="4">
        <f t="shared" si="301"/>
        <v>1014.4929417525595</v>
      </c>
      <c r="T188" s="6">
        <f t="shared" si="226"/>
        <v>5.5289858835051193E-6</v>
      </c>
      <c r="U188" s="8">
        <f t="shared" si="227"/>
        <v>27.555668830154435</v>
      </c>
      <c r="V188" s="7">
        <f t="shared" si="228"/>
        <v>1.3837357285709983E-2</v>
      </c>
      <c r="W188" s="9">
        <f t="shared" si="229"/>
        <v>0.2001629876595192</v>
      </c>
      <c r="X188" s="4">
        <f t="shared" si="302"/>
        <v>1012.3938442950326</v>
      </c>
      <c r="Y188" s="6">
        <f t="shared" si="230"/>
        <v>5.5247876885900663E-6</v>
      </c>
      <c r="Z188" s="8">
        <f t="shared" si="231"/>
        <v>27.531529209392872</v>
      </c>
      <c r="AA188" s="7">
        <f t="shared" si="232"/>
        <v>1.3826850490391885E-2</v>
      </c>
      <c r="AB188" s="9">
        <f t="shared" si="233"/>
        <v>0.20033849039225349</v>
      </c>
      <c r="AC188" s="4">
        <f t="shared" si="303"/>
        <v>1009.6958164530803</v>
      </c>
      <c r="AD188" s="6">
        <f t="shared" si="234"/>
        <v>5.5193916329061611E-6</v>
      </c>
      <c r="AE188" s="8">
        <f t="shared" si="235"/>
        <v>27.500501889210422</v>
      </c>
      <c r="AF188" s="7">
        <f t="shared" si="236"/>
        <v>1.3813345816658763E-2</v>
      </c>
      <c r="AG188" s="9">
        <f t="shared" si="237"/>
        <v>0.2005645214120258</v>
      </c>
      <c r="AH188" s="4">
        <f t="shared" si="304"/>
        <v>1006.398534709413</v>
      </c>
      <c r="AI188" s="6">
        <f t="shared" si="238"/>
        <v>5.5127970694188259E-6</v>
      </c>
      <c r="AJ188" s="8">
        <f t="shared" si="239"/>
        <v>27.462583149158249</v>
      </c>
      <c r="AK188" s="7">
        <f t="shared" si="240"/>
        <v>1.3796841645181352E-2</v>
      </c>
      <c r="AL188" s="9">
        <f t="shared" si="241"/>
        <v>0.2008414492563515</v>
      </c>
      <c r="AM188" s="4">
        <f t="shared" si="305"/>
        <v>1002.5018843833158</v>
      </c>
      <c r="AN188" s="6">
        <f t="shared" si="242"/>
        <v>5.5050037687666325E-6</v>
      </c>
      <c r="AO188" s="8">
        <f t="shared" si="243"/>
        <v>27.417771670408129</v>
      </c>
      <c r="AP188" s="7">
        <f t="shared" si="244"/>
        <v>1.3777337401938285E-2</v>
      </c>
      <c r="AQ188" s="9">
        <f t="shared" si="245"/>
        <v>0.20116970358874889</v>
      </c>
      <c r="AR188" s="4">
        <f t="shared" si="306"/>
        <v>998.0057991819865</v>
      </c>
      <c r="AS188" s="6">
        <f t="shared" si="246"/>
        <v>5.4960115983639738E-6</v>
      </c>
      <c r="AT188" s="8">
        <f t="shared" si="247"/>
        <v>27.366066690592845</v>
      </c>
      <c r="AU188" s="7">
        <f t="shared" si="248"/>
        <v>1.3754832755108424E-2</v>
      </c>
      <c r="AV188" s="9">
        <f t="shared" si="249"/>
        <v>0.20154979019677716</v>
      </c>
      <c r="AW188" s="4">
        <f t="shared" si="307"/>
        <v>992.9100630439558</v>
      </c>
      <c r="AX188" s="6">
        <f t="shared" si="250"/>
        <v>5.4858201260879123E-6</v>
      </c>
      <c r="AY188" s="8">
        <f t="shared" si="251"/>
        <v>27.307465725005493</v>
      </c>
      <c r="AZ188" s="7">
        <f t="shared" si="252"/>
        <v>1.3729326623220479E-2</v>
      </c>
      <c r="BA188" s="9">
        <f t="shared" si="253"/>
        <v>0.20198230972965509</v>
      </c>
      <c r="BB188" s="4">
        <f t="shared" si="308"/>
        <v>987.21358298887446</v>
      </c>
      <c r="BC188" s="6">
        <f t="shared" si="254"/>
        <v>5.4744271659777494E-6</v>
      </c>
      <c r="BD188" s="8">
        <f t="shared" si="255"/>
        <v>27.241956204372055</v>
      </c>
      <c r="BE188" s="7">
        <f t="shared" si="256"/>
        <v>1.3700813535484718E-2</v>
      </c>
      <c r="BF188" s="9">
        <f t="shared" si="257"/>
        <v>0.20246802243646506</v>
      </c>
      <c r="BG188" s="4">
        <f t="shared" si="309"/>
        <v>980.91116333510581</v>
      </c>
      <c r="BH188" s="6">
        <f t="shared" si="258"/>
        <v>5.461822326670213E-6</v>
      </c>
      <c r="BI188" s="8">
        <f t="shared" si="259"/>
        <v>27.169478378353716</v>
      </c>
      <c r="BJ188" s="7">
        <f t="shared" si="260"/>
        <v>1.3669267485503346E-2</v>
      </c>
      <c r="BK188" s="9">
        <f t="shared" si="261"/>
        <v>0.20300813004913526</v>
      </c>
      <c r="BL188" s="4">
        <f t="shared" si="310"/>
        <v>973.98030986647677</v>
      </c>
      <c r="BM188" s="6">
        <f t="shared" si="262"/>
        <v>5.4479606197329543E-6</v>
      </c>
      <c r="BN188" s="8">
        <f t="shared" si="263"/>
        <v>27.089773563464483</v>
      </c>
      <c r="BO188" s="7">
        <f t="shared" si="264"/>
        <v>1.3634575881017092E-2</v>
      </c>
      <c r="BP188" s="9">
        <f t="shared" si="265"/>
        <v>0.20360543018487351</v>
      </c>
      <c r="BQ188" s="4">
        <f t="shared" si="311"/>
        <v>966.33322449479965</v>
      </c>
      <c r="BR188" s="6">
        <f t="shared" si="266"/>
        <v>5.4326664489895995E-6</v>
      </c>
      <c r="BS188" s="8">
        <f t="shared" si="267"/>
        <v>27.001832081690196</v>
      </c>
      <c r="BT188" s="7">
        <f t="shared" si="268"/>
        <v>1.3596299258608663E-2</v>
      </c>
      <c r="BU188" s="9">
        <f t="shared" si="269"/>
        <v>0.20426854679020529</v>
      </c>
      <c r="BV188" s="4">
        <f t="shared" si="312"/>
        <v>957.66469550314389</v>
      </c>
      <c r="BW188" s="6">
        <f t="shared" si="270"/>
        <v>5.4153293910062884E-6</v>
      </c>
      <c r="BX188" s="8">
        <f t="shared" si="271"/>
        <v>26.902143998286157</v>
      </c>
      <c r="BY188" s="7">
        <f t="shared" si="272"/>
        <v>1.355290991548991E-2</v>
      </c>
      <c r="BZ188" s="9">
        <f t="shared" si="273"/>
        <v>0.2050254805100806</v>
      </c>
      <c r="CA188" s="4">
        <f t="shared" si="313"/>
        <v>947.04421874615275</v>
      </c>
      <c r="CB188" s="6">
        <f t="shared" si="274"/>
        <v>5.3940884374923058E-6</v>
      </c>
      <c r="CC188" s="8">
        <f t="shared" si="275"/>
        <v>26.780008515580754</v>
      </c>
      <c r="CD188" s="7">
        <f t="shared" si="276"/>
        <v>1.3499750318222897E-2</v>
      </c>
      <c r="CE188" s="9">
        <f t="shared" si="277"/>
        <v>0.20596053943713197</v>
      </c>
      <c r="CF188" s="4">
        <f t="shared" si="314"/>
        <v>932.0338115519744</v>
      </c>
      <c r="CG188" s="6">
        <f t="shared" si="278"/>
        <v>5.3640676231039487E-6</v>
      </c>
      <c r="CH188" s="8">
        <f t="shared" si="279"/>
        <v>26.607388832847704</v>
      </c>
      <c r="CI188" s="7">
        <f t="shared" si="280"/>
        <v>1.342461741981218E-2</v>
      </c>
      <c r="CJ188" s="9">
        <f t="shared" si="281"/>
        <v>0.20729674131686227</v>
      </c>
      <c r="CK188" s="4">
        <f t="shared" si="315"/>
        <v>907.2960226402065</v>
      </c>
      <c r="CL188" s="6">
        <f t="shared" si="282"/>
        <v>5.3145920452804134E-6</v>
      </c>
      <c r="CM188" s="8">
        <f t="shared" si="283"/>
        <v>26.322904260362375</v>
      </c>
      <c r="CN188" s="7">
        <f t="shared" si="284"/>
        <v>1.3300795210516322E-2</v>
      </c>
      <c r="CO188" s="9">
        <f t="shared" si="285"/>
        <v>0.20953709915305785</v>
      </c>
      <c r="CP188" s="4">
        <f t="shared" si="316"/>
        <v>863.47245961797614</v>
      </c>
      <c r="CQ188" s="6">
        <f t="shared" si="286"/>
        <v>5.2269449192359528E-6</v>
      </c>
      <c r="CR188" s="8">
        <f t="shared" si="287"/>
        <v>25.818933285606725</v>
      </c>
      <c r="CS188" s="7">
        <f t="shared" si="288"/>
        <v>1.308144131385309E-2</v>
      </c>
      <c r="CT188" s="9">
        <f t="shared" si="289"/>
        <v>0.21362714481604064</v>
      </c>
      <c r="CU188" s="4">
        <f t="shared" si="317"/>
        <v>788.38322513609853</v>
      </c>
      <c r="CV188" s="6">
        <f t="shared" si="290"/>
        <v>5.0767664502721977E-6</v>
      </c>
      <c r="CW188" s="8">
        <f t="shared" si="291"/>
        <v>24.955407089065133</v>
      </c>
      <c r="CX188" s="7">
        <f t="shared" si="292"/>
        <v>1.270559062885279E-2</v>
      </c>
      <c r="CY188" s="9">
        <f t="shared" si="293"/>
        <v>0.22101923564359791</v>
      </c>
      <c r="CZ188" s="5">
        <f t="shared" si="318"/>
        <v>672.41888105339308</v>
      </c>
      <c r="DA188" s="6">
        <f t="shared" si="294"/>
        <v>4.8448377621067864E-6</v>
      </c>
      <c r="DB188" s="8">
        <f t="shared" si="295"/>
        <v>29.408288684505806</v>
      </c>
      <c r="DC188" s="7">
        <f t="shared" si="296"/>
        <v>1.2125144197885185E-2</v>
      </c>
      <c r="DD188" s="9">
        <f t="shared" si="297"/>
        <v>0.18755341594922487</v>
      </c>
    </row>
    <row r="189" spans="2:108" x14ac:dyDescent="0.25">
      <c r="B189">
        <v>170</v>
      </c>
      <c r="C189">
        <f t="shared" si="298"/>
        <v>0.16619449327869273</v>
      </c>
      <c r="D189" s="4">
        <f t="shared" si="215"/>
        <v>1017.2087663362689</v>
      </c>
      <c r="E189" s="6">
        <f t="shared" si="216"/>
        <v>5.5344175326725378E-6</v>
      </c>
      <c r="F189" s="8">
        <f t="shared" si="217"/>
        <v>27.586900812867093</v>
      </c>
      <c r="G189" s="7">
        <f t="shared" si="213"/>
        <v>1.385095103902457E-2</v>
      </c>
      <c r="H189" s="9">
        <f t="shared" si="218"/>
        <v>0.19993637695711727</v>
      </c>
      <c r="I189" s="4">
        <f t="shared" si="299"/>
        <v>1016.8841041589335</v>
      </c>
      <c r="J189" s="6">
        <f t="shared" si="219"/>
        <v>5.5337682083178671E-6</v>
      </c>
      <c r="K189" s="8">
        <f t="shared" si="220"/>
        <v>27.583167197827734</v>
      </c>
      <c r="L189" s="7">
        <f t="shared" si="221"/>
        <v>1.3849325979152977E-2</v>
      </c>
      <c r="M189" s="9">
        <f t="shared" si="222"/>
        <v>0.19996344003724031</v>
      </c>
      <c r="N189" s="4">
        <f t="shared" si="300"/>
        <v>1015.9779865546802</v>
      </c>
      <c r="O189" s="6">
        <f t="shared" si="223"/>
        <v>5.5319559731093604E-6</v>
      </c>
      <c r="P189" s="8">
        <f t="shared" si="224"/>
        <v>27.572746845378823</v>
      </c>
      <c r="Q189" s="7">
        <f t="shared" si="214"/>
        <v>1.385095103902457E-2</v>
      </c>
      <c r="R189" s="9">
        <f t="shared" si="225"/>
        <v>0.2000390106553499</v>
      </c>
      <c r="S189" s="4">
        <f t="shared" si="301"/>
        <v>1014.4763539952608</v>
      </c>
      <c r="T189" s="6">
        <f t="shared" si="226"/>
        <v>5.5289527079905216E-6</v>
      </c>
      <c r="U189" s="8">
        <f t="shared" si="227"/>
        <v>27.555478070945497</v>
      </c>
      <c r="V189" s="7">
        <f t="shared" si="228"/>
        <v>1.383727425756372E-2</v>
      </c>
      <c r="W189" s="9">
        <f t="shared" si="229"/>
        <v>0.20016437333437798</v>
      </c>
      <c r="X189" s="4">
        <f t="shared" si="302"/>
        <v>1012.37725933874</v>
      </c>
      <c r="Y189" s="6">
        <f t="shared" si="230"/>
        <v>5.5247545186774802E-6</v>
      </c>
      <c r="Z189" s="8">
        <f t="shared" si="231"/>
        <v>27.531338482395512</v>
      </c>
      <c r="AA189" s="7">
        <f t="shared" si="232"/>
        <v>1.3826767476265741E-2</v>
      </c>
      <c r="AB189" s="9">
        <f t="shared" si="233"/>
        <v>0.20033987826370594</v>
      </c>
      <c r="AC189" s="4">
        <f t="shared" si="303"/>
        <v>1009.6792411335632</v>
      </c>
      <c r="AD189" s="6">
        <f t="shared" si="234"/>
        <v>5.5193584822671271E-6</v>
      </c>
      <c r="AE189" s="8">
        <f t="shared" si="235"/>
        <v>27.500311273035976</v>
      </c>
      <c r="AF189" s="7">
        <f t="shared" si="236"/>
        <v>1.381326285076841E-2</v>
      </c>
      <c r="AG189" s="9">
        <f t="shared" si="237"/>
        <v>0.20056591160871928</v>
      </c>
      <c r="AH189" s="4">
        <f t="shared" si="304"/>
        <v>1006.3819745007552</v>
      </c>
      <c r="AI189" s="6">
        <f t="shared" si="238"/>
        <v>5.5127639490015106E-6</v>
      </c>
      <c r="AJ189" s="8">
        <f t="shared" si="239"/>
        <v>27.462392706758685</v>
      </c>
      <c r="AK189" s="7">
        <f t="shared" si="240"/>
        <v>1.37967587549267E-2</v>
      </c>
      <c r="AL189" s="9">
        <f t="shared" si="241"/>
        <v>0.20084284202383307</v>
      </c>
      <c r="AM189" s="4">
        <f t="shared" si="305"/>
        <v>1002.4853432287125</v>
      </c>
      <c r="AN189" s="6">
        <f t="shared" si="242"/>
        <v>5.5049706864574253E-6</v>
      </c>
      <c r="AO189" s="8">
        <f t="shared" si="243"/>
        <v>27.417581447130193</v>
      </c>
      <c r="AP189" s="7">
        <f t="shared" si="244"/>
        <v>1.3777254607056552E-2</v>
      </c>
      <c r="AQ189" s="9">
        <f t="shared" si="245"/>
        <v>0.2011710993048704</v>
      </c>
      <c r="AR189" s="4">
        <f t="shared" si="306"/>
        <v>997.9892783280601</v>
      </c>
      <c r="AS189" s="6">
        <f t="shared" si="246"/>
        <v>5.4959785566561212E-6</v>
      </c>
      <c r="AT189" s="8">
        <f t="shared" si="247"/>
        <v>27.365876700772688</v>
      </c>
      <c r="AU189" s="7">
        <f t="shared" si="248"/>
        <v>1.3754750061839438E-2</v>
      </c>
      <c r="AV189" s="9">
        <f t="shared" si="249"/>
        <v>0.20155118947255449</v>
      </c>
      <c r="AW189" s="4">
        <f t="shared" si="307"/>
        <v>992.89355305950619</v>
      </c>
      <c r="AX189" s="6">
        <f t="shared" si="250"/>
        <v>5.4857871061190129E-6</v>
      </c>
      <c r="AY189" s="8">
        <f t="shared" si="251"/>
        <v>27.307275860184319</v>
      </c>
      <c r="AZ189" s="7">
        <f t="shared" si="252"/>
        <v>1.3729243984357429E-2</v>
      </c>
      <c r="BA189" s="9">
        <f t="shared" si="253"/>
        <v>0.20198371409292126</v>
      </c>
      <c r="BB189" s="4">
        <f t="shared" si="308"/>
        <v>987.19702710520198</v>
      </c>
      <c r="BC189" s="6">
        <f t="shared" si="254"/>
        <v>5.474394054210405E-6</v>
      </c>
      <c r="BD189" s="8">
        <f t="shared" si="255"/>
        <v>27.241765811709822</v>
      </c>
      <c r="BE189" s="7">
        <f t="shared" si="256"/>
        <v>1.3700730666878293E-2</v>
      </c>
      <c r="BF189" s="9">
        <f t="shared" si="257"/>
        <v>0.20246943748518384</v>
      </c>
      <c r="BG189" s="4">
        <f t="shared" si="309"/>
        <v>980.89431217308049</v>
      </c>
      <c r="BH189" s="6">
        <f t="shared" si="258"/>
        <v>5.4617886243461614E-6</v>
      </c>
      <c r="BI189" s="8">
        <f t="shared" si="259"/>
        <v>27.169284589990426</v>
      </c>
      <c r="BJ189" s="7">
        <f t="shared" si="260"/>
        <v>1.3669183138914463E-2</v>
      </c>
      <c r="BK189" s="9">
        <f t="shared" si="261"/>
        <v>0.20300957803033354</v>
      </c>
      <c r="BL189" s="4">
        <f t="shared" si="310"/>
        <v>973.96221670659929</v>
      </c>
      <c r="BM189" s="6">
        <f t="shared" si="262"/>
        <v>5.4479244334131996E-6</v>
      </c>
      <c r="BN189" s="8">
        <f t="shared" si="263"/>
        <v>27.089565492125892</v>
      </c>
      <c r="BO189" s="7">
        <f t="shared" si="264"/>
        <v>1.3634485317748194E-2</v>
      </c>
      <c r="BP189" s="9">
        <f t="shared" si="265"/>
        <v>0.20360699405102026</v>
      </c>
      <c r="BQ189" s="4">
        <f t="shared" si="311"/>
        <v>966.31074167504914</v>
      </c>
      <c r="BR189" s="6">
        <f t="shared" si="266"/>
        <v>5.4326214833500986E-6</v>
      </c>
      <c r="BS189" s="8">
        <f t="shared" si="267"/>
        <v>27.001573529263062</v>
      </c>
      <c r="BT189" s="7">
        <f t="shared" si="268"/>
        <v>1.3596186723392901E-2</v>
      </c>
      <c r="BU189" s="9">
        <f t="shared" si="269"/>
        <v>0.20427050275504943</v>
      </c>
      <c r="BV189" s="4">
        <f t="shared" si="312"/>
        <v>957.62879013814256</v>
      </c>
      <c r="BW189" s="6">
        <f t="shared" si="270"/>
        <v>5.4152575802762855E-6</v>
      </c>
      <c r="BX189" s="8">
        <f t="shared" si="271"/>
        <v>26.90173108658864</v>
      </c>
      <c r="BY189" s="7">
        <f t="shared" si="272"/>
        <v>1.3552730195239409E-2</v>
      </c>
      <c r="BZ189" s="9">
        <f t="shared" si="273"/>
        <v>0.2050286274235234</v>
      </c>
      <c r="CA189" s="4">
        <f t="shared" si="313"/>
        <v>946.9731442548665</v>
      </c>
      <c r="CB189" s="6">
        <f t="shared" si="274"/>
        <v>5.3939462885097338E-6</v>
      </c>
      <c r="CC189" s="8">
        <f t="shared" si="275"/>
        <v>26.779191158930963</v>
      </c>
      <c r="CD189" s="7">
        <f t="shared" si="276"/>
        <v>1.3499394562881666E-2</v>
      </c>
      <c r="CE189" s="9">
        <f t="shared" si="277"/>
        <v>0.20596682578146194</v>
      </c>
      <c r="CF189" s="4">
        <f t="shared" si="314"/>
        <v>931.88572976990497</v>
      </c>
      <c r="CG189" s="6">
        <f t="shared" si="278"/>
        <v>5.3637714595398108E-6</v>
      </c>
      <c r="CH189" s="8">
        <f t="shared" si="279"/>
        <v>26.605685892353904</v>
      </c>
      <c r="CI189" s="7">
        <f t="shared" si="280"/>
        <v>1.3423876213171697E-2</v>
      </c>
      <c r="CJ189" s="9">
        <f t="shared" si="281"/>
        <v>0.20731000968424995</v>
      </c>
      <c r="CK189" s="4">
        <f t="shared" si="315"/>
        <v>907.01274818578065</v>
      </c>
      <c r="CL189" s="6">
        <f t="shared" si="282"/>
        <v>5.3140254963715616E-6</v>
      </c>
      <c r="CM189" s="8">
        <f t="shared" si="283"/>
        <v>26.319646604136476</v>
      </c>
      <c r="CN189" s="7">
        <f t="shared" si="284"/>
        <v>1.3299377312218733E-2</v>
      </c>
      <c r="CO189" s="9">
        <f t="shared" si="285"/>
        <v>0.20956303414549446</v>
      </c>
      <c r="CP189" s="4">
        <f t="shared" si="316"/>
        <v>863.01271604072394</v>
      </c>
      <c r="CQ189" s="6">
        <f t="shared" si="286"/>
        <v>5.2260254320814485E-6</v>
      </c>
      <c r="CR189" s="8">
        <f t="shared" si="287"/>
        <v>25.813646234468322</v>
      </c>
      <c r="CS189" s="7">
        <f t="shared" si="288"/>
        <v>1.3079140119286025E-2</v>
      </c>
      <c r="CT189" s="9">
        <f t="shared" si="289"/>
        <v>0.21367089910123285</v>
      </c>
      <c r="CU189" s="4">
        <f t="shared" si="317"/>
        <v>787.78285552065029</v>
      </c>
      <c r="CV189" s="6">
        <f t="shared" si="290"/>
        <v>5.0755657110413005E-6</v>
      </c>
      <c r="CW189" s="8">
        <f t="shared" si="291"/>
        <v>24.948502838487478</v>
      </c>
      <c r="CX189" s="7">
        <f t="shared" si="292"/>
        <v>1.2702585546529381E-2</v>
      </c>
      <c r="CY189" s="9">
        <f t="shared" si="293"/>
        <v>0.22108040052372091</v>
      </c>
      <c r="CZ189" s="5">
        <f t="shared" si="318"/>
        <v>671.81959870597905</v>
      </c>
      <c r="DA189" s="6">
        <f t="shared" si="294"/>
        <v>4.843639197411959E-6</v>
      </c>
      <c r="DB189" s="8">
        <f t="shared" si="295"/>
        <v>29.528624579866488</v>
      </c>
      <c r="DC189" s="7">
        <f t="shared" si="296"/>
        <v>1.2122144557759165E-2</v>
      </c>
      <c r="DD189" s="9">
        <f t="shared" si="297"/>
        <v>0.1867890929048121</v>
      </c>
    </row>
    <row r="190" spans="2:108" x14ac:dyDescent="0.25">
      <c r="B190">
        <v>171</v>
      </c>
      <c r="C190">
        <f t="shared" si="298"/>
        <v>0.16717210794503801</v>
      </c>
      <c r="D190" s="4">
        <f t="shared" si="215"/>
        <v>1017.1921907255787</v>
      </c>
      <c r="E190" s="6">
        <f t="shared" si="216"/>
        <v>5.5343843814511576E-6</v>
      </c>
      <c r="F190" s="8">
        <f t="shared" si="217"/>
        <v>27.586710193344153</v>
      </c>
      <c r="G190" s="7">
        <f t="shared" si="213"/>
        <v>1.3850868071676785E-2</v>
      </c>
      <c r="H190" s="9">
        <f t="shared" si="218"/>
        <v>0.19993775848382078</v>
      </c>
      <c r="I190" s="4">
        <f t="shared" si="299"/>
        <v>1016.8675268123357</v>
      </c>
      <c r="J190" s="6">
        <f t="shared" si="219"/>
        <v>5.5337350536246725E-6</v>
      </c>
      <c r="K190" s="8">
        <f t="shared" si="220"/>
        <v>27.582976558341858</v>
      </c>
      <c r="L190" s="7">
        <f t="shared" si="221"/>
        <v>1.3849243003116303E-2</v>
      </c>
      <c r="M190" s="9">
        <f t="shared" si="222"/>
        <v>0.19996482208269584</v>
      </c>
      <c r="N190" s="4">
        <f t="shared" si="300"/>
        <v>1015.9614027440773</v>
      </c>
      <c r="O190" s="6">
        <f t="shared" si="223"/>
        <v>5.5319228054881552E-6</v>
      </c>
      <c r="P190" s="8">
        <f t="shared" si="224"/>
        <v>27.572556131556887</v>
      </c>
      <c r="Q190" s="7">
        <f t="shared" si="214"/>
        <v>1.3850868071676785E-2</v>
      </c>
      <c r="R190" s="9">
        <f t="shared" si="225"/>
        <v>0.20004039428492987</v>
      </c>
      <c r="S190" s="4">
        <f t="shared" si="301"/>
        <v>1014.459766426971</v>
      </c>
      <c r="T190" s="6">
        <f t="shared" si="226"/>
        <v>5.528919532853942E-6</v>
      </c>
      <c r="U190" s="8">
        <f t="shared" si="227"/>
        <v>27.555287313910164</v>
      </c>
      <c r="V190" s="7">
        <f t="shared" si="228"/>
        <v>1.383719123036352E-2</v>
      </c>
      <c r="W190" s="9">
        <f t="shared" si="229"/>
        <v>0.20016575901263281</v>
      </c>
      <c r="X190" s="4">
        <f t="shared" si="302"/>
        <v>1012.3606745980622</v>
      </c>
      <c r="Y190" s="6">
        <f t="shared" si="230"/>
        <v>5.5247213491961255E-6</v>
      </c>
      <c r="Z190" s="8">
        <f t="shared" si="231"/>
        <v>27.531147757877715</v>
      </c>
      <c r="AA190" s="7">
        <f t="shared" si="232"/>
        <v>1.3826684463218835E-2</v>
      </c>
      <c r="AB190" s="9">
        <f t="shared" si="233"/>
        <v>0.20034126613634437</v>
      </c>
      <c r="AC190" s="4">
        <f t="shared" si="303"/>
        <v>1009.6626660234671</v>
      </c>
      <c r="AD190" s="6">
        <f t="shared" si="234"/>
        <v>5.5193253320469339E-6</v>
      </c>
      <c r="AE190" s="8">
        <f t="shared" si="235"/>
        <v>27.500120659269868</v>
      </c>
      <c r="AF190" s="7">
        <f t="shared" si="236"/>
        <v>1.3813179885926291E-2</v>
      </c>
      <c r="AG190" s="9">
        <f t="shared" si="237"/>
        <v>0.20056730180712018</v>
      </c>
      <c r="AH190" s="4">
        <f t="shared" si="304"/>
        <v>1006.3654144853562</v>
      </c>
      <c r="AI190" s="6">
        <f t="shared" si="238"/>
        <v>5.5127308289707135E-6</v>
      </c>
      <c r="AJ190" s="8">
        <f t="shared" si="239"/>
        <v>27.462202266581595</v>
      </c>
      <c r="AK190" s="7">
        <f t="shared" si="240"/>
        <v>1.3796675865639386E-2</v>
      </c>
      <c r="AL190" s="9">
        <f t="shared" si="241"/>
        <v>0.20084423479437749</v>
      </c>
      <c r="AM190" s="4">
        <f t="shared" si="305"/>
        <v>1002.4688022294689</v>
      </c>
      <c r="AN190" s="6">
        <f t="shared" si="242"/>
        <v>5.5049376044589386E-6</v>
      </c>
      <c r="AO190" s="8">
        <f t="shared" si="243"/>
        <v>27.417391225638891</v>
      </c>
      <c r="AP190" s="7">
        <f t="shared" si="244"/>
        <v>1.3777171812952455E-2</v>
      </c>
      <c r="AQ190" s="9">
        <f t="shared" si="245"/>
        <v>0.20117249502724974</v>
      </c>
      <c r="AR190" s="4">
        <f t="shared" si="306"/>
        <v>997.97275747031995</v>
      </c>
      <c r="AS190" s="6">
        <f t="shared" si="246"/>
        <v>5.495945514940641E-6</v>
      </c>
      <c r="AT190" s="8">
        <f t="shared" si="247"/>
        <v>27.365686710908676</v>
      </c>
      <c r="AU190" s="7">
        <f t="shared" si="248"/>
        <v>1.3754667368551363E-2</v>
      </c>
      <c r="AV190" s="9">
        <f t="shared" si="249"/>
        <v>0.2015525887680841</v>
      </c>
      <c r="AW190" s="4">
        <f t="shared" si="307"/>
        <v>992.87704236671175</v>
      </c>
      <c r="AX190" s="6">
        <f t="shared" si="250"/>
        <v>5.4857540847334237E-6</v>
      </c>
      <c r="AY190" s="8">
        <f t="shared" si="251"/>
        <v>27.307085987217185</v>
      </c>
      <c r="AZ190" s="7">
        <f t="shared" si="252"/>
        <v>1.3729161341948841E-2</v>
      </c>
      <c r="BA190" s="9">
        <f t="shared" si="253"/>
        <v>0.20198511853597043</v>
      </c>
      <c r="BB190" s="4">
        <f t="shared" si="308"/>
        <v>987.18046766321629</v>
      </c>
      <c r="BC190" s="6">
        <f t="shared" si="254"/>
        <v>5.4743609353264337E-6</v>
      </c>
      <c r="BD190" s="8">
        <f t="shared" si="255"/>
        <v>27.241575378126988</v>
      </c>
      <c r="BE190" s="7">
        <f t="shared" si="256"/>
        <v>1.3700647780461131E-2</v>
      </c>
      <c r="BF190" s="9">
        <f t="shared" si="257"/>
        <v>0.2024708528578214</v>
      </c>
      <c r="BG190" s="4">
        <f t="shared" si="309"/>
        <v>980.87744718498152</v>
      </c>
      <c r="BH190" s="6">
        <f t="shared" si="258"/>
        <v>5.4617548943699637E-6</v>
      </c>
      <c r="BI190" s="8">
        <f t="shared" si="259"/>
        <v>27.169090642627289</v>
      </c>
      <c r="BJ190" s="7">
        <f t="shared" si="260"/>
        <v>1.3669098723120731E-2</v>
      </c>
      <c r="BK190" s="9">
        <f t="shared" si="261"/>
        <v>0.2030110272202556</v>
      </c>
      <c r="BL190" s="4">
        <f t="shared" si="310"/>
        <v>973.94407742526857</v>
      </c>
      <c r="BM190" s="6">
        <f t="shared" si="262"/>
        <v>5.4478881548505371E-6</v>
      </c>
      <c r="BN190" s="8">
        <f t="shared" si="263"/>
        <v>27.08935689039059</v>
      </c>
      <c r="BO190" s="7">
        <f t="shared" si="264"/>
        <v>1.3634394523623566E-2</v>
      </c>
      <c r="BP190" s="9">
        <f t="shared" si="265"/>
        <v>0.20360856192774951</v>
      </c>
      <c r="BQ190" s="4">
        <f t="shared" si="311"/>
        <v>966.28812650637565</v>
      </c>
      <c r="BR190" s="6">
        <f t="shared" si="266"/>
        <v>5.4325762530127517E-6</v>
      </c>
      <c r="BS190" s="8">
        <f t="shared" si="267"/>
        <v>27.001313454823318</v>
      </c>
      <c r="BT190" s="7">
        <f t="shared" si="268"/>
        <v>1.3596073525719546E-2</v>
      </c>
      <c r="BU190" s="9">
        <f t="shared" si="269"/>
        <v>0.20427247027180187</v>
      </c>
      <c r="BV190" s="4">
        <f t="shared" si="312"/>
        <v>957.59256580910858</v>
      </c>
      <c r="BW190" s="6">
        <f t="shared" si="270"/>
        <v>5.4151851316182178E-6</v>
      </c>
      <c r="BX190" s="8">
        <f t="shared" si="271"/>
        <v>26.901314506804749</v>
      </c>
      <c r="BY190" s="7">
        <f t="shared" si="272"/>
        <v>1.3552548878450459E-2</v>
      </c>
      <c r="BZ190" s="9">
        <f t="shared" si="273"/>
        <v>0.20503180239035568</v>
      </c>
      <c r="CA190" s="4">
        <f t="shared" si="313"/>
        <v>946.90145302481017</v>
      </c>
      <c r="CB190" s="6">
        <f t="shared" si="274"/>
        <v>5.3938029060496201E-6</v>
      </c>
      <c r="CC190" s="8">
        <f t="shared" si="275"/>
        <v>26.778366709785317</v>
      </c>
      <c r="CD190" s="7">
        <f t="shared" si="276"/>
        <v>1.3499035720524152E-2</v>
      </c>
      <c r="CE190" s="9">
        <f t="shared" si="277"/>
        <v>0.20597316706341492</v>
      </c>
      <c r="CF190" s="4">
        <f t="shared" si="314"/>
        <v>931.73677696215202</v>
      </c>
      <c r="CG190" s="6">
        <f t="shared" si="278"/>
        <v>5.363473553924304E-6</v>
      </c>
      <c r="CH190" s="8">
        <f t="shared" si="279"/>
        <v>26.603972935064746</v>
      </c>
      <c r="CI190" s="7">
        <f t="shared" si="280"/>
        <v>1.3423130646710498E-2</v>
      </c>
      <c r="CJ190" s="9">
        <f t="shared" si="281"/>
        <v>0.20732335781060202</v>
      </c>
      <c r="CK190" s="4">
        <f t="shared" si="315"/>
        <v>906.72881236188209</v>
      </c>
      <c r="CL190" s="6">
        <f t="shared" si="282"/>
        <v>5.3134576247237647E-6</v>
      </c>
      <c r="CM190" s="8">
        <f t="shared" si="283"/>
        <v>26.316381342161641</v>
      </c>
      <c r="CN190" s="7">
        <f t="shared" si="284"/>
        <v>1.3297956103510925E-2</v>
      </c>
      <c r="CO190" s="9">
        <f t="shared" si="285"/>
        <v>0.20958903613253932</v>
      </c>
      <c r="CP190" s="4">
        <f t="shared" si="316"/>
        <v>862.55338110168145</v>
      </c>
      <c r="CQ190" s="6">
        <f t="shared" si="286"/>
        <v>5.2251067622033632E-6</v>
      </c>
      <c r="CR190" s="8">
        <f t="shared" si="287"/>
        <v>25.808363882669337</v>
      </c>
      <c r="CS190" s="7">
        <f t="shared" si="288"/>
        <v>1.3076840970111379E-2</v>
      </c>
      <c r="CT190" s="9">
        <f t="shared" si="289"/>
        <v>0.21371463239883318</v>
      </c>
      <c r="CU190" s="4">
        <f t="shared" si="317"/>
        <v>787.18439658592365</v>
      </c>
      <c r="CV190" s="6">
        <f t="shared" si="290"/>
        <v>5.0743687931718476E-6</v>
      </c>
      <c r="CW190" s="8">
        <f t="shared" si="291"/>
        <v>24.941620560738123</v>
      </c>
      <c r="CX190" s="7">
        <f t="shared" si="292"/>
        <v>1.2699590027902597E-2</v>
      </c>
      <c r="CY190" s="9">
        <f t="shared" si="293"/>
        <v>0.22114140444756933</v>
      </c>
      <c r="CZ190" s="5">
        <f t="shared" si="318"/>
        <v>671.22273390489806</v>
      </c>
      <c r="DA190" s="6">
        <f t="shared" si="294"/>
        <v>4.8424454678097968E-6</v>
      </c>
      <c r="DB190" s="8">
        <f t="shared" si="295"/>
        <v>29.64847503192351</v>
      </c>
      <c r="DC190" s="7">
        <f t="shared" si="296"/>
        <v>1.211915701838835E-2</v>
      </c>
      <c r="DD190" s="9">
        <f t="shared" si="297"/>
        <v>0.18603402009921727</v>
      </c>
    </row>
    <row r="191" spans="2:108" x14ac:dyDescent="0.25">
      <c r="B191">
        <v>172</v>
      </c>
      <c r="C191">
        <f t="shared" si="298"/>
        <v>0.16814972261138325</v>
      </c>
      <c r="D191" s="4">
        <f t="shared" si="215"/>
        <v>1017.1756150262618</v>
      </c>
      <c r="E191" s="6">
        <f t="shared" si="216"/>
        <v>5.5343512300525239E-6</v>
      </c>
      <c r="F191" s="8">
        <f t="shared" si="217"/>
        <v>27.586519572802011</v>
      </c>
      <c r="G191" s="7">
        <f t="shared" si="213"/>
        <v>1.3850785103885389E-2</v>
      </c>
      <c r="H191" s="9">
        <f t="shared" si="218"/>
        <v>0.19993914003700353</v>
      </c>
      <c r="I191" s="4">
        <f t="shared" si="299"/>
        <v>1016.8509494427619</v>
      </c>
      <c r="J191" s="6">
        <f t="shared" si="219"/>
        <v>5.5337018988855246E-6</v>
      </c>
      <c r="K191" s="8">
        <f t="shared" si="220"/>
        <v>27.58278591859176</v>
      </c>
      <c r="L191" s="7">
        <f t="shared" si="221"/>
        <v>1.3849160026964624E-2</v>
      </c>
      <c r="M191" s="9">
        <f t="shared" si="222"/>
        <v>0.19996620414917105</v>
      </c>
      <c r="N191" s="4">
        <f t="shared" si="300"/>
        <v>1015.9448190349241</v>
      </c>
      <c r="O191" s="6">
        <f t="shared" si="223"/>
        <v>5.5318896380698483E-6</v>
      </c>
      <c r="P191" s="8">
        <f t="shared" si="224"/>
        <v>27.572365418901626</v>
      </c>
      <c r="Q191" s="7">
        <f t="shared" si="214"/>
        <v>1.3850785103885389E-2</v>
      </c>
      <c r="R191" s="9">
        <f t="shared" si="225"/>
        <v>0.2000417779251861</v>
      </c>
      <c r="S191" s="4">
        <f t="shared" si="301"/>
        <v>1014.4431790471066</v>
      </c>
      <c r="T191" s="6">
        <f t="shared" si="226"/>
        <v>5.5288863580942133E-6</v>
      </c>
      <c r="U191" s="8">
        <f t="shared" si="227"/>
        <v>27.555096559041726</v>
      </c>
      <c r="V191" s="7">
        <f t="shared" si="228"/>
        <v>1.3837108204106462E-2</v>
      </c>
      <c r="W191" s="9">
        <f t="shared" si="229"/>
        <v>0.20016714469433219</v>
      </c>
      <c r="X191" s="4">
        <f t="shared" si="302"/>
        <v>1012.3440900725783</v>
      </c>
      <c r="Y191" s="6">
        <f t="shared" si="230"/>
        <v>5.5246881801451566E-6</v>
      </c>
      <c r="Z191" s="8">
        <f t="shared" si="231"/>
        <v>27.53095703583465</v>
      </c>
      <c r="AA191" s="7">
        <f t="shared" si="232"/>
        <v>1.3826601451249055E-2</v>
      </c>
      <c r="AB191" s="9">
        <f t="shared" si="233"/>
        <v>0.20034265401020354</v>
      </c>
      <c r="AC191" s="4">
        <f t="shared" si="303"/>
        <v>1009.6460911226205</v>
      </c>
      <c r="AD191" s="6">
        <f t="shared" si="234"/>
        <v>5.5192921822452419E-6</v>
      </c>
      <c r="AE191" s="8">
        <f t="shared" si="235"/>
        <v>27.499930047910134</v>
      </c>
      <c r="AF191" s="7">
        <f t="shared" si="236"/>
        <v>1.381309692213155E-2</v>
      </c>
      <c r="AG191" s="9">
        <f t="shared" si="237"/>
        <v>0.20056869200724245</v>
      </c>
      <c r="AH191" s="4">
        <f t="shared" si="304"/>
        <v>1006.348854662851</v>
      </c>
      <c r="AI191" s="6">
        <f t="shared" si="238"/>
        <v>5.5126977093257018E-6</v>
      </c>
      <c r="AJ191" s="8">
        <f t="shared" si="239"/>
        <v>27.462011828622785</v>
      </c>
      <c r="AK191" s="7">
        <f t="shared" si="240"/>
        <v>1.3796592977317576E-2</v>
      </c>
      <c r="AL191" s="9">
        <f t="shared" si="241"/>
        <v>0.20084562756801519</v>
      </c>
      <c r="AM191" s="4">
        <f t="shared" si="305"/>
        <v>1002.4522613837158</v>
      </c>
      <c r="AN191" s="6">
        <f t="shared" si="242"/>
        <v>5.5049045227674319E-6</v>
      </c>
      <c r="AO191" s="8">
        <f t="shared" si="243"/>
        <v>27.41720100591273</v>
      </c>
      <c r="AP191" s="7">
        <f t="shared" si="244"/>
        <v>1.3777089019616636E-2</v>
      </c>
      <c r="AQ191" s="9">
        <f t="shared" si="245"/>
        <v>0.20117389075604447</v>
      </c>
      <c r="AR191" s="4">
        <f t="shared" si="306"/>
        <v>997.95623660050921</v>
      </c>
      <c r="AS191" s="6">
        <f t="shared" si="246"/>
        <v>5.4959124732010187E-6</v>
      </c>
      <c r="AT191" s="8">
        <f t="shared" si="247"/>
        <v>27.365496720905853</v>
      </c>
      <c r="AU191" s="7">
        <f t="shared" si="248"/>
        <v>1.3754584675202866E-2</v>
      </c>
      <c r="AV191" s="9">
        <f t="shared" si="249"/>
        <v>0.2015539880840658</v>
      </c>
      <c r="AW191" s="4">
        <f t="shared" si="307"/>
        <v>992.86053093335659</v>
      </c>
      <c r="AX191" s="6">
        <f t="shared" si="250"/>
        <v>5.4857210618667137E-6</v>
      </c>
      <c r="AY191" s="8">
        <f t="shared" si="251"/>
        <v>27.3068961057336</v>
      </c>
      <c r="AZ191" s="7">
        <f t="shared" si="252"/>
        <v>1.3729078695833461E-2</v>
      </c>
      <c r="BA191" s="9">
        <f t="shared" si="253"/>
        <v>0.20198652306154599</v>
      </c>
      <c r="BB191" s="4">
        <f t="shared" si="308"/>
        <v>987.16390455212172</v>
      </c>
      <c r="BC191" s="6">
        <f t="shared" si="254"/>
        <v>5.4743278091042442E-6</v>
      </c>
      <c r="BD191" s="8">
        <f t="shared" si="255"/>
        <v>27.241384902349399</v>
      </c>
      <c r="BE191" s="7">
        <f t="shared" si="256"/>
        <v>1.3700564875678662E-2</v>
      </c>
      <c r="BF191" s="9">
        <f t="shared" si="257"/>
        <v>0.20247226856386116</v>
      </c>
      <c r="BG191" s="4">
        <f t="shared" si="309"/>
        <v>980.86056804270288</v>
      </c>
      <c r="BH191" s="6">
        <f t="shared" si="258"/>
        <v>5.4617211360854065E-6</v>
      </c>
      <c r="BI191" s="8">
        <f t="shared" si="259"/>
        <v>27.168896532491082</v>
      </c>
      <c r="BJ191" s="7">
        <f t="shared" si="260"/>
        <v>1.3669014236479851E-2</v>
      </c>
      <c r="BK191" s="9">
        <f t="shared" si="261"/>
        <v>0.20301247764714717</v>
      </c>
      <c r="BL191" s="4">
        <f t="shared" si="310"/>
        <v>973.92589121844776</v>
      </c>
      <c r="BM191" s="6">
        <f t="shared" si="262"/>
        <v>5.447851782436896E-6</v>
      </c>
      <c r="BN191" s="8">
        <f t="shared" si="263"/>
        <v>27.089147749012149</v>
      </c>
      <c r="BO191" s="7">
        <f t="shared" si="264"/>
        <v>1.3634303494618699E-2</v>
      </c>
      <c r="BP191" s="9">
        <f t="shared" si="265"/>
        <v>0.20361013388474491</v>
      </c>
      <c r="BQ191" s="4">
        <f t="shared" si="311"/>
        <v>966.26537747914244</v>
      </c>
      <c r="BR191" s="6">
        <f t="shared" si="266"/>
        <v>5.4325307549582853E-6</v>
      </c>
      <c r="BS191" s="8">
        <f t="shared" si="267"/>
        <v>27.001051841010138</v>
      </c>
      <c r="BT191" s="7">
        <f t="shared" si="268"/>
        <v>1.3595959658032283E-2</v>
      </c>
      <c r="BU191" s="9">
        <f t="shared" si="269"/>
        <v>0.20427444947247117</v>
      </c>
      <c r="BV191" s="4">
        <f t="shared" si="312"/>
        <v>957.55602077663218</v>
      </c>
      <c r="BW191" s="6">
        <f t="shared" si="270"/>
        <v>5.415112041553265E-6</v>
      </c>
      <c r="BX191" s="8">
        <f t="shared" si="271"/>
        <v>26.900894238931269</v>
      </c>
      <c r="BY191" s="7">
        <f t="shared" si="272"/>
        <v>1.3552365956416637E-2</v>
      </c>
      <c r="BZ191" s="9">
        <f t="shared" si="273"/>
        <v>0.20503500556564128</v>
      </c>
      <c r="CA191" s="4">
        <f t="shared" si="313"/>
        <v>946.82914542104777</v>
      </c>
      <c r="CB191" s="6">
        <f t="shared" si="274"/>
        <v>5.3936582908420962E-6</v>
      </c>
      <c r="CC191" s="8">
        <f t="shared" si="275"/>
        <v>26.777535172342048</v>
      </c>
      <c r="CD191" s="7">
        <f t="shared" si="276"/>
        <v>1.3498673792977652E-2</v>
      </c>
      <c r="CE191" s="9">
        <f t="shared" si="277"/>
        <v>0.20597956326081024</v>
      </c>
      <c r="CF191" s="4">
        <f t="shared" si="314"/>
        <v>931.58695945326667</v>
      </c>
      <c r="CG191" s="6">
        <f t="shared" si="278"/>
        <v>5.3631739189065338E-6</v>
      </c>
      <c r="CH191" s="8">
        <f t="shared" si="279"/>
        <v>26.602250033712565</v>
      </c>
      <c r="CI191" s="7">
        <f t="shared" si="280"/>
        <v>1.3422380752085416E-2</v>
      </c>
      <c r="CJ191" s="9">
        <f t="shared" si="281"/>
        <v>0.20733678515953144</v>
      </c>
      <c r="CK191" s="4">
        <f t="shared" si="315"/>
        <v>906.44422738864421</v>
      </c>
      <c r="CL191" s="6">
        <f t="shared" si="282"/>
        <v>5.3128884547772885E-6</v>
      </c>
      <c r="CM191" s="8">
        <f t="shared" si="283"/>
        <v>26.313108614969408</v>
      </c>
      <c r="CN191" s="7">
        <f t="shared" si="284"/>
        <v>1.3296531645559391E-2</v>
      </c>
      <c r="CO191" s="9">
        <f t="shared" si="285"/>
        <v>0.20961510404218017</v>
      </c>
      <c r="CP191" s="4">
        <f t="shared" si="316"/>
        <v>862.0944615306978</v>
      </c>
      <c r="CQ191" s="6">
        <f t="shared" si="286"/>
        <v>5.224188923061396E-6</v>
      </c>
      <c r="CR191" s="8">
        <f t="shared" si="287"/>
        <v>25.803086307603024</v>
      </c>
      <c r="CS191" s="7">
        <f t="shared" si="288"/>
        <v>1.3074543900014656E-2</v>
      </c>
      <c r="CT191" s="9">
        <f t="shared" si="289"/>
        <v>0.21375834403091501</v>
      </c>
      <c r="CU191" s="4">
        <f t="shared" si="317"/>
        <v>786.58783528201707</v>
      </c>
      <c r="CV191" s="6">
        <f t="shared" si="290"/>
        <v>5.073175670564035E-6</v>
      </c>
      <c r="CW191" s="8">
        <f t="shared" si="291"/>
        <v>24.934760105743194</v>
      </c>
      <c r="CX191" s="7">
        <f t="shared" si="292"/>
        <v>1.2696604007652625E-2</v>
      </c>
      <c r="CY191" s="9">
        <f t="shared" si="293"/>
        <v>0.22120224845193487</v>
      </c>
      <c r="CZ191" s="5">
        <f t="shared" si="318"/>
        <v>670.62826338960383</v>
      </c>
      <c r="DA191" s="6">
        <f t="shared" si="294"/>
        <v>4.8412565267792082E-6</v>
      </c>
      <c r="DB191" s="8">
        <f t="shared" si="295"/>
        <v>29.767844711394531</v>
      </c>
      <c r="DC191" s="7">
        <f t="shared" si="296"/>
        <v>1.2116181463344708E-2</v>
      </c>
      <c r="DD191" s="9">
        <f t="shared" si="297"/>
        <v>0.18528801979031859</v>
      </c>
    </row>
    <row r="192" spans="2:108" x14ac:dyDescent="0.25">
      <c r="B192">
        <v>173</v>
      </c>
      <c r="C192">
        <f t="shared" si="298"/>
        <v>0.1691273372777285</v>
      </c>
      <c r="D192" s="4">
        <f t="shared" si="215"/>
        <v>1017.1590392416699</v>
      </c>
      <c r="E192" s="6">
        <f t="shared" si="216"/>
        <v>5.5343180784833401E-6</v>
      </c>
      <c r="F192" s="8">
        <f t="shared" si="217"/>
        <v>27.586328951279203</v>
      </c>
      <c r="G192" s="7">
        <f t="shared" si="213"/>
        <v>1.3850702135667158E-2</v>
      </c>
      <c r="H192" s="9">
        <f t="shared" si="218"/>
        <v>0.19994052161638692</v>
      </c>
      <c r="I192" s="4">
        <f t="shared" si="299"/>
        <v>1016.8343720523447</v>
      </c>
      <c r="J192" s="6">
        <f t="shared" si="219"/>
        <v>5.5336687441046901E-6</v>
      </c>
      <c r="K192" s="8">
        <f t="shared" si="220"/>
        <v>27.582595278601964</v>
      </c>
      <c r="L192" s="7">
        <f t="shared" si="221"/>
        <v>1.3849077050708616E-2</v>
      </c>
      <c r="M192" s="9">
        <f t="shared" si="222"/>
        <v>0.19996758623648855</v>
      </c>
      <c r="N192" s="4">
        <f t="shared" si="300"/>
        <v>1015.9282354274341</v>
      </c>
      <c r="O192" s="6">
        <f t="shared" si="223"/>
        <v>5.5318564708548682E-6</v>
      </c>
      <c r="P192" s="8">
        <f t="shared" si="224"/>
        <v>27.572174707415492</v>
      </c>
      <c r="Q192" s="7">
        <f t="shared" si="214"/>
        <v>1.3850702135667158E-2</v>
      </c>
      <c r="R192" s="9">
        <f t="shared" si="225"/>
        <v>0.20004316157610091</v>
      </c>
      <c r="S192" s="4">
        <f t="shared" si="301"/>
        <v>1014.4265918550956</v>
      </c>
      <c r="T192" s="6">
        <f t="shared" si="226"/>
        <v>5.528853183710192E-6</v>
      </c>
      <c r="U192" s="8">
        <f t="shared" si="227"/>
        <v>27.554905806333601</v>
      </c>
      <c r="V192" s="7">
        <f t="shared" si="228"/>
        <v>1.3837025178789686E-2</v>
      </c>
      <c r="W192" s="9">
        <f t="shared" si="229"/>
        <v>0.20016853037952365</v>
      </c>
      <c r="X192" s="4">
        <f t="shared" si="302"/>
        <v>1012.3275057618689</v>
      </c>
      <c r="Y192" s="6">
        <f t="shared" si="230"/>
        <v>5.5246550115237385E-6</v>
      </c>
      <c r="Z192" s="8">
        <f t="shared" si="231"/>
        <v>27.530766316261492</v>
      </c>
      <c r="AA192" s="7">
        <f t="shared" si="232"/>
        <v>1.3826518440354306E-2</v>
      </c>
      <c r="AB192" s="9">
        <f t="shared" si="233"/>
        <v>0.20034404188531821</v>
      </c>
      <c r="AC192" s="4">
        <f t="shared" si="303"/>
        <v>1009.6295164308463</v>
      </c>
      <c r="AD192" s="6">
        <f t="shared" si="234"/>
        <v>5.5192590328616928E-6</v>
      </c>
      <c r="AE192" s="8">
        <f t="shared" si="235"/>
        <v>27.49973943895473</v>
      </c>
      <c r="AF192" s="7">
        <f t="shared" si="236"/>
        <v>1.3813013959383294E-2</v>
      </c>
      <c r="AG192" s="9">
        <f t="shared" si="237"/>
        <v>0.20057008220910075</v>
      </c>
      <c r="AH192" s="4">
        <f t="shared" si="304"/>
        <v>1006.3322950328546</v>
      </c>
      <c r="AI192" s="6">
        <f t="shared" si="238"/>
        <v>5.5126645900657088E-6</v>
      </c>
      <c r="AJ192" s="8">
        <f t="shared" si="239"/>
        <v>27.461821392877827</v>
      </c>
      <c r="AK192" s="7">
        <f t="shared" si="240"/>
        <v>1.3796510089959347E-2</v>
      </c>
      <c r="AL192" s="9">
        <f t="shared" si="241"/>
        <v>0.20084702034477828</v>
      </c>
      <c r="AM192" s="4">
        <f t="shared" si="305"/>
        <v>1002.4357206895089</v>
      </c>
      <c r="AN192" s="6">
        <f t="shared" si="242"/>
        <v>5.5048714413790181E-6</v>
      </c>
      <c r="AO192" s="8">
        <f t="shared" si="243"/>
        <v>27.41701078792935</v>
      </c>
      <c r="AP192" s="7">
        <f t="shared" si="244"/>
        <v>1.3777006227039364E-2</v>
      </c>
      <c r="AQ192" s="9">
        <f t="shared" si="245"/>
        <v>0.20117528649141855</v>
      </c>
      <c r="AR192" s="4">
        <f t="shared" si="306"/>
        <v>997.93971571010297</v>
      </c>
      <c r="AS192" s="6">
        <f t="shared" si="246"/>
        <v>5.4958794314202069E-6</v>
      </c>
      <c r="AT192" s="8">
        <f t="shared" si="247"/>
        <v>27.365306730666184</v>
      </c>
      <c r="AU192" s="7">
        <f t="shared" si="248"/>
        <v>1.3754501981751285E-2</v>
      </c>
      <c r="AV192" s="9">
        <f t="shared" si="249"/>
        <v>0.20155538742122212</v>
      </c>
      <c r="AW192" s="4">
        <f t="shared" si="307"/>
        <v>992.84401872639569</v>
      </c>
      <c r="AX192" s="6">
        <f t="shared" si="250"/>
        <v>5.485688037452792E-6</v>
      </c>
      <c r="AY192" s="8">
        <f t="shared" si="251"/>
        <v>27.30670621535355</v>
      </c>
      <c r="AZ192" s="7">
        <f t="shared" si="252"/>
        <v>1.3728996045845885E-2</v>
      </c>
      <c r="BA192" s="9">
        <f t="shared" si="253"/>
        <v>0.20198792767246196</v>
      </c>
      <c r="BB192" s="4">
        <f t="shared" si="308"/>
        <v>987.14733765901713</v>
      </c>
      <c r="BC192" s="6">
        <f t="shared" si="254"/>
        <v>5.4742946753180351E-6</v>
      </c>
      <c r="BD192" s="8">
        <f t="shared" si="255"/>
        <v>27.241194383078696</v>
      </c>
      <c r="BE192" s="7">
        <f t="shared" si="256"/>
        <v>1.3700481951965765E-2</v>
      </c>
      <c r="BF192" s="9">
        <f t="shared" si="257"/>
        <v>0.20247368461296686</v>
      </c>
      <c r="BG192" s="4">
        <f t="shared" si="309"/>
        <v>980.84367441417032</v>
      </c>
      <c r="BH192" s="6">
        <f t="shared" si="258"/>
        <v>5.4616873488283406E-6</v>
      </c>
      <c r="BI192" s="8">
        <f t="shared" si="259"/>
        <v>27.168702255762959</v>
      </c>
      <c r="BJ192" s="7">
        <f t="shared" si="260"/>
        <v>1.3668929677329661E-2</v>
      </c>
      <c r="BK192" s="9">
        <f t="shared" si="261"/>
        <v>0.20301392933959658</v>
      </c>
      <c r="BL192" s="4">
        <f t="shared" si="310"/>
        <v>973.90765727830535</v>
      </c>
      <c r="BM192" s="6">
        <f t="shared" si="262"/>
        <v>5.4478153145566116E-6</v>
      </c>
      <c r="BN192" s="8">
        <f t="shared" si="263"/>
        <v>27.08893805870051</v>
      </c>
      <c r="BO192" s="7">
        <f t="shared" si="264"/>
        <v>1.363421222669008E-2</v>
      </c>
      <c r="BP192" s="9">
        <f t="shared" si="265"/>
        <v>0.20361170999202291</v>
      </c>
      <c r="BQ192" s="4">
        <f t="shared" si="311"/>
        <v>966.24249308975402</v>
      </c>
      <c r="BR192" s="6">
        <f t="shared" si="266"/>
        <v>5.4324849861795088E-6</v>
      </c>
      <c r="BS192" s="8">
        <f t="shared" si="267"/>
        <v>27.00078867053217</v>
      </c>
      <c r="BT192" s="7">
        <f t="shared" si="268"/>
        <v>1.3595845112805038E-2</v>
      </c>
      <c r="BU192" s="9">
        <f t="shared" si="269"/>
        <v>0.20427644048855445</v>
      </c>
      <c r="BV192" s="4">
        <f t="shared" si="312"/>
        <v>957.51915333406146</v>
      </c>
      <c r="BW192" s="6">
        <f t="shared" si="270"/>
        <v>5.4150383066681231E-6</v>
      </c>
      <c r="BX192" s="8">
        <f t="shared" si="271"/>
        <v>26.900470263341706</v>
      </c>
      <c r="BY192" s="7">
        <f t="shared" si="272"/>
        <v>1.3552181420595487E-2</v>
      </c>
      <c r="BZ192" s="9">
        <f t="shared" si="273"/>
        <v>0.20503823710161498</v>
      </c>
      <c r="CA192" s="4">
        <f t="shared" si="313"/>
        <v>946.75622186478176</v>
      </c>
      <c r="CB192" s="6">
        <f t="shared" si="274"/>
        <v>5.3935124437295643E-6</v>
      </c>
      <c r="CC192" s="8">
        <f t="shared" si="275"/>
        <v>26.776696551444989</v>
      </c>
      <c r="CD192" s="7">
        <f t="shared" si="276"/>
        <v>1.3498308782350437E-2</v>
      </c>
      <c r="CE192" s="9">
        <f t="shared" si="277"/>
        <v>0.20598601434658126</v>
      </c>
      <c r="CF192" s="4">
        <f t="shared" si="314"/>
        <v>931.43628357200794</v>
      </c>
      <c r="CG192" s="6">
        <f t="shared" si="278"/>
        <v>5.362872567144016E-6</v>
      </c>
      <c r="CH192" s="8">
        <f t="shared" si="279"/>
        <v>26.600517261078089</v>
      </c>
      <c r="CI192" s="7">
        <f t="shared" si="280"/>
        <v>1.3421626560974334E-2</v>
      </c>
      <c r="CJ192" s="9">
        <f t="shared" si="281"/>
        <v>0.20735029119416673</v>
      </c>
      <c r="CK192" s="4">
        <f t="shared" si="315"/>
        <v>906.15900533149363</v>
      </c>
      <c r="CL192" s="6">
        <f t="shared" si="282"/>
        <v>5.3123180106629878E-6</v>
      </c>
      <c r="CM192" s="8">
        <f t="shared" si="283"/>
        <v>26.309828561312177</v>
      </c>
      <c r="CN192" s="7">
        <f t="shared" si="284"/>
        <v>1.3295103998756266E-2</v>
      </c>
      <c r="CO192" s="9">
        <f t="shared" si="285"/>
        <v>0.20964123681560445</v>
      </c>
      <c r="CP192" s="4">
        <f t="shared" si="316"/>
        <v>861.63596385380674</v>
      </c>
      <c r="CQ192" s="6">
        <f t="shared" si="286"/>
        <v>5.2232719277076138E-6</v>
      </c>
      <c r="CR192" s="8">
        <f t="shared" si="287"/>
        <v>25.797813584318774</v>
      </c>
      <c r="CS192" s="7">
        <f t="shared" si="288"/>
        <v>1.3072248941661176E-2</v>
      </c>
      <c r="CT192" s="9">
        <f t="shared" si="289"/>
        <v>0.21380203333792125</v>
      </c>
      <c r="CU192" s="4">
        <f t="shared" si="317"/>
        <v>785.9931586796647</v>
      </c>
      <c r="CV192" s="6">
        <f t="shared" si="290"/>
        <v>5.0719863173593293E-6</v>
      </c>
      <c r="CW192" s="8">
        <f t="shared" si="291"/>
        <v>24.927921324816143</v>
      </c>
      <c r="CX192" s="7">
        <f t="shared" si="292"/>
        <v>1.269362742106348E-2</v>
      </c>
      <c r="CY192" s="9">
        <f t="shared" si="293"/>
        <v>0.22126293356474563</v>
      </c>
      <c r="CZ192" s="5">
        <f t="shared" si="318"/>
        <v>670.03616427514407</v>
      </c>
      <c r="DA192" s="6">
        <f t="shared" si="294"/>
        <v>4.8400723285502885E-6</v>
      </c>
      <c r="DB192" s="8">
        <f t="shared" si="295"/>
        <v>29.886738213578013</v>
      </c>
      <c r="DC192" s="7">
        <f t="shared" si="296"/>
        <v>1.211321777808019E-2</v>
      </c>
      <c r="DD192" s="9">
        <f t="shared" si="297"/>
        <v>0.18455091889198419</v>
      </c>
    </row>
    <row r="193" spans="2:108" x14ac:dyDescent="0.25">
      <c r="B193">
        <v>174</v>
      </c>
      <c r="C193">
        <f t="shared" si="298"/>
        <v>0.17010495194407377</v>
      </c>
      <c r="D193" s="4">
        <f t="shared" si="215"/>
        <v>1017.1424633750928</v>
      </c>
      <c r="E193" s="6">
        <f t="shared" si="216"/>
        <v>5.534284926750186E-6</v>
      </c>
      <c r="F193" s="8">
        <f t="shared" si="217"/>
        <v>27.586138328813568</v>
      </c>
      <c r="G193" s="7">
        <f t="shared" si="213"/>
        <v>1.385061916703856E-2</v>
      </c>
      <c r="H193" s="9">
        <f t="shared" si="218"/>
        <v>0.19994190322169741</v>
      </c>
      <c r="I193" s="4">
        <f t="shared" si="299"/>
        <v>1016.817794643185</v>
      </c>
      <c r="J193" s="6">
        <f t="shared" si="219"/>
        <v>5.5336355892863701E-6</v>
      </c>
      <c r="K193" s="8">
        <f t="shared" si="220"/>
        <v>27.582404638396625</v>
      </c>
      <c r="L193" s="7">
        <f t="shared" si="221"/>
        <v>1.3848994074358792E-2</v>
      </c>
      <c r="M193" s="9">
        <f t="shared" si="222"/>
        <v>0.19996896834447372</v>
      </c>
      <c r="N193" s="4">
        <f t="shared" si="300"/>
        <v>1015.9116519218269</v>
      </c>
      <c r="O193" s="6">
        <f t="shared" si="223"/>
        <v>5.5318233038436538E-6</v>
      </c>
      <c r="P193" s="8">
        <f t="shared" si="224"/>
        <v>27.571983997101007</v>
      </c>
      <c r="Q193" s="7">
        <f t="shared" si="214"/>
        <v>1.385061916703856E-2</v>
      </c>
      <c r="R193" s="9">
        <f t="shared" si="225"/>
        <v>0.200044545237656</v>
      </c>
      <c r="S193" s="4">
        <f t="shared" si="301"/>
        <v>1014.4100048503777</v>
      </c>
      <c r="T193" s="6">
        <f t="shared" si="226"/>
        <v>5.5288200097007567E-6</v>
      </c>
      <c r="U193" s="8">
        <f t="shared" si="227"/>
        <v>27.554715055779344</v>
      </c>
      <c r="V193" s="7">
        <f t="shared" si="228"/>
        <v>1.383694215441038E-2</v>
      </c>
      <c r="W193" s="9">
        <f t="shared" si="229"/>
        <v>0.20016991606825377</v>
      </c>
      <c r="X193" s="4">
        <f t="shared" si="302"/>
        <v>1012.310921665517</v>
      </c>
      <c r="Y193" s="6">
        <f t="shared" si="230"/>
        <v>5.5246218433310342E-6</v>
      </c>
      <c r="Z193" s="8">
        <f t="shared" si="231"/>
        <v>27.530575599153444</v>
      </c>
      <c r="AA193" s="7">
        <f t="shared" si="232"/>
        <v>1.3826435430532497E-2</v>
      </c>
      <c r="AB193" s="9">
        <f t="shared" si="233"/>
        <v>0.20034542976172295</v>
      </c>
      <c r="AC193" s="4">
        <f t="shared" si="303"/>
        <v>1009.6129419479607</v>
      </c>
      <c r="AD193" s="6">
        <f t="shared" si="234"/>
        <v>5.5192258838959216E-6</v>
      </c>
      <c r="AE193" s="8">
        <f t="shared" si="235"/>
        <v>27.499548832401548</v>
      </c>
      <c r="AF193" s="7">
        <f t="shared" si="236"/>
        <v>1.3812930997680608E-2</v>
      </c>
      <c r="AG193" s="9">
        <f t="shared" si="237"/>
        <v>0.20057147241271006</v>
      </c>
      <c r="AH193" s="4">
        <f t="shared" si="304"/>
        <v>1006.3157355949617</v>
      </c>
      <c r="AI193" s="6">
        <f t="shared" si="238"/>
        <v>5.5126314711899233E-6</v>
      </c>
      <c r="AJ193" s="8">
        <f t="shared" si="239"/>
        <v>27.46163095934206</v>
      </c>
      <c r="AK193" s="7">
        <f t="shared" si="240"/>
        <v>1.3796427203562674E-2</v>
      </c>
      <c r="AL193" s="9">
        <f t="shared" si="241"/>
        <v>0.20084841312470053</v>
      </c>
      <c r="AM193" s="4">
        <f t="shared" si="305"/>
        <v>1002.4191801448266</v>
      </c>
      <c r="AN193" s="6">
        <f t="shared" si="242"/>
        <v>5.5048383602896535E-6</v>
      </c>
      <c r="AO193" s="8">
        <f t="shared" si="243"/>
        <v>27.416820571665504</v>
      </c>
      <c r="AP193" s="7">
        <f t="shared" si="244"/>
        <v>1.3776923435210522E-2</v>
      </c>
      <c r="AQ193" s="9">
        <f t="shared" si="245"/>
        <v>0.20117668223354243</v>
      </c>
      <c r="AR193" s="4">
        <f t="shared" si="306"/>
        <v>997.92319479030255</v>
      </c>
      <c r="AS193" s="6">
        <f t="shared" si="246"/>
        <v>5.4958463895806051E-6</v>
      </c>
      <c r="AT193" s="8">
        <f t="shared" si="247"/>
        <v>27.365116740088478</v>
      </c>
      <c r="AU193" s="7">
        <f t="shared" si="248"/>
        <v>1.3754419288152572E-2</v>
      </c>
      <c r="AV193" s="9">
        <f t="shared" si="249"/>
        <v>0.20155678678029884</v>
      </c>
      <c r="AW193" s="4">
        <f t="shared" si="307"/>
        <v>992.8275057119439</v>
      </c>
      <c r="AX193" s="6">
        <f t="shared" si="250"/>
        <v>5.4856550114238885E-6</v>
      </c>
      <c r="AY193" s="8">
        <f t="shared" si="251"/>
        <v>27.306516315687354</v>
      </c>
      <c r="AZ193" s="7">
        <f t="shared" si="252"/>
        <v>1.3728913391816502E-2</v>
      </c>
      <c r="BA193" s="9">
        <f t="shared" si="253"/>
        <v>0.20198933237160399</v>
      </c>
      <c r="BB193" s="4">
        <f t="shared" si="308"/>
        <v>987.13076686888553</v>
      </c>
      <c r="BC193" s="6">
        <f t="shared" si="254"/>
        <v>5.474261533737772E-6</v>
      </c>
      <c r="BD193" s="8">
        <f t="shared" si="255"/>
        <v>27.241003818992183</v>
      </c>
      <c r="BE193" s="7">
        <f t="shared" si="256"/>
        <v>1.3700399008746741E-2</v>
      </c>
      <c r="BF193" s="9">
        <f t="shared" si="257"/>
        <v>0.20247510101498373</v>
      </c>
      <c r="BG193" s="4">
        <f t="shared" si="309"/>
        <v>980.82676596336842</v>
      </c>
      <c r="BH193" s="6">
        <f t="shared" si="258"/>
        <v>5.4616535319267369E-6</v>
      </c>
      <c r="BI193" s="8">
        <f t="shared" si="259"/>
        <v>27.168507808578738</v>
      </c>
      <c r="BJ193" s="7">
        <f t="shared" si="260"/>
        <v>1.3668845043988279E-2</v>
      </c>
      <c r="BK193" s="9">
        <f t="shared" si="261"/>
        <v>0.20301538232653263</v>
      </c>
      <c r="BL193" s="4">
        <f t="shared" si="310"/>
        <v>973.88937479335357</v>
      </c>
      <c r="BM193" s="6">
        <f t="shared" si="262"/>
        <v>5.447778749586708E-6</v>
      </c>
      <c r="BN193" s="8">
        <f t="shared" si="263"/>
        <v>27.088727810123565</v>
      </c>
      <c r="BO193" s="7">
        <f t="shared" si="264"/>
        <v>1.3634120715775898E-2</v>
      </c>
      <c r="BP193" s="9">
        <f t="shared" si="265"/>
        <v>0.20361329031992073</v>
      </c>
      <c r="BQ193" s="4">
        <f t="shared" si="311"/>
        <v>966.21947184090516</v>
      </c>
      <c r="BR193" s="6">
        <f t="shared" si="266"/>
        <v>5.4324389436818109E-6</v>
      </c>
      <c r="BS193" s="8">
        <f t="shared" si="267"/>
        <v>27.000523926170409</v>
      </c>
      <c r="BT193" s="7">
        <f t="shared" si="268"/>
        <v>1.3595729882543215E-2</v>
      </c>
      <c r="BU193" s="9">
        <f t="shared" si="269"/>
        <v>0.20427844345101576</v>
      </c>
      <c r="BV193" s="4">
        <f t="shared" si="312"/>
        <v>957.48196180748164</v>
      </c>
      <c r="BW193" s="6">
        <f t="shared" si="270"/>
        <v>5.4149639236149641E-6</v>
      </c>
      <c r="BX193" s="8">
        <f t="shared" si="271"/>
        <v>26.900042560786037</v>
      </c>
      <c r="BY193" s="7">
        <f t="shared" si="272"/>
        <v>1.3551995262608425E-2</v>
      </c>
      <c r="BZ193" s="9">
        <f t="shared" si="273"/>
        <v>0.20504149714768444</v>
      </c>
      <c r="CA193" s="4">
        <f t="shared" si="313"/>
        <v>946.68268283231646</v>
      </c>
      <c r="CB193" s="6">
        <f t="shared" si="274"/>
        <v>5.3933653656646332E-6</v>
      </c>
      <c r="CC193" s="8">
        <f t="shared" si="275"/>
        <v>26.775850852571637</v>
      </c>
      <c r="CD193" s="7">
        <f t="shared" si="276"/>
        <v>1.3497940691026599E-2</v>
      </c>
      <c r="CE193" s="9">
        <f t="shared" si="277"/>
        <v>0.20599252028886553</v>
      </c>
      <c r="CF193" s="4">
        <f t="shared" si="314"/>
        <v>931.28475564979715</v>
      </c>
      <c r="CG193" s="6">
        <f t="shared" si="278"/>
        <v>5.3625695112995949E-6</v>
      </c>
      <c r="CH193" s="8">
        <f t="shared" si="279"/>
        <v>26.598774689972664</v>
      </c>
      <c r="CI193" s="7">
        <f t="shared" si="280"/>
        <v>1.3420868105068472E-2</v>
      </c>
      <c r="CJ193" s="9">
        <f t="shared" si="281"/>
        <v>0.20736387537728598</v>
      </c>
      <c r="CK193" s="4">
        <f t="shared" si="315"/>
        <v>905.87315810254643</v>
      </c>
      <c r="CL193" s="6">
        <f t="shared" si="282"/>
        <v>5.3117463162050931E-6</v>
      </c>
      <c r="CM193" s="8">
        <f t="shared" si="283"/>
        <v>26.306541318179285</v>
      </c>
      <c r="CN193" s="7">
        <f t="shared" si="284"/>
        <v>1.32936732227263E-2</v>
      </c>
      <c r="CO193" s="9">
        <f t="shared" si="285"/>
        <v>0.20966743340708177</v>
      </c>
      <c r="CP193" s="4">
        <f t="shared" si="316"/>
        <v>861.17789439840419</v>
      </c>
      <c r="CQ193" s="6">
        <f t="shared" si="286"/>
        <v>5.2223557887968093E-6</v>
      </c>
      <c r="CR193" s="8">
        <f t="shared" si="287"/>
        <v>25.792545785581648</v>
      </c>
      <c r="CS193" s="7">
        <f t="shared" si="288"/>
        <v>1.306995612672201E-2</v>
      </c>
      <c r="CT193" s="9">
        <f t="shared" si="289"/>
        <v>0.21384569967821102</v>
      </c>
      <c r="CU193" s="4">
        <f t="shared" si="317"/>
        <v>785.4003539694977</v>
      </c>
      <c r="CV193" s="6">
        <f t="shared" si="290"/>
        <v>5.0708007079389961E-6</v>
      </c>
      <c r="CW193" s="8">
        <f t="shared" si="291"/>
        <v>24.921104070649221</v>
      </c>
      <c r="CX193" s="7">
        <f t="shared" si="292"/>
        <v>1.269066020401932E-2</v>
      </c>
      <c r="CY193" s="9">
        <f t="shared" si="293"/>
        <v>0.22132346080509394</v>
      </c>
      <c r="CZ193" s="5">
        <f t="shared" si="318"/>
        <v>669.44641404352944</v>
      </c>
      <c r="DA193" s="6">
        <f t="shared" si="294"/>
        <v>4.8388928280870599E-6</v>
      </c>
      <c r="DB193" s="8">
        <f t="shared" si="295"/>
        <v>30.005160060086183</v>
      </c>
      <c r="DC193" s="7">
        <f t="shared" si="296"/>
        <v>1.2110265849883549E-2</v>
      </c>
      <c r="DD193" s="9">
        <f t="shared" si="297"/>
        <v>0.18382254882009644</v>
      </c>
    </row>
    <row r="194" spans="2:108" x14ac:dyDescent="0.25">
      <c r="B194">
        <v>175</v>
      </c>
      <c r="C194">
        <f t="shared" si="298"/>
        <v>0.17108256661041901</v>
      </c>
      <c r="D194" s="4">
        <f t="shared" si="215"/>
        <v>1017.1258874297592</v>
      </c>
      <c r="E194" s="6">
        <f t="shared" si="216"/>
        <v>5.5342517748595193E-6</v>
      </c>
      <c r="F194" s="8">
        <f t="shared" si="217"/>
        <v>27.58594770544223</v>
      </c>
      <c r="G194" s="7">
        <f t="shared" si="213"/>
        <v>1.3850536198015755E-2</v>
      </c>
      <c r="H194" s="9">
        <f t="shared" si="218"/>
        <v>0.19994328485266658</v>
      </c>
      <c r="I194" s="4">
        <f t="shared" si="299"/>
        <v>1016.8012172173527</v>
      </c>
      <c r="J194" s="6">
        <f t="shared" si="219"/>
        <v>5.5336024344347066E-6</v>
      </c>
      <c r="K194" s="8">
        <f t="shared" si="220"/>
        <v>27.582213997999553</v>
      </c>
      <c r="L194" s="7">
        <f t="shared" si="221"/>
        <v>1.384891109792552E-2</v>
      </c>
      <c r="M194" s="9">
        <f t="shared" si="222"/>
        <v>0.19997035047295442</v>
      </c>
      <c r="N194" s="4">
        <f t="shared" si="300"/>
        <v>1015.8950685183282</v>
      </c>
      <c r="O194" s="6">
        <f t="shared" si="223"/>
        <v>5.5317901370366573E-6</v>
      </c>
      <c r="P194" s="8">
        <f t="shared" si="224"/>
        <v>27.571793287960773</v>
      </c>
      <c r="Q194" s="7">
        <f t="shared" si="214"/>
        <v>1.3850536198015755E-2</v>
      </c>
      <c r="R194" s="9">
        <f t="shared" si="225"/>
        <v>0.20004592890983258</v>
      </c>
      <c r="S194" s="4">
        <f t="shared" si="301"/>
        <v>1014.3934180324038</v>
      </c>
      <c r="T194" s="6">
        <f t="shared" si="226"/>
        <v>5.5287868360648086E-6</v>
      </c>
      <c r="U194" s="8">
        <f t="shared" si="227"/>
        <v>27.554524307372645</v>
      </c>
      <c r="V194" s="7">
        <f t="shared" si="228"/>
        <v>1.3836859130965801E-2</v>
      </c>
      <c r="W194" s="9">
        <f t="shared" si="229"/>
        <v>0.20017130176056816</v>
      </c>
      <c r="X194" s="4">
        <f t="shared" si="302"/>
        <v>1012.2943377831072</v>
      </c>
      <c r="Y194" s="6">
        <f t="shared" si="230"/>
        <v>5.5245886755662154E-6</v>
      </c>
      <c r="Z194" s="8">
        <f t="shared" si="231"/>
        <v>27.530384884505729</v>
      </c>
      <c r="AA194" s="7">
        <f t="shared" si="232"/>
        <v>1.3826352421781556E-2</v>
      </c>
      <c r="AB194" s="9">
        <f t="shared" si="233"/>
        <v>0.20034681763945217</v>
      </c>
      <c r="AC194" s="4">
        <f t="shared" si="303"/>
        <v>1009.596367673774</v>
      </c>
      <c r="AD194" s="6">
        <f t="shared" si="234"/>
        <v>5.5191927353475487E-6</v>
      </c>
      <c r="AE194" s="8">
        <f t="shared" si="235"/>
        <v>27.499358228248401</v>
      </c>
      <c r="AF194" s="7">
        <f t="shared" si="236"/>
        <v>1.3812848037022539E-2</v>
      </c>
      <c r="AG194" s="9">
        <f t="shared" si="237"/>
        <v>0.20057286261808602</v>
      </c>
      <c r="AH194" s="4">
        <f t="shared" si="304"/>
        <v>1006.299176348745</v>
      </c>
      <c r="AI194" s="6">
        <f t="shared" si="238"/>
        <v>5.5125983526974905E-6</v>
      </c>
      <c r="AJ194" s="8">
        <f t="shared" si="239"/>
        <v>27.461440528010566</v>
      </c>
      <c r="AK194" s="7">
        <f t="shared" si="240"/>
        <v>1.3796344318125415E-2</v>
      </c>
      <c r="AL194" s="9">
        <f t="shared" si="241"/>
        <v>0.20084980590781765</v>
      </c>
      <c r="AM194" s="4">
        <f t="shared" si="305"/>
        <v>1002.4026397475678</v>
      </c>
      <c r="AN194" s="6">
        <f t="shared" si="242"/>
        <v>5.5048052794951361E-6</v>
      </c>
      <c r="AO194" s="8">
        <f t="shared" si="243"/>
        <v>27.416630357097027</v>
      </c>
      <c r="AP194" s="7">
        <f t="shared" si="244"/>
        <v>1.3776840644119593E-2</v>
      </c>
      <c r="AQ194" s="9">
        <f t="shared" si="245"/>
        <v>0.20117807798259327</v>
      </c>
      <c r="AR194" s="4">
        <f t="shared" si="306"/>
        <v>997.90667383202981</v>
      </c>
      <c r="AS194" s="6">
        <f t="shared" si="246"/>
        <v>5.4958133476640605E-6</v>
      </c>
      <c r="AT194" s="8">
        <f t="shared" si="247"/>
        <v>27.364926749068342</v>
      </c>
      <c r="AU194" s="7">
        <f t="shared" si="248"/>
        <v>1.3754336594361292E-2</v>
      </c>
      <c r="AV194" s="9">
        <f t="shared" si="249"/>
        <v>0.20155818616206539</v>
      </c>
      <c r="AW194" s="4">
        <f t="shared" si="307"/>
        <v>992.81099185526466</v>
      </c>
      <c r="AX194" s="6">
        <f t="shared" si="250"/>
        <v>5.4856219837105296E-6</v>
      </c>
      <c r="AY194" s="8">
        <f t="shared" si="251"/>
        <v>27.306326406335543</v>
      </c>
      <c r="AZ194" s="7">
        <f t="shared" si="252"/>
        <v>1.3728830733571446E-2</v>
      </c>
      <c r="BA194" s="9">
        <f t="shared" si="253"/>
        <v>0.20199073716193031</v>
      </c>
      <c r="BB194" s="4">
        <f t="shared" si="308"/>
        <v>987.11419206458481</v>
      </c>
      <c r="BC194" s="6">
        <f t="shared" si="254"/>
        <v>5.4742283841291705E-6</v>
      </c>
      <c r="BD194" s="8">
        <f t="shared" si="255"/>
        <v>27.240813208742722</v>
      </c>
      <c r="BE194" s="7">
        <f t="shared" si="256"/>
        <v>1.3700316045435248E-2</v>
      </c>
      <c r="BF194" s="9">
        <f t="shared" si="257"/>
        <v>0.20247651777993925</v>
      </c>
      <c r="BG194" s="4">
        <f t="shared" si="309"/>
        <v>980.80984235036851</v>
      </c>
      <c r="BH194" s="6">
        <f t="shared" si="258"/>
        <v>5.461619684700737E-6</v>
      </c>
      <c r="BI194" s="8">
        <f t="shared" si="259"/>
        <v>27.168313187029238</v>
      </c>
      <c r="BJ194" s="7">
        <f t="shared" si="260"/>
        <v>1.3668760334754223E-2</v>
      </c>
      <c r="BK194" s="9">
        <f t="shared" si="261"/>
        <v>0.20301683663722203</v>
      </c>
      <c r="BL194" s="4">
        <f t="shared" si="310"/>
        <v>973.87104294858625</v>
      </c>
      <c r="BM194" s="6">
        <f t="shared" si="262"/>
        <v>5.4477420858971727E-6</v>
      </c>
      <c r="BN194" s="8">
        <f t="shared" si="263"/>
        <v>27.08851699390874</v>
      </c>
      <c r="BO194" s="7">
        <f t="shared" si="264"/>
        <v>1.3634028957796732E-2</v>
      </c>
      <c r="BP194" s="9">
        <f t="shared" si="265"/>
        <v>0.20361487493908476</v>
      </c>
      <c r="BQ194" s="4">
        <f t="shared" si="311"/>
        <v>966.19631224182558</v>
      </c>
      <c r="BR194" s="6">
        <f t="shared" si="266"/>
        <v>5.4323926244836518E-6</v>
      </c>
      <c r="BS194" s="8">
        <f t="shared" si="267"/>
        <v>27.000257590780993</v>
      </c>
      <c r="BT194" s="7">
        <f t="shared" si="268"/>
        <v>1.3595613959784933E-2</v>
      </c>
      <c r="BU194" s="9">
        <f t="shared" si="269"/>
        <v>0.20428045849026502</v>
      </c>
      <c r="BV194" s="4">
        <f t="shared" si="312"/>
        <v>957.4444445556835</v>
      </c>
      <c r="BW194" s="6">
        <f t="shared" si="270"/>
        <v>5.4148888891113673E-6</v>
      </c>
      <c r="BX194" s="8">
        <f t="shared" si="271"/>
        <v>26.89961111239036</v>
      </c>
      <c r="BY194" s="7">
        <f t="shared" si="272"/>
        <v>1.3551807474240559E-2</v>
      </c>
      <c r="BZ194" s="9">
        <f t="shared" si="273"/>
        <v>0.20504478585043265</v>
      </c>
      <c r="CA194" s="4">
        <f t="shared" si="313"/>
        <v>946.60852885402824</v>
      </c>
      <c r="CB194" s="6">
        <f t="shared" si="274"/>
        <v>5.3932170577080567E-6</v>
      </c>
      <c r="CC194" s="8">
        <f t="shared" si="275"/>
        <v>26.774998081821323</v>
      </c>
      <c r="CD194" s="7">
        <f t="shared" si="276"/>
        <v>1.3497569521660877E-2</v>
      </c>
      <c r="CE194" s="9">
        <f t="shared" si="277"/>
        <v>0.2059990810510941</v>
      </c>
      <c r="CF194" s="4">
        <f t="shared" si="314"/>
        <v>931.13238201922013</v>
      </c>
      <c r="CG194" s="6">
        <f t="shared" si="278"/>
        <v>5.3622647640384409E-6</v>
      </c>
      <c r="CH194" s="8">
        <f t="shared" si="279"/>
        <v>26.597022393221032</v>
      </c>
      <c r="CI194" s="7">
        <f t="shared" si="280"/>
        <v>1.3420105416064868E-2</v>
      </c>
      <c r="CJ194" s="9">
        <f t="shared" si="281"/>
        <v>0.20737753717144689</v>
      </c>
      <c r="CK194" s="4">
        <f t="shared" si="315"/>
        <v>905.58669746201917</v>
      </c>
      <c r="CL194" s="6">
        <f t="shared" si="282"/>
        <v>5.3111733949240392E-6</v>
      </c>
      <c r="CM194" s="8">
        <f t="shared" si="283"/>
        <v>26.30324702081322</v>
      </c>
      <c r="CN194" s="7">
        <f t="shared" si="284"/>
        <v>1.3292239376333928E-2</v>
      </c>
      <c r="CO194" s="9">
        <f t="shared" si="285"/>
        <v>0.20969369278384525</v>
      </c>
      <c r="CP194" s="4">
        <f t="shared" si="316"/>
        <v>860.72025929829283</v>
      </c>
      <c r="CQ194" s="6">
        <f t="shared" si="286"/>
        <v>5.221440518596586E-6</v>
      </c>
      <c r="CR194" s="8">
        <f t="shared" si="287"/>
        <v>25.787282981930367</v>
      </c>
      <c r="CS194" s="7">
        <f t="shared" si="288"/>
        <v>1.3067665485899209E-2</v>
      </c>
      <c r="CT194" s="9">
        <f t="shared" si="289"/>
        <v>0.21388934242761837</v>
      </c>
      <c r="CU194" s="4">
        <f t="shared" si="317"/>
        <v>784.80940846127396</v>
      </c>
      <c r="CV194" s="6">
        <f t="shared" si="290"/>
        <v>5.0696188169225487E-6</v>
      </c>
      <c r="CW194" s="8">
        <f t="shared" si="291"/>
        <v>24.914308197304649</v>
      </c>
      <c r="CX194" s="7">
        <f t="shared" si="292"/>
        <v>1.2687702293000563E-2</v>
      </c>
      <c r="CY194" s="9">
        <f t="shared" si="293"/>
        <v>0.2213838311832679</v>
      </c>
      <c r="CZ194" s="5">
        <f t="shared" si="318"/>
        <v>668.85899053536048</v>
      </c>
      <c r="DA194" s="6">
        <f t="shared" si="294"/>
        <v>4.8377179810707215E-6</v>
      </c>
      <c r="DB194" s="8">
        <f t="shared" si="295"/>
        <v>30.123114700526457</v>
      </c>
      <c r="DC194" s="7">
        <f t="shared" si="296"/>
        <v>1.2107325567838405E-2</v>
      </c>
      <c r="DD194" s="9">
        <f t="shared" si="297"/>
        <v>0.18310274534471047</v>
      </c>
    </row>
    <row r="195" spans="2:108" x14ac:dyDescent="0.25">
      <c r="B195">
        <v>176</v>
      </c>
      <c r="C195">
        <f t="shared" si="298"/>
        <v>0.17206018127676426</v>
      </c>
      <c r="D195" s="4">
        <f t="shared" si="215"/>
        <v>1017.1093114088388</v>
      </c>
      <c r="E195" s="6">
        <f t="shared" si="216"/>
        <v>5.5342186228176785E-6</v>
      </c>
      <c r="F195" s="8">
        <f t="shared" si="217"/>
        <v>27.585757081201645</v>
      </c>
      <c r="G195" s="7">
        <f t="shared" si="213"/>
        <v>1.3850453228614607E-2</v>
      </c>
      <c r="H195" s="9">
        <f t="shared" si="218"/>
        <v>0.19994466650903087</v>
      </c>
      <c r="I195" s="4">
        <f t="shared" si="299"/>
        <v>1016.7846397768875</v>
      </c>
      <c r="J195" s="6">
        <f t="shared" si="219"/>
        <v>5.5335692795537756E-6</v>
      </c>
      <c r="K195" s="8">
        <f t="shared" si="220"/>
        <v>27.582023357434206</v>
      </c>
      <c r="L195" s="7">
        <f t="shared" si="221"/>
        <v>1.3848828121419002E-2</v>
      </c>
      <c r="M195" s="9">
        <f t="shared" si="222"/>
        <v>0.19997173262176102</v>
      </c>
      <c r="N195" s="4">
        <f t="shared" si="300"/>
        <v>1015.8784852171697</v>
      </c>
      <c r="O195" s="6">
        <f t="shared" si="223"/>
        <v>5.5317569704343404E-6</v>
      </c>
      <c r="P195" s="8">
        <f t="shared" si="224"/>
        <v>27.57160257999745</v>
      </c>
      <c r="Q195" s="7">
        <f t="shared" si="214"/>
        <v>1.3850453228614607E-2</v>
      </c>
      <c r="R195" s="9">
        <f t="shared" si="225"/>
        <v>0.20004731259261138</v>
      </c>
      <c r="S195" s="4">
        <f t="shared" si="301"/>
        <v>1014.376831400636</v>
      </c>
      <c r="T195" s="6">
        <f t="shared" si="226"/>
        <v>5.5287536628012722E-6</v>
      </c>
      <c r="U195" s="8">
        <f t="shared" si="227"/>
        <v>27.554333561107313</v>
      </c>
      <c r="V195" s="7">
        <f t="shared" si="228"/>
        <v>1.3836776108453254E-2</v>
      </c>
      <c r="W195" s="9">
        <f t="shared" si="229"/>
        <v>0.20017268745651151</v>
      </c>
      <c r="X195" s="4">
        <f t="shared" si="302"/>
        <v>1012.277754114226</v>
      </c>
      <c r="Y195" s="6">
        <f t="shared" si="230"/>
        <v>5.5245555082284528E-6</v>
      </c>
      <c r="Z195" s="8">
        <f t="shared" si="231"/>
        <v>27.5301941723136</v>
      </c>
      <c r="AA195" s="7">
        <f t="shared" si="232"/>
        <v>1.3826269414099404E-2</v>
      </c>
      <c r="AB195" s="9">
        <f t="shared" si="233"/>
        <v>0.2003482055185401</v>
      </c>
      <c r="AC195" s="4">
        <f t="shared" si="303"/>
        <v>1009.5797936080899</v>
      </c>
      <c r="AD195" s="6">
        <f t="shared" si="234"/>
        <v>5.5191595872161794E-6</v>
      </c>
      <c r="AE195" s="8">
        <f t="shared" si="235"/>
        <v>27.499167626493033</v>
      </c>
      <c r="AF195" s="7">
        <f t="shared" si="236"/>
        <v>1.3812765077408105E-2</v>
      </c>
      <c r="AG195" s="9">
        <f t="shared" si="237"/>
        <v>0.20057425282524477</v>
      </c>
      <c r="AH195" s="4">
        <f t="shared" si="304"/>
        <v>1006.2826172937557</v>
      </c>
      <c r="AI195" s="6">
        <f t="shared" si="238"/>
        <v>5.5125652345875116E-6</v>
      </c>
      <c r="AJ195" s="8">
        <f t="shared" si="239"/>
        <v>27.461250098878189</v>
      </c>
      <c r="AK195" s="7">
        <f t="shared" si="240"/>
        <v>1.379626143364532E-2</v>
      </c>
      <c r="AL195" s="9">
        <f t="shared" si="241"/>
        <v>0.20085119869416712</v>
      </c>
      <c r="AM195" s="4">
        <f t="shared" si="305"/>
        <v>1002.38609949555</v>
      </c>
      <c r="AN195" s="6">
        <f t="shared" si="242"/>
        <v>5.5047721989911009E-6</v>
      </c>
      <c r="AO195" s="8">
        <f t="shared" si="243"/>
        <v>27.416440144198823</v>
      </c>
      <c r="AP195" s="7">
        <f t="shared" si="244"/>
        <v>1.3776757853755652E-2</v>
      </c>
      <c r="AQ195" s="9">
        <f t="shared" si="245"/>
        <v>0.20117947373875517</v>
      </c>
      <c r="AR195" s="4">
        <f t="shared" si="306"/>
        <v>997.8901528259214</v>
      </c>
      <c r="AS195" s="6">
        <f t="shared" si="246"/>
        <v>5.4957803056518427E-6</v>
      </c>
      <c r="AT195" s="8">
        <f t="shared" si="247"/>
        <v>27.364736757498093</v>
      </c>
      <c r="AU195" s="7">
        <f t="shared" si="248"/>
        <v>1.3754253900330573E-2</v>
      </c>
      <c r="AV195" s="9">
        <f t="shared" si="249"/>
        <v>0.20155958556731549</v>
      </c>
      <c r="AW195" s="4">
        <f t="shared" si="307"/>
        <v>992.79447712075898</v>
      </c>
      <c r="AX195" s="6">
        <f t="shared" si="250"/>
        <v>5.4855889542415187E-6</v>
      </c>
      <c r="AY195" s="8">
        <f t="shared" si="251"/>
        <v>27.306136486888725</v>
      </c>
      <c r="AZ195" s="7">
        <f t="shared" si="252"/>
        <v>1.3728748070932528E-2</v>
      </c>
      <c r="BA195" s="9">
        <f t="shared" si="253"/>
        <v>0.20199214204647276</v>
      </c>
      <c r="BB195" s="4">
        <f t="shared" si="308"/>
        <v>987.09761312683838</v>
      </c>
      <c r="BC195" s="6">
        <f t="shared" si="254"/>
        <v>5.4741952262536773E-6</v>
      </c>
      <c r="BD195" s="8">
        <f t="shared" si="255"/>
        <v>27.240622550958641</v>
      </c>
      <c r="BE195" s="7">
        <f t="shared" si="256"/>
        <v>1.3700233061434258E-2</v>
      </c>
      <c r="BF195" s="9">
        <f t="shared" si="257"/>
        <v>0.20247793491804381</v>
      </c>
      <c r="BG195" s="4">
        <f t="shared" si="309"/>
        <v>980.79290323135785</v>
      </c>
      <c r="BH195" s="6">
        <f t="shared" si="258"/>
        <v>5.4615858064627162E-6</v>
      </c>
      <c r="BI195" s="8">
        <f t="shared" si="259"/>
        <v>27.168118387160614</v>
      </c>
      <c r="BJ195" s="7">
        <f t="shared" si="260"/>
        <v>1.3668675547906585E-2</v>
      </c>
      <c r="BK195" s="9">
        <f t="shared" si="261"/>
        <v>0.203018292301267</v>
      </c>
      <c r="BL195" s="4">
        <f t="shared" si="310"/>
        <v>973.85266092561699</v>
      </c>
      <c r="BM195" s="6">
        <f t="shared" si="262"/>
        <v>5.4477053218512347E-6</v>
      </c>
      <c r="BN195" s="8">
        <f t="shared" si="263"/>
        <v>27.088305600644595</v>
      </c>
      <c r="BO195" s="7">
        <f t="shared" si="264"/>
        <v>1.3633936948656243E-2</v>
      </c>
      <c r="BP195" s="9">
        <f t="shared" si="265"/>
        <v>0.20361646392045835</v>
      </c>
      <c r="BQ195" s="4">
        <f t="shared" si="311"/>
        <v>966.17301280851859</v>
      </c>
      <c r="BR195" s="6">
        <f t="shared" si="266"/>
        <v>5.4323460256170381E-6</v>
      </c>
      <c r="BS195" s="8">
        <f t="shared" si="267"/>
        <v>26.999989647297962</v>
      </c>
      <c r="BT195" s="7">
        <f t="shared" si="268"/>
        <v>1.3595497337102216E-2</v>
      </c>
      <c r="BU195" s="9">
        <f t="shared" si="269"/>
        <v>0.20428248573613728</v>
      </c>
      <c r="BV195" s="4">
        <f t="shared" si="312"/>
        <v>957.40659997012074</v>
      </c>
      <c r="BW195" s="6">
        <f t="shared" si="270"/>
        <v>5.4148131999402425E-6</v>
      </c>
      <c r="BX195" s="8">
        <f t="shared" si="271"/>
        <v>26.899175899656388</v>
      </c>
      <c r="BY195" s="7">
        <f t="shared" si="272"/>
        <v>1.3551618047440494E-2</v>
      </c>
      <c r="BZ195" s="9">
        <f t="shared" si="273"/>
        <v>0.20504810335362195</v>
      </c>
      <c r="CA195" s="4">
        <f t="shared" si="313"/>
        <v>946.53376051334214</v>
      </c>
      <c r="CB195" s="6">
        <f t="shared" si="274"/>
        <v>5.3930675210266844E-6</v>
      </c>
      <c r="CC195" s="8">
        <f t="shared" si="275"/>
        <v>26.774138245903433</v>
      </c>
      <c r="CD195" s="7">
        <f t="shared" si="276"/>
        <v>1.3497195277173539E-2</v>
      </c>
      <c r="CE195" s="9">
        <f t="shared" si="277"/>
        <v>0.20600569659208046</v>
      </c>
      <c r="CF195" s="4">
        <f t="shared" si="314"/>
        <v>930.97916901257622</v>
      </c>
      <c r="CG195" s="6">
        <f t="shared" si="278"/>
        <v>5.3619583380251534E-6</v>
      </c>
      <c r="CH195" s="8">
        <f t="shared" si="279"/>
        <v>26.595260443644626</v>
      </c>
      <c r="CI195" s="7">
        <f t="shared" si="280"/>
        <v>1.3419338525659134E-2</v>
      </c>
      <c r="CJ195" s="9">
        <f t="shared" si="281"/>
        <v>0.20739127603911278</v>
      </c>
      <c r="CK195" s="4">
        <f t="shared" si="315"/>
        <v>905.29963501965233</v>
      </c>
      <c r="CL195" s="6">
        <f t="shared" si="282"/>
        <v>5.3105992700393054E-6</v>
      </c>
      <c r="CM195" s="8">
        <f t="shared" si="283"/>
        <v>26.299945802726</v>
      </c>
      <c r="CN195" s="7">
        <f t="shared" si="284"/>
        <v>1.3290802517690397E-2</v>
      </c>
      <c r="CO195" s="9">
        <f t="shared" si="285"/>
        <v>0.20972001392597178</v>
      </c>
      <c r="CP195" s="4">
        <f t="shared" si="316"/>
        <v>860.26306449859851</v>
      </c>
      <c r="CQ195" s="6">
        <f t="shared" si="286"/>
        <v>5.2205261289971976E-6</v>
      </c>
      <c r="CR195" s="8">
        <f t="shared" si="287"/>
        <v>25.782025241733884</v>
      </c>
      <c r="CS195" s="7">
        <f t="shared" si="288"/>
        <v>1.3065377048950432E-2</v>
      </c>
      <c r="CT195" s="9">
        <f t="shared" si="289"/>
        <v>0.21393296097902142</v>
      </c>
      <c r="CU195" s="4">
        <f t="shared" si="317"/>
        <v>784.2203095830788</v>
      </c>
      <c r="CV195" s="6">
        <f t="shared" si="290"/>
        <v>5.0684406191661579E-6</v>
      </c>
      <c r="CW195" s="8">
        <f t="shared" si="291"/>
        <v>24.907533560205405</v>
      </c>
      <c r="CX195" s="7">
        <f t="shared" si="292"/>
        <v>1.2684753625079918E-2</v>
      </c>
      <c r="CY195" s="9">
        <f t="shared" si="293"/>
        <v>0.22144404570078655</v>
      </c>
      <c r="CZ195" s="5">
        <f t="shared" si="318"/>
        <v>668.27387194169887</v>
      </c>
      <c r="DA195" s="6">
        <f t="shared" si="294"/>
        <v>4.836547743883398E-6</v>
      </c>
      <c r="DB195" s="8">
        <f t="shared" si="295"/>
        <v>30.240606514133674</v>
      </c>
      <c r="DC195" s="7">
        <f t="shared" si="296"/>
        <v>1.2104396822782583E-2</v>
      </c>
      <c r="DD195" s="9">
        <f t="shared" si="297"/>
        <v>0.18239134844805907</v>
      </c>
    </row>
    <row r="196" spans="2:108" x14ac:dyDescent="0.25">
      <c r="B196">
        <v>177</v>
      </c>
      <c r="C196">
        <f t="shared" si="298"/>
        <v>0.1730377959431095</v>
      </c>
      <c r="D196" s="4">
        <f t="shared" si="215"/>
        <v>1017.0927353154436</v>
      </c>
      <c r="E196" s="6">
        <f t="shared" si="216"/>
        <v>5.5341854706308883E-6</v>
      </c>
      <c r="F196" s="8">
        <f t="shared" si="217"/>
        <v>27.585566456127601</v>
      </c>
      <c r="G196" s="7">
        <f t="shared" si="213"/>
        <v>1.3850370258850699E-2</v>
      </c>
      <c r="H196" s="9">
        <f t="shared" si="218"/>
        <v>0.19994604819053155</v>
      </c>
      <c r="I196" s="4">
        <f t="shared" si="299"/>
        <v>1016.7680623237993</v>
      </c>
      <c r="J196" s="6">
        <f t="shared" si="219"/>
        <v>5.5335361246475988E-6</v>
      </c>
      <c r="K196" s="8">
        <f t="shared" si="220"/>
        <v>27.581832716723689</v>
      </c>
      <c r="L196" s="7">
        <f t="shared" si="221"/>
        <v>1.38487451448493E-2</v>
      </c>
      <c r="M196" s="9">
        <f t="shared" si="222"/>
        <v>0.19997311479072644</v>
      </c>
      <c r="N196" s="4">
        <f t="shared" si="300"/>
        <v>1015.861902018588</v>
      </c>
      <c r="O196" s="6">
        <f t="shared" si="223"/>
        <v>5.5317238040371766E-6</v>
      </c>
      <c r="P196" s="8">
        <f t="shared" si="224"/>
        <v>27.571411873213762</v>
      </c>
      <c r="Q196" s="7">
        <f t="shared" si="214"/>
        <v>1.3850370258850699E-2</v>
      </c>
      <c r="R196" s="9">
        <f t="shared" si="225"/>
        <v>0.20004869628597263</v>
      </c>
      <c r="S196" s="4">
        <f t="shared" si="301"/>
        <v>1014.3602449545472</v>
      </c>
      <c r="T196" s="6">
        <f t="shared" si="226"/>
        <v>5.5287204899090944E-6</v>
      </c>
      <c r="U196" s="8">
        <f t="shared" si="227"/>
        <v>27.55414281697729</v>
      </c>
      <c r="V196" s="7">
        <f t="shared" si="228"/>
        <v>1.3836693086870104E-2</v>
      </c>
      <c r="W196" s="9">
        <f t="shared" si="229"/>
        <v>0.20017407315612759</v>
      </c>
      <c r="X196" s="4">
        <f t="shared" si="302"/>
        <v>1012.2611706584621</v>
      </c>
      <c r="Y196" s="6">
        <f t="shared" si="230"/>
        <v>5.5245223413169248E-6</v>
      </c>
      <c r="Z196" s="8">
        <f t="shared" si="231"/>
        <v>27.530003462572314</v>
      </c>
      <c r="AA196" s="7">
        <f t="shared" si="232"/>
        <v>1.3826186407483988E-2</v>
      </c>
      <c r="AB196" s="9">
        <f t="shared" si="233"/>
        <v>0.20034959339902089</v>
      </c>
      <c r="AC196" s="4">
        <f t="shared" si="303"/>
        <v>1009.5632197507056</v>
      </c>
      <c r="AD196" s="6">
        <f t="shared" si="234"/>
        <v>5.5191264395014114E-6</v>
      </c>
      <c r="AE196" s="8">
        <f t="shared" si="235"/>
        <v>27.498977027133115</v>
      </c>
      <c r="AF196" s="7">
        <f t="shared" si="236"/>
        <v>1.3812682118836296E-2</v>
      </c>
      <c r="AG196" s="9">
        <f t="shared" si="237"/>
        <v>0.20057564303420297</v>
      </c>
      <c r="AH196" s="4">
        <f t="shared" si="304"/>
        <v>1006.266058429522</v>
      </c>
      <c r="AI196" s="6">
        <f t="shared" si="238"/>
        <v>5.5125321168590449E-6</v>
      </c>
      <c r="AJ196" s="8">
        <f t="shared" si="239"/>
        <v>27.461059671939502</v>
      </c>
      <c r="AK196" s="7">
        <f t="shared" si="240"/>
        <v>1.3796178550120032E-2</v>
      </c>
      <c r="AL196" s="9">
        <f t="shared" si="241"/>
        <v>0.20085259148378837</v>
      </c>
      <c r="AM196" s="4">
        <f t="shared" si="305"/>
        <v>1002.3695593865065</v>
      </c>
      <c r="AN196" s="6">
        <f t="shared" si="242"/>
        <v>5.5047391187730139E-6</v>
      </c>
      <c r="AO196" s="8">
        <f t="shared" si="243"/>
        <v>27.416249932944822</v>
      </c>
      <c r="AP196" s="7">
        <f t="shared" si="244"/>
        <v>1.377667506410735E-2</v>
      </c>
      <c r="AQ196" s="9">
        <f t="shared" si="245"/>
        <v>0.20118086950221928</v>
      </c>
      <c r="AR196" s="4">
        <f t="shared" si="306"/>
        <v>997.8736317623227</v>
      </c>
      <c r="AS196" s="6">
        <f t="shared" si="246"/>
        <v>5.4957472635246461E-6</v>
      </c>
      <c r="AT196" s="8">
        <f t="shared" si="247"/>
        <v>27.364546765266709</v>
      </c>
      <c r="AU196" s="7">
        <f t="shared" si="248"/>
        <v>1.3754171206012097E-2</v>
      </c>
      <c r="AV196" s="9">
        <f t="shared" si="249"/>
        <v>0.20156098499686742</v>
      </c>
      <c r="AW196" s="4">
        <f t="shared" si="307"/>
        <v>992.77796147195454</v>
      </c>
      <c r="AX196" s="6">
        <f t="shared" si="250"/>
        <v>5.4855559229439094E-6</v>
      </c>
      <c r="AY196" s="8">
        <f t="shared" si="251"/>
        <v>27.305946556927477</v>
      </c>
      <c r="AZ196" s="7">
        <f t="shared" si="252"/>
        <v>1.3728665403717191E-2</v>
      </c>
      <c r="BA196" s="9">
        <f t="shared" si="253"/>
        <v>0.20199354702833747</v>
      </c>
      <c r="BB196" s="4">
        <f t="shared" si="308"/>
        <v>987.08102993422654</v>
      </c>
      <c r="BC196" s="6">
        <f t="shared" si="254"/>
        <v>5.4741620598684541E-6</v>
      </c>
      <c r="BD196" s="8">
        <f t="shared" si="255"/>
        <v>27.240431844243602</v>
      </c>
      <c r="BE196" s="7">
        <f t="shared" si="256"/>
        <v>1.3700150056136019E-2</v>
      </c>
      <c r="BF196" s="9">
        <f t="shared" si="257"/>
        <v>0.20247935243969165</v>
      </c>
      <c r="BG196" s="4">
        <f t="shared" si="309"/>
        <v>980.77594825866981</v>
      </c>
      <c r="BH196" s="6">
        <f t="shared" si="258"/>
        <v>5.4615518965173401E-6</v>
      </c>
      <c r="BI196" s="8">
        <f t="shared" si="259"/>
        <v>27.167923404974701</v>
      </c>
      <c r="BJ196" s="7">
        <f t="shared" si="260"/>
        <v>1.366859068170515E-2</v>
      </c>
      <c r="BK196" s="9">
        <f t="shared" si="261"/>
        <v>0.20301974934860267</v>
      </c>
      <c r="BL196" s="4">
        <f t="shared" si="310"/>
        <v>973.83422790281713</v>
      </c>
      <c r="BM196" s="6">
        <f t="shared" si="262"/>
        <v>5.447668455805635E-6</v>
      </c>
      <c r="BN196" s="8">
        <f t="shared" si="263"/>
        <v>27.088093620882397</v>
      </c>
      <c r="BO196" s="7">
        <f t="shared" si="264"/>
        <v>1.3633844684241862E-2</v>
      </c>
      <c r="BP196" s="9">
        <f t="shared" si="265"/>
        <v>0.20361805733527025</v>
      </c>
      <c r="BQ196" s="4">
        <f t="shared" si="311"/>
        <v>966.14957206399492</v>
      </c>
      <c r="BR196" s="6">
        <f t="shared" si="266"/>
        <v>5.43229914412799E-6</v>
      </c>
      <c r="BS196" s="8">
        <f t="shared" si="267"/>
        <v>26.99972007873594</v>
      </c>
      <c r="BT196" s="7">
        <f t="shared" si="268"/>
        <v>1.3595380007102155E-2</v>
      </c>
      <c r="BU196" s="9">
        <f t="shared" si="269"/>
        <v>0.20428452531787239</v>
      </c>
      <c r="BV196" s="4">
        <f t="shared" si="312"/>
        <v>957.36842647485787</v>
      </c>
      <c r="BW196" s="6">
        <f t="shared" si="270"/>
        <v>5.4147368529497165E-6</v>
      </c>
      <c r="BX196" s="8">
        <f t="shared" si="271"/>
        <v>26.898736904460865</v>
      </c>
      <c r="BY196" s="7">
        <f t="shared" si="272"/>
        <v>1.3551426974320062E-2</v>
      </c>
      <c r="BZ196" s="9">
        <f t="shared" si="273"/>
        <v>0.20505144979819825</v>
      </c>
      <c r="CA196" s="4">
        <f t="shared" si="313"/>
        <v>946.45837844571486</v>
      </c>
      <c r="CB196" s="6">
        <f t="shared" si="274"/>
        <v>5.39291675689143E-6</v>
      </c>
      <c r="CC196" s="8">
        <f t="shared" si="275"/>
        <v>26.773271352125718</v>
      </c>
      <c r="CD196" s="7">
        <f t="shared" si="276"/>
        <v>1.3496817960745295E-2</v>
      </c>
      <c r="CE196" s="9">
        <f t="shared" si="277"/>
        <v>0.20601236686610863</v>
      </c>
      <c r="CF196" s="4">
        <f t="shared" si="314"/>
        <v>930.82512296047287</v>
      </c>
      <c r="CG196" s="6">
        <f t="shared" si="278"/>
        <v>5.3616502459209456E-6</v>
      </c>
      <c r="CH196" s="8">
        <f t="shared" si="279"/>
        <v>26.593488914045437</v>
      </c>
      <c r="CI196" s="7">
        <f t="shared" si="280"/>
        <v>1.3418567465538407E-2</v>
      </c>
      <c r="CJ196" s="9">
        <f t="shared" si="281"/>
        <v>0.20740509144277436</v>
      </c>
      <c r="CK196" s="4">
        <f t="shared" si="315"/>
        <v>905.01198223614551</v>
      </c>
      <c r="CL196" s="6">
        <f t="shared" si="282"/>
        <v>5.3100239644722913E-6</v>
      </c>
      <c r="CM196" s="8">
        <f t="shared" si="283"/>
        <v>26.296637795715675</v>
      </c>
      <c r="CN196" s="7">
        <f t="shared" si="284"/>
        <v>1.3289362704160942E-2</v>
      </c>
      <c r="CO196" s="9">
        <f t="shared" si="285"/>
        <v>0.20974639582626117</v>
      </c>
      <c r="CP196" s="4">
        <f t="shared" si="316"/>
        <v>859.80631576056112</v>
      </c>
      <c r="CQ196" s="6">
        <f t="shared" si="286"/>
        <v>5.2196126315211223E-6</v>
      </c>
      <c r="CR196" s="8">
        <f t="shared" si="287"/>
        <v>25.776772631246452</v>
      </c>
      <c r="CS196" s="7">
        <f t="shared" si="288"/>
        <v>1.3063090844712914E-2</v>
      </c>
      <c r="CT196" s="9">
        <f t="shared" si="289"/>
        <v>0.21397655474192265</v>
      </c>
      <c r="CU196" s="4">
        <f t="shared" si="317"/>
        <v>783.63304488049823</v>
      </c>
      <c r="CV196" s="6">
        <f t="shared" si="290"/>
        <v>5.0672660897609963E-6</v>
      </c>
      <c r="CW196" s="8">
        <f t="shared" si="291"/>
        <v>24.900780016125729</v>
      </c>
      <c r="CX196" s="7">
        <f t="shared" si="292"/>
        <v>1.2681814137918216E-2</v>
      </c>
      <c r="CY196" s="9">
        <f t="shared" si="293"/>
        <v>0.22150410535043821</v>
      </c>
      <c r="CZ196" s="5">
        <f t="shared" si="318"/>
        <v>667.69103679617922</v>
      </c>
      <c r="DA196" s="6">
        <f t="shared" si="294"/>
        <v>4.8353820735923589E-6</v>
      </c>
      <c r="DB196" s="8">
        <f t="shared" si="295"/>
        <v>30.357639811353948</v>
      </c>
      <c r="DC196" s="7">
        <f t="shared" si="296"/>
        <v>1.2101479507268618E-2</v>
      </c>
      <c r="DD196" s="9">
        <f t="shared" si="297"/>
        <v>0.18168820218813986</v>
      </c>
    </row>
    <row r="197" spans="2:108" x14ac:dyDescent="0.25">
      <c r="B197">
        <v>178</v>
      </c>
      <c r="C197">
        <f t="shared" si="298"/>
        <v>0.17401541060945475</v>
      </c>
      <c r="D197" s="4">
        <f t="shared" si="215"/>
        <v>1017.0761591526294</v>
      </c>
      <c r="E197" s="6">
        <f t="shared" si="216"/>
        <v>5.5341523183052592E-6</v>
      </c>
      <c r="F197" s="8">
        <f t="shared" si="217"/>
        <v>27.585375830255238</v>
      </c>
      <c r="G197" s="7">
        <f t="shared" si="213"/>
        <v>1.3850287288739316E-2</v>
      </c>
      <c r="H197" s="9">
        <f t="shared" si="218"/>
        <v>0.19994742989691455</v>
      </c>
      <c r="I197" s="4">
        <f t="shared" si="299"/>
        <v>1016.7514848600687</v>
      </c>
      <c r="J197" s="6">
        <f t="shared" si="219"/>
        <v>5.5335029697201378E-6</v>
      </c>
      <c r="K197" s="8">
        <f t="shared" si="220"/>
        <v>27.581642075890791</v>
      </c>
      <c r="L197" s="7">
        <f t="shared" si="221"/>
        <v>1.384866216822633E-2</v>
      </c>
      <c r="M197" s="9">
        <f t="shared" si="222"/>
        <v>0.19997449697968589</v>
      </c>
      <c r="N197" s="4">
        <f t="shared" si="300"/>
        <v>1015.8453189228253</v>
      </c>
      <c r="O197" s="6">
        <f t="shared" si="223"/>
        <v>5.5316906378456512E-6</v>
      </c>
      <c r="P197" s="8">
        <f t="shared" si="224"/>
        <v>27.571221167612492</v>
      </c>
      <c r="Q197" s="7">
        <f t="shared" si="214"/>
        <v>1.3850287288739316E-2</v>
      </c>
      <c r="R197" s="9">
        <f t="shared" si="225"/>
        <v>0.20005007998989627</v>
      </c>
      <c r="S197" s="4">
        <f t="shared" si="301"/>
        <v>1014.3436586936209</v>
      </c>
      <c r="T197" s="6">
        <f t="shared" si="226"/>
        <v>5.528687317387242E-6</v>
      </c>
      <c r="U197" s="8">
        <f t="shared" si="227"/>
        <v>27.553952074976639</v>
      </c>
      <c r="V197" s="7">
        <f t="shared" si="228"/>
        <v>1.3836610066213765E-2</v>
      </c>
      <c r="W197" s="9">
        <f t="shared" si="229"/>
        <v>0.20017545885945931</v>
      </c>
      <c r="X197" s="4">
        <f t="shared" si="302"/>
        <v>1012.2445874154057</v>
      </c>
      <c r="Y197" s="6">
        <f t="shared" si="230"/>
        <v>5.5244891748308115E-6</v>
      </c>
      <c r="Z197" s="8">
        <f t="shared" si="231"/>
        <v>27.529812755277163</v>
      </c>
      <c r="AA197" s="7">
        <f t="shared" si="232"/>
        <v>1.3826103401933253E-2</v>
      </c>
      <c r="AB197" s="9">
        <f t="shared" si="233"/>
        <v>0.20035098128092843</v>
      </c>
      <c r="AC197" s="4">
        <f t="shared" si="303"/>
        <v>1009.5466461014116</v>
      </c>
      <c r="AD197" s="6">
        <f t="shared" si="234"/>
        <v>5.5190932922028238E-6</v>
      </c>
      <c r="AE197" s="8">
        <f t="shared" si="235"/>
        <v>27.498786430166234</v>
      </c>
      <c r="AF197" s="7">
        <f t="shared" si="236"/>
        <v>1.3812599161306057E-2</v>
      </c>
      <c r="AG197" s="9">
        <f t="shared" si="237"/>
        <v>0.20057703324497791</v>
      </c>
      <c r="AH197" s="4">
        <f t="shared" si="304"/>
        <v>1006.2494997555486</v>
      </c>
      <c r="AI197" s="6">
        <f t="shared" si="238"/>
        <v>5.5124989995110976E-6</v>
      </c>
      <c r="AJ197" s="8">
        <f t="shared" si="239"/>
        <v>27.460869247188811</v>
      </c>
      <c r="AK197" s="7">
        <f t="shared" si="240"/>
        <v>1.3796095667547069E-2</v>
      </c>
      <c r="AL197" s="9">
        <f t="shared" si="241"/>
        <v>0.20085398427672271</v>
      </c>
      <c r="AM197" s="4">
        <f t="shared" si="305"/>
        <v>1002.3530194180845</v>
      </c>
      <c r="AN197" s="6">
        <f t="shared" si="242"/>
        <v>5.5047060388361698E-6</v>
      </c>
      <c r="AO197" s="8">
        <f t="shared" si="243"/>
        <v>27.416059723307971</v>
      </c>
      <c r="AP197" s="7">
        <f t="shared" si="244"/>
        <v>1.3776592275162912E-2</v>
      </c>
      <c r="AQ197" s="9">
        <f t="shared" si="245"/>
        <v>0.201182265273184</v>
      </c>
      <c r="AR197" s="4">
        <f t="shared" si="306"/>
        <v>997.85711063128213</v>
      </c>
      <c r="AS197" s="6">
        <f t="shared" si="246"/>
        <v>5.4957142212625645E-6</v>
      </c>
      <c r="AT197" s="8">
        <f t="shared" si="247"/>
        <v>27.364356772259743</v>
      </c>
      <c r="AU197" s="7">
        <f t="shared" si="248"/>
        <v>1.3754088511356047E-2</v>
      </c>
      <c r="AV197" s="9">
        <f t="shared" si="249"/>
        <v>0.20156238445156482</v>
      </c>
      <c r="AW197" s="4">
        <f t="shared" si="307"/>
        <v>992.76144487149486</v>
      </c>
      <c r="AX197" s="6">
        <f t="shared" si="250"/>
        <v>5.4855228897429899E-6</v>
      </c>
      <c r="AY197" s="8">
        <f t="shared" si="251"/>
        <v>27.30575661602219</v>
      </c>
      <c r="AZ197" s="7">
        <f t="shared" si="252"/>
        <v>1.3728582731738451E-2</v>
      </c>
      <c r="BA197" s="9">
        <f t="shared" si="253"/>
        <v>0.20199495211070614</v>
      </c>
      <c r="BB197" s="4">
        <f t="shared" si="308"/>
        <v>987.06444236317873</v>
      </c>
      <c r="BC197" s="6">
        <f t="shared" si="254"/>
        <v>5.4741288847263578E-6</v>
      </c>
      <c r="BD197" s="8">
        <f t="shared" si="255"/>
        <v>27.240241087176557</v>
      </c>
      <c r="BE197" s="7">
        <f t="shared" si="256"/>
        <v>1.3700067028922014E-2</v>
      </c>
      <c r="BF197" s="9">
        <f t="shared" si="257"/>
        <v>0.20248077035546139</v>
      </c>
      <c r="BG197" s="4">
        <f t="shared" si="309"/>
        <v>980.75897708081527</v>
      </c>
      <c r="BH197" s="6">
        <f t="shared" si="258"/>
        <v>5.4615179541616307E-6</v>
      </c>
      <c r="BI197" s="8">
        <f t="shared" si="259"/>
        <v>27.167728236429376</v>
      </c>
      <c r="BJ197" s="7">
        <f t="shared" si="260"/>
        <v>1.3668505734390586E-2</v>
      </c>
      <c r="BK197" s="9">
        <f t="shared" si="261"/>
        <v>0.20302120780949451</v>
      </c>
      <c r="BL197" s="4">
        <f t="shared" si="310"/>
        <v>973.81574305545416</v>
      </c>
      <c r="BM197" s="6">
        <f t="shared" si="262"/>
        <v>5.4476314861109082E-6</v>
      </c>
      <c r="BN197" s="8">
        <f t="shared" si="263"/>
        <v>27.087881045137721</v>
      </c>
      <c r="BO197" s="7">
        <f t="shared" si="264"/>
        <v>1.3633752160425477E-2</v>
      </c>
      <c r="BP197" s="9">
        <f t="shared" si="265"/>
        <v>0.20361965525502246</v>
      </c>
      <c r="BQ197" s="4">
        <f t="shared" si="311"/>
        <v>966.12598853850068</v>
      </c>
      <c r="BR197" s="6">
        <f t="shared" si="266"/>
        <v>5.4322519770770015E-6</v>
      </c>
      <c r="BS197" s="8">
        <f t="shared" si="267"/>
        <v>26.999448868192758</v>
      </c>
      <c r="BT197" s="7">
        <f t="shared" si="268"/>
        <v>1.359526196242807E-2</v>
      </c>
      <c r="BU197" s="9">
        <f t="shared" si="269"/>
        <v>0.20428657736409547</v>
      </c>
      <c r="BV197" s="4">
        <f t="shared" si="312"/>
        <v>957.32992252650808</v>
      </c>
      <c r="BW197" s="6">
        <f t="shared" si="270"/>
        <v>5.4146598450530166E-6</v>
      </c>
      <c r="BX197" s="8">
        <f t="shared" si="271"/>
        <v>26.898294109054842</v>
      </c>
      <c r="BY197" s="7">
        <f t="shared" si="272"/>
        <v>1.355123424715401E-2</v>
      </c>
      <c r="BZ197" s="9">
        <f t="shared" si="273"/>
        <v>0.2050548253222966</v>
      </c>
      <c r="CA197" s="4">
        <f t="shared" si="313"/>
        <v>946.38238333762547</v>
      </c>
      <c r="CB197" s="6">
        <f t="shared" si="274"/>
        <v>5.392764766675251E-6</v>
      </c>
      <c r="CC197" s="8">
        <f t="shared" si="275"/>
        <v>26.772397408382695</v>
      </c>
      <c r="CD197" s="7">
        <f t="shared" si="276"/>
        <v>1.3496437575812231E-2</v>
      </c>
      <c r="CE197" s="9">
        <f t="shared" si="277"/>
        <v>0.20601909182302086</v>
      </c>
      <c r="CF197" s="4">
        <f t="shared" si="314"/>
        <v>930.67025019046514</v>
      </c>
      <c r="CG197" s="6">
        <f t="shared" si="278"/>
        <v>5.36134050038093E-6</v>
      </c>
      <c r="CH197" s="8">
        <f t="shared" si="279"/>
        <v>26.591707877190348</v>
      </c>
      <c r="CI197" s="7">
        <f t="shared" si="280"/>
        <v>1.3417792267374556E-2</v>
      </c>
      <c r="CJ197" s="9">
        <f t="shared" si="281"/>
        <v>0.20741898284506782</v>
      </c>
      <c r="CK197" s="4">
        <f t="shared" si="315"/>
        <v>904.72375042460237</v>
      </c>
      <c r="CL197" s="6">
        <f t="shared" si="282"/>
        <v>5.3094475008492059E-6</v>
      </c>
      <c r="CM197" s="8">
        <f t="shared" si="283"/>
        <v>26.293323129882928</v>
      </c>
      <c r="CN197" s="7">
        <f t="shared" si="284"/>
        <v>1.3287919992372032E-2</v>
      </c>
      <c r="CO197" s="9">
        <f t="shared" si="285"/>
        <v>0.20977283749011449</v>
      </c>
      <c r="CP197" s="4">
        <f t="shared" si="316"/>
        <v>859.3500186662028</v>
      </c>
      <c r="CQ197" s="6">
        <f t="shared" si="286"/>
        <v>5.2187000373324059E-6</v>
      </c>
      <c r="CR197" s="8">
        <f t="shared" si="287"/>
        <v>25.771525214661331</v>
      </c>
      <c r="CS197" s="7">
        <f t="shared" si="288"/>
        <v>1.3060806901126838E-2</v>
      </c>
      <c r="CT197" s="9">
        <f t="shared" si="289"/>
        <v>0.21402012314203972</v>
      </c>
      <c r="CU197" s="4">
        <f t="shared" si="317"/>
        <v>783.04760201576892</v>
      </c>
      <c r="CV197" s="6">
        <f t="shared" si="290"/>
        <v>5.0660952040315389E-6</v>
      </c>
      <c r="CW197" s="8">
        <f t="shared" si="291"/>
        <v>24.894047423181341</v>
      </c>
      <c r="CX197" s="7">
        <f t="shared" si="292"/>
        <v>1.2678883769760181E-2</v>
      </c>
      <c r="CY197" s="9">
        <f t="shared" si="293"/>
        <v>0.2215640111163221</v>
      </c>
      <c r="CZ197" s="5">
        <f t="shared" si="318"/>
        <v>667.11046396734878</v>
      </c>
      <c r="DA197" s="6">
        <f t="shared" si="294"/>
        <v>4.8342209279346979E-6</v>
      </c>
      <c r="DB197" s="8">
        <f t="shared" si="295"/>
        <v>30.474218835383056</v>
      </c>
      <c r="DC197" s="7">
        <f t="shared" si="296"/>
        <v>1.2098573515525405E-2</v>
      </c>
      <c r="DD197" s="9">
        <f t="shared" si="297"/>
        <v>0.18099315456762124</v>
      </c>
    </row>
    <row r="198" spans="2:108" x14ac:dyDescent="0.25">
      <c r="B198">
        <v>179</v>
      </c>
      <c r="C198">
        <f t="shared" si="298"/>
        <v>0.17499302527580002</v>
      </c>
      <c r="D198" s="4">
        <f t="shared" si="215"/>
        <v>1017.059582923397</v>
      </c>
      <c r="E198" s="6">
        <f t="shared" si="216"/>
        <v>5.5341191658467941E-6</v>
      </c>
      <c r="F198" s="8">
        <f t="shared" si="217"/>
        <v>27.585185203619062</v>
      </c>
      <c r="G198" s="7">
        <f t="shared" si="213"/>
        <v>1.3850204318295489E-2</v>
      </c>
      <c r="H198" s="9">
        <f t="shared" si="218"/>
        <v>0.19994881162793038</v>
      </c>
      <c r="I198" s="4">
        <f t="shared" si="299"/>
        <v>1016.7349073876475</v>
      </c>
      <c r="J198" s="6">
        <f t="shared" si="219"/>
        <v>5.5334698147752948E-6</v>
      </c>
      <c r="K198" s="8">
        <f t="shared" si="220"/>
        <v>27.581451434957945</v>
      </c>
      <c r="L198" s="7">
        <f t="shared" si="221"/>
        <v>1.384857919155986E-2</v>
      </c>
      <c r="M198" s="9">
        <f t="shared" si="222"/>
        <v>0.19997587918847717</v>
      </c>
      <c r="N198" s="4">
        <f t="shared" si="300"/>
        <v>1015.8287359301286</v>
      </c>
      <c r="O198" s="6">
        <f t="shared" si="223"/>
        <v>5.5316574718602572E-6</v>
      </c>
      <c r="P198" s="8">
        <f t="shared" si="224"/>
        <v>27.571030463196479</v>
      </c>
      <c r="Q198" s="7">
        <f t="shared" si="214"/>
        <v>1.3850204318295489E-2</v>
      </c>
      <c r="R198" s="9">
        <f t="shared" si="225"/>
        <v>0.20005146370436167</v>
      </c>
      <c r="S198" s="4">
        <f t="shared" si="301"/>
        <v>1014.3270726173513</v>
      </c>
      <c r="T198" s="6">
        <f t="shared" si="226"/>
        <v>5.5286541452347028E-6</v>
      </c>
      <c r="U198" s="8">
        <f t="shared" si="227"/>
        <v>27.553761335099537</v>
      </c>
      <c r="V198" s="7">
        <f t="shared" si="228"/>
        <v>1.3836527046481702E-2</v>
      </c>
      <c r="W198" s="9">
        <f t="shared" si="229"/>
        <v>0.20017684456654872</v>
      </c>
      <c r="X198" s="4">
        <f t="shared" si="302"/>
        <v>1012.228004384649</v>
      </c>
      <c r="Y198" s="6">
        <f t="shared" si="230"/>
        <v>5.5244560087692989E-6</v>
      </c>
      <c r="Z198" s="8">
        <f t="shared" si="231"/>
        <v>27.529622050423463</v>
      </c>
      <c r="AA198" s="7">
        <f t="shared" si="232"/>
        <v>1.3826020397445165E-2</v>
      </c>
      <c r="AB198" s="9">
        <f t="shared" si="233"/>
        <v>0.20035236916429655</v>
      </c>
      <c r="AC198" s="4">
        <f t="shared" si="303"/>
        <v>1009.5300726599918</v>
      </c>
      <c r="AD198" s="6">
        <f t="shared" si="234"/>
        <v>5.5190601453199845E-6</v>
      </c>
      <c r="AE198" s="8">
        <f t="shared" si="235"/>
        <v>27.498595835589903</v>
      </c>
      <c r="AF198" s="7">
        <f t="shared" si="236"/>
        <v>1.381251620481631E-2</v>
      </c>
      <c r="AG198" s="9">
        <f t="shared" si="237"/>
        <v>0.20057842345758736</v>
      </c>
      <c r="AH198" s="4">
        <f t="shared" si="304"/>
        <v>1006.2329412713163</v>
      </c>
      <c r="AI198" s="6">
        <f t="shared" si="238"/>
        <v>5.5124658825426329E-6</v>
      </c>
      <c r="AJ198" s="8">
        <f t="shared" si="239"/>
        <v>27.460678824620139</v>
      </c>
      <c r="AK198" s="7">
        <f t="shared" si="240"/>
        <v>1.3796012785923835E-2</v>
      </c>
      <c r="AL198" s="9">
        <f t="shared" si="241"/>
        <v>0.20085537707301368</v>
      </c>
      <c r="AM198" s="4">
        <f t="shared" si="305"/>
        <v>1002.336479587843</v>
      </c>
      <c r="AN198" s="6">
        <f t="shared" si="242"/>
        <v>5.5046729591756872E-6</v>
      </c>
      <c r="AO198" s="8">
        <f t="shared" si="243"/>
        <v>27.415869515260191</v>
      </c>
      <c r="AP198" s="7">
        <f t="shared" si="244"/>
        <v>1.3776509486910124E-2</v>
      </c>
      <c r="AQ198" s="9">
        <f t="shared" si="245"/>
        <v>0.20118366105185534</v>
      </c>
      <c r="AR198" s="4">
        <f t="shared" si="306"/>
        <v>997.84058942254546</v>
      </c>
      <c r="AS198" s="6">
        <f t="shared" si="246"/>
        <v>5.4956811788450914E-6</v>
      </c>
      <c r="AT198" s="8">
        <f t="shared" si="247"/>
        <v>27.364166778359269</v>
      </c>
      <c r="AU198" s="7">
        <f t="shared" si="248"/>
        <v>1.3754005816311097E-2</v>
      </c>
      <c r="AV198" s="9">
        <f t="shared" si="249"/>
        <v>0.201563783932277</v>
      </c>
      <c r="AW198" s="4">
        <f t="shared" si="307"/>
        <v>992.74492728112841</v>
      </c>
      <c r="AX198" s="6">
        <f t="shared" si="250"/>
        <v>5.4854898545622572E-6</v>
      </c>
      <c r="AY198" s="8">
        <f t="shared" si="251"/>
        <v>27.305566663732975</v>
      </c>
      <c r="AZ198" s="7">
        <f t="shared" si="252"/>
        <v>1.3728500054804844E-2</v>
      </c>
      <c r="BA198" s="9">
        <f t="shared" si="253"/>
        <v>0.20199635729683674</v>
      </c>
      <c r="BB198" s="4">
        <f t="shared" si="308"/>
        <v>987.04785028796573</v>
      </c>
      <c r="BC198" s="6">
        <f t="shared" si="254"/>
        <v>5.4740957005759315E-6</v>
      </c>
      <c r="BD198" s="8">
        <f t="shared" si="255"/>
        <v>27.240050278311607</v>
      </c>
      <c r="BE198" s="7">
        <f t="shared" si="256"/>
        <v>1.3699983979162918E-2</v>
      </c>
      <c r="BF198" s="9">
        <f t="shared" si="257"/>
        <v>0.20248218867611684</v>
      </c>
      <c r="BG198" s="4">
        <f t="shared" si="309"/>
        <v>980.74198934251467</v>
      </c>
      <c r="BH198" s="6">
        <f t="shared" si="258"/>
        <v>5.4614839786850297E-6</v>
      </c>
      <c r="BI198" s="8">
        <f t="shared" si="259"/>
        <v>27.167532877438916</v>
      </c>
      <c r="BJ198" s="7">
        <f t="shared" si="260"/>
        <v>1.3668420704184581E-2</v>
      </c>
      <c r="BK198" s="9">
        <f t="shared" si="261"/>
        <v>0.20302266771453553</v>
      </c>
      <c r="BL198" s="4">
        <f t="shared" si="310"/>
        <v>973.79720555582924</v>
      </c>
      <c r="BM198" s="6">
        <f t="shared" si="262"/>
        <v>5.4475944111116587E-6</v>
      </c>
      <c r="BN198" s="8">
        <f t="shared" si="263"/>
        <v>27.087667863892037</v>
      </c>
      <c r="BO198" s="7">
        <f t="shared" si="264"/>
        <v>1.3633659373064143E-2</v>
      </c>
      <c r="BP198" s="9">
        <f t="shared" si="265"/>
        <v>0.20362125775147843</v>
      </c>
      <c r="BQ198" s="4">
        <f t="shared" si="311"/>
        <v>966.10226076974072</v>
      </c>
      <c r="BR198" s="6">
        <f t="shared" si="266"/>
        <v>5.4322045215394821E-6</v>
      </c>
      <c r="BS198" s="8">
        <f t="shared" si="267"/>
        <v>26.999175998852017</v>
      </c>
      <c r="BT198" s="7">
        <f t="shared" si="268"/>
        <v>1.3595143195760608E-2</v>
      </c>
      <c r="BU198" s="9">
        <f t="shared" si="269"/>
        <v>0.20428864200279742</v>
      </c>
      <c r="BV198" s="4">
        <f t="shared" si="312"/>
        <v>957.29108661416115</v>
      </c>
      <c r="BW198" s="6">
        <f t="shared" si="270"/>
        <v>5.4145821732283231E-6</v>
      </c>
      <c r="BX198" s="8">
        <f t="shared" si="271"/>
        <v>26.897847496062852</v>
      </c>
      <c r="BY198" s="7">
        <f t="shared" si="272"/>
        <v>1.3551039858379656E-2</v>
      </c>
      <c r="BZ198" s="9">
        <f t="shared" si="273"/>
        <v>0.20505823006124727</v>
      </c>
      <c r="CA198" s="4">
        <f t="shared" si="313"/>
        <v>946.30577592557324</v>
      </c>
      <c r="CB198" s="6">
        <f t="shared" si="274"/>
        <v>5.3926115518511469E-6</v>
      </c>
      <c r="CC198" s="8">
        <f t="shared" si="275"/>
        <v>26.771516423144092</v>
      </c>
      <c r="CD198" s="7">
        <f t="shared" si="276"/>
        <v>1.349605412606082E-2</v>
      </c>
      <c r="CE198" s="9">
        <f t="shared" si="277"/>
        <v>0.20602587140830461</v>
      </c>
      <c r="CF198" s="4">
        <f t="shared" si="314"/>
        <v>930.51455702573901</v>
      </c>
      <c r="CG198" s="6">
        <f t="shared" si="278"/>
        <v>5.3610291140514788E-6</v>
      </c>
      <c r="CH198" s="8">
        <f t="shared" si="279"/>
        <v>26.589917405795997</v>
      </c>
      <c r="CI198" s="7">
        <f t="shared" si="280"/>
        <v>1.3417012962817575E-2</v>
      </c>
      <c r="CJ198" s="9">
        <f t="shared" si="281"/>
        <v>0.20743294970888926</v>
      </c>
      <c r="CK198" s="4">
        <f t="shared" si="315"/>
        <v>904.43495075198359</v>
      </c>
      <c r="CL198" s="6">
        <f t="shared" si="282"/>
        <v>5.3088699015039678E-6</v>
      </c>
      <c r="CM198" s="8">
        <f t="shared" si="283"/>
        <v>26.290001933647808</v>
      </c>
      <c r="CN198" s="7">
        <f t="shared" si="284"/>
        <v>1.3286474438218622E-2</v>
      </c>
      <c r="CO198" s="9">
        <f t="shared" si="285"/>
        <v>0.20979933793541156</v>
      </c>
      <c r="CP198" s="4">
        <f t="shared" si="316"/>
        <v>858.8941786228778</v>
      </c>
      <c r="CQ198" s="6">
        <f t="shared" si="286"/>
        <v>5.2177883572457559E-6</v>
      </c>
      <c r="CR198" s="8">
        <f t="shared" si="287"/>
        <v>25.766283054163093</v>
      </c>
      <c r="CS198" s="7">
        <f t="shared" si="288"/>
        <v>1.3058525245258105E-2</v>
      </c>
      <c r="CT198" s="9">
        <f t="shared" si="289"/>
        <v>0.21406366562090659</v>
      </c>
      <c r="CU198" s="4">
        <f t="shared" si="317"/>
        <v>782.46396876690528</v>
      </c>
      <c r="CV198" s="6">
        <f t="shared" si="290"/>
        <v>5.0649279375338116E-6</v>
      </c>
      <c r="CW198" s="8">
        <f t="shared" si="291"/>
        <v>24.887335640819408</v>
      </c>
      <c r="CX198" s="7">
        <f t="shared" si="292"/>
        <v>1.267596245943004E-2</v>
      </c>
      <c r="CY198" s="9">
        <f t="shared" si="293"/>
        <v>0.22162376397389236</v>
      </c>
      <c r="CZ198" s="5">
        <f t="shared" si="318"/>
        <v>666.53213265122952</v>
      </c>
      <c r="DA198" s="6">
        <f t="shared" si="294"/>
        <v>4.8330642653024592E-6</v>
      </c>
      <c r="DB198" s="8">
        <f t="shared" si="295"/>
        <v>30.590347763659764</v>
      </c>
      <c r="DC198" s="7">
        <f t="shared" si="296"/>
        <v>1.2095678743420983E-2</v>
      </c>
      <c r="DD198" s="9">
        <f t="shared" si="297"/>
        <v>0.18030605740783257</v>
      </c>
    </row>
    <row r="199" spans="2:108" x14ac:dyDescent="0.25">
      <c r="B199">
        <v>180</v>
      </c>
      <c r="C199">
        <f t="shared" si="298"/>
        <v>0.17597063994214526</v>
      </c>
      <c r="D199" s="4">
        <f t="shared" si="215"/>
        <v>1017.0430066306936</v>
      </c>
      <c r="E199" s="6">
        <f t="shared" si="216"/>
        <v>5.5340860132613877E-6</v>
      </c>
      <c r="F199" s="8">
        <f t="shared" si="217"/>
        <v>27.584994576252974</v>
      </c>
      <c r="G199" s="7">
        <f t="shared" si="213"/>
        <v>1.3850121347533962E-2</v>
      </c>
      <c r="H199" s="9">
        <f t="shared" si="218"/>
        <v>0.19995019338333395</v>
      </c>
      <c r="I199" s="4">
        <f t="shared" si="299"/>
        <v>1016.7183299084594</v>
      </c>
      <c r="J199" s="6">
        <f t="shared" si="219"/>
        <v>5.5334366598169187E-6</v>
      </c>
      <c r="K199" s="8">
        <f t="shared" si="220"/>
        <v>27.58126079394728</v>
      </c>
      <c r="L199" s="7">
        <f t="shared" si="221"/>
        <v>1.3848496214859517E-2</v>
      </c>
      <c r="M199" s="9">
        <f t="shared" si="222"/>
        <v>0.19997726141694025</v>
      </c>
      <c r="N199" s="4">
        <f t="shared" si="300"/>
        <v>1015.8121530407494</v>
      </c>
      <c r="O199" s="6">
        <f t="shared" si="223"/>
        <v>5.5316243060814994E-6</v>
      </c>
      <c r="P199" s="8">
        <f t="shared" si="224"/>
        <v>27.570839759968617</v>
      </c>
      <c r="Q199" s="7">
        <f t="shared" si="214"/>
        <v>1.3850121347533962E-2</v>
      </c>
      <c r="R199" s="9">
        <f t="shared" si="225"/>
        <v>0.20005284742934787</v>
      </c>
      <c r="S199" s="4">
        <f t="shared" si="301"/>
        <v>1014.3104867252426</v>
      </c>
      <c r="T199" s="6">
        <f t="shared" si="226"/>
        <v>5.5286209734504865E-6</v>
      </c>
      <c r="U199" s="8">
        <f t="shared" si="227"/>
        <v>27.55357059734029</v>
      </c>
      <c r="V199" s="7">
        <f t="shared" si="228"/>
        <v>1.383644402767144E-2</v>
      </c>
      <c r="W199" s="9">
        <f t="shared" si="229"/>
        <v>0.20017823027743692</v>
      </c>
      <c r="X199" s="4">
        <f t="shared" si="302"/>
        <v>1012.2114215657861</v>
      </c>
      <c r="Y199" s="6">
        <f t="shared" si="230"/>
        <v>5.524422843131573E-6</v>
      </c>
      <c r="Z199" s="8">
        <f t="shared" si="231"/>
        <v>27.52943134800654</v>
      </c>
      <c r="AA199" s="7">
        <f t="shared" si="232"/>
        <v>1.3825937394017683E-2</v>
      </c>
      <c r="AB199" s="9">
        <f t="shared" si="233"/>
        <v>0.20035375704915886</v>
      </c>
      <c r="AC199" s="4">
        <f t="shared" si="303"/>
        <v>1009.5134994262228</v>
      </c>
      <c r="AD199" s="6">
        <f t="shared" si="234"/>
        <v>5.5190269988524454E-6</v>
      </c>
      <c r="AE199" s="8">
        <f t="shared" si="235"/>
        <v>27.49840524340156</v>
      </c>
      <c r="AF199" s="7">
        <f t="shared" si="236"/>
        <v>1.3812433249365933E-2</v>
      </c>
      <c r="AG199" s="9">
        <f t="shared" si="237"/>
        <v>0.20057981367204972</v>
      </c>
      <c r="AH199" s="4">
        <f t="shared" si="304"/>
        <v>1006.2163829762808</v>
      </c>
      <c r="AI199" s="6">
        <f t="shared" si="238"/>
        <v>5.5124327659525623E-6</v>
      </c>
      <c r="AJ199" s="8">
        <f t="shared" si="239"/>
        <v>27.460488404227227</v>
      </c>
      <c r="AK199" s="7">
        <f t="shared" si="240"/>
        <v>1.3795929905247604E-2</v>
      </c>
      <c r="AL199" s="9">
        <f t="shared" si="241"/>
        <v>0.20085676987270673</v>
      </c>
      <c r="AM199" s="4">
        <f t="shared" si="305"/>
        <v>1002.3199398932499</v>
      </c>
      <c r="AN199" s="6">
        <f t="shared" si="242"/>
        <v>5.5046398797865007E-6</v>
      </c>
      <c r="AO199" s="8">
        <f t="shared" si="243"/>
        <v>27.415679308772372</v>
      </c>
      <c r="AP199" s="7">
        <f t="shared" si="244"/>
        <v>1.3776426699336305E-2</v>
      </c>
      <c r="AQ199" s="9">
        <f t="shared" si="245"/>
        <v>0.20118505683844681</v>
      </c>
      <c r="AR199" s="4">
        <f t="shared" si="306"/>
        <v>997.82406812554973</v>
      </c>
      <c r="AS199" s="6">
        <f t="shared" si="246"/>
        <v>5.4956481362510992E-6</v>
      </c>
      <c r="AT199" s="8">
        <f t="shared" si="247"/>
        <v>27.363976783443821</v>
      </c>
      <c r="AU199" s="7">
        <f t="shared" si="248"/>
        <v>1.3753923120824374E-2</v>
      </c>
      <c r="AV199" s="9">
        <f t="shared" si="249"/>
        <v>0.20156518343989932</v>
      </c>
      <c r="AW199" s="4">
        <f t="shared" si="307"/>
        <v>992.72840866169827</v>
      </c>
      <c r="AX199" s="6">
        <f t="shared" si="250"/>
        <v>5.4854568173233978E-6</v>
      </c>
      <c r="AY199" s="8">
        <f t="shared" si="251"/>
        <v>27.305376699609528</v>
      </c>
      <c r="AZ199" s="7">
        <f t="shared" si="252"/>
        <v>1.372841737272038E-2</v>
      </c>
      <c r="BA199" s="9">
        <f t="shared" si="253"/>
        <v>0.20199776259006433</v>
      </c>
      <c r="BB199" s="4">
        <f t="shared" si="308"/>
        <v>987.03125358069292</v>
      </c>
      <c r="BC199" s="6">
        <f t="shared" si="254"/>
        <v>5.4740625071613863E-6</v>
      </c>
      <c r="BD199" s="8">
        <f t="shared" si="255"/>
        <v>27.239859416177968</v>
      </c>
      <c r="BE199" s="7">
        <f t="shared" si="256"/>
        <v>1.369990090621857E-2</v>
      </c>
      <c r="BF199" s="9">
        <f t="shared" si="257"/>
        <v>0.20248360741260751</v>
      </c>
      <c r="BG199" s="4">
        <f t="shared" si="309"/>
        <v>980.72498468473145</v>
      </c>
      <c r="BH199" s="6">
        <f t="shared" si="258"/>
        <v>5.4614499693694633E-6</v>
      </c>
      <c r="BI199" s="8">
        <f t="shared" si="259"/>
        <v>27.167337323874413</v>
      </c>
      <c r="BJ199" s="7">
        <f t="shared" si="260"/>
        <v>1.3668335589290013E-2</v>
      </c>
      <c r="BK199" s="9">
        <f t="shared" si="261"/>
        <v>0.20302412909464329</v>
      </c>
      <c r="BL199" s="4">
        <f t="shared" si="310"/>
        <v>973.77861457341555</v>
      </c>
      <c r="BM199" s="6">
        <f t="shared" si="262"/>
        <v>5.4475572291468314E-6</v>
      </c>
      <c r="BN199" s="8">
        <f t="shared" si="263"/>
        <v>27.08745406759428</v>
      </c>
      <c r="BO199" s="7">
        <f t="shared" si="264"/>
        <v>1.3633566318000747E-2</v>
      </c>
      <c r="BP199" s="9">
        <f t="shared" si="265"/>
        <v>0.20362286489665138</v>
      </c>
      <c r="BQ199" s="4">
        <f t="shared" si="311"/>
        <v>966.07838730309629</v>
      </c>
      <c r="BR199" s="6">
        <f t="shared" si="266"/>
        <v>5.4321567746061939E-6</v>
      </c>
      <c r="BS199" s="8">
        <f t="shared" si="267"/>
        <v>26.998901453985606</v>
      </c>
      <c r="BT199" s="7">
        <f t="shared" si="268"/>
        <v>1.3595023699818831E-2</v>
      </c>
      <c r="BU199" s="9">
        <f t="shared" si="269"/>
        <v>0.20429071936131599</v>
      </c>
      <c r="BV199" s="4">
        <f t="shared" si="312"/>
        <v>957.2519172593029</v>
      </c>
      <c r="BW199" s="6">
        <f t="shared" si="270"/>
        <v>5.4145038345186067E-6</v>
      </c>
      <c r="BX199" s="8">
        <f t="shared" si="271"/>
        <v>26.897397048481984</v>
      </c>
      <c r="BY199" s="7">
        <f t="shared" si="272"/>
        <v>1.3550843800596459E-2</v>
      </c>
      <c r="BZ199" s="9">
        <f t="shared" si="273"/>
        <v>0.20506166414758289</v>
      </c>
      <c r="CA199" s="4">
        <f t="shared" si="313"/>
        <v>946.22855699508352</v>
      </c>
      <c r="CB199" s="6">
        <f t="shared" si="274"/>
        <v>5.3924571139901682E-6</v>
      </c>
      <c r="CC199" s="8">
        <f t="shared" si="275"/>
        <v>26.77062840544346</v>
      </c>
      <c r="CD199" s="7">
        <f t="shared" si="276"/>
        <v>1.3495667615422913E-2</v>
      </c>
      <c r="CE199" s="9">
        <f t="shared" si="277"/>
        <v>0.20603270556317868</v>
      </c>
      <c r="CF199" s="4">
        <f t="shared" si="314"/>
        <v>930.35804978383794</v>
      </c>
      <c r="CG199" s="6">
        <f t="shared" si="278"/>
        <v>5.3607160995676766E-6</v>
      </c>
      <c r="CH199" s="8">
        <f t="shared" si="279"/>
        <v>26.588117572514136</v>
      </c>
      <c r="CI199" s="7">
        <f t="shared" si="280"/>
        <v>1.3416229583489208E-2</v>
      </c>
      <c r="CJ199" s="9">
        <f t="shared" si="281"/>
        <v>0.20744699149750487</v>
      </c>
      <c r="CK199" s="4">
        <f t="shared" si="315"/>
        <v>904.14559424056733</v>
      </c>
      <c r="CL199" s="6">
        <f t="shared" si="282"/>
        <v>5.3082911884811353E-6</v>
      </c>
      <c r="CM199" s="8">
        <f t="shared" si="283"/>
        <v>26.286674333766523</v>
      </c>
      <c r="CN199" s="7">
        <f t="shared" si="284"/>
        <v>1.3285026096871483E-2</v>
      </c>
      <c r="CO199" s="9">
        <f t="shared" si="285"/>
        <v>0.20982589619238784</v>
      </c>
      <c r="CP199" s="4">
        <f t="shared" si="316"/>
        <v>858.43880086770503</v>
      </c>
      <c r="CQ199" s="6">
        <f t="shared" si="286"/>
        <v>5.2168776017354105E-6</v>
      </c>
      <c r="CR199" s="8">
        <f t="shared" si="287"/>
        <v>25.761046209978609</v>
      </c>
      <c r="CS199" s="7">
        <f t="shared" si="288"/>
        <v>1.3056245903320522E-2</v>
      </c>
      <c r="CT199" s="9">
        <f t="shared" si="289"/>
        <v>0.21410718163548451</v>
      </c>
      <c r="CU199" s="4">
        <f t="shared" si="317"/>
        <v>781.8821330268072</v>
      </c>
      <c r="CV199" s="6">
        <f t="shared" si="290"/>
        <v>5.0637642660536149E-6</v>
      </c>
      <c r="CW199" s="8">
        <f t="shared" si="291"/>
        <v>24.880644529808283</v>
      </c>
      <c r="CX199" s="7">
        <f t="shared" si="292"/>
        <v>1.267305014632707E-2</v>
      </c>
      <c r="CY199" s="9">
        <f t="shared" si="293"/>
        <v>0.22168336489000515</v>
      </c>
      <c r="CZ199" s="5">
        <f t="shared" si="318"/>
        <v>665.95602236409422</v>
      </c>
      <c r="DA199" s="6">
        <f t="shared" si="294"/>
        <v>4.8319120447281886E-6</v>
      </c>
      <c r="DB199" s="8">
        <f t="shared" si="295"/>
        <v>30.706030709316479</v>
      </c>
      <c r="DC199" s="7">
        <f t="shared" si="296"/>
        <v>1.2092795088426369E-2</v>
      </c>
      <c r="DD199" s="9">
        <f t="shared" si="297"/>
        <v>0.17962676622760332</v>
      </c>
    </row>
    <row r="200" spans="2:108" x14ac:dyDescent="0.25">
      <c r="B200">
        <v>181</v>
      </c>
      <c r="C200">
        <f t="shared" si="298"/>
        <v>0.17694825460849051</v>
      </c>
      <c r="D200" s="4">
        <f t="shared" si="215"/>
        <v>1017.0264302774143</v>
      </c>
      <c r="E200" s="6">
        <f t="shared" si="216"/>
        <v>5.5340528605548292E-6</v>
      </c>
      <c r="F200" s="8">
        <f t="shared" si="217"/>
        <v>27.584803948190263</v>
      </c>
      <c r="G200" s="7">
        <f t="shared" si="213"/>
        <v>1.3850038376469231E-2</v>
      </c>
      <c r="H200" s="9">
        <f t="shared" si="218"/>
        <v>0.19995157516288456</v>
      </c>
      <c r="I200" s="4">
        <f t="shared" si="299"/>
        <v>1016.7017524244004</v>
      </c>
      <c r="J200" s="6">
        <f t="shared" si="219"/>
        <v>5.533403504848801E-6</v>
      </c>
      <c r="K200" s="8">
        <f t="shared" si="220"/>
        <v>27.581070152880606</v>
      </c>
      <c r="L200" s="7">
        <f t="shared" si="221"/>
        <v>1.3848413238134797E-2</v>
      </c>
      <c r="M200" s="9">
        <f t="shared" si="222"/>
        <v>0.19997864366491741</v>
      </c>
      <c r="N200" s="4">
        <f t="shared" si="300"/>
        <v>1015.795570254944</v>
      </c>
      <c r="O200" s="6">
        <f t="shared" si="223"/>
        <v>5.5315911405098877E-6</v>
      </c>
      <c r="P200" s="8">
        <f t="shared" si="224"/>
        <v>27.570649057931853</v>
      </c>
      <c r="Q200" s="7">
        <f t="shared" si="214"/>
        <v>1.3850038376469231E-2</v>
      </c>
      <c r="R200" s="9">
        <f t="shared" si="225"/>
        <v>0.20005423116483359</v>
      </c>
      <c r="S200" s="4">
        <f t="shared" si="301"/>
        <v>1014.2939010168093</v>
      </c>
      <c r="T200" s="6">
        <f t="shared" si="226"/>
        <v>5.5285878020336191E-6</v>
      </c>
      <c r="U200" s="8">
        <f t="shared" si="227"/>
        <v>27.553379861693308</v>
      </c>
      <c r="V200" s="7">
        <f t="shared" si="228"/>
        <v>1.3836361009780539E-2</v>
      </c>
      <c r="W200" s="9">
        <f t="shared" si="229"/>
        <v>0.20017961599216433</v>
      </c>
      <c r="X200" s="4">
        <f t="shared" si="302"/>
        <v>1012.1948389584124</v>
      </c>
      <c r="Y200" s="6">
        <f t="shared" si="230"/>
        <v>5.5243896779168256E-6</v>
      </c>
      <c r="Z200" s="8">
        <f t="shared" si="231"/>
        <v>27.529240648021741</v>
      </c>
      <c r="AA200" s="7">
        <f t="shared" si="232"/>
        <v>1.382585439164879E-2</v>
      </c>
      <c r="AB200" s="9">
        <f t="shared" si="233"/>
        <v>0.2003551449355489</v>
      </c>
      <c r="AC200" s="4">
        <f t="shared" si="303"/>
        <v>1009.4969263998742</v>
      </c>
      <c r="AD200" s="6">
        <f t="shared" si="234"/>
        <v>5.5189938527997483E-6</v>
      </c>
      <c r="AE200" s="8">
        <f t="shared" si="235"/>
        <v>27.498214653598552</v>
      </c>
      <c r="AF200" s="7">
        <f t="shared" si="236"/>
        <v>1.3812350294953778E-2</v>
      </c>
      <c r="AG200" s="9">
        <f t="shared" si="237"/>
        <v>0.20058120388838402</v>
      </c>
      <c r="AH200" s="4">
        <f t="shared" si="304"/>
        <v>1006.199824869872</v>
      </c>
      <c r="AI200" s="6">
        <f t="shared" si="238"/>
        <v>5.5123996497397442E-6</v>
      </c>
      <c r="AJ200" s="8">
        <f t="shared" si="239"/>
        <v>27.460297986003528</v>
      </c>
      <c r="AK200" s="7">
        <f t="shared" si="240"/>
        <v>1.3795847025515524E-2</v>
      </c>
      <c r="AL200" s="9">
        <f t="shared" si="241"/>
        <v>0.20085816267584952</v>
      </c>
      <c r="AM200" s="4">
        <f t="shared" si="305"/>
        <v>1002.3034003316799</v>
      </c>
      <c r="AN200" s="6">
        <f t="shared" si="242"/>
        <v>5.5046068006633597E-6</v>
      </c>
      <c r="AO200" s="8">
        <f t="shared" si="243"/>
        <v>27.415489103814316</v>
      </c>
      <c r="AP200" s="7">
        <f t="shared" si="244"/>
        <v>1.3776343912428319E-2</v>
      </c>
      <c r="AQ200" s="9">
        <f t="shared" si="245"/>
        <v>0.20118645263317994</v>
      </c>
      <c r="AR200" s="4">
        <f t="shared" si="306"/>
        <v>997.80754672941737</v>
      </c>
      <c r="AS200" s="6">
        <f t="shared" si="246"/>
        <v>5.4956150934588352E-6</v>
      </c>
      <c r="AT200" s="8">
        <f t="shared" si="247"/>
        <v>27.3637867873883</v>
      </c>
      <c r="AU200" s="7">
        <f t="shared" si="248"/>
        <v>1.3753840424841438E-2</v>
      </c>
      <c r="AV200" s="9">
        <f t="shared" si="249"/>
        <v>0.20156658297535404</v>
      </c>
      <c r="AW200" s="4">
        <f t="shared" si="307"/>
        <v>992.71188897313118</v>
      </c>
      <c r="AX200" s="6">
        <f t="shared" si="250"/>
        <v>5.4854237779462631E-6</v>
      </c>
      <c r="AY200" s="8">
        <f t="shared" si="251"/>
        <v>27.305186723191007</v>
      </c>
      <c r="AZ200" s="7">
        <f t="shared" si="252"/>
        <v>1.3728334685284465E-2</v>
      </c>
      <c r="BA200" s="9">
        <f t="shared" si="253"/>
        <v>0.2019991679938023</v>
      </c>
      <c r="BB200" s="4">
        <f t="shared" si="308"/>
        <v>987.01465211129346</v>
      </c>
      <c r="BC200" s="6">
        <f t="shared" si="254"/>
        <v>5.4740293042225867E-6</v>
      </c>
      <c r="BD200" s="8">
        <f t="shared" si="255"/>
        <v>27.239668499279873</v>
      </c>
      <c r="BE200" s="7">
        <f t="shared" si="256"/>
        <v>1.3699817809437935E-2</v>
      </c>
      <c r="BF200" s="9">
        <f t="shared" si="257"/>
        <v>0.2024850265760692</v>
      </c>
      <c r="BG200" s="4">
        <f t="shared" si="309"/>
        <v>980.70796274470626</v>
      </c>
      <c r="BH200" s="6">
        <f t="shared" si="258"/>
        <v>5.4614159254894131E-6</v>
      </c>
      <c r="BI200" s="8">
        <f t="shared" si="259"/>
        <v>27.167141571564123</v>
      </c>
      <c r="BJ200" s="7">
        <f t="shared" si="260"/>
        <v>1.3668250387891136E-2</v>
      </c>
      <c r="BK200" s="9">
        <f t="shared" si="261"/>
        <v>0.20302559198105741</v>
      </c>
      <c r="BL200" s="4">
        <f t="shared" si="310"/>
        <v>973.75996927499534</v>
      </c>
      <c r="BM200" s="6">
        <f t="shared" si="262"/>
        <v>5.4475199385499912E-6</v>
      </c>
      <c r="BN200" s="8">
        <f t="shared" si="263"/>
        <v>27.087239646662447</v>
      </c>
      <c r="BO200" s="7">
        <f t="shared" si="264"/>
        <v>1.3633472991064714E-2</v>
      </c>
      <c r="BP200" s="9">
        <f t="shared" si="265"/>
        <v>0.20362447676279216</v>
      </c>
      <c r="BQ200" s="4">
        <f t="shared" si="311"/>
        <v>966.05436669183723</v>
      </c>
      <c r="BR200" s="6">
        <f t="shared" si="266"/>
        <v>5.4321087333836757E-6</v>
      </c>
      <c r="BS200" s="8">
        <f t="shared" si="267"/>
        <v>26.998625216956128</v>
      </c>
      <c r="BT200" s="7">
        <f t="shared" si="268"/>
        <v>1.3594903467361303E-2</v>
      </c>
      <c r="BU200" s="9">
        <f t="shared" si="269"/>
        <v>0.20429280956631765</v>
      </c>
      <c r="BV200" s="4">
        <f t="shared" si="312"/>
        <v>957.21241301572491</v>
      </c>
      <c r="BW200" s="6">
        <f t="shared" si="270"/>
        <v>5.4144248260314497E-6</v>
      </c>
      <c r="BX200" s="8">
        <f t="shared" si="271"/>
        <v>26.896942749680836</v>
      </c>
      <c r="BY200" s="7">
        <f t="shared" si="272"/>
        <v>1.3550646066565586E-2</v>
      </c>
      <c r="BZ200" s="9">
        <f t="shared" si="273"/>
        <v>0.20506512771104624</v>
      </c>
      <c r="CA200" s="4">
        <f t="shared" si="313"/>
        <v>946.15072737972105</v>
      </c>
      <c r="CB200" s="6">
        <f t="shared" si="274"/>
        <v>5.3923014547594425E-6</v>
      </c>
      <c r="CC200" s="8">
        <f t="shared" si="275"/>
        <v>26.769733364866791</v>
      </c>
      <c r="CD200" s="7">
        <f t="shared" si="276"/>
        <v>1.3495278048070826E-2</v>
      </c>
      <c r="CE200" s="9">
        <f t="shared" si="277"/>
        <v>0.20603959422467882</v>
      </c>
      <c r="CF200" s="4">
        <f t="shared" si="314"/>
        <v>930.20073477543042</v>
      </c>
      <c r="CG200" s="6">
        <f t="shared" si="278"/>
        <v>5.3604014695508616E-6</v>
      </c>
      <c r="CH200" s="8">
        <f t="shared" si="279"/>
        <v>26.58630844991745</v>
      </c>
      <c r="CI200" s="7">
        <f t="shared" si="280"/>
        <v>1.3415442160976796E-2</v>
      </c>
      <c r="CJ200" s="9">
        <f t="shared" si="281"/>
        <v>0.20746110767465822</v>
      </c>
      <c r="CK200" s="4">
        <f t="shared" si="315"/>
        <v>903.85569176941567</v>
      </c>
      <c r="CL200" s="6">
        <f t="shared" si="282"/>
        <v>5.3077113835388327E-6</v>
      </c>
      <c r="CM200" s="8">
        <f t="shared" si="283"/>
        <v>26.283340455348281</v>
      </c>
      <c r="CN200" s="7">
        <f t="shared" si="284"/>
        <v>1.3283575022784534E-2</v>
      </c>
      <c r="CO200" s="9">
        <f t="shared" si="285"/>
        <v>0.20985251130351087</v>
      </c>
      <c r="CP200" s="4">
        <f t="shared" si="316"/>
        <v>857.98389047188823</v>
      </c>
      <c r="CQ200" s="6">
        <f t="shared" si="286"/>
        <v>5.2159677809437769E-6</v>
      </c>
      <c r="CR200" s="8">
        <f t="shared" si="287"/>
        <v>25.755814740426715</v>
      </c>
      <c r="CS200" s="7">
        <f t="shared" si="288"/>
        <v>1.3053968900697425E-2</v>
      </c>
      <c r="CT200" s="9">
        <f t="shared" si="289"/>
        <v>0.21415067065778323</v>
      </c>
      <c r="CU200" s="4">
        <f t="shared" si="317"/>
        <v>781.30208280234956</v>
      </c>
      <c r="CV200" s="6">
        <f t="shared" si="290"/>
        <v>5.0626041656046987E-6</v>
      </c>
      <c r="CW200" s="8">
        <f t="shared" si="291"/>
        <v>24.873973952227018</v>
      </c>
      <c r="CX200" s="7">
        <f t="shared" si="292"/>
        <v>1.2670146770421038E-2</v>
      </c>
      <c r="CY200" s="9">
        <f t="shared" si="293"/>
        <v>0.22174281482296779</v>
      </c>
      <c r="CZ200" s="5">
        <f t="shared" si="318"/>
        <v>665.3821129354485</v>
      </c>
      <c r="DA200" s="6">
        <f t="shared" si="294"/>
        <v>4.8307642258708978E-6</v>
      </c>
      <c r="DB200" s="8">
        <f t="shared" si="295"/>
        <v>30.821271722588506</v>
      </c>
      <c r="DC200" s="7">
        <f t="shared" si="296"/>
        <v>1.2089922449580428E-2</v>
      </c>
      <c r="DD200" s="9">
        <f t="shared" si="297"/>
        <v>0.17895514012673497</v>
      </c>
    </row>
    <row r="201" spans="2:108" x14ac:dyDescent="0.25">
      <c r="B201">
        <v>182</v>
      </c>
      <c r="C201">
        <f t="shared" si="298"/>
        <v>0.17792586927483578</v>
      </c>
      <c r="D201" s="4">
        <f t="shared" si="215"/>
        <v>1017.0098538664031</v>
      </c>
      <c r="E201" s="6">
        <f t="shared" si="216"/>
        <v>5.5340197077328066E-6</v>
      </c>
      <c r="F201" s="8">
        <f t="shared" si="217"/>
        <v>27.584613319463635</v>
      </c>
      <c r="G201" s="7">
        <f t="shared" si="213"/>
        <v>1.384995540511553E-2</v>
      </c>
      <c r="H201" s="9">
        <f t="shared" si="218"/>
        <v>0.19995295696634574</v>
      </c>
      <c r="I201" s="4">
        <f t="shared" si="299"/>
        <v>1016.6851749373392</v>
      </c>
      <c r="J201" s="6">
        <f t="shared" si="219"/>
        <v>5.5333703498746794E-6</v>
      </c>
      <c r="K201" s="8">
        <f t="shared" si="220"/>
        <v>27.580879511779401</v>
      </c>
      <c r="L201" s="7">
        <f t="shared" si="221"/>
        <v>1.384833026139505E-2</v>
      </c>
      <c r="M201" s="9">
        <f t="shared" si="222"/>
        <v>0.19998002593225336</v>
      </c>
      <c r="N201" s="4">
        <f t="shared" si="300"/>
        <v>1015.7789875729724</v>
      </c>
      <c r="O201" s="6">
        <f t="shared" si="223"/>
        <v>5.5315579751459457E-6</v>
      </c>
      <c r="P201" s="8">
        <f t="shared" si="224"/>
        <v>27.57045835708918</v>
      </c>
      <c r="Q201" s="7">
        <f t="shared" si="214"/>
        <v>1.384995540511553E-2</v>
      </c>
      <c r="R201" s="9">
        <f t="shared" si="225"/>
        <v>0.20005561491079707</v>
      </c>
      <c r="S201" s="4">
        <f t="shared" si="301"/>
        <v>1014.2773154915756</v>
      </c>
      <c r="T201" s="6">
        <f t="shared" si="226"/>
        <v>5.528554630983151E-6</v>
      </c>
      <c r="U201" s="8">
        <f t="shared" si="227"/>
        <v>27.553189128153118</v>
      </c>
      <c r="V201" s="7">
        <f t="shared" si="228"/>
        <v>1.3836277992806624E-2</v>
      </c>
      <c r="W201" s="9">
        <f t="shared" si="229"/>
        <v>0.20018100171077041</v>
      </c>
      <c r="X201" s="4">
        <f t="shared" si="302"/>
        <v>1012.1782565621259</v>
      </c>
      <c r="Y201" s="6">
        <f t="shared" si="230"/>
        <v>5.5243565131242522E-6</v>
      </c>
      <c r="Z201" s="8">
        <f t="shared" si="231"/>
        <v>27.529049950464447</v>
      </c>
      <c r="AA201" s="7">
        <f t="shared" si="232"/>
        <v>1.3825771390336467E-2</v>
      </c>
      <c r="AB201" s="9">
        <f t="shared" si="233"/>
        <v>0.20035653282349997</v>
      </c>
      <c r="AC201" s="4">
        <f t="shared" si="303"/>
        <v>1009.4803535807081</v>
      </c>
      <c r="AD201" s="6">
        <f t="shared" si="234"/>
        <v>5.5189607071614164E-6</v>
      </c>
      <c r="AE201" s="8">
        <f t="shared" si="235"/>
        <v>27.498024066178143</v>
      </c>
      <c r="AF201" s="7">
        <f t="shared" si="236"/>
        <v>1.3812267341578652E-2</v>
      </c>
      <c r="AG201" s="9">
        <f t="shared" si="237"/>
        <v>0.20058259410660986</v>
      </c>
      <c r="AH201" s="4">
        <f t="shared" si="304"/>
        <v>1006.1832669514937</v>
      </c>
      <c r="AI201" s="6">
        <f t="shared" si="238"/>
        <v>5.5123665339029875E-6</v>
      </c>
      <c r="AJ201" s="8">
        <f t="shared" si="239"/>
        <v>27.460107569942174</v>
      </c>
      <c r="AK201" s="7">
        <f t="shared" si="240"/>
        <v>1.3795764146724605E-2</v>
      </c>
      <c r="AL201" s="9">
        <f t="shared" si="241"/>
        <v>0.20085955548249204</v>
      </c>
      <c r="AM201" s="4">
        <f t="shared" si="305"/>
        <v>1002.2868609004122</v>
      </c>
      <c r="AN201" s="6">
        <f t="shared" si="242"/>
        <v>5.5045737218008244E-6</v>
      </c>
      <c r="AO201" s="8">
        <f t="shared" si="243"/>
        <v>27.415298900354742</v>
      </c>
      <c r="AP201" s="7">
        <f t="shared" si="244"/>
        <v>1.377626112617255E-2</v>
      </c>
      <c r="AQ201" s="9">
        <f t="shared" si="245"/>
        <v>0.20118784843628426</v>
      </c>
      <c r="AR201" s="4">
        <f t="shared" si="306"/>
        <v>997.79102522295011</v>
      </c>
      <c r="AS201" s="6">
        <f t="shared" si="246"/>
        <v>5.4955820504459004E-6</v>
      </c>
      <c r="AT201" s="8">
        <f t="shared" si="247"/>
        <v>27.363596790063923</v>
      </c>
      <c r="AU201" s="7">
        <f t="shared" si="248"/>
        <v>1.3753757728306231E-2</v>
      </c>
      <c r="AV201" s="9">
        <f t="shared" si="249"/>
        <v>0.20156798253959052</v>
      </c>
      <c r="AW201" s="4">
        <f t="shared" si="307"/>
        <v>992.69536817442759</v>
      </c>
      <c r="AX201" s="6">
        <f t="shared" si="250"/>
        <v>5.4853907363488551E-6</v>
      </c>
      <c r="AY201" s="8">
        <f t="shared" si="251"/>
        <v>27.304996734005918</v>
      </c>
      <c r="AZ201" s="7">
        <f t="shared" si="252"/>
        <v>1.372825199229189E-2</v>
      </c>
      <c r="BA201" s="9">
        <f t="shared" si="253"/>
        <v>0.20200057351154285</v>
      </c>
      <c r="BB201" s="4">
        <f t="shared" si="308"/>
        <v>986.99804574752284</v>
      </c>
      <c r="BC201" s="6">
        <f t="shared" si="254"/>
        <v>5.4739960914950466E-6</v>
      </c>
      <c r="BD201" s="8">
        <f t="shared" si="255"/>
        <v>27.239477526096511</v>
      </c>
      <c r="BE201" s="7">
        <f t="shared" si="256"/>
        <v>1.369973468815908E-2</v>
      </c>
      <c r="BF201" s="9">
        <f t="shared" si="257"/>
        <v>0.20248644617782446</v>
      </c>
      <c r="BG201" s="4">
        <f t="shared" si="309"/>
        <v>980.6909231559921</v>
      </c>
      <c r="BH201" s="6">
        <f t="shared" si="258"/>
        <v>5.4613818463119846E-6</v>
      </c>
      <c r="BI201" s="8">
        <f t="shared" si="259"/>
        <v>27.166945616293908</v>
      </c>
      <c r="BJ201" s="7">
        <f t="shared" si="260"/>
        <v>1.3668165098153738E-2</v>
      </c>
      <c r="BK201" s="9">
        <f t="shared" si="261"/>
        <v>0.20302705640533603</v>
      </c>
      <c r="BL201" s="4">
        <f t="shared" si="310"/>
        <v>973.74126882479732</v>
      </c>
      <c r="BM201" s="6">
        <f t="shared" si="262"/>
        <v>5.4474825376495951E-6</v>
      </c>
      <c r="BN201" s="8">
        <f t="shared" si="263"/>
        <v>27.087024591485168</v>
      </c>
      <c r="BO201" s="7">
        <f t="shared" si="264"/>
        <v>1.3633379388072684E-2</v>
      </c>
      <c r="BP201" s="9">
        <f t="shared" si="265"/>
        <v>0.20362609342237767</v>
      </c>
      <c r="BQ201" s="4">
        <f t="shared" si="311"/>
        <v>966.03019749732937</v>
      </c>
      <c r="BR201" s="6">
        <f t="shared" si="266"/>
        <v>5.4320603949946591E-6</v>
      </c>
      <c r="BS201" s="8">
        <f t="shared" si="267"/>
        <v>26.998347271219288</v>
      </c>
      <c r="BT201" s="7">
        <f t="shared" si="268"/>
        <v>1.3594782491187092E-2</v>
      </c>
      <c r="BU201" s="9">
        <f t="shared" si="269"/>
        <v>0.20429491274377942</v>
      </c>
      <c r="BV201" s="4">
        <f t="shared" si="312"/>
        <v>957.17257246942609</v>
      </c>
      <c r="BW201" s="6">
        <f t="shared" si="270"/>
        <v>5.4143451449388524E-6</v>
      </c>
      <c r="BX201" s="8">
        <f t="shared" si="271"/>
        <v>26.896484583398397</v>
      </c>
      <c r="BY201" s="7">
        <f t="shared" si="272"/>
        <v>1.3550446649209416E-2</v>
      </c>
      <c r="BZ201" s="9">
        <f t="shared" si="273"/>
        <v>0.20506862087859867</v>
      </c>
      <c r="CA201" s="4">
        <f t="shared" si="313"/>
        <v>946.07228796011225</v>
      </c>
      <c r="CB201" s="6">
        <f t="shared" si="274"/>
        <v>5.3921445759202251E-6</v>
      </c>
      <c r="CC201" s="8">
        <f t="shared" si="275"/>
        <v>26.768831311541291</v>
      </c>
      <c r="CD201" s="7">
        <f t="shared" si="276"/>
        <v>1.3494885428412437E-2</v>
      </c>
      <c r="CE201" s="9">
        <f t="shared" si="277"/>
        <v>0.2060465373257426</v>
      </c>
      <c r="CF201" s="4">
        <f t="shared" si="314"/>
        <v>930.0426183031193</v>
      </c>
      <c r="CG201" s="6">
        <f t="shared" si="278"/>
        <v>5.3600852366062392E-6</v>
      </c>
      <c r="CH201" s="8">
        <f t="shared" si="279"/>
        <v>26.584490110485874</v>
      </c>
      <c r="CI201" s="7">
        <f t="shared" si="280"/>
        <v>1.3414650726827307E-2</v>
      </c>
      <c r="CJ201" s="9">
        <f t="shared" si="281"/>
        <v>0.20747529770467329</v>
      </c>
      <c r="CK201" s="4">
        <f t="shared" si="315"/>
        <v>903.56525407584536</v>
      </c>
      <c r="CL201" s="6">
        <f t="shared" si="282"/>
        <v>5.3071305081516914E-6</v>
      </c>
      <c r="CM201" s="8">
        <f t="shared" si="283"/>
        <v>26.28000042187222</v>
      </c>
      <c r="CN201" s="7">
        <f t="shared" si="284"/>
        <v>1.3282121269702196E-2</v>
      </c>
      <c r="CO201" s="9">
        <f t="shared" si="285"/>
        <v>0.20987918232335628</v>
      </c>
      <c r="CP201" s="4">
        <f t="shared" si="316"/>
        <v>857.5294523449254</v>
      </c>
      <c r="CQ201" s="6">
        <f t="shared" si="286"/>
        <v>5.215058904689851E-6</v>
      </c>
      <c r="CR201" s="8">
        <f t="shared" si="287"/>
        <v>25.750588701966642</v>
      </c>
      <c r="CS201" s="7">
        <f t="shared" si="288"/>
        <v>1.3051694261962756E-2</v>
      </c>
      <c r="CT201" s="9">
        <f t="shared" si="289"/>
        <v>0.2141941321744911</v>
      </c>
      <c r="CU201" s="4">
        <f t="shared" si="317"/>
        <v>780.72380621345576</v>
      </c>
      <c r="CV201" s="6">
        <f t="shared" si="290"/>
        <v>5.0614476124269121E-6</v>
      </c>
      <c r="CW201" s="8">
        <f t="shared" si="291"/>
        <v>24.867323771454743</v>
      </c>
      <c r="CX201" s="7">
        <f t="shared" si="292"/>
        <v>1.2667252272247565E-2</v>
      </c>
      <c r="CY201" s="9">
        <f t="shared" si="293"/>
        <v>0.22180211472259023</v>
      </c>
      <c r="CZ201" s="5">
        <f t="shared" si="318"/>
        <v>664.8103845012123</v>
      </c>
      <c r="DA201" s="6">
        <f t="shared" si="294"/>
        <v>4.8296207690024256E-6</v>
      </c>
      <c r="DB201" s="8">
        <f t="shared" si="295"/>
        <v>30.936074792183092</v>
      </c>
      <c r="DC201" s="7">
        <f t="shared" si="296"/>
        <v>1.208706072745575E-2</v>
      </c>
      <c r="DD201" s="9">
        <f t="shared" si="297"/>
        <v>0.17829104167389989</v>
      </c>
    </row>
    <row r="202" spans="2:108" x14ac:dyDescent="0.25">
      <c r="B202">
        <v>183</v>
      </c>
      <c r="C202">
        <f t="shared" si="298"/>
        <v>0.17890348394118102</v>
      </c>
      <c r="D202" s="4">
        <f t="shared" si="215"/>
        <v>1016.9932774004542</v>
      </c>
      <c r="E202" s="6">
        <f t="shared" si="216"/>
        <v>5.5339865548009086E-6</v>
      </c>
      <c r="F202" s="8">
        <f t="shared" si="217"/>
        <v>27.584422690105221</v>
      </c>
      <c r="G202" s="7">
        <f t="shared" si="213"/>
        <v>1.3849872433486843E-2</v>
      </c>
      <c r="H202" s="9">
        <f t="shared" si="218"/>
        <v>0.1999543387934852</v>
      </c>
      <c r="I202" s="4">
        <f t="shared" si="299"/>
        <v>1016.6685974491179</v>
      </c>
      <c r="J202" s="6">
        <f t="shared" si="219"/>
        <v>5.5333371948982361E-6</v>
      </c>
      <c r="K202" s="8">
        <f t="shared" si="220"/>
        <v>27.580688870664854</v>
      </c>
      <c r="L202" s="7">
        <f t="shared" si="221"/>
        <v>1.3848247284649494E-2</v>
      </c>
      <c r="M202" s="9">
        <f t="shared" si="222"/>
        <v>0.19998140821879484</v>
      </c>
      <c r="N202" s="4">
        <f t="shared" si="300"/>
        <v>1015.7624049950988</v>
      </c>
      <c r="O202" s="6">
        <f t="shared" si="223"/>
        <v>5.5315248099901976E-6</v>
      </c>
      <c r="P202" s="8">
        <f t="shared" si="224"/>
        <v>27.570267657443637</v>
      </c>
      <c r="Q202" s="7">
        <f t="shared" si="214"/>
        <v>1.3849872433486843E-2</v>
      </c>
      <c r="R202" s="9">
        <f t="shared" si="225"/>
        <v>0.20005699866721635</v>
      </c>
      <c r="S202" s="4">
        <f t="shared" si="301"/>
        <v>1014.2607301490754</v>
      </c>
      <c r="T202" s="6">
        <f t="shared" si="226"/>
        <v>5.5285214602981514E-6</v>
      </c>
      <c r="U202" s="8">
        <f t="shared" si="227"/>
        <v>27.552998396714365</v>
      </c>
      <c r="V202" s="7">
        <f t="shared" si="228"/>
        <v>1.3836194976747365E-2</v>
      </c>
      <c r="W202" s="9">
        <f t="shared" si="229"/>
        <v>0.20018238743329386</v>
      </c>
      <c r="X202" s="4">
        <f t="shared" si="302"/>
        <v>1012.1616743765253</v>
      </c>
      <c r="Y202" s="6">
        <f t="shared" si="230"/>
        <v>5.5243233487530514E-6</v>
      </c>
      <c r="Z202" s="8">
        <f t="shared" si="231"/>
        <v>27.52885925533004</v>
      </c>
      <c r="AA202" s="7">
        <f t="shared" si="232"/>
        <v>1.382568839007871E-2</v>
      </c>
      <c r="AB202" s="9">
        <f t="shared" si="233"/>
        <v>0.20035792071304531</v>
      </c>
      <c r="AC202" s="4">
        <f t="shared" si="303"/>
        <v>1009.4637809684793</v>
      </c>
      <c r="AD202" s="6">
        <f t="shared" si="234"/>
        <v>5.5189275619369592E-6</v>
      </c>
      <c r="AE202" s="8">
        <f t="shared" si="235"/>
        <v>27.497833481137512</v>
      </c>
      <c r="AF202" s="7">
        <f t="shared" si="236"/>
        <v>1.3812184389239326E-2</v>
      </c>
      <c r="AG202" s="9">
        <f t="shared" si="237"/>
        <v>0.20058398432674751</v>
      </c>
      <c r="AH202" s="4">
        <f t="shared" si="304"/>
        <v>1006.1667092205222</v>
      </c>
      <c r="AI202" s="6">
        <f t="shared" si="238"/>
        <v>5.5123334184410446E-6</v>
      </c>
      <c r="AJ202" s="8">
        <f t="shared" si="239"/>
        <v>27.459917156036006</v>
      </c>
      <c r="AK202" s="7">
        <f t="shared" si="240"/>
        <v>1.3795681268871735E-2</v>
      </c>
      <c r="AL202" s="9">
        <f t="shared" si="241"/>
        <v>0.20086094829268639</v>
      </c>
      <c r="AM202" s="4">
        <f t="shared" si="305"/>
        <v>1002.2703215966279</v>
      </c>
      <c r="AN202" s="6">
        <f t="shared" si="242"/>
        <v>5.5045406431932562E-6</v>
      </c>
      <c r="AO202" s="8">
        <f t="shared" si="243"/>
        <v>27.41510869836122</v>
      </c>
      <c r="AP202" s="7">
        <f t="shared" si="244"/>
        <v>1.3776178340554883E-2</v>
      </c>
      <c r="AQ202" s="9">
        <f t="shared" si="245"/>
        <v>0.20118924424799764</v>
      </c>
      <c r="AR202" s="4">
        <f t="shared" si="306"/>
        <v>997.7745035946233</v>
      </c>
      <c r="AS202" s="6">
        <f t="shared" si="246"/>
        <v>5.4955490071892472E-6</v>
      </c>
      <c r="AT202" s="8">
        <f t="shared" si="247"/>
        <v>27.363406791338168</v>
      </c>
      <c r="AU202" s="7">
        <f t="shared" si="248"/>
        <v>1.3753675031161072E-2</v>
      </c>
      <c r="AV202" s="9">
        <f t="shared" si="249"/>
        <v>0.2015693821335858</v>
      </c>
      <c r="AW202" s="4">
        <f t="shared" si="307"/>
        <v>992.67884622365125</v>
      </c>
      <c r="AX202" s="6">
        <f t="shared" si="250"/>
        <v>5.4853576924473023E-6</v>
      </c>
      <c r="AY202" s="8">
        <f t="shared" si="251"/>
        <v>27.304806731571986</v>
      </c>
      <c r="AZ202" s="7">
        <f t="shared" si="252"/>
        <v>1.3728169293532742E-2</v>
      </c>
      <c r="BA202" s="9">
        <f t="shared" si="253"/>
        <v>0.20200197914685827</v>
      </c>
      <c r="BB202" s="4">
        <f t="shared" si="308"/>
        <v>986.98143435495319</v>
      </c>
      <c r="BC202" s="6">
        <f t="shared" si="254"/>
        <v>5.4739628687099068E-6</v>
      </c>
      <c r="BD202" s="8">
        <f t="shared" si="255"/>
        <v>27.239286495081963</v>
      </c>
      <c r="BE202" s="7">
        <f t="shared" si="256"/>
        <v>1.3699651541709134E-2</v>
      </c>
      <c r="BF202" s="9">
        <f t="shared" si="257"/>
        <v>0.20248786622938317</v>
      </c>
      <c r="BG202" s="4">
        <f t="shared" si="309"/>
        <v>980.6738655484902</v>
      </c>
      <c r="BH202" s="6">
        <f t="shared" si="258"/>
        <v>5.4613477310969812E-6</v>
      </c>
      <c r="BI202" s="8">
        <f t="shared" si="259"/>
        <v>27.166749453807636</v>
      </c>
      <c r="BJ202" s="7">
        <f t="shared" si="260"/>
        <v>1.3668079718225335E-2</v>
      </c>
      <c r="BK202" s="9">
        <f t="shared" si="261"/>
        <v>0.20302852239935321</v>
      </c>
      <c r="BL202" s="4">
        <f t="shared" si="310"/>
        <v>973.72251238463389</v>
      </c>
      <c r="BM202" s="6">
        <f t="shared" si="262"/>
        <v>5.4474450247692681E-6</v>
      </c>
      <c r="BN202" s="8">
        <f t="shared" si="263"/>
        <v>27.086808892423289</v>
      </c>
      <c r="BO202" s="7">
        <f t="shared" si="264"/>
        <v>1.3633285504829205E-2</v>
      </c>
      <c r="BP202" s="9">
        <f t="shared" si="265"/>
        <v>0.20362771494809889</v>
      </c>
      <c r="BQ202" s="4">
        <f t="shared" si="311"/>
        <v>966.00587828923642</v>
      </c>
      <c r="BR202" s="6">
        <f t="shared" si="266"/>
        <v>5.4320117565784732E-6</v>
      </c>
      <c r="BS202" s="8">
        <f t="shared" si="267"/>
        <v>26.998067600326216</v>
      </c>
      <c r="BT202" s="7">
        <f t="shared" si="268"/>
        <v>1.3594660764136825E-2</v>
      </c>
      <c r="BU202" s="9">
        <f t="shared" si="269"/>
        <v>0.20429702901897154</v>
      </c>
      <c r="BV202" s="4">
        <f t="shared" si="312"/>
        <v>957.13239423850541</v>
      </c>
      <c r="BW202" s="6">
        <f t="shared" si="270"/>
        <v>5.4142647884770114E-6</v>
      </c>
      <c r="BX202" s="8">
        <f t="shared" si="271"/>
        <v>26.896022533742812</v>
      </c>
      <c r="BY202" s="7">
        <f t="shared" si="272"/>
        <v>1.3550245541611E-2</v>
      </c>
      <c r="BZ202" s="9">
        <f t="shared" si="273"/>
        <v>0.20507214377442945</v>
      </c>
      <c r="CA202" s="4">
        <f t="shared" si="313"/>
        <v>945.99323966297584</v>
      </c>
      <c r="CB202" s="6">
        <f t="shared" si="274"/>
        <v>5.3919864793259527E-6</v>
      </c>
      <c r="CC202" s="8">
        <f t="shared" si="275"/>
        <v>26.767922256124223</v>
      </c>
      <c r="CD202" s="7">
        <f t="shared" si="276"/>
        <v>1.3494489761086331E-2</v>
      </c>
      <c r="CE202" s="9">
        <f t="shared" si="277"/>
        <v>0.20605353479529337</v>
      </c>
      <c r="CF202" s="4">
        <f t="shared" si="314"/>
        <v>929.88370666029107</v>
      </c>
      <c r="CG202" s="6">
        <f t="shared" si="278"/>
        <v>5.3597674133205827E-6</v>
      </c>
      <c r="CH202" s="8">
        <f t="shared" si="279"/>
        <v>26.582662626593347</v>
      </c>
      <c r="CI202" s="7">
        <f t="shared" si="280"/>
        <v>1.3413855312541577E-2</v>
      </c>
      <c r="CJ202" s="9">
        <f t="shared" si="281"/>
        <v>0.20748956105255453</v>
      </c>
      <c r="CK202" s="4">
        <f t="shared" si="315"/>
        <v>903.27429175690213</v>
      </c>
      <c r="CL202" s="6">
        <f t="shared" si="282"/>
        <v>5.3065485835138048E-6</v>
      </c>
      <c r="CM202" s="8">
        <f t="shared" si="283"/>
        <v>26.276654355204371</v>
      </c>
      <c r="CN202" s="7">
        <f t="shared" si="284"/>
        <v>1.328066489066679E-2</v>
      </c>
      <c r="CO202" s="9">
        <f t="shared" si="285"/>
        <v>0.20990590831848316</v>
      </c>
      <c r="CP202" s="4">
        <f t="shared" si="316"/>
        <v>857.07549123871081</v>
      </c>
      <c r="CQ202" s="6">
        <f t="shared" si="286"/>
        <v>5.2141509824774228E-6</v>
      </c>
      <c r="CR202" s="8">
        <f t="shared" si="287"/>
        <v>25.745368149245174</v>
      </c>
      <c r="CS202" s="7">
        <f t="shared" si="288"/>
        <v>1.3049422010901581E-2</v>
      </c>
      <c r="CT202" s="9">
        <f t="shared" si="289"/>
        <v>0.21423756568661506</v>
      </c>
      <c r="CU202" s="4">
        <f t="shared" si="317"/>
        <v>780.14729149215668</v>
      </c>
      <c r="CV202" s="6">
        <f t="shared" si="290"/>
        <v>5.0602945829843138E-6</v>
      </c>
      <c r="CW202" s="8">
        <f t="shared" si="291"/>
        <v>24.860693852159802</v>
      </c>
      <c r="CX202" s="7">
        <f t="shared" si="292"/>
        <v>1.2664366592903405E-2</v>
      </c>
      <c r="CY202" s="9">
        <f t="shared" si="293"/>
        <v>0.22186126553023874</v>
      </c>
      <c r="CZ202" s="5">
        <f>CZ201+((2*$CX202)*(CU201-CZ201))+((2*$CX202*$CY202)*($C$14-CZ201))+((($CX202*$CY202)/$C$5)*($C$14-CZ201))+(((CZ201-$C$14)*$CX202*($D$6^2))/($CW202*($D$4/(2*$C$8))))</f>
        <v>664.24081749709421</v>
      </c>
      <c r="DA202" s="6">
        <f t="shared" si="294"/>
        <v>4.8284816349941885E-6</v>
      </c>
      <c r="DB202" s="8">
        <f t="shared" si="295"/>
        <v>31.050443846609937</v>
      </c>
      <c r="DC202" s="7">
        <f t="shared" si="296"/>
        <v>1.2084209824125485E-2</v>
      </c>
      <c r="DD202" s="9">
        <f t="shared" si="297"/>
        <v>0.17763433679876983</v>
      </c>
    </row>
    <row r="203" spans="2:108" x14ac:dyDescent="0.25">
      <c r="B203">
        <v>184</v>
      </c>
      <c r="C203">
        <f t="shared" si="298"/>
        <v>0.17988109860752627</v>
      </c>
      <c r="D203" s="4">
        <f t="shared" si="215"/>
        <v>1016.9767008823133</v>
      </c>
      <c r="E203" s="6">
        <f t="shared" si="216"/>
        <v>5.5339534017646265E-6</v>
      </c>
      <c r="F203" s="8">
        <f t="shared" si="217"/>
        <v>27.584232060146601</v>
      </c>
      <c r="G203" s="7">
        <f t="shared" si="213"/>
        <v>1.3849789461596915E-2</v>
      </c>
      <c r="H203" s="9">
        <f t="shared" si="218"/>
        <v>0.1999557206440746</v>
      </c>
      <c r="I203" s="4">
        <f t="shared" si="299"/>
        <v>1016.6520199615524</v>
      </c>
      <c r="J203" s="6">
        <f t="shared" si="219"/>
        <v>5.5333040399231049E-6</v>
      </c>
      <c r="K203" s="8">
        <f t="shared" si="220"/>
        <v>27.58049822955785</v>
      </c>
      <c r="L203" s="7">
        <f t="shared" si="221"/>
        <v>1.384816430790722E-2</v>
      </c>
      <c r="M203" s="9">
        <f t="shared" si="222"/>
        <v>0.19998279052439083</v>
      </c>
      <c r="N203" s="4">
        <f t="shared" si="300"/>
        <v>1015.7458225215912</v>
      </c>
      <c r="O203" s="6">
        <f t="shared" si="223"/>
        <v>5.531491645043183E-6</v>
      </c>
      <c r="P203" s="8">
        <f t="shared" si="224"/>
        <v>27.5700769589983</v>
      </c>
      <c r="Q203" s="7">
        <f t="shared" si="214"/>
        <v>1.3849789461596915E-2</v>
      </c>
      <c r="R203" s="9">
        <f t="shared" si="225"/>
        <v>0.20005838243406915</v>
      </c>
      <c r="S203" s="4">
        <f t="shared" si="301"/>
        <v>1014.2441449888521</v>
      </c>
      <c r="T203" s="6">
        <f t="shared" si="226"/>
        <v>5.5284882899777054E-6</v>
      </c>
      <c r="U203" s="8">
        <f t="shared" si="227"/>
        <v>27.552807667371798</v>
      </c>
      <c r="V203" s="7">
        <f t="shared" si="228"/>
        <v>1.3836111961600471E-2</v>
      </c>
      <c r="W203" s="9">
        <f t="shared" si="229"/>
        <v>0.20018377315977262</v>
      </c>
      <c r="X203" s="4">
        <f t="shared" si="302"/>
        <v>1012.1450924012116</v>
      </c>
      <c r="Y203" s="6">
        <f t="shared" si="230"/>
        <v>5.5242901848024237E-6</v>
      </c>
      <c r="Z203" s="8">
        <f t="shared" si="231"/>
        <v>27.52866856261393</v>
      </c>
      <c r="AA203" s="7">
        <f t="shared" si="232"/>
        <v>1.3825605390873519E-2</v>
      </c>
      <c r="AB203" s="9">
        <f t="shared" si="233"/>
        <v>0.20035930860421805</v>
      </c>
      <c r="AC203" s="4">
        <f t="shared" si="303"/>
        <v>1009.4472085629351</v>
      </c>
      <c r="AD203" s="6">
        <f t="shared" si="234"/>
        <v>5.5188944171258701E-6</v>
      </c>
      <c r="AE203" s="8">
        <f t="shared" si="235"/>
        <v>27.497642898473753</v>
      </c>
      <c r="AF203" s="7">
        <f t="shared" si="236"/>
        <v>1.3812101437934536E-2</v>
      </c>
      <c r="AG203" s="9">
        <f t="shared" si="237"/>
        <v>0.20058537454881789</v>
      </c>
      <c r="AH203" s="4">
        <f t="shared" si="304"/>
        <v>1006.1501516763059</v>
      </c>
      <c r="AI203" s="6">
        <f t="shared" si="238"/>
        <v>5.5123003033526127E-6</v>
      </c>
      <c r="AJ203" s="8">
        <f t="shared" si="239"/>
        <v>27.459726744277518</v>
      </c>
      <c r="AK203" s="7">
        <f t="shared" si="240"/>
        <v>1.3795598391953644E-2</v>
      </c>
      <c r="AL203" s="9">
        <f t="shared" si="241"/>
        <v>0.20086234110648721</v>
      </c>
      <c r="AM203" s="4">
        <f t="shared" si="305"/>
        <v>1002.2537824174077</v>
      </c>
      <c r="AN203" s="6">
        <f t="shared" si="242"/>
        <v>5.5045075648348157E-6</v>
      </c>
      <c r="AO203" s="8">
        <f t="shared" si="243"/>
        <v>27.414918497800187</v>
      </c>
      <c r="AP203" s="7">
        <f t="shared" si="244"/>
        <v>1.3776095555560705E-2</v>
      </c>
      <c r="AQ203" s="9">
        <f t="shared" si="245"/>
        <v>0.20119064006856638</v>
      </c>
      <c r="AR203" s="4">
        <f t="shared" si="306"/>
        <v>997.75798183257984</v>
      </c>
      <c r="AS203" s="6">
        <f t="shared" si="246"/>
        <v>5.4955159636651603E-6</v>
      </c>
      <c r="AT203" s="8">
        <f t="shared" si="247"/>
        <v>27.363216791074667</v>
      </c>
      <c r="AU203" s="7">
        <f t="shared" si="248"/>
        <v>1.3753592333346608E-2</v>
      </c>
      <c r="AV203" s="9">
        <f t="shared" si="249"/>
        <v>0.20157078175834525</v>
      </c>
      <c r="AW203" s="4">
        <f t="shared" si="307"/>
        <v>992.66232307791881</v>
      </c>
      <c r="AX203" s="6">
        <f t="shared" si="250"/>
        <v>5.4853246461558385E-6</v>
      </c>
      <c r="AY203" s="8">
        <f t="shared" si="251"/>
        <v>27.304616715396065</v>
      </c>
      <c r="AZ203" s="7">
        <f t="shared" si="252"/>
        <v>1.3728086588792382E-2</v>
      </c>
      <c r="BA203" s="9">
        <f t="shared" si="253"/>
        <v>0.20200338490340145</v>
      </c>
      <c r="BB203" s="4">
        <f t="shared" si="308"/>
        <v>986.96481779696853</v>
      </c>
      <c r="BC203" s="6">
        <f t="shared" si="254"/>
        <v>5.4739296355939372E-6</v>
      </c>
      <c r="BD203" s="8">
        <f t="shared" si="255"/>
        <v>27.239095404665136</v>
      </c>
      <c r="BE203" s="7">
        <f t="shared" si="256"/>
        <v>1.3699568369404291E-2</v>
      </c>
      <c r="BF203" s="9">
        <f t="shared" si="257"/>
        <v>0.20248928674244299</v>
      </c>
      <c r="BG203" s="4">
        <f t="shared" si="309"/>
        <v>980.65678954848738</v>
      </c>
      <c r="BH203" s="6">
        <f t="shared" si="258"/>
        <v>5.4613135790969759E-6</v>
      </c>
      <c r="BI203" s="8">
        <f t="shared" si="259"/>
        <v>27.166553079807606</v>
      </c>
      <c r="BJ203" s="7">
        <f t="shared" si="260"/>
        <v>1.3667994246235344E-2</v>
      </c>
      <c r="BK203" s="9">
        <f t="shared" si="261"/>
        <v>0.20302998999529542</v>
      </c>
      <c r="BL203" s="4">
        <f t="shared" si="310"/>
        <v>973.70369911403714</v>
      </c>
      <c r="BM203" s="6">
        <f t="shared" si="262"/>
        <v>5.4474073982280751E-6</v>
      </c>
      <c r="BN203" s="8">
        <f t="shared" si="263"/>
        <v>27.086592539811427</v>
      </c>
      <c r="BO203" s="7">
        <f t="shared" si="264"/>
        <v>1.3633191337127409E-2</v>
      </c>
      <c r="BP203" s="9">
        <f t="shared" si="265"/>
        <v>0.20362934141284939</v>
      </c>
      <c r="BQ203" s="4">
        <f t="shared" si="311"/>
        <v>965.98140764571656</v>
      </c>
      <c r="BR203" s="6">
        <f t="shared" si="266"/>
        <v>5.4319628152914337E-6</v>
      </c>
      <c r="BS203" s="8">
        <f t="shared" si="267"/>
        <v>26.99778618792574</v>
      </c>
      <c r="BT203" s="7">
        <f t="shared" si="268"/>
        <v>1.3594538279093626E-2</v>
      </c>
      <c r="BU203" s="9">
        <f t="shared" si="269"/>
        <v>0.20429915851644018</v>
      </c>
      <c r="BV203" s="4">
        <f t="shared" si="312"/>
        <v>957.09187697304719</v>
      </c>
      <c r="BW203" s="6">
        <f t="shared" si="270"/>
        <v>5.4141837539460947E-6</v>
      </c>
      <c r="BX203" s="8">
        <f t="shared" si="271"/>
        <v>26.895556585190043</v>
      </c>
      <c r="BY203" s="7">
        <f t="shared" si="272"/>
        <v>1.3550042737013483E-2</v>
      </c>
      <c r="BZ203" s="9">
        <f t="shared" si="273"/>
        <v>0.20507569651996577</v>
      </c>
      <c r="CA203" s="4">
        <f t="shared" si="313"/>
        <v>945.9135834601617</v>
      </c>
      <c r="CB203" s="6">
        <f t="shared" si="274"/>
        <v>5.3918271669203236E-6</v>
      </c>
      <c r="CC203" s="8">
        <f t="shared" si="275"/>
        <v>26.767006209791859</v>
      </c>
      <c r="CD203" s="7">
        <f t="shared" si="276"/>
        <v>1.349409105095699E-2</v>
      </c>
      <c r="CE203" s="9">
        <f t="shared" si="277"/>
        <v>0.20606058655832357</v>
      </c>
      <c r="CF203" s="4">
        <f t="shared" si="314"/>
        <v>929.72400613000354</v>
      </c>
      <c r="CG203" s="6">
        <f t="shared" si="278"/>
        <v>5.3594480122600078E-6</v>
      </c>
      <c r="CH203" s="8">
        <f t="shared" si="279"/>
        <v>26.580826070495039</v>
      </c>
      <c r="CI203" s="7">
        <f t="shared" si="280"/>
        <v>1.3413055949568738E-2</v>
      </c>
      <c r="CJ203" s="9">
        <f t="shared" si="281"/>
        <v>0.20750389718408316</v>
      </c>
      <c r="CK203" s="4">
        <f t="shared" si="315"/>
        <v>902.98281527083793</v>
      </c>
      <c r="CL203" s="6">
        <f t="shared" si="282"/>
        <v>5.3059656305416765E-6</v>
      </c>
      <c r="CM203" s="8">
        <f t="shared" si="283"/>
        <v>26.273302375614634</v>
      </c>
      <c r="CN203" s="7">
        <f t="shared" si="284"/>
        <v>1.3279205938025914E-2</v>
      </c>
      <c r="CO203" s="9">
        <f t="shared" si="285"/>
        <v>0.20993268836730952</v>
      </c>
      <c r="CP203" s="4">
        <f t="shared" si="316"/>
        <v>856.622011751532</v>
      </c>
      <c r="CQ203" s="6">
        <f t="shared" si="286"/>
        <v>5.2132440235030652E-6</v>
      </c>
      <c r="CR203" s="8">
        <f t="shared" si="287"/>
        <v>25.740153135142616</v>
      </c>
      <c r="CS203" s="7">
        <f t="shared" si="288"/>
        <v>1.3047152170530114E-2</v>
      </c>
      <c r="CT203" s="9">
        <f t="shared" si="289"/>
        <v>0.21428097070912938</v>
      </c>
      <c r="CU203" s="4">
        <f t="shared" si="317"/>
        <v>779.57252698163745</v>
      </c>
      <c r="CV203" s="6">
        <f t="shared" si="290"/>
        <v>5.0591450539632749E-6</v>
      </c>
      <c r="CW203" s="8">
        <f t="shared" si="291"/>
        <v>24.85408406028883</v>
      </c>
      <c r="CX203" s="7">
        <f t="shared" si="292"/>
        <v>1.2661489674041692E-2</v>
      </c>
      <c r="CY203" s="9">
        <f t="shared" si="293"/>
        <v>0.2219202681788911</v>
      </c>
      <c r="CZ203" s="5">
        <f t="shared" si="318"/>
        <v>663.67339265215139</v>
      </c>
      <c r="DA203" s="6">
        <f t="shared" si="294"/>
        <v>4.8273467853043035E-6</v>
      </c>
      <c r="DB203" s="8">
        <f t="shared" si="295"/>
        <v>31.164382755474435</v>
      </c>
      <c r="DC203" s="7">
        <f t="shared" si="296"/>
        <v>1.2081369643131107E-2</v>
      </c>
      <c r="DD203" s="9">
        <f t="shared" si="297"/>
        <v>0.17698489468818721</v>
      </c>
    </row>
    <row r="204" spans="2:108" x14ac:dyDescent="0.25">
      <c r="B204">
        <v>185</v>
      </c>
      <c r="C204">
        <f t="shared" si="298"/>
        <v>0.18085871327387151</v>
      </c>
      <c r="D204" s="4">
        <f t="shared" si="215"/>
        <v>1016.9601243146784</v>
      </c>
      <c r="E204" s="6">
        <f t="shared" si="216"/>
        <v>5.5339202486293576E-6</v>
      </c>
      <c r="F204" s="8">
        <f t="shared" si="217"/>
        <v>27.5840414296188</v>
      </c>
      <c r="G204" s="7">
        <f t="shared" si="213"/>
        <v>1.3849706489459251E-2</v>
      </c>
      <c r="H204" s="9">
        <f t="shared" si="218"/>
        <v>0.19995710251788959</v>
      </c>
      <c r="I204" s="4">
        <f t="shared" si="299"/>
        <v>1016.6354424764326</v>
      </c>
      <c r="J204" s="6">
        <f t="shared" si="219"/>
        <v>5.5332708849528653E-6</v>
      </c>
      <c r="K204" s="8">
        <f t="shared" si="220"/>
        <v>27.580307588478973</v>
      </c>
      <c r="L204" s="7">
        <f t="shared" si="221"/>
        <v>1.384808133117719E-2</v>
      </c>
      <c r="M204" s="9">
        <f t="shared" si="222"/>
        <v>0.19998417284889247</v>
      </c>
      <c r="N204" s="4">
        <f t="shared" si="300"/>
        <v>1015.729240152721</v>
      </c>
      <c r="O204" s="6">
        <f t="shared" si="223"/>
        <v>5.5314584803054431E-6</v>
      </c>
      <c r="P204" s="8">
        <f t="shared" si="224"/>
        <v>27.569886261756288</v>
      </c>
      <c r="Q204" s="7">
        <f t="shared" si="214"/>
        <v>1.3849706489459251E-2</v>
      </c>
      <c r="R204" s="9">
        <f t="shared" si="225"/>
        <v>0.20005976621133284</v>
      </c>
      <c r="S204" s="4">
        <f t="shared" si="301"/>
        <v>1014.2275600104584</v>
      </c>
      <c r="T204" s="6">
        <f t="shared" si="226"/>
        <v>5.528455120020917E-6</v>
      </c>
      <c r="U204" s="8">
        <f t="shared" si="227"/>
        <v>27.552616940120274</v>
      </c>
      <c r="V204" s="7">
        <f t="shared" si="228"/>
        <v>1.38360289473637E-2</v>
      </c>
      <c r="W204" s="9">
        <f t="shared" si="229"/>
        <v>0.2001851588902438</v>
      </c>
      <c r="X204" s="4">
        <f t="shared" si="302"/>
        <v>1012.1285106357873</v>
      </c>
      <c r="Y204" s="6">
        <f t="shared" si="230"/>
        <v>5.5242570212715753E-6</v>
      </c>
      <c r="Z204" s="8">
        <f t="shared" si="231"/>
        <v>27.528477872311555</v>
      </c>
      <c r="AA204" s="7">
        <f t="shared" si="232"/>
        <v>1.3825522392718909E-2</v>
      </c>
      <c r="AB204" s="9">
        <f t="shared" si="233"/>
        <v>0.20036069649705102</v>
      </c>
      <c r="AC204" s="4">
        <f t="shared" si="303"/>
        <v>1009.4306363638144</v>
      </c>
      <c r="AD204" s="6">
        <f t="shared" si="234"/>
        <v>5.5188612727276292E-6</v>
      </c>
      <c r="AE204" s="8">
        <f t="shared" si="235"/>
        <v>27.497452318183864</v>
      </c>
      <c r="AF204" s="7">
        <f t="shared" si="236"/>
        <v>1.3812018487662978E-2</v>
      </c>
      <c r="AG204" s="9">
        <f t="shared" si="237"/>
        <v>0.20058676477284251</v>
      </c>
      <c r="AH204" s="4">
        <f t="shared" si="304"/>
        <v>1006.1335943181642</v>
      </c>
      <c r="AI204" s="6">
        <f t="shared" si="238"/>
        <v>5.512267188636329E-6</v>
      </c>
      <c r="AJ204" s="8">
        <f t="shared" si="239"/>
        <v>27.459536334658885</v>
      </c>
      <c r="AK204" s="7">
        <f t="shared" si="240"/>
        <v>1.379551551596693E-2</v>
      </c>
      <c r="AL204" s="9">
        <f t="shared" si="241"/>
        <v>0.20086373392395146</v>
      </c>
      <c r="AM204" s="4">
        <f t="shared" si="305"/>
        <v>1002.2372433597293</v>
      </c>
      <c r="AN204" s="6">
        <f t="shared" si="242"/>
        <v>5.5044744867194583E-6</v>
      </c>
      <c r="AO204" s="8">
        <f t="shared" si="243"/>
        <v>27.414728298636888</v>
      </c>
      <c r="AP204" s="7">
        <f t="shared" si="244"/>
        <v>1.3776012771174892E-2</v>
      </c>
      <c r="AQ204" s="9">
        <f t="shared" si="245"/>
        <v>0.20119203589824552</v>
      </c>
      <c r="AR204" s="4">
        <f t="shared" si="306"/>
        <v>997.74145992462411</v>
      </c>
      <c r="AS204" s="6">
        <f t="shared" si="246"/>
        <v>5.4954829198492485E-6</v>
      </c>
      <c r="AT204" s="8">
        <f t="shared" si="247"/>
        <v>27.363026789133176</v>
      </c>
      <c r="AU204" s="7">
        <f t="shared" si="248"/>
        <v>1.3753509634801793E-2</v>
      </c>
      <c r="AV204" s="9">
        <f t="shared" si="249"/>
        <v>0.20157218141490288</v>
      </c>
      <c r="AW204" s="4">
        <f t="shared" si="307"/>
        <v>992.64579869339002</v>
      </c>
      <c r="AX204" s="6">
        <f t="shared" si="250"/>
        <v>5.4852915973867804E-6</v>
      </c>
      <c r="AY204" s="8">
        <f t="shared" si="251"/>
        <v>27.304426684973983</v>
      </c>
      <c r="AZ204" s="7">
        <f t="shared" si="252"/>
        <v>1.3728003877851362E-2</v>
      </c>
      <c r="BA204" s="9">
        <f t="shared" si="253"/>
        <v>0.20200479078490696</v>
      </c>
      <c r="BB204" s="4">
        <f t="shared" si="308"/>
        <v>986.94819593476041</v>
      </c>
      <c r="BC204" s="6">
        <f t="shared" si="254"/>
        <v>5.4738963918695212E-6</v>
      </c>
      <c r="BD204" s="8">
        <f t="shared" si="255"/>
        <v>27.238904253249743</v>
      </c>
      <c r="BE204" s="7">
        <f t="shared" si="256"/>
        <v>1.3699485170549754E-2</v>
      </c>
      <c r="BF204" s="9">
        <f t="shared" si="257"/>
        <v>0.20249070772888955</v>
      </c>
      <c r="BG204" s="4">
        <f t="shared" si="309"/>
        <v>980.63969477869387</v>
      </c>
      <c r="BH204" s="6">
        <f t="shared" si="258"/>
        <v>5.4612793895573886E-6</v>
      </c>
      <c r="BI204" s="8">
        <f t="shared" si="259"/>
        <v>27.166356489954978</v>
      </c>
      <c r="BJ204" s="7">
        <f t="shared" si="260"/>
        <v>1.3667908680295283E-2</v>
      </c>
      <c r="BK204" s="9">
        <f t="shared" si="261"/>
        <v>0.2030314592256586</v>
      </c>
      <c r="BL204" s="4">
        <f t="shared" si="310"/>
        <v>973.68482817039546</v>
      </c>
      <c r="BM204" s="6">
        <f t="shared" si="262"/>
        <v>5.4473696563407916E-6</v>
      </c>
      <c r="BN204" s="8">
        <f t="shared" si="263"/>
        <v>27.086375523959546</v>
      </c>
      <c r="BO204" s="7">
        <f t="shared" si="264"/>
        <v>1.3633096880749694E-2</v>
      </c>
      <c r="BP204" s="9">
        <f t="shared" si="265"/>
        <v>0.2036309728897133</v>
      </c>
      <c r="BQ204" s="4">
        <f t="shared" si="311"/>
        <v>965.95678415361397</v>
      </c>
      <c r="BR204" s="6">
        <f t="shared" si="266"/>
        <v>5.4319135683072287E-6</v>
      </c>
      <c r="BS204" s="8">
        <f t="shared" si="267"/>
        <v>26.997503017766562</v>
      </c>
      <c r="BT204" s="7">
        <f t="shared" si="268"/>
        <v>1.3594415028984104E-2</v>
      </c>
      <c r="BU204" s="9">
        <f t="shared" si="269"/>
        <v>0.20430130135999128</v>
      </c>
      <c r="BV204" s="4">
        <f t="shared" si="312"/>
        <v>957.05101935499772</v>
      </c>
      <c r="BW204" s="6">
        <f t="shared" si="270"/>
        <v>5.4141020387099961E-6</v>
      </c>
      <c r="BX204" s="8">
        <f t="shared" si="271"/>
        <v>26.895086722582473</v>
      </c>
      <c r="BY204" s="7">
        <f t="shared" si="272"/>
        <v>1.3549838228819503E-2</v>
      </c>
      <c r="BZ204" s="9">
        <f t="shared" si="273"/>
        <v>0.20507927923388336</v>
      </c>
      <c r="CA204" s="4">
        <f t="shared" si="313"/>
        <v>945.83332036769923</v>
      </c>
      <c r="CB204" s="6">
        <f t="shared" si="274"/>
        <v>5.3916666407353988E-6</v>
      </c>
      <c r="CC204" s="8">
        <f t="shared" si="275"/>
        <v>26.766083184228542</v>
      </c>
      <c r="CD204" s="7">
        <f t="shared" si="276"/>
        <v>1.349368930311004E-2</v>
      </c>
      <c r="CE204" s="9">
        <f t="shared" si="277"/>
        <v>0.20606769253597731</v>
      </c>
      <c r="CF204" s="4">
        <f t="shared" si="314"/>
        <v>929.56352298391255</v>
      </c>
      <c r="CG204" s="6">
        <f t="shared" si="278"/>
        <v>5.3591270459678256E-6</v>
      </c>
      <c r="CH204" s="8">
        <f t="shared" si="279"/>
        <v>26.578980514314992</v>
      </c>
      <c r="CI204" s="7">
        <f t="shared" si="280"/>
        <v>1.3412252669300861E-2</v>
      </c>
      <c r="CJ204" s="9">
        <f t="shared" si="281"/>
        <v>0.20751830556591053</v>
      </c>
      <c r="CK204" s="4">
        <f t="shared" si="315"/>
        <v>902.69083493858886</v>
      </c>
      <c r="CL204" s="6">
        <f t="shared" si="282"/>
        <v>5.3053816698771784E-6</v>
      </c>
      <c r="CM204" s="8">
        <f t="shared" si="283"/>
        <v>26.269944601793771</v>
      </c>
      <c r="CN204" s="7">
        <f t="shared" si="284"/>
        <v>1.3277744463439848E-2</v>
      </c>
      <c r="CO204" s="9">
        <f t="shared" si="285"/>
        <v>0.20995952155998762</v>
      </c>
      <c r="CP204" s="4">
        <f t="shared" si="316"/>
        <v>856.16901833196493</v>
      </c>
      <c r="CQ204" s="6">
        <f t="shared" si="286"/>
        <v>5.2123380366639302E-6</v>
      </c>
      <c r="CR204" s="8">
        <f t="shared" si="287"/>
        <v>25.734943710817596</v>
      </c>
      <c r="CS204" s="7">
        <f t="shared" si="288"/>
        <v>1.304488476311519E-2</v>
      </c>
      <c r="CT204" s="9">
        <f t="shared" si="289"/>
        <v>0.21432434677063333</v>
      </c>
      <c r="CU204" s="4">
        <f t="shared" si="317"/>
        <v>778.99950113527268</v>
      </c>
      <c r="CV204" s="6">
        <f t="shared" si="290"/>
        <v>5.0579990022705458E-6</v>
      </c>
      <c r="CW204" s="8">
        <f t="shared" si="291"/>
        <v>24.847494263055637</v>
      </c>
      <c r="CX204" s="7">
        <f t="shared" si="292"/>
        <v>1.2658621457867095E-2</v>
      </c>
      <c r="CY204" s="9">
        <f t="shared" si="293"/>
        <v>0.22197912359319374</v>
      </c>
      <c r="CZ204" s="5">
        <f t="shared" si="318"/>
        <v>663.10809098252912</v>
      </c>
      <c r="DA204" s="6">
        <f t="shared" si="294"/>
        <v>4.8262161819650591E-6</v>
      </c>
      <c r="DB204" s="8">
        <f t="shared" si="295"/>
        <v>31.277895330734538</v>
      </c>
      <c r="DC204" s="7">
        <f t="shared" si="296"/>
        <v>1.2078540089451072E-2</v>
      </c>
      <c r="DD204" s="9">
        <f t="shared" si="297"/>
        <v>0.17634258768620509</v>
      </c>
    </row>
    <row r="205" spans="2:108" x14ac:dyDescent="0.25">
      <c r="B205">
        <v>186</v>
      </c>
      <c r="C205">
        <f t="shared" si="298"/>
        <v>0.18183632794021676</v>
      </c>
      <c r="D205" s="4">
        <f t="shared" si="215"/>
        <v>1016.9435477002014</v>
      </c>
      <c r="E205" s="6">
        <f t="shared" si="216"/>
        <v>5.5338870954004034E-6</v>
      </c>
      <c r="F205" s="8">
        <f t="shared" si="217"/>
        <v>27.583850798552316</v>
      </c>
      <c r="G205" s="7">
        <f t="shared" si="213"/>
        <v>1.3849623517087123E-2</v>
      </c>
      <c r="H205" s="9">
        <f t="shared" si="218"/>
        <v>0.19995848441470968</v>
      </c>
      <c r="I205" s="4">
        <f t="shared" si="299"/>
        <v>1016.6188649955233</v>
      </c>
      <c r="J205" s="6">
        <f t="shared" si="219"/>
        <v>5.533237729991047E-6</v>
      </c>
      <c r="K205" s="8">
        <f t="shared" si="220"/>
        <v>27.580116947448516</v>
      </c>
      <c r="L205" s="7">
        <f t="shared" si="221"/>
        <v>1.3847998354468233E-2</v>
      </c>
      <c r="M205" s="9">
        <f t="shared" si="222"/>
        <v>0.19998555519215303</v>
      </c>
      <c r="N205" s="4">
        <f t="shared" si="300"/>
        <v>1015.7126578887629</v>
      </c>
      <c r="O205" s="6">
        <f t="shared" si="223"/>
        <v>5.531425315777526E-6</v>
      </c>
      <c r="P205" s="8">
        <f t="shared" si="224"/>
        <v>27.569695565720771</v>
      </c>
      <c r="Q205" s="7">
        <f t="shared" si="214"/>
        <v>1.3849623517087123E-2</v>
      </c>
      <c r="R205" s="9">
        <f t="shared" si="225"/>
        <v>0.20006114999898447</v>
      </c>
      <c r="S205" s="4">
        <f t="shared" si="301"/>
        <v>1014.2109752134561</v>
      </c>
      <c r="T205" s="6">
        <f t="shared" si="226"/>
        <v>5.5284219504269119E-6</v>
      </c>
      <c r="U205" s="8">
        <f t="shared" si="227"/>
        <v>27.552426214954743</v>
      </c>
      <c r="V205" s="7">
        <f t="shared" si="228"/>
        <v>1.3835945934034866E-2</v>
      </c>
      <c r="W205" s="9">
        <f t="shared" si="229"/>
        <v>0.20018654462474386</v>
      </c>
      <c r="X205" s="4">
        <f t="shared" si="302"/>
        <v>1012.1119290798562</v>
      </c>
      <c r="Y205" s="6">
        <f t="shared" si="230"/>
        <v>5.5242238581597135E-6</v>
      </c>
      <c r="Z205" s="8">
        <f t="shared" si="231"/>
        <v>27.528287184418346</v>
      </c>
      <c r="AA205" s="7">
        <f t="shared" si="232"/>
        <v>1.3825439395612892E-2</v>
      </c>
      <c r="AB205" s="9">
        <f t="shared" si="233"/>
        <v>0.20036208439157713</v>
      </c>
      <c r="AC205" s="4">
        <f t="shared" si="303"/>
        <v>1009.4140643708486</v>
      </c>
      <c r="AD205" s="6">
        <f t="shared" si="234"/>
        <v>5.5188281287416976E-6</v>
      </c>
      <c r="AE205" s="8">
        <f t="shared" si="235"/>
        <v>27.497261740264758</v>
      </c>
      <c r="AF205" s="7">
        <f t="shared" si="236"/>
        <v>1.3811935538423303E-2</v>
      </c>
      <c r="AG205" s="9">
        <f t="shared" si="237"/>
        <v>0.20058815499884364</v>
      </c>
      <c r="AH205" s="4">
        <f t="shared" si="304"/>
        <v>1006.117037145387</v>
      </c>
      <c r="AI205" s="6">
        <f t="shared" si="238"/>
        <v>5.5122340742907738E-6</v>
      </c>
      <c r="AJ205" s="8">
        <f t="shared" si="239"/>
        <v>27.459345927171952</v>
      </c>
      <c r="AK205" s="7">
        <f t="shared" si="240"/>
        <v>1.3795432640908033E-2</v>
      </c>
      <c r="AL205" s="9">
        <f t="shared" si="241"/>
        <v>0.20086512674513862</v>
      </c>
      <c r="AM205" s="4">
        <f t="shared" si="305"/>
        <v>1002.2207044204647</v>
      </c>
      <c r="AN205" s="6">
        <f t="shared" si="242"/>
        <v>5.5044414088409297E-6</v>
      </c>
      <c r="AO205" s="8">
        <f t="shared" si="243"/>
        <v>27.414538100835344</v>
      </c>
      <c r="AP205" s="7">
        <f t="shared" si="244"/>
        <v>1.377592998738179E-2</v>
      </c>
      <c r="AQ205" s="9">
        <f t="shared" si="245"/>
        <v>0.20119343173729906</v>
      </c>
      <c r="AR205" s="4">
        <f t="shared" si="306"/>
        <v>997.72493785821609</v>
      </c>
      <c r="AS205" s="6">
        <f t="shared" si="246"/>
        <v>5.495449875716432E-6</v>
      </c>
      <c r="AT205" s="8">
        <f t="shared" si="247"/>
        <v>27.362836785369485</v>
      </c>
      <c r="AU205" s="7">
        <f t="shared" si="248"/>
        <v>1.3753426935463867E-2</v>
      </c>
      <c r="AV205" s="9">
        <f t="shared" si="249"/>
        <v>0.20157358110432194</v>
      </c>
      <c r="AW205" s="4">
        <f t="shared" si="307"/>
        <v>992.62927302525804</v>
      </c>
      <c r="AX205" s="6">
        <f t="shared" si="250"/>
        <v>5.485258546050517E-6</v>
      </c>
      <c r="AY205" s="8">
        <f t="shared" si="251"/>
        <v>27.304236639790467</v>
      </c>
      <c r="AZ205" s="7">
        <f t="shared" si="252"/>
        <v>1.3727921160485415E-2</v>
      </c>
      <c r="BA205" s="9">
        <f t="shared" si="253"/>
        <v>0.20200619679519183</v>
      </c>
      <c r="BB205" s="4">
        <f t="shared" si="308"/>
        <v>986.93156862732405</v>
      </c>
      <c r="BC205" s="6">
        <f t="shared" si="254"/>
        <v>5.4738631372546493E-6</v>
      </c>
      <c r="BD205" s="8">
        <f t="shared" si="255"/>
        <v>27.238713039214225</v>
      </c>
      <c r="BE205" s="7">
        <f t="shared" si="256"/>
        <v>1.3699401944439745E-2</v>
      </c>
      <c r="BF205" s="9">
        <f t="shared" si="257"/>
        <v>0.20249212920079696</v>
      </c>
      <c r="BG205" s="4">
        <f t="shared" si="309"/>
        <v>980.62258085828159</v>
      </c>
      <c r="BH205" s="6">
        <f t="shared" si="258"/>
        <v>5.4612451617165638E-6</v>
      </c>
      <c r="BI205" s="8">
        <f t="shared" si="259"/>
        <v>27.166159679870237</v>
      </c>
      <c r="BJ205" s="7">
        <f t="shared" si="260"/>
        <v>1.3667823018498962E-2</v>
      </c>
      <c r="BK205" s="9">
        <f t="shared" si="261"/>
        <v>0.20303293012324464</v>
      </c>
      <c r="BL205" s="4">
        <f t="shared" si="310"/>
        <v>973.66589870908854</v>
      </c>
      <c r="BM205" s="6">
        <f t="shared" si="262"/>
        <v>5.447331797418178E-6</v>
      </c>
      <c r="BN205" s="8">
        <f t="shared" si="263"/>
        <v>27.086157835154516</v>
      </c>
      <c r="BO205" s="7">
        <f t="shared" si="264"/>
        <v>1.3633002131468418E-2</v>
      </c>
      <c r="BP205" s="9">
        <f t="shared" si="265"/>
        <v>0.20363260945195388</v>
      </c>
      <c r="BQ205" s="4">
        <f t="shared" si="311"/>
        <v>965.93200640864518</v>
      </c>
      <c r="BR205" s="6">
        <f t="shared" si="266"/>
        <v>5.4318640128172902E-6</v>
      </c>
      <c r="BS205" s="8">
        <f t="shared" si="267"/>
        <v>26.997218073699418</v>
      </c>
      <c r="BT205" s="7">
        <f t="shared" si="268"/>
        <v>1.3594291006779273E-2</v>
      </c>
      <c r="BU205" s="9">
        <f t="shared" si="269"/>
        <v>0.20430345767267405</v>
      </c>
      <c r="BV205" s="4">
        <f t="shared" si="312"/>
        <v>957.00982009803499</v>
      </c>
      <c r="BW205" s="6">
        <f t="shared" si="270"/>
        <v>5.4140196401960706E-6</v>
      </c>
      <c r="BX205" s="8">
        <f t="shared" si="271"/>
        <v>26.894612931127401</v>
      </c>
      <c r="BY205" s="7">
        <f t="shared" si="272"/>
        <v>1.3549632010590515E-2</v>
      </c>
      <c r="BZ205" s="9">
        <f t="shared" si="273"/>
        <v>0.2050828920321178</v>
      </c>
      <c r="CA205" s="4">
        <f t="shared" si="313"/>
        <v>945.75245144485484</v>
      </c>
      <c r="CB205" s="6">
        <f t="shared" si="274"/>
        <v>5.39150490288971E-6</v>
      </c>
      <c r="CC205" s="8">
        <f t="shared" si="275"/>
        <v>26.765153191615831</v>
      </c>
      <c r="CD205" s="7">
        <f t="shared" si="276"/>
        <v>1.3493284522847517E-2</v>
      </c>
      <c r="CE205" s="9">
        <f t="shared" si="277"/>
        <v>0.20607485264563202</v>
      </c>
      <c r="CF205" s="4">
        <f t="shared" si="314"/>
        <v>929.40226348123565</v>
      </c>
      <c r="CG205" s="6">
        <f t="shared" si="278"/>
        <v>5.3588045269624716E-6</v>
      </c>
      <c r="CH205" s="8">
        <f t="shared" si="279"/>
        <v>26.577126030034208</v>
      </c>
      <c r="CI205" s="7">
        <f t="shared" si="280"/>
        <v>1.341144550306775E-2</v>
      </c>
      <c r="CJ205" s="9">
        <f t="shared" si="281"/>
        <v>0.20753278566564787</v>
      </c>
      <c r="CK205" s="4">
        <f t="shared" si="315"/>
        <v>902.39836094525435</v>
      </c>
      <c r="CL205" s="6">
        <f t="shared" si="282"/>
        <v>5.3047967218905093E-6</v>
      </c>
      <c r="CM205" s="8">
        <f t="shared" si="283"/>
        <v>26.266581150870422</v>
      </c>
      <c r="CN205" s="7">
        <f t="shared" si="284"/>
        <v>1.3276280517888957E-2</v>
      </c>
      <c r="CO205" s="9">
        <f t="shared" si="285"/>
        <v>0.209986406998279</v>
      </c>
      <c r="CP205" s="4">
        <f t="shared" si="316"/>
        <v>855.71651528266943</v>
      </c>
      <c r="CQ205" s="6">
        <f t="shared" si="286"/>
        <v>5.211433030565339E-6</v>
      </c>
      <c r="CR205" s="8">
        <f t="shared" si="287"/>
        <v>25.7297399257507</v>
      </c>
      <c r="CS205" s="7">
        <f t="shared" si="288"/>
        <v>1.3042619810193296E-2</v>
      </c>
      <c r="CT205" s="9">
        <f t="shared" si="289"/>
        <v>0.21436769341301742</v>
      </c>
      <c r="CU205" s="4">
        <f t="shared" si="317"/>
        <v>778.42820251565217</v>
      </c>
      <c r="CV205" s="6">
        <f t="shared" si="290"/>
        <v>5.0568564050313046E-6</v>
      </c>
      <c r="CW205" s="8">
        <f t="shared" si="291"/>
        <v>24.840924328930001</v>
      </c>
      <c r="CX205" s="7">
        <f t="shared" si="292"/>
        <v>1.2655761887130948E-2</v>
      </c>
      <c r="CY205" s="9">
        <f t="shared" si="293"/>
        <v>0.22203783268952054</v>
      </c>
      <c r="CZ205" s="5">
        <f t="shared" si="318"/>
        <v>662.54489378537403</v>
      </c>
      <c r="DA205" s="6">
        <f t="shared" si="294"/>
        <v>4.8250897875707487E-6</v>
      </c>
      <c r="DB205" s="8">
        <f t="shared" si="295"/>
        <v>31.390985327923232</v>
      </c>
      <c r="DC205" s="7">
        <f t="shared" si="296"/>
        <v>1.2075721069470354E-2</v>
      </c>
      <c r="DD205" s="9">
        <f t="shared" si="297"/>
        <v>0.17570729119782311</v>
      </c>
    </row>
    <row r="206" spans="2:108" x14ac:dyDescent="0.25">
      <c r="B206">
        <v>187</v>
      </c>
      <c r="C206">
        <f t="shared" si="298"/>
        <v>0.18281394260656203</v>
      </c>
      <c r="D206" s="4">
        <f t="shared" si="215"/>
        <v>1016.9269710414887</v>
      </c>
      <c r="E206" s="6">
        <f t="shared" si="216"/>
        <v>5.5338539420829784E-6</v>
      </c>
      <c r="F206" s="8">
        <f t="shared" si="217"/>
        <v>27.583660166977118</v>
      </c>
      <c r="G206" s="7">
        <f t="shared" si="213"/>
        <v>1.3849540544493583E-2</v>
      </c>
      <c r="H206" s="9">
        <f t="shared" si="218"/>
        <v>0.19995986633431814</v>
      </c>
      <c r="I206" s="4">
        <f t="shared" si="299"/>
        <v>1016.6022875205643</v>
      </c>
      <c r="J206" s="6">
        <f t="shared" si="219"/>
        <v>5.5332045750411294E-6</v>
      </c>
      <c r="K206" s="8">
        <f t="shared" si="220"/>
        <v>27.579926306486492</v>
      </c>
      <c r="L206" s="7">
        <f t="shared" si="221"/>
        <v>1.3847915377789063E-2</v>
      </c>
      <c r="M206" s="9">
        <f t="shared" si="222"/>
        <v>0.19998693755402772</v>
      </c>
      <c r="N206" s="4">
        <f t="shared" si="300"/>
        <v>1015.6960757299948</v>
      </c>
      <c r="O206" s="6">
        <f t="shared" si="223"/>
        <v>5.5313921514599907E-6</v>
      </c>
      <c r="P206" s="8">
        <f t="shared" si="224"/>
        <v>27.569504870894939</v>
      </c>
      <c r="Q206" s="7">
        <f t="shared" si="214"/>
        <v>1.3849540544493583E-2</v>
      </c>
      <c r="R206" s="9">
        <f t="shared" si="225"/>
        <v>0.20006253379700092</v>
      </c>
      <c r="S206" s="4">
        <f t="shared" si="301"/>
        <v>1014.1943905974159</v>
      </c>
      <c r="T206" s="6">
        <f t="shared" si="226"/>
        <v>5.5283887811948321E-6</v>
      </c>
      <c r="U206" s="8">
        <f t="shared" si="227"/>
        <v>27.552235491870285</v>
      </c>
      <c r="V206" s="7">
        <f t="shared" si="228"/>
        <v>1.3835862921611819E-2</v>
      </c>
      <c r="W206" s="9">
        <f t="shared" si="229"/>
        <v>0.20018793036330831</v>
      </c>
      <c r="X206" s="4">
        <f t="shared" si="302"/>
        <v>1012.0953477330237</v>
      </c>
      <c r="Y206" s="6">
        <f t="shared" si="230"/>
        <v>5.5241906954660479E-6</v>
      </c>
      <c r="Z206" s="8">
        <f t="shared" si="231"/>
        <v>27.52809649892977</v>
      </c>
      <c r="AA206" s="7">
        <f t="shared" si="232"/>
        <v>1.3825356399553493E-2</v>
      </c>
      <c r="AB206" s="9">
        <f t="shared" si="233"/>
        <v>0.20036347228782908</v>
      </c>
      <c r="AC206" s="4">
        <f t="shared" si="303"/>
        <v>1009.3974925837603</v>
      </c>
      <c r="AD206" s="6">
        <f t="shared" si="234"/>
        <v>5.5187949851675206E-6</v>
      </c>
      <c r="AE206" s="8">
        <f t="shared" si="235"/>
        <v>27.49707116471324</v>
      </c>
      <c r="AF206" s="7">
        <f t="shared" si="236"/>
        <v>1.3811852590214125E-2</v>
      </c>
      <c r="AG206" s="9">
        <f t="shared" si="237"/>
        <v>0.20058954522684419</v>
      </c>
      <c r="AH206" s="4">
        <f t="shared" si="304"/>
        <v>1006.1004801572334</v>
      </c>
      <c r="AI206" s="6">
        <f t="shared" si="238"/>
        <v>5.5122009603144674E-6</v>
      </c>
      <c r="AJ206" s="8">
        <f t="shared" si="239"/>
        <v>27.459155521808185</v>
      </c>
      <c r="AK206" s="7">
        <f t="shared" si="240"/>
        <v>1.3795349766773254E-2</v>
      </c>
      <c r="AL206" s="9">
        <f t="shared" si="241"/>
        <v>0.20086651957011081</v>
      </c>
      <c r="AM206" s="4">
        <f t="shared" si="305"/>
        <v>1002.2041655963778</v>
      </c>
      <c r="AN206" s="6">
        <f t="shared" si="242"/>
        <v>5.5044083311927559E-6</v>
      </c>
      <c r="AO206" s="8">
        <f t="shared" si="243"/>
        <v>27.414347904358344</v>
      </c>
      <c r="AP206" s="7">
        <f t="shared" si="244"/>
        <v>1.3775847204165192E-2</v>
      </c>
      <c r="AQ206" s="9">
        <f t="shared" si="245"/>
        <v>0.2011948275860001</v>
      </c>
      <c r="AR206" s="4">
        <f t="shared" si="306"/>
        <v>997.70841562046519</v>
      </c>
      <c r="AS206" s="6">
        <f t="shared" si="246"/>
        <v>5.4954168312409306E-6</v>
      </c>
      <c r="AT206" s="8">
        <f t="shared" si="247"/>
        <v>27.362646779635348</v>
      </c>
      <c r="AU206" s="7">
        <f t="shared" si="248"/>
        <v>1.3753344235268304E-2</v>
      </c>
      <c r="AV206" s="9">
        <f t="shared" si="249"/>
        <v>0.20157498082769554</v>
      </c>
      <c r="AW206" s="4">
        <f t="shared" si="307"/>
        <v>992.61274602773926</v>
      </c>
      <c r="AX206" s="6">
        <f t="shared" si="250"/>
        <v>5.4852254920554791E-6</v>
      </c>
      <c r="AY206" s="8">
        <f t="shared" si="251"/>
        <v>27.304046579318999</v>
      </c>
      <c r="AZ206" s="7">
        <f t="shared" si="252"/>
        <v>1.372783843646537E-2</v>
      </c>
      <c r="BA206" s="9">
        <f t="shared" si="253"/>
        <v>0.20200760293815639</v>
      </c>
      <c r="BB206" s="4">
        <f t="shared" si="308"/>
        <v>986.91493573145533</v>
      </c>
      <c r="BC206" s="6">
        <f t="shared" si="254"/>
        <v>5.4738298714629108E-6</v>
      </c>
      <c r="BD206" s="8">
        <f t="shared" si="255"/>
        <v>27.238521760911738</v>
      </c>
      <c r="BE206" s="7">
        <f t="shared" si="256"/>
        <v>1.3699318690357462E-2</v>
      </c>
      <c r="BF206" s="9">
        <f t="shared" si="257"/>
        <v>0.20249355117042808</v>
      </c>
      <c r="BG206" s="4">
        <f t="shared" si="309"/>
        <v>980.60544740292437</v>
      </c>
      <c r="BH206" s="6">
        <f t="shared" si="258"/>
        <v>5.4612108948058496E-6</v>
      </c>
      <c r="BI206" s="8">
        <f t="shared" si="259"/>
        <v>27.165962645133629</v>
      </c>
      <c r="BJ206" s="7">
        <f t="shared" si="260"/>
        <v>1.3667737258922681E-2</v>
      </c>
      <c r="BK206" s="9">
        <f t="shared" si="261"/>
        <v>0.20303440272115816</v>
      </c>
      <c r="BL206" s="4">
        <f t="shared" si="310"/>
        <v>973.64690988362293</v>
      </c>
      <c r="BM206" s="6">
        <f t="shared" si="262"/>
        <v>5.4472938197672459E-6</v>
      </c>
      <c r="BN206" s="8">
        <f t="shared" si="263"/>
        <v>27.085939463661663</v>
      </c>
      <c r="BO206" s="7">
        <f t="shared" si="264"/>
        <v>1.3632907085046544E-2</v>
      </c>
      <c r="BP206" s="9">
        <f t="shared" si="265"/>
        <v>0.20363425117300177</v>
      </c>
      <c r="BQ206" s="4">
        <f t="shared" si="311"/>
        <v>965.90707301558007</v>
      </c>
      <c r="BR206" s="6">
        <f t="shared" si="266"/>
        <v>5.4318141460311612E-6</v>
      </c>
      <c r="BS206" s="8">
        <f t="shared" si="267"/>
        <v>26.996931339679172</v>
      </c>
      <c r="BT206" s="7">
        <f t="shared" si="268"/>
        <v>1.3594166205495478E-2</v>
      </c>
      <c r="BU206" s="9">
        <f t="shared" si="269"/>
        <v>0.20430562757676543</v>
      </c>
      <c r="BV206" s="4">
        <f t="shared" si="312"/>
        <v>956.96827794743103</v>
      </c>
      <c r="BW206" s="6">
        <f t="shared" si="270"/>
        <v>5.4139365558948629E-6</v>
      </c>
      <c r="BX206" s="8">
        <f t="shared" si="271"/>
        <v>26.894135196395457</v>
      </c>
      <c r="BY206" s="7">
        <f t="shared" si="272"/>
        <v>1.354942407604612E-2</v>
      </c>
      <c r="BZ206" s="9">
        <f t="shared" si="273"/>
        <v>0.20508653502787638</v>
      </c>
      <c r="CA206" s="4">
        <f t="shared" si="313"/>
        <v>945.67097779319818</v>
      </c>
      <c r="CB206" s="6">
        <f t="shared" si="274"/>
        <v>5.3913419555863969E-6</v>
      </c>
      <c r="CC206" s="8">
        <f t="shared" si="275"/>
        <v>26.764216244621778</v>
      </c>
      <c r="CD206" s="7">
        <f t="shared" si="276"/>
        <v>1.3492876715683201E-2</v>
      </c>
      <c r="CE206" s="9">
        <f t="shared" si="277"/>
        <v>0.20608206680097926</v>
      </c>
      <c r="CF206" s="4">
        <f t="shared" si="314"/>
        <v>929.24023386775195</v>
      </c>
      <c r="CG206" s="6">
        <f t="shared" si="278"/>
        <v>5.358480467735505E-6</v>
      </c>
      <c r="CH206" s="8">
        <f t="shared" si="279"/>
        <v>26.575262689479146</v>
      </c>
      <c r="CI206" s="7">
        <f t="shared" si="280"/>
        <v>1.3410634482131948E-2</v>
      </c>
      <c r="CJ206" s="9">
        <f t="shared" si="281"/>
        <v>0.20754733695195327</v>
      </c>
      <c r="CK206" s="4">
        <f t="shared" si="315"/>
        <v>902.1054033415752</v>
      </c>
      <c r="CL206" s="6">
        <f t="shared" si="282"/>
        <v>5.3042108066831511E-6</v>
      </c>
      <c r="CM206" s="8">
        <f t="shared" si="283"/>
        <v>26.263212138428116</v>
      </c>
      <c r="CN206" s="7">
        <f t="shared" si="284"/>
        <v>1.3274814151681089E-2</v>
      </c>
      <c r="CO206" s="9">
        <f t="shared" si="285"/>
        <v>0.21001334379542946</v>
      </c>
      <c r="CP206" s="4">
        <f t="shared" si="316"/>
        <v>855.26450676408774</v>
      </c>
      <c r="CQ206" s="6">
        <f t="shared" si="286"/>
        <v>5.2105290135281755E-6</v>
      </c>
      <c r="CR206" s="8">
        <f t="shared" si="287"/>
        <v>25.724541827787007</v>
      </c>
      <c r="CS206" s="7">
        <f t="shared" si="288"/>
        <v>1.3040357332589054E-2</v>
      </c>
      <c r="CT206" s="9">
        <f t="shared" si="289"/>
        <v>0.21441101019113817</v>
      </c>
      <c r="CU206" s="4">
        <f t="shared" si="317"/>
        <v>777.85861979359822</v>
      </c>
      <c r="CV206" s="6">
        <f t="shared" si="290"/>
        <v>5.0557172395871972E-6</v>
      </c>
      <c r="CW206" s="8">
        <f t="shared" si="291"/>
        <v>24.834374127626379</v>
      </c>
      <c r="CX206" s="7">
        <f t="shared" si="292"/>
        <v>1.2652910905126333E-2</v>
      </c>
      <c r="CY206" s="9">
        <f t="shared" si="293"/>
        <v>0.22209639637603271</v>
      </c>
      <c r="CZ206" s="5">
        <f t="shared" si="318"/>
        <v>661.9837826329142</v>
      </c>
      <c r="DA206" s="6">
        <f t="shared" si="294"/>
        <v>4.8239675652658285E-6</v>
      </c>
      <c r="DB206" s="8">
        <f t="shared" si="295"/>
        <v>31.503656447337136</v>
      </c>
      <c r="DC206" s="7">
        <f t="shared" si="296"/>
        <v>1.207291249095083E-2</v>
      </c>
      <c r="DD206" s="9">
        <f t="shared" si="297"/>
        <v>0.17507888359626303</v>
      </c>
    </row>
    <row r="207" spans="2:108" x14ac:dyDescent="0.25">
      <c r="B207">
        <v>188</v>
      </c>
      <c r="C207">
        <f t="shared" si="298"/>
        <v>0.18379155727290727</v>
      </c>
      <c r="D207" s="4">
        <f t="shared" si="215"/>
        <v>1016.9103943411027</v>
      </c>
      <c r="E207" s="6">
        <f t="shared" si="216"/>
        <v>5.5338207886822061E-6</v>
      </c>
      <c r="F207" s="8">
        <f t="shared" si="217"/>
        <v>27.583469534922678</v>
      </c>
      <c r="G207" s="7">
        <f t="shared" si="213"/>
        <v>1.3849457571691445E-2</v>
      </c>
      <c r="H207" s="9">
        <f t="shared" si="218"/>
        <v>0.19996124827650191</v>
      </c>
      <c r="I207" s="4">
        <f t="shared" si="299"/>
        <v>1016.5857100532713</v>
      </c>
      <c r="J207" s="6">
        <f t="shared" si="219"/>
        <v>5.5331714201065431E-6</v>
      </c>
      <c r="K207" s="8">
        <f t="shared" si="220"/>
        <v>27.579735665612617</v>
      </c>
      <c r="L207" s="7">
        <f t="shared" si="221"/>
        <v>1.3847832401148261E-2</v>
      </c>
      <c r="M207" s="9">
        <f t="shared" si="222"/>
        <v>0.19998831993437396</v>
      </c>
      <c r="N207" s="4">
        <f t="shared" si="300"/>
        <v>1015.6794936766976</v>
      </c>
      <c r="O207" s="6">
        <f t="shared" si="223"/>
        <v>5.5313589873533954E-6</v>
      </c>
      <c r="P207" s="8">
        <f t="shared" si="224"/>
        <v>27.56931417728202</v>
      </c>
      <c r="Q207" s="7">
        <f t="shared" si="214"/>
        <v>1.3849457571691445E-2</v>
      </c>
      <c r="R207" s="9">
        <f t="shared" si="225"/>
        <v>0.2000639176053588</v>
      </c>
      <c r="S207" s="4">
        <f t="shared" si="301"/>
        <v>1014.1778061619171</v>
      </c>
      <c r="T207" s="6">
        <f t="shared" si="226"/>
        <v>5.5283556123238349E-6</v>
      </c>
      <c r="U207" s="8">
        <f t="shared" si="227"/>
        <v>27.552044770862047</v>
      </c>
      <c r="V207" s="7">
        <f t="shared" si="228"/>
        <v>1.3835779910092452E-2</v>
      </c>
      <c r="W207" s="9">
        <f t="shared" si="229"/>
        <v>0.20018931610597218</v>
      </c>
      <c r="X207" s="4">
        <f t="shared" si="302"/>
        <v>1012.0787665948967</v>
      </c>
      <c r="Y207" s="6">
        <f t="shared" si="230"/>
        <v>5.5241575331897942E-6</v>
      </c>
      <c r="Z207" s="8">
        <f t="shared" si="231"/>
        <v>27.527905815841311</v>
      </c>
      <c r="AA207" s="7">
        <f t="shared" si="232"/>
        <v>1.3825273404538747E-2</v>
      </c>
      <c r="AB207" s="9">
        <f t="shared" si="233"/>
        <v>0.20036486018583941</v>
      </c>
      <c r="AC207" s="4">
        <f t="shared" si="303"/>
        <v>1009.3809210022638</v>
      </c>
      <c r="AD207" s="6">
        <f t="shared" si="234"/>
        <v>5.5187618420045281E-6</v>
      </c>
      <c r="AE207" s="8">
        <f t="shared" si="235"/>
        <v>27.496880591526033</v>
      </c>
      <c r="AF207" s="7">
        <f t="shared" si="236"/>
        <v>1.3811769643034015E-2</v>
      </c>
      <c r="AG207" s="9">
        <f t="shared" si="237"/>
        <v>0.20059093545686782</v>
      </c>
      <c r="AH207" s="4">
        <f t="shared" si="304"/>
        <v>1006.083923352931</v>
      </c>
      <c r="AI207" s="6">
        <f t="shared" si="238"/>
        <v>5.5121678467058622E-6</v>
      </c>
      <c r="AJ207" s="8">
        <f t="shared" si="239"/>
        <v>27.458965118558709</v>
      </c>
      <c r="AK207" s="7">
        <f t="shared" si="240"/>
        <v>1.3795266893558717E-2</v>
      </c>
      <c r="AL207" s="9">
        <f t="shared" si="241"/>
        <v>0.20086791239893273</v>
      </c>
      <c r="AM207" s="4">
        <f t="shared" si="305"/>
        <v>1002.1876268841222</v>
      </c>
      <c r="AN207" s="6">
        <f t="shared" si="242"/>
        <v>5.5043752537682446E-6</v>
      </c>
      <c r="AO207" s="8">
        <f t="shared" si="243"/>
        <v>27.414157709167405</v>
      </c>
      <c r="AP207" s="7">
        <f t="shared" si="244"/>
        <v>1.3775764421508354E-2</v>
      </c>
      <c r="AQ207" s="9">
        <f t="shared" si="245"/>
        <v>0.20119622344463103</v>
      </c>
      <c r="AR207" s="4">
        <f t="shared" si="306"/>
        <v>997.69189319812426</v>
      </c>
      <c r="AS207" s="6">
        <f t="shared" si="246"/>
        <v>5.495383786396249E-6</v>
      </c>
      <c r="AT207" s="8">
        <f t="shared" si="247"/>
        <v>27.362456771778426</v>
      </c>
      <c r="AU207" s="7">
        <f t="shared" si="248"/>
        <v>1.3753261534148796E-2</v>
      </c>
      <c r="AV207" s="9">
        <f t="shared" si="249"/>
        <v>0.20157638058614688</v>
      </c>
      <c r="AW207" s="4">
        <f t="shared" si="307"/>
        <v>992.59621765406416</v>
      </c>
      <c r="AX207" s="6">
        <f t="shared" si="250"/>
        <v>5.4851924353081288E-6</v>
      </c>
      <c r="AY207" s="8">
        <f t="shared" si="251"/>
        <v>27.303856503021738</v>
      </c>
      <c r="AZ207" s="7">
        <f t="shared" si="252"/>
        <v>1.372775570555713E-2</v>
      </c>
      <c r="BA207" s="9">
        <f t="shared" si="253"/>
        <v>0.20200900921778511</v>
      </c>
      <c r="BB207" s="4">
        <f t="shared" si="308"/>
        <v>986.89829710174797</v>
      </c>
      <c r="BC207" s="6">
        <f t="shared" si="254"/>
        <v>5.4737965942034964E-6</v>
      </c>
      <c r="BD207" s="8">
        <f t="shared" si="255"/>
        <v>27.238330416670102</v>
      </c>
      <c r="BE207" s="7">
        <f t="shared" si="256"/>
        <v>1.3699235407575103E-2</v>
      </c>
      <c r="BF207" s="9">
        <f t="shared" si="257"/>
        <v>0.20249497365023475</v>
      </c>
      <c r="BG207" s="4">
        <f t="shared" si="309"/>
        <v>980.58829402483786</v>
      </c>
      <c r="BH207" s="6">
        <f t="shared" si="258"/>
        <v>5.4611765880496765E-6</v>
      </c>
      <c r="BI207" s="8">
        <f t="shared" si="259"/>
        <v>27.165765381285635</v>
      </c>
      <c r="BJ207" s="7">
        <f t="shared" si="260"/>
        <v>1.3667651399625428E-2</v>
      </c>
      <c r="BK207" s="9">
        <f t="shared" si="261"/>
        <v>0.20303587705280293</v>
      </c>
      <c r="BL207" s="4">
        <f t="shared" si="310"/>
        <v>973.62786084576612</v>
      </c>
      <c r="BM207" s="6">
        <f t="shared" si="262"/>
        <v>5.4472557216915322E-6</v>
      </c>
      <c r="BN207" s="8">
        <f t="shared" si="263"/>
        <v>27.085720399726309</v>
      </c>
      <c r="BO207" s="7">
        <f t="shared" si="264"/>
        <v>1.3632811737238347E-2</v>
      </c>
      <c r="BP207" s="9">
        <f t="shared" si="265"/>
        <v>0.20363589812644353</v>
      </c>
      <c r="BQ207" s="4">
        <f t="shared" si="311"/>
        <v>965.88198258841794</v>
      </c>
      <c r="BR207" s="6">
        <f t="shared" si="266"/>
        <v>5.4317639651768366E-6</v>
      </c>
      <c r="BS207" s="8">
        <f t="shared" si="267"/>
        <v>26.996642799766803</v>
      </c>
      <c r="BT207" s="7">
        <f t="shared" si="268"/>
        <v>1.3594040618195233E-2</v>
      </c>
      <c r="BU207" s="9">
        <f t="shared" si="269"/>
        <v>0.20430781119375493</v>
      </c>
      <c r="BV207" s="4">
        <f t="shared" si="312"/>
        <v>956.9263916799066</v>
      </c>
      <c r="BW207" s="6">
        <f t="shared" si="270"/>
        <v>5.413852783359814E-6</v>
      </c>
      <c r="BX207" s="8">
        <f t="shared" si="271"/>
        <v>26.893653504318927</v>
      </c>
      <c r="BY207" s="7">
        <f t="shared" si="272"/>
        <v>1.3549214419063335E-2</v>
      </c>
      <c r="BZ207" s="9">
        <f t="shared" si="273"/>
        <v>0.20509020833165081</v>
      </c>
      <c r="CA207" s="4">
        <f t="shared" si="313"/>
        <v>945.58890055567861</v>
      </c>
      <c r="CB207" s="6">
        <f t="shared" si="274"/>
        <v>5.3911778011113573E-6</v>
      </c>
      <c r="CC207" s="8">
        <f t="shared" si="275"/>
        <v>26.763272356390303</v>
      </c>
      <c r="CD207" s="7">
        <f t="shared" si="276"/>
        <v>1.3492465887337997E-2</v>
      </c>
      <c r="CE207" s="9">
        <f t="shared" si="277"/>
        <v>0.2060893349121049</v>
      </c>
      <c r="CF207" s="4">
        <f t="shared" si="314"/>
        <v>929.07744037483803</v>
      </c>
      <c r="CG207" s="6">
        <f t="shared" si="278"/>
        <v>5.3581548807496771E-6</v>
      </c>
      <c r="CH207" s="8">
        <f t="shared" si="279"/>
        <v>26.573390564310635</v>
      </c>
      <c r="CI207" s="7">
        <f t="shared" si="280"/>
        <v>1.3409819637683906E-2</v>
      </c>
      <c r="CJ207" s="9">
        <f t="shared" si="281"/>
        <v>0.20756195889461521</v>
      </c>
      <c r="CK207" s="4">
        <f t="shared" si="315"/>
        <v>901.81197204541104</v>
      </c>
      <c r="CL207" s="6">
        <f t="shared" si="282"/>
        <v>5.3036239440908222E-6</v>
      </c>
      <c r="CM207" s="8">
        <f t="shared" si="283"/>
        <v>26.259837678522224</v>
      </c>
      <c r="CN207" s="7">
        <f t="shared" si="284"/>
        <v>1.3273345414458971E-2</v>
      </c>
      <c r="CO207" s="9">
        <f t="shared" si="285"/>
        <v>0.21004033107604467</v>
      </c>
      <c r="CP207" s="4">
        <f t="shared" si="316"/>
        <v>854.81299679804886</v>
      </c>
      <c r="CQ207" s="6">
        <f t="shared" si="286"/>
        <v>5.2096259935960984E-6</v>
      </c>
      <c r="CR207" s="8">
        <f t="shared" si="287"/>
        <v>25.719349463177561</v>
      </c>
      <c r="CS207" s="7">
        <f t="shared" si="288"/>
        <v>1.3038097350433275E-2</v>
      </c>
      <c r="CT207" s="9">
        <f t="shared" si="289"/>
        <v>0.2144542966725006</v>
      </c>
      <c r="CU207" s="4">
        <f t="shared" si="317"/>
        <v>777.29074174717618</v>
      </c>
      <c r="CV207" s="6">
        <f t="shared" si="290"/>
        <v>5.0545814834943527E-6</v>
      </c>
      <c r="CW207" s="8">
        <f t="shared" si="291"/>
        <v>24.827843530092526</v>
      </c>
      <c r="CX207" s="7">
        <f t="shared" si="292"/>
        <v>1.2650068455683117E-2</v>
      </c>
      <c r="CY207" s="9">
        <f t="shared" si="293"/>
        <v>0.22215481555274022</v>
      </c>
      <c r="CZ207" s="5">
        <f t="shared" si="318"/>
        <v>661.42473936670285</v>
      </c>
      <c r="DA207" s="6">
        <f t="shared" si="294"/>
        <v>4.8228494787334059E-6</v>
      </c>
      <c r="DB207" s="8">
        <f t="shared" si="295"/>
        <v>31.61591233519232</v>
      </c>
      <c r="DC207" s="7">
        <f t="shared" si="296"/>
        <v>1.2070114263002441E-2</v>
      </c>
      <c r="DD207" s="9">
        <f t="shared" si="297"/>
        <v>0.17445724613363267</v>
      </c>
    </row>
    <row r="208" spans="2:108" x14ac:dyDescent="0.25">
      <c r="B208">
        <v>189</v>
      </c>
      <c r="C208">
        <f t="shared" si="298"/>
        <v>0.18476917193925252</v>
      </c>
      <c r="D208" s="4">
        <f t="shared" si="215"/>
        <v>1016.8938176015622</v>
      </c>
      <c r="E208" s="6">
        <f t="shared" si="216"/>
        <v>5.5337876352031249E-6</v>
      </c>
      <c r="F208" s="8">
        <f t="shared" si="217"/>
        <v>27.583278902417966</v>
      </c>
      <c r="G208" s="7">
        <f t="shared" si="213"/>
        <v>1.3849374598693327E-2</v>
      </c>
      <c r="H208" s="9">
        <f t="shared" si="218"/>
        <v>0.19996263024105149</v>
      </c>
      <c r="I208" s="4">
        <f t="shared" si="299"/>
        <v>1016.5691325953356</v>
      </c>
      <c r="J208" s="6">
        <f t="shared" si="219"/>
        <v>5.533138265190672E-6</v>
      </c>
      <c r="K208" s="8">
        <f t="shared" si="220"/>
        <v>27.579545024846361</v>
      </c>
      <c r="L208" s="7">
        <f t="shared" si="221"/>
        <v>1.3847749424554296E-2</v>
      </c>
      <c r="M208" s="9">
        <f t="shared" si="222"/>
        <v>0.19998970233305094</v>
      </c>
      <c r="N208" s="4">
        <f t="shared" si="300"/>
        <v>1015.6629117291546</v>
      </c>
      <c r="O208" s="6">
        <f t="shared" si="223"/>
        <v>5.5313258234583093E-6</v>
      </c>
      <c r="P208" s="8">
        <f t="shared" si="224"/>
        <v>27.569123484885278</v>
      </c>
      <c r="Q208" s="7">
        <f t="shared" si="214"/>
        <v>1.3849374598693327E-2</v>
      </c>
      <c r="R208" s="9">
        <f t="shared" si="225"/>
        <v>0.20006530142403445</v>
      </c>
      <c r="S208" s="4">
        <f t="shared" si="301"/>
        <v>1014.1612219065478</v>
      </c>
      <c r="T208" s="6">
        <f t="shared" si="226"/>
        <v>5.528322443813096E-6</v>
      </c>
      <c r="U208" s="8">
        <f t="shared" si="227"/>
        <v>27.551854051925297</v>
      </c>
      <c r="V208" s="7">
        <f t="shared" si="228"/>
        <v>1.3835696899474701E-2</v>
      </c>
      <c r="W208" s="9">
        <f t="shared" si="229"/>
        <v>0.20019070185276963</v>
      </c>
      <c r="X208" s="4">
        <f t="shared" si="302"/>
        <v>1012.0621856650835</v>
      </c>
      <c r="Y208" s="6">
        <f t="shared" si="230"/>
        <v>5.5241243713301681E-6</v>
      </c>
      <c r="Z208" s="8">
        <f t="shared" si="231"/>
        <v>27.527715135148458</v>
      </c>
      <c r="AA208" s="7">
        <f t="shared" si="232"/>
        <v>1.3825190410566693E-2</v>
      </c>
      <c r="AB208" s="9">
        <f t="shared" si="233"/>
        <v>0.2003662480856406</v>
      </c>
      <c r="AC208" s="4">
        <f t="shared" si="303"/>
        <v>1009.3643496260648</v>
      </c>
      <c r="AD208" s="6">
        <f t="shared" si="234"/>
        <v>5.5187286992521306E-6</v>
      </c>
      <c r="AE208" s="8">
        <f t="shared" si="235"/>
        <v>27.496690020699745</v>
      </c>
      <c r="AF208" s="7">
        <f t="shared" si="236"/>
        <v>1.3811686696881497E-2</v>
      </c>
      <c r="AG208" s="9">
        <f t="shared" si="237"/>
        <v>0.20059232568893892</v>
      </c>
      <c r="AH208" s="4">
        <f t="shared" si="304"/>
        <v>1006.0673667316754</v>
      </c>
      <c r="AI208" s="6">
        <f t="shared" si="238"/>
        <v>5.5121347334633514E-6</v>
      </c>
      <c r="AJ208" s="8">
        <f t="shared" si="239"/>
        <v>27.458774717414265</v>
      </c>
      <c r="AK208" s="7">
        <f t="shared" si="240"/>
        <v>1.3795184021260405E-2</v>
      </c>
      <c r="AL208" s="9">
        <f t="shared" si="241"/>
        <v>0.20086930523167185</v>
      </c>
      <c r="AM208" s="4">
        <f t="shared" si="305"/>
        <v>1002.1710882802378</v>
      </c>
      <c r="AN208" s="6">
        <f t="shared" si="242"/>
        <v>5.5043421765604754E-6</v>
      </c>
      <c r="AO208" s="8">
        <f t="shared" si="243"/>
        <v>27.413967515222733</v>
      </c>
      <c r="AP208" s="7">
        <f t="shared" si="244"/>
        <v>1.3775681639393956E-2</v>
      </c>
      <c r="AQ208" s="9">
        <f t="shared" si="245"/>
        <v>0.20119761931348398</v>
      </c>
      <c r="AR208" s="4">
        <f t="shared" si="306"/>
        <v>997.67537057758375</v>
      </c>
      <c r="AS208" s="6">
        <f t="shared" si="246"/>
        <v>5.4953507411551678E-6</v>
      </c>
      <c r="AT208" s="8">
        <f t="shared" si="247"/>
        <v>27.362266761642211</v>
      </c>
      <c r="AU208" s="7">
        <f t="shared" si="248"/>
        <v>1.3753178832037222E-2</v>
      </c>
      <c r="AV208" s="9">
        <f t="shared" si="249"/>
        <v>0.20157778038083007</v>
      </c>
      <c r="AW208" s="4">
        <f t="shared" si="307"/>
        <v>992.57968785646744</v>
      </c>
      <c r="AX208" s="6">
        <f t="shared" si="250"/>
        <v>5.4851593757129351E-6</v>
      </c>
      <c r="AY208" s="8">
        <f t="shared" si="251"/>
        <v>27.303666410349376</v>
      </c>
      <c r="AZ208" s="7">
        <f t="shared" si="252"/>
        <v>1.3727672967521609E-2</v>
      </c>
      <c r="BA208" s="9">
        <f t="shared" si="253"/>
        <v>0.20201041563814734</v>
      </c>
      <c r="BB208" s="4">
        <f t="shared" si="308"/>
        <v>986.88165259059122</v>
      </c>
      <c r="BC208" s="6">
        <f t="shared" si="254"/>
        <v>5.4737633051811822E-6</v>
      </c>
      <c r="BD208" s="8">
        <f t="shared" si="255"/>
        <v>27.238139004791798</v>
      </c>
      <c r="BE208" s="7">
        <f t="shared" si="256"/>
        <v>1.3699152095353811E-2</v>
      </c>
      <c r="BF208" s="9">
        <f t="shared" si="257"/>
        <v>0.2024963966528579</v>
      </c>
      <c r="BG208" s="4">
        <f t="shared" si="309"/>
        <v>980.5711203328209</v>
      </c>
      <c r="BH208" s="6">
        <f t="shared" si="258"/>
        <v>5.4611422406656426E-6</v>
      </c>
      <c r="BI208" s="8">
        <f t="shared" si="259"/>
        <v>27.165567883827439</v>
      </c>
      <c r="BJ208" s="7">
        <f t="shared" si="260"/>
        <v>1.3667565438649091E-2</v>
      </c>
      <c r="BK208" s="9">
        <f t="shared" si="261"/>
        <v>0.20303735315187849</v>
      </c>
      <c r="BL208" s="4">
        <f t="shared" si="310"/>
        <v>973.60875074568037</v>
      </c>
      <c r="BM208" s="6">
        <f t="shared" si="262"/>
        <v>5.4472175014913612E-6</v>
      </c>
      <c r="BN208" s="8">
        <f t="shared" si="263"/>
        <v>27.085500633575322</v>
      </c>
      <c r="BO208" s="7">
        <f t="shared" si="264"/>
        <v>1.3632716083790058E-2</v>
      </c>
      <c r="BP208" s="9">
        <f t="shared" si="265"/>
        <v>0.20363755038600997</v>
      </c>
      <c r="BQ208" s="4">
        <f t="shared" si="311"/>
        <v>965.85673375055853</v>
      </c>
      <c r="BR208" s="6">
        <f t="shared" si="266"/>
        <v>5.4317134675011172E-6</v>
      </c>
      <c r="BS208" s="8">
        <f t="shared" si="267"/>
        <v>26.996352438131424</v>
      </c>
      <c r="BT208" s="7">
        <f t="shared" si="268"/>
        <v>1.359391423798813E-2</v>
      </c>
      <c r="BU208" s="9">
        <f t="shared" si="269"/>
        <v>0.2043100086443296</v>
      </c>
      <c r="BV208" s="4">
        <f t="shared" si="312"/>
        <v>956.8841601034801</v>
      </c>
      <c r="BW208" s="6">
        <f t="shared" si="270"/>
        <v>5.4137683202069607E-6</v>
      </c>
      <c r="BX208" s="8">
        <f t="shared" si="271"/>
        <v>26.893167841190021</v>
      </c>
      <c r="BY208" s="7">
        <f t="shared" si="272"/>
        <v>1.3549003033675826E-2</v>
      </c>
      <c r="BZ208" s="9">
        <f t="shared" si="273"/>
        <v>0.20509391205123026</v>
      </c>
      <c r="CA208" s="4">
        <f t="shared" si="313"/>
        <v>945.50622091571051</v>
      </c>
      <c r="CB208" s="6">
        <f t="shared" si="274"/>
        <v>5.3910124418314224E-6</v>
      </c>
      <c r="CC208" s="8">
        <f t="shared" si="275"/>
        <v>26.762321540530671</v>
      </c>
      <c r="CD208" s="7">
        <f t="shared" si="276"/>
        <v>1.349205204373536E-2</v>
      </c>
      <c r="CE208" s="9">
        <f t="shared" si="277"/>
        <v>0.20609665688556816</v>
      </c>
      <c r="CF208" s="4">
        <f t="shared" si="314"/>
        <v>928.91388921853809</v>
      </c>
      <c r="CG208" s="6">
        <f t="shared" si="278"/>
        <v>5.357827778437077E-6</v>
      </c>
      <c r="CH208" s="8">
        <f t="shared" si="279"/>
        <v>26.57150972601319</v>
      </c>
      <c r="CI208" s="7">
        <f t="shared" si="280"/>
        <v>1.340900100083733E-2</v>
      </c>
      <c r="CJ208" s="9">
        <f t="shared" si="281"/>
        <v>0.20757665096463335</v>
      </c>
      <c r="CK208" s="4">
        <f t="shared" si="315"/>
        <v>901.51807684321466</v>
      </c>
      <c r="CL208" s="6">
        <f t="shared" si="282"/>
        <v>5.3030361536864305E-6</v>
      </c>
      <c r="CM208" s="8">
        <f t="shared" si="283"/>
        <v>26.256457883696967</v>
      </c>
      <c r="CN208" s="7">
        <f t="shared" si="284"/>
        <v>1.327187435520759E-2</v>
      </c>
      <c r="CO208" s="9">
        <f t="shared" si="285"/>
        <v>0.21006736797596506</v>
      </c>
      <c r="CP208" s="4">
        <f t="shared" si="316"/>
        <v>854.36198927128021</v>
      </c>
      <c r="CQ208" s="6">
        <f t="shared" si="286"/>
        <v>5.2087239785425603E-6</v>
      </c>
      <c r="CR208" s="8">
        <f t="shared" si="287"/>
        <v>25.714162876619721</v>
      </c>
      <c r="CS208" s="7">
        <f t="shared" si="288"/>
        <v>1.3035839883180533E-2</v>
      </c>
      <c r="CT208" s="9">
        <f t="shared" si="289"/>
        <v>0.21449755243694954</v>
      </c>
      <c r="CU208" s="4">
        <f t="shared" si="317"/>
        <v>776.72455726069893</v>
      </c>
      <c r="CV208" s="6">
        <f t="shared" si="290"/>
        <v>5.0534491145213977E-6</v>
      </c>
      <c r="CW208" s="8">
        <f t="shared" si="291"/>
        <v>24.821332408498037</v>
      </c>
      <c r="CX208" s="7">
        <f t="shared" si="292"/>
        <v>1.2647234483162989E-2</v>
      </c>
      <c r="CY208" s="9">
        <f t="shared" si="293"/>
        <v>0.22221309111156437</v>
      </c>
      <c r="CZ208" s="5">
        <f t="shared" si="318"/>
        <v>660.86774609201711</v>
      </c>
      <c r="DA208" s="6">
        <f t="shared" si="294"/>
        <v>4.8217354921840344E-6</v>
      </c>
      <c r="DB208" s="8">
        <f t="shared" si="295"/>
        <v>31.727756584749159</v>
      </c>
      <c r="DC208" s="7">
        <f t="shared" si="296"/>
        <v>1.2067326296055173E-2</v>
      </c>
      <c r="DD208" s="9">
        <f t="shared" si="297"/>
        <v>0.17384226285482915</v>
      </c>
    </row>
    <row r="209" spans="2:108" x14ac:dyDescent="0.25">
      <c r="B209">
        <v>190</v>
      </c>
      <c r="C209">
        <f t="shared" si="298"/>
        <v>0.18574678660559779</v>
      </c>
      <c r="D209" s="4">
        <f t="shared" si="215"/>
        <v>1016.8772408253441</v>
      </c>
      <c r="E209" s="6">
        <f t="shared" si="216"/>
        <v>5.5337544816506888E-6</v>
      </c>
      <c r="F209" s="8">
        <f t="shared" si="217"/>
        <v>27.583088269491455</v>
      </c>
      <c r="G209" s="7">
        <f t="shared" si="213"/>
        <v>1.3849291625511623E-2</v>
      </c>
      <c r="H209" s="9">
        <f t="shared" si="218"/>
        <v>0.199964012227761</v>
      </c>
      <c r="I209" s="4">
        <f t="shared" si="299"/>
        <v>1016.5525551484252</v>
      </c>
      <c r="J209" s="6">
        <f t="shared" si="219"/>
        <v>5.5331051102968509E-6</v>
      </c>
      <c r="K209" s="8">
        <f t="shared" si="220"/>
        <v>27.579354384206887</v>
      </c>
      <c r="L209" s="7">
        <f t="shared" si="221"/>
        <v>1.3847666448015517E-2</v>
      </c>
      <c r="M209" s="9">
        <f t="shared" si="222"/>
        <v>0.19999108474992011</v>
      </c>
      <c r="N209" s="4">
        <f t="shared" si="300"/>
        <v>1015.6463298876522</v>
      </c>
      <c r="O209" s="6">
        <f t="shared" si="223"/>
        <v>5.531292659775305E-6</v>
      </c>
      <c r="P209" s="8">
        <f t="shared" si="224"/>
        <v>27.568932793708001</v>
      </c>
      <c r="Q209" s="7">
        <f t="shared" si="214"/>
        <v>1.3849291625511623E-2</v>
      </c>
      <c r="R209" s="9">
        <f t="shared" si="225"/>
        <v>0.20006668525300403</v>
      </c>
      <c r="S209" s="4">
        <f t="shared" si="301"/>
        <v>1014.1446378309041</v>
      </c>
      <c r="T209" s="6">
        <f t="shared" si="226"/>
        <v>5.5282892756618091E-6</v>
      </c>
      <c r="U209" s="8">
        <f t="shared" si="227"/>
        <v>27.551663335055395</v>
      </c>
      <c r="V209" s="7">
        <f t="shared" si="228"/>
        <v>1.3835613889756548E-2</v>
      </c>
      <c r="W209" s="9">
        <f t="shared" si="229"/>
        <v>0.20019208760373416</v>
      </c>
      <c r="X209" s="4">
        <f t="shared" si="302"/>
        <v>1012.0456049431933</v>
      </c>
      <c r="Y209" s="6">
        <f t="shared" si="230"/>
        <v>5.5240912098863869E-6</v>
      </c>
      <c r="Z209" s="8">
        <f t="shared" si="231"/>
        <v>27.52752445684672</v>
      </c>
      <c r="AA209" s="7">
        <f t="shared" si="232"/>
        <v>1.382510741763537E-2</v>
      </c>
      <c r="AB209" s="9">
        <f t="shared" si="233"/>
        <v>0.20036763598726506</v>
      </c>
      <c r="AC209" s="4">
        <f t="shared" si="303"/>
        <v>1009.3477784548601</v>
      </c>
      <c r="AD209" s="6">
        <f t="shared" si="234"/>
        <v>5.5186955569097208E-6</v>
      </c>
      <c r="AE209" s="8">
        <f t="shared" si="235"/>
        <v>27.496499452230889</v>
      </c>
      <c r="AF209" s="7">
        <f t="shared" si="236"/>
        <v>1.3811603751755054E-2</v>
      </c>
      <c r="AG209" s="9">
        <f t="shared" si="237"/>
        <v>0.20059371592308262</v>
      </c>
      <c r="AH209" s="4">
        <f t="shared" si="304"/>
        <v>1006.0508102926286</v>
      </c>
      <c r="AI209" s="6">
        <f t="shared" si="238"/>
        <v>5.5121016205852579E-6</v>
      </c>
      <c r="AJ209" s="8">
        <f t="shared" si="239"/>
        <v>27.458584318365226</v>
      </c>
      <c r="AK209" s="7">
        <f t="shared" si="240"/>
        <v>1.3795101149874115E-2</v>
      </c>
      <c r="AL209" s="9">
        <f t="shared" si="241"/>
        <v>0.20087069806839838</v>
      </c>
      <c r="AM209" s="4">
        <f t="shared" si="305"/>
        <v>1002.1545497811487</v>
      </c>
      <c r="AN209" s="6">
        <f t="shared" si="242"/>
        <v>5.5043090995622978E-6</v>
      </c>
      <c r="AO209" s="8">
        <f t="shared" si="243"/>
        <v>27.41377732248321</v>
      </c>
      <c r="AP209" s="7">
        <f t="shared" si="244"/>
        <v>1.3775598857804102E-2</v>
      </c>
      <c r="AQ209" s="9">
        <f t="shared" si="245"/>
        <v>0.20119901519286071</v>
      </c>
      <c r="AR209" s="4">
        <f t="shared" si="306"/>
        <v>997.65884774486551</v>
      </c>
      <c r="AS209" s="6">
        <f t="shared" si="246"/>
        <v>5.4953176954897316E-6</v>
      </c>
      <c r="AT209" s="8">
        <f t="shared" si="247"/>
        <v>27.362076749065952</v>
      </c>
      <c r="AU209" s="7">
        <f t="shared" si="248"/>
        <v>1.3753096128863615E-2</v>
      </c>
      <c r="AV209" s="9">
        <f t="shared" si="249"/>
        <v>0.20157918021293045</v>
      </c>
      <c r="AW209" s="4">
        <f t="shared" si="307"/>
        <v>992.56315658617905</v>
      </c>
      <c r="AX209" s="6">
        <f t="shared" si="250"/>
        <v>5.4851263131723588E-6</v>
      </c>
      <c r="AY209" s="8">
        <f t="shared" si="251"/>
        <v>27.30347630074106</v>
      </c>
      <c r="AZ209" s="7">
        <f t="shared" si="252"/>
        <v>1.3727590222114699E-2</v>
      </c>
      <c r="BA209" s="9">
        <f t="shared" si="253"/>
        <v>0.20201182220339822</v>
      </c>
      <c r="BB209" s="4">
        <f t="shared" si="308"/>
        <v>986.86500204816821</v>
      </c>
      <c r="BC209" s="6">
        <f t="shared" si="254"/>
        <v>5.4737300040963371E-6</v>
      </c>
      <c r="BD209" s="8">
        <f t="shared" si="255"/>
        <v>27.237947523553935</v>
      </c>
      <c r="BE209" s="7">
        <f t="shared" si="256"/>
        <v>1.3699068752943697E-2</v>
      </c>
      <c r="BF209" s="9">
        <f t="shared" si="257"/>
        <v>0.20249782019112783</v>
      </c>
      <c r="BG209" s="4">
        <f t="shared" si="309"/>
        <v>980.55392593229715</v>
      </c>
      <c r="BH209" s="6">
        <f t="shared" si="258"/>
        <v>5.4611078518645952E-6</v>
      </c>
      <c r="BI209" s="8">
        <f t="shared" si="259"/>
        <v>27.165370148221417</v>
      </c>
      <c r="BJ209" s="7">
        <f t="shared" si="260"/>
        <v>1.366747937401866E-2</v>
      </c>
      <c r="BK209" s="9">
        <f t="shared" si="261"/>
        <v>0.20303883105237649</v>
      </c>
      <c r="BL209" s="4">
        <f t="shared" si="310"/>
        <v>973.58957873205588</v>
      </c>
      <c r="BM209" s="6">
        <f t="shared" si="262"/>
        <v>5.447179157464112E-6</v>
      </c>
      <c r="BN209" s="8">
        <f t="shared" si="263"/>
        <v>27.085280155418644</v>
      </c>
      <c r="BO209" s="7">
        <f t="shared" si="264"/>
        <v>1.3632620120440539E-2</v>
      </c>
      <c r="BP209" s="9">
        <f t="shared" si="265"/>
        <v>0.20363920802556482</v>
      </c>
      <c r="BQ209" s="4">
        <f t="shared" si="311"/>
        <v>965.83132513496787</v>
      </c>
      <c r="BR209" s="6">
        <f t="shared" si="266"/>
        <v>5.4316626502699357E-6</v>
      </c>
      <c r="BS209" s="8">
        <f t="shared" si="267"/>
        <v>26.996060239052127</v>
      </c>
      <c r="BT209" s="7">
        <f t="shared" si="268"/>
        <v>1.3593787058031633E-2</v>
      </c>
      <c r="BU209" s="9">
        <f t="shared" si="269"/>
        <v>0.20431222004836</v>
      </c>
      <c r="BV209" s="4">
        <f t="shared" si="312"/>
        <v>956.84158205730898</v>
      </c>
      <c r="BW209" s="6">
        <f t="shared" si="270"/>
        <v>5.4136831641146187E-6</v>
      </c>
      <c r="BX209" s="8">
        <f t="shared" si="271"/>
        <v>26.892678193659052</v>
      </c>
      <c r="BY209" s="7">
        <f t="shared" si="272"/>
        <v>1.3548789914073133E-2</v>
      </c>
      <c r="BZ209" s="9">
        <f t="shared" si="273"/>
        <v>0.20509764629171495</v>
      </c>
      <c r="CA209" s="4">
        <f t="shared" si="313"/>
        <v>945.42294009626914</v>
      </c>
      <c r="CB209" s="6">
        <f t="shared" si="274"/>
        <v>5.3908458801925387E-6</v>
      </c>
      <c r="CC209" s="8">
        <f t="shared" si="275"/>
        <v>26.761363811107096</v>
      </c>
      <c r="CD209" s="7">
        <f t="shared" si="276"/>
        <v>1.3491635190996741E-2</v>
      </c>
      <c r="CE209" s="9">
        <f t="shared" si="277"/>
        <v>0.20610403262448018</v>
      </c>
      <c r="CF209" s="4">
        <f t="shared" si="314"/>
        <v>928.74958659866809</v>
      </c>
      <c r="CG209" s="6">
        <f t="shared" si="278"/>
        <v>5.3574991731973369E-6</v>
      </c>
      <c r="CH209" s="8">
        <f t="shared" si="279"/>
        <v>26.569620245884682</v>
      </c>
      <c r="CI209" s="7">
        <f t="shared" si="280"/>
        <v>1.3408178602624703E-2</v>
      </c>
      <c r="CJ209" s="9">
        <f t="shared" si="281"/>
        <v>0.20759141263429629</v>
      </c>
      <c r="CK209" s="4">
        <f t="shared" si="315"/>
        <v>901.22372739150444</v>
      </c>
      <c r="CL209" s="6">
        <f t="shared" si="282"/>
        <v>5.3024474547830089E-6</v>
      </c>
      <c r="CM209" s="8">
        <f t="shared" si="283"/>
        <v>26.253072865002302</v>
      </c>
      <c r="CN209" s="7">
        <f t="shared" si="284"/>
        <v>1.3270401022261551E-2</v>
      </c>
      <c r="CO209" s="9">
        <f t="shared" si="285"/>
        <v>0.21009445364214191</v>
      </c>
      <c r="CP209" s="4">
        <f t="shared" si="316"/>
        <v>853.91148793883053</v>
      </c>
      <c r="CQ209" s="6">
        <f t="shared" si="286"/>
        <v>5.2078229758776612E-6</v>
      </c>
      <c r="CR209" s="8">
        <f t="shared" si="287"/>
        <v>25.70898211129655</v>
      </c>
      <c r="CS209" s="7">
        <f t="shared" si="288"/>
        <v>1.30335849496263E-2</v>
      </c>
      <c r="CT209" s="9">
        <f t="shared" si="289"/>
        <v>0.21454077707636779</v>
      </c>
      <c r="CU209" s="4">
        <f t="shared" si="317"/>
        <v>776.16005532372662</v>
      </c>
      <c r="CV209" s="6">
        <f t="shared" si="290"/>
        <v>5.0523201106474544E-6</v>
      </c>
      <c r="CW209" s="8">
        <f t="shared" si="291"/>
        <v>24.814840636222854</v>
      </c>
      <c r="CX209" s="7">
        <f t="shared" si="292"/>
        <v>1.2644408932454438E-2</v>
      </c>
      <c r="CY209" s="9">
        <f t="shared" si="293"/>
        <v>0.22227122393640125</v>
      </c>
      <c r="CZ209" s="5">
        <f t="shared" si="318"/>
        <v>660.31278517240958</v>
      </c>
      <c r="DA209" s="6">
        <f t="shared" si="294"/>
        <v>4.8206255703448189E-6</v>
      </c>
      <c r="DB209" s="8">
        <f t="shared" si="295"/>
        <v>31.839192737406307</v>
      </c>
      <c r="DC209" s="7">
        <f t="shared" si="296"/>
        <v>1.2064548501831775E-2</v>
      </c>
      <c r="DD209" s="9">
        <f t="shared" si="297"/>
        <v>0.17323382051454975</v>
      </c>
    </row>
    <row r="210" spans="2:108" x14ac:dyDescent="0.25">
      <c r="B210">
        <v>191</v>
      </c>
      <c r="C210">
        <f t="shared" si="298"/>
        <v>0.18672440127194304</v>
      </c>
      <c r="D210" s="4">
        <f t="shared" si="215"/>
        <v>1016.8606640148838</v>
      </c>
      <c r="E210" s="6">
        <f t="shared" si="216"/>
        <v>5.5337213280297685E-6</v>
      </c>
      <c r="F210" s="8">
        <f t="shared" si="217"/>
        <v>27.582897636171161</v>
      </c>
      <c r="G210" s="7">
        <f t="shared" si="213"/>
        <v>1.3849208652158523E-2</v>
      </c>
      <c r="H210" s="9">
        <f t="shared" si="218"/>
        <v>0.19996539423642784</v>
      </c>
      <c r="I210" s="4">
        <f t="shared" si="299"/>
        <v>1016.5359777141848</v>
      </c>
      <c r="J210" s="6">
        <f t="shared" si="219"/>
        <v>5.5330719554283704E-6</v>
      </c>
      <c r="K210" s="8">
        <f t="shared" si="220"/>
        <v>27.579163743713124</v>
      </c>
      <c r="L210" s="7">
        <f t="shared" si="221"/>
        <v>1.3847583471540158E-2</v>
      </c>
      <c r="M210" s="9">
        <f t="shared" si="222"/>
        <v>0.19999246718484448</v>
      </c>
      <c r="N210" s="4">
        <f t="shared" si="300"/>
        <v>1015.6297481524787</v>
      </c>
      <c r="O210" s="6">
        <f t="shared" si="223"/>
        <v>5.5312594963049576E-6</v>
      </c>
      <c r="P210" s="8">
        <f t="shared" si="224"/>
        <v>27.568742103753504</v>
      </c>
      <c r="Q210" s="7">
        <f t="shared" si="214"/>
        <v>1.3849208652158523E-2</v>
      </c>
      <c r="R210" s="9">
        <f t="shared" si="225"/>
        <v>0.20006806909224356</v>
      </c>
      <c r="S210" s="4">
        <f t="shared" si="301"/>
        <v>1014.1280539345905</v>
      </c>
      <c r="T210" s="6">
        <f t="shared" si="226"/>
        <v>5.5282561078691814E-6</v>
      </c>
      <c r="U210" s="8">
        <f t="shared" si="227"/>
        <v>27.55147262024779</v>
      </c>
      <c r="V210" s="7">
        <f t="shared" si="228"/>
        <v>1.3835530880936007E-2</v>
      </c>
      <c r="W210" s="9">
        <f t="shared" si="229"/>
        <v>0.20019347335889859</v>
      </c>
      <c r="X210" s="4">
        <f t="shared" si="302"/>
        <v>1012.029024428837</v>
      </c>
      <c r="Y210" s="6">
        <f t="shared" si="230"/>
        <v>5.5240580488576747E-6</v>
      </c>
      <c r="Z210" s="8">
        <f t="shared" si="231"/>
        <v>27.527333780931627</v>
      </c>
      <c r="AA210" s="7">
        <f t="shared" si="232"/>
        <v>1.3825024425742839E-2</v>
      </c>
      <c r="AB210" s="9">
        <f t="shared" si="233"/>
        <v>0.20036902389074496</v>
      </c>
      <c r="AC210" s="4">
        <f t="shared" si="303"/>
        <v>1009.3312074883369</v>
      </c>
      <c r="AD210" s="6">
        <f t="shared" si="234"/>
        <v>5.5186624149766743E-6</v>
      </c>
      <c r="AE210" s="8">
        <f t="shared" si="235"/>
        <v>27.496308886115873</v>
      </c>
      <c r="AF210" s="7">
        <f t="shared" si="236"/>
        <v>1.3811520807653122E-2</v>
      </c>
      <c r="AG210" s="9">
        <f t="shared" si="237"/>
        <v>0.20059510615932483</v>
      </c>
      <c r="AH210" s="4">
        <f t="shared" si="304"/>
        <v>1006.0342540349187</v>
      </c>
      <c r="AI210" s="6">
        <f t="shared" si="238"/>
        <v>5.5120685080698385E-6</v>
      </c>
      <c r="AJ210" s="8">
        <f t="shared" si="239"/>
        <v>27.458393921401566</v>
      </c>
      <c r="AK210" s="7">
        <f t="shared" si="240"/>
        <v>1.3795018279395489E-2</v>
      </c>
      <c r="AL210" s="9">
        <f t="shared" si="241"/>
        <v>0.20087209090918542</v>
      </c>
      <c r="AM210" s="4">
        <f t="shared" si="305"/>
        <v>1002.1380113831605</v>
      </c>
      <c r="AN210" s="6">
        <f t="shared" si="242"/>
        <v>5.5042760227663222E-6</v>
      </c>
      <c r="AO210" s="8">
        <f t="shared" si="243"/>
        <v>27.413587130906343</v>
      </c>
      <c r="AP210" s="7">
        <f t="shared" si="244"/>
        <v>1.3775516076720297E-2</v>
      </c>
      <c r="AQ210" s="9">
        <f t="shared" si="245"/>
        <v>0.20120041108307316</v>
      </c>
      <c r="AR210" s="4">
        <f t="shared" si="306"/>
        <v>997.64232468561681</v>
      </c>
      <c r="AS210" s="6">
        <f t="shared" si="246"/>
        <v>5.4952846493712345E-6</v>
      </c>
      <c r="AT210" s="8">
        <f t="shared" si="247"/>
        <v>27.361886733884592</v>
      </c>
      <c r="AU210" s="7">
        <f t="shared" si="248"/>
        <v>1.3753013424556138E-2</v>
      </c>
      <c r="AV210" s="9">
        <f t="shared" si="249"/>
        <v>0.20158058008366522</v>
      </c>
      <c r="AW210" s="4">
        <f t="shared" si="307"/>
        <v>992.54662379341482</v>
      </c>
      <c r="AX210" s="6">
        <f t="shared" si="250"/>
        <v>5.4850932475868303E-6</v>
      </c>
      <c r="AY210" s="8">
        <f t="shared" si="251"/>
        <v>27.303286173624272</v>
      </c>
      <c r="AZ210" s="7">
        <f t="shared" si="252"/>
        <v>1.3727507469087208E-2</v>
      </c>
      <c r="BA210" s="9">
        <f t="shared" si="253"/>
        <v>0.20201322891777934</v>
      </c>
      <c r="BB210" s="4">
        <f t="shared" si="308"/>
        <v>986.8483453224552</v>
      </c>
      <c r="BC210" s="6">
        <f t="shared" si="254"/>
        <v>5.4736966906449108E-6</v>
      </c>
      <c r="BD210" s="8">
        <f t="shared" si="255"/>
        <v>27.237755971208234</v>
      </c>
      <c r="BE210" s="7">
        <f t="shared" si="256"/>
        <v>1.3698985379583825E-2</v>
      </c>
      <c r="BF210" s="9">
        <f t="shared" si="257"/>
        <v>0.20249924427806429</v>
      </c>
      <c r="BG210" s="4">
        <f t="shared" si="309"/>
        <v>980.53671042535825</v>
      </c>
      <c r="BH210" s="6">
        <f t="shared" si="258"/>
        <v>5.4610734208507174E-6</v>
      </c>
      <c r="BI210" s="8">
        <f t="shared" si="259"/>
        <v>27.165172169891619</v>
      </c>
      <c r="BJ210" s="7">
        <f t="shared" si="260"/>
        <v>1.366739320374245E-2</v>
      </c>
      <c r="BK210" s="9">
        <f t="shared" si="261"/>
        <v>0.20304031078857712</v>
      </c>
      <c r="BL210" s="4">
        <f t="shared" si="310"/>
        <v>973.57034395224321</v>
      </c>
      <c r="BM210" s="6">
        <f t="shared" si="262"/>
        <v>5.4471406879044861E-6</v>
      </c>
      <c r="BN210" s="8">
        <f t="shared" si="263"/>
        <v>27.085058955450798</v>
      </c>
      <c r="BO210" s="7">
        <f t="shared" si="264"/>
        <v>1.3632523842921952E-2</v>
      </c>
      <c r="BP210" s="9">
        <f t="shared" si="265"/>
        <v>0.20364087111909332</v>
      </c>
      <c r="BQ210" s="4">
        <f t="shared" si="311"/>
        <v>965.80575538433902</v>
      </c>
      <c r="BR210" s="6">
        <f t="shared" si="266"/>
        <v>5.4316115107686784E-6</v>
      </c>
      <c r="BS210" s="8">
        <f t="shared" si="267"/>
        <v>26.995766186919898</v>
      </c>
      <c r="BT210" s="7">
        <f t="shared" si="268"/>
        <v>1.3593659071531899E-2</v>
      </c>
      <c r="BU210" s="9">
        <f t="shared" si="269"/>
        <v>0.20431444552488581</v>
      </c>
      <c r="BV210" s="4">
        <f t="shared" si="312"/>
        <v>956.7986564115256</v>
      </c>
      <c r="BW210" s="6">
        <f t="shared" si="270"/>
        <v>5.4135973128230515E-6</v>
      </c>
      <c r="BX210" s="8">
        <f t="shared" si="271"/>
        <v>26.892184548732544</v>
      </c>
      <c r="BY210" s="7">
        <f t="shared" si="272"/>
        <v>1.3548575054599827E-2</v>
      </c>
      <c r="BZ210" s="9">
        <f t="shared" si="273"/>
        <v>0.20510141115553057</v>
      </c>
      <c r="CA210" s="4">
        <f t="shared" si="313"/>
        <v>945.33905935899566</v>
      </c>
      <c r="CB210" s="6">
        <f t="shared" si="274"/>
        <v>5.3906781187179921E-6</v>
      </c>
      <c r="CC210" s="8">
        <f t="shared" si="275"/>
        <v>26.760399182628447</v>
      </c>
      <c r="CD210" s="7">
        <f t="shared" si="276"/>
        <v>1.3491215335437153E-2</v>
      </c>
      <c r="CE210" s="9">
        <f t="shared" si="277"/>
        <v>0.20611146202858124</v>
      </c>
      <c r="CF210" s="4">
        <f t="shared" si="314"/>
        <v>928.58453869795335</v>
      </c>
      <c r="CG210" s="6">
        <f t="shared" si="278"/>
        <v>5.3571690773959071E-6</v>
      </c>
      <c r="CH210" s="8">
        <f t="shared" si="279"/>
        <v>26.567722195026462</v>
      </c>
      <c r="CI210" s="7">
        <f t="shared" si="280"/>
        <v>1.3407352473992955E-2</v>
      </c>
      <c r="CJ210" s="9">
        <f t="shared" si="281"/>
        <v>0.20760624337725639</v>
      </c>
      <c r="CK210" s="4">
        <f t="shared" si="315"/>
        <v>900.92893321833265</v>
      </c>
      <c r="CL210" s="6">
        <f t="shared" si="282"/>
        <v>5.3018578664366652E-6</v>
      </c>
      <c r="CM210" s="8">
        <f t="shared" si="283"/>
        <v>26.249682732010825</v>
      </c>
      <c r="CN210" s="7">
        <f t="shared" si="284"/>
        <v>1.3268925463312453E-2</v>
      </c>
      <c r="CO210" s="9">
        <f t="shared" si="285"/>
        <v>0.2101215872325129</v>
      </c>
      <c r="CP210" s="4">
        <f t="shared" si="316"/>
        <v>853.461496427405</v>
      </c>
      <c r="CQ210" s="6">
        <f t="shared" si="286"/>
        <v>5.2069229928548109E-6</v>
      </c>
      <c r="CR210" s="8">
        <f t="shared" si="287"/>
        <v>25.703807208915158</v>
      </c>
      <c r="CS210" s="7">
        <f t="shared" si="288"/>
        <v>1.3031332567923645E-2</v>
      </c>
      <c r="CT210" s="9">
        <f t="shared" si="289"/>
        <v>0.21458397019438233</v>
      </c>
      <c r="CU210" s="4">
        <f t="shared" si="317"/>
        <v>775.59722503006321</v>
      </c>
      <c r="CV210" s="6">
        <f t="shared" si="290"/>
        <v>5.0511944500601275E-6</v>
      </c>
      <c r="CW210" s="8">
        <f t="shared" si="291"/>
        <v>24.808368087845729</v>
      </c>
      <c r="CX210" s="7">
        <f t="shared" si="292"/>
        <v>1.2641591748967724E-2</v>
      </c>
      <c r="CY210" s="9">
        <f t="shared" si="293"/>
        <v>0.22232921490318622</v>
      </c>
      <c r="CZ210" s="5">
        <f t="shared" si="318"/>
        <v>659.7598392244048</v>
      </c>
      <c r="DA210" s="6">
        <f t="shared" si="294"/>
        <v>4.8195196784488104E-6</v>
      </c>
      <c r="DB210" s="8">
        <f t="shared" si="295"/>
        <v>31.950224283765635</v>
      </c>
      <c r="DC210" s="7">
        <f t="shared" si="296"/>
        <v>1.2061780793321234E-2</v>
      </c>
      <c r="DD210" s="9">
        <f t="shared" si="297"/>
        <v>0.17263180849727455</v>
      </c>
    </row>
    <row r="211" spans="2:108" x14ac:dyDescent="0.25">
      <c r="B211">
        <v>192</v>
      </c>
      <c r="C211">
        <f t="shared" si="298"/>
        <v>0.18770201593828828</v>
      </c>
      <c r="D211" s="4">
        <f t="shared" si="215"/>
        <v>1016.8440871725765</v>
      </c>
      <c r="E211" s="6">
        <f t="shared" si="216"/>
        <v>5.5336881743451538E-6</v>
      </c>
      <c r="F211" s="8">
        <f t="shared" si="217"/>
        <v>27.582707002484629</v>
      </c>
      <c r="G211" s="7">
        <f t="shared" ref="G211:G246" si="319">($E211*$M$8)/($D$6^2)</f>
        <v>1.3849125678646018E-2</v>
      </c>
      <c r="H211" s="9">
        <f t="shared" si="218"/>
        <v>0.19996677626685289</v>
      </c>
      <c r="I211" s="4">
        <f t="shared" si="299"/>
        <v>1016.5194002942364</v>
      </c>
      <c r="J211" s="6">
        <f t="shared" si="219"/>
        <v>5.5330388005884731E-6</v>
      </c>
      <c r="K211" s="8">
        <f t="shared" si="220"/>
        <v>27.578973103383717</v>
      </c>
      <c r="L211" s="7">
        <f t="shared" si="221"/>
        <v>1.3847500495136333E-2</v>
      </c>
      <c r="M211" s="9">
        <f t="shared" si="222"/>
        <v>0.19999384963768929</v>
      </c>
      <c r="N211" s="4">
        <f t="shared" si="300"/>
        <v>1015.6131665239249</v>
      </c>
      <c r="O211" s="6">
        <f t="shared" si="223"/>
        <v>5.5312263330478508E-6</v>
      </c>
      <c r="P211" s="8">
        <f t="shared" si="224"/>
        <v>27.568551415025134</v>
      </c>
      <c r="Q211" s="7">
        <f t="shared" ref="Q211:Q246" si="320">($E211*$M$8)/($D$6^2)</f>
        <v>1.3849125678646018E-2</v>
      </c>
      <c r="R211" s="9">
        <f t="shared" si="225"/>
        <v>0.20006945294172873</v>
      </c>
      <c r="S211" s="4">
        <f t="shared" si="301"/>
        <v>1014.1114702172194</v>
      </c>
      <c r="T211" s="6">
        <f t="shared" si="226"/>
        <v>5.5282229404344395E-6</v>
      </c>
      <c r="U211" s="8">
        <f t="shared" si="227"/>
        <v>27.551281907498023</v>
      </c>
      <c r="V211" s="7">
        <f t="shared" si="228"/>
        <v>1.3835447873011148E-2</v>
      </c>
      <c r="W211" s="9">
        <f t="shared" si="229"/>
        <v>0.20019485911829513</v>
      </c>
      <c r="X211" s="4">
        <f t="shared" si="302"/>
        <v>1012.0124441216263</v>
      </c>
      <c r="Y211" s="6">
        <f t="shared" si="230"/>
        <v>5.5240248882432539E-6</v>
      </c>
      <c r="Z211" s="8">
        <f t="shared" si="231"/>
        <v>27.5271431073987</v>
      </c>
      <c r="AA211" s="7">
        <f t="shared" si="232"/>
        <v>1.3824941434887153E-2</v>
      </c>
      <c r="AB211" s="9">
        <f t="shared" si="233"/>
        <v>0.20037041179611259</v>
      </c>
      <c r="AC211" s="4">
        <f t="shared" si="303"/>
        <v>1009.3146367261731</v>
      </c>
      <c r="AD211" s="6">
        <f t="shared" si="234"/>
        <v>5.5186292734523467E-6</v>
      </c>
      <c r="AE211" s="8">
        <f t="shared" si="235"/>
        <v>27.496118322350988</v>
      </c>
      <c r="AF211" s="7">
        <f t="shared" si="236"/>
        <v>1.3811437864574087E-2</v>
      </c>
      <c r="AG211" s="9">
        <f t="shared" si="237"/>
        <v>0.20059649639769225</v>
      </c>
      <c r="AH211" s="4">
        <f t="shared" si="304"/>
        <v>1006.0176979576385</v>
      </c>
      <c r="AI211" s="6">
        <f t="shared" si="238"/>
        <v>5.5120353959152772E-6</v>
      </c>
      <c r="AJ211" s="8">
        <f t="shared" si="239"/>
        <v>27.45820352651284</v>
      </c>
      <c r="AK211" s="7">
        <f t="shared" si="240"/>
        <v>1.379493540981998E-2</v>
      </c>
      <c r="AL211" s="9">
        <f t="shared" si="241"/>
        <v>0.20087348375410916</v>
      </c>
      <c r="AM211" s="4">
        <f t="shared" si="305"/>
        <v>1002.1214730824572</v>
      </c>
      <c r="AN211" s="6">
        <f t="shared" si="242"/>
        <v>5.5042429461649151E-6</v>
      </c>
      <c r="AO211" s="8">
        <f t="shared" si="243"/>
        <v>27.413396940448258</v>
      </c>
      <c r="AP211" s="7">
        <f t="shared" si="244"/>
        <v>1.3775433296123437E-2</v>
      </c>
      <c r="AQ211" s="9">
        <f t="shared" si="245"/>
        <v>0.20120180698444334</v>
      </c>
      <c r="AR211" s="4">
        <f t="shared" si="306"/>
        <v>997.62580138510407</v>
      </c>
      <c r="AS211" s="6">
        <f t="shared" si="246"/>
        <v>5.495251602770208E-6</v>
      </c>
      <c r="AT211" s="8">
        <f t="shared" si="247"/>
        <v>27.361696715928694</v>
      </c>
      <c r="AU211" s="7">
        <f t="shared" si="248"/>
        <v>1.3752930719041035E-2</v>
      </c>
      <c r="AV211" s="9">
        <f t="shared" si="249"/>
        <v>0.20158197999428384</v>
      </c>
      <c r="AW211" s="4">
        <f t="shared" si="307"/>
        <v>992.53008942736778</v>
      </c>
      <c r="AX211" s="6">
        <f t="shared" si="250"/>
        <v>5.4850601788547363E-6</v>
      </c>
      <c r="AY211" s="8">
        <f t="shared" si="251"/>
        <v>27.303096028414728</v>
      </c>
      <c r="AZ211" s="7">
        <f t="shared" si="252"/>
        <v>1.3727424708184827E-2</v>
      </c>
      <c r="BA211" s="9">
        <f t="shared" si="253"/>
        <v>0.20201463578561965</v>
      </c>
      <c r="BB211" s="4">
        <f t="shared" si="308"/>
        <v>986.83168225922054</v>
      </c>
      <c r="BC211" s="6">
        <f t="shared" si="254"/>
        <v>5.4736633645184412E-6</v>
      </c>
      <c r="BD211" s="8">
        <f t="shared" si="255"/>
        <v>27.237564345981035</v>
      </c>
      <c r="BE211" s="7">
        <f t="shared" si="256"/>
        <v>1.3698901974502201E-2</v>
      </c>
      <c r="BF211" s="9">
        <f t="shared" si="257"/>
        <v>0.20250066892687646</v>
      </c>
      <c r="BG211" s="4">
        <f t="shared" si="309"/>
        <v>980.51947341080654</v>
      </c>
      <c r="BH211" s="6">
        <f t="shared" si="258"/>
        <v>5.4610389468216138E-6</v>
      </c>
      <c r="BI211" s="8">
        <f t="shared" si="259"/>
        <v>27.164973944224272</v>
      </c>
      <c r="BJ211" s="7">
        <f t="shared" si="260"/>
        <v>1.3667306925812313E-2</v>
      </c>
      <c r="BK211" s="9">
        <f t="shared" si="261"/>
        <v>0.20304179239504533</v>
      </c>
      <c r="BL211" s="4">
        <f t="shared" si="310"/>
        <v>973.55104555238472</v>
      </c>
      <c r="BM211" s="6">
        <f t="shared" si="262"/>
        <v>5.4471020911047703E-6</v>
      </c>
      <c r="BN211" s="8">
        <f t="shared" si="263"/>
        <v>27.084837023852423</v>
      </c>
      <c r="BO211" s="7">
        <f t="shared" si="264"/>
        <v>1.3632427246960413E-2</v>
      </c>
      <c r="BP211" s="9">
        <f t="shared" si="265"/>
        <v>0.20364253974069077</v>
      </c>
      <c r="BQ211" s="4">
        <f t="shared" si="311"/>
        <v>965.78002315124786</v>
      </c>
      <c r="BR211" s="6">
        <f t="shared" si="266"/>
        <v>5.4315600463024957E-6</v>
      </c>
      <c r="BS211" s="8">
        <f t="shared" si="267"/>
        <v>26.995470266239352</v>
      </c>
      <c r="BT211" s="7">
        <f t="shared" si="268"/>
        <v>1.3593530271744545E-2</v>
      </c>
      <c r="BU211" s="9">
        <f t="shared" si="269"/>
        <v>0.20431668519210291</v>
      </c>
      <c r="BV211" s="4">
        <f t="shared" si="312"/>
        <v>956.75538206706676</v>
      </c>
      <c r="BW211" s="6">
        <f t="shared" si="270"/>
        <v>5.413510764134134E-6</v>
      </c>
      <c r="BX211" s="8">
        <f t="shared" si="271"/>
        <v>26.891686893771265</v>
      </c>
      <c r="BY211" s="7">
        <f t="shared" si="272"/>
        <v>1.3548358449754671E-2</v>
      </c>
      <c r="BZ211" s="9">
        <f t="shared" si="273"/>
        <v>0.20510520674244301</v>
      </c>
      <c r="CA211" s="4">
        <f t="shared" si="313"/>
        <v>945.25458000331253</v>
      </c>
      <c r="CB211" s="6">
        <f t="shared" si="274"/>
        <v>5.390509160006626E-6</v>
      </c>
      <c r="CC211" s="8">
        <f t="shared" si="275"/>
        <v>26.759427670038093</v>
      </c>
      <c r="CD211" s="7">
        <f t="shared" si="276"/>
        <v>1.3490792483560702E-2</v>
      </c>
      <c r="CE211" s="9">
        <f t="shared" si="277"/>
        <v>0.20611894499431752</v>
      </c>
      <c r="CF211" s="4">
        <f t="shared" si="314"/>
        <v>928.41875168119736</v>
      </c>
      <c r="CG211" s="6">
        <f t="shared" si="278"/>
        <v>5.3568375033623949E-6</v>
      </c>
      <c r="CH211" s="8">
        <f t="shared" si="279"/>
        <v>26.565815644333767</v>
      </c>
      <c r="CI211" s="7">
        <f t="shared" si="280"/>
        <v>1.3406522645799314E-2</v>
      </c>
      <c r="CJ211" s="9">
        <f t="shared" si="281"/>
        <v>0.20762114266860199</v>
      </c>
      <c r="CK211" s="4">
        <f t="shared" si="315"/>
        <v>900.63370372474924</v>
      </c>
      <c r="CL211" s="6">
        <f t="shared" si="282"/>
        <v>5.3012674074494988E-6</v>
      </c>
      <c r="CM211" s="8">
        <f t="shared" si="283"/>
        <v>26.246287592834616</v>
      </c>
      <c r="CN211" s="7">
        <f t="shared" si="284"/>
        <v>1.3267447725416185E-2</v>
      </c>
      <c r="CO211" s="9">
        <f t="shared" si="285"/>
        <v>0.21014876791587839</v>
      </c>
      <c r="CP211" s="4">
        <f t="shared" si="316"/>
        <v>853.01201823861504</v>
      </c>
      <c r="CQ211" s="6">
        <f t="shared" si="286"/>
        <v>5.2060240364772304E-6</v>
      </c>
      <c r="CR211" s="8">
        <f t="shared" si="287"/>
        <v>25.698638209744072</v>
      </c>
      <c r="CS211" s="7">
        <f t="shared" si="288"/>
        <v>1.302908275559948E-2</v>
      </c>
      <c r="CT211" s="9">
        <f t="shared" si="289"/>
        <v>0.21462713140607809</v>
      </c>
      <c r="CU211" s="4">
        <f t="shared" si="317"/>
        <v>775.0360555767495</v>
      </c>
      <c r="CV211" s="6">
        <f t="shared" si="290"/>
        <v>5.0500721111534996E-6</v>
      </c>
      <c r="CW211" s="8">
        <f t="shared" si="291"/>
        <v>24.801914639132619</v>
      </c>
      <c r="CX211" s="7">
        <f t="shared" si="292"/>
        <v>1.2638782878629858E-2</v>
      </c>
      <c r="CY211" s="9">
        <f t="shared" si="293"/>
        <v>0.22238706487995938</v>
      </c>
      <c r="CZ211" s="5">
        <f t="shared" si="318"/>
        <v>659.20889111233919</v>
      </c>
      <c r="DA211" s="6">
        <f t="shared" si="294"/>
        <v>4.8184177822246787E-6</v>
      </c>
      <c r="DB211" s="8">
        <f t="shared" si="295"/>
        <v>32.060854664668369</v>
      </c>
      <c r="DC211" s="7">
        <f t="shared" si="296"/>
        <v>1.205902308475291E-2</v>
      </c>
      <c r="DD211" s="9">
        <f t="shared" si="297"/>
        <v>0.17203611874010072</v>
      </c>
    </row>
    <row r="212" spans="2:108" x14ac:dyDescent="0.25">
      <c r="B212">
        <v>193</v>
      </c>
      <c r="C212">
        <f t="shared" si="298"/>
        <v>0.18867963060463352</v>
      </c>
      <c r="D212" s="4">
        <f t="shared" ref="D212:D246" si="321">D211+(4*$H$7*(I211-D211))</f>
        <v>1016.8275103007777</v>
      </c>
      <c r="E212" s="6">
        <f t="shared" ref="E212:E246" si="322">IF($D212&gt;=650,((0.00002*$D212)+0.035)/10000,IF($D212&lt;650,((-0.0000000000003*($D212^4))+(0.0000000004*($D212^3))-(0.0000002*($D212^2))-(0.0001*$D212)+0.1409)/10000))</f>
        <v>5.5336550206015568E-6</v>
      </c>
      <c r="F212" s="8">
        <f t="shared" ref="F212:F246" si="323">IF($D212&lt;650,(53.495-(0.029*D212)),IF(D212&lt;700,((0.00000000000000006*(D212^2))-(0.2008*D212) + 164.43),IF(D212&lt;1250,((0.0115*D212)+ 15.889))))</f>
        <v>27.582516368458943</v>
      </c>
      <c r="G212" s="7">
        <f t="shared" si="319"/>
        <v>1.3849042704985897E-2</v>
      </c>
      <c r="H212" s="9">
        <f t="shared" ref="H212:H246" si="324">($C$8*$D$6)/F212</f>
        <v>0.19996815831884024</v>
      </c>
      <c r="I212" s="4">
        <f t="shared" si="299"/>
        <v>1016.5028228901798</v>
      </c>
      <c r="J212" s="6">
        <f t="shared" ref="J212:J246" si="325">IF($I212&gt;=650,((0.00002*$I212)+0.035)/10000,IF($I212&lt;650,((-0.0000000000003*($I212^4))+(0.0000000004*($I212^3))-(0.0000002*($I212^2))-(0.0001*$I212)+0.1409)/10000))</f>
        <v>5.5330056457803607E-6</v>
      </c>
      <c r="K212" s="8">
        <f t="shared" ref="K212:K246" si="326">IF($I212&lt;650,(53.495-(0.029*I212)),IF(I212&lt;700,((0.00000000000000006*(I212^2))-(0.2008*I212) + 164.43),IF(I212&lt;1250,((0.0115*I212)+ 15.889))))</f>
        <v>27.578782463237069</v>
      </c>
      <c r="L212" s="7">
        <f t="shared" ref="L212:L246" si="327">($J212*$M$8)/($D$6^2)</f>
        <v>1.3847417518812057E-2</v>
      </c>
      <c r="M212" s="9">
        <f t="shared" ref="M212:M246" si="328">($C$8*$D$6)/K212</f>
        <v>0.19999523210832135</v>
      </c>
      <c r="N212" s="4">
        <f t="shared" si="300"/>
        <v>1015.5965850022835</v>
      </c>
      <c r="O212" s="6">
        <f t="shared" ref="O212:O246" si="329">IF($N212&gt;=650,((0.00002*$N212)+0.035)/10000,IF($N212&lt;650,((-0.0000000000003*($N212^4))+(0.0000000004*($N212^3))-(0.0000002*($N212^2))-(0.0001*$N212)+0.1409)/10000))</f>
        <v>5.5311931700045673E-6</v>
      </c>
      <c r="P212" s="8">
        <f t="shared" ref="P212:P246" si="330">IF($N212&lt;650,(53.495-(0.029*$N212)),IF($N212&lt;700,((0.00000000000000006*($N212^2))-(0.2008*$N212) + 164.43),IF($N212&lt;1250,((0.0115*$N212)+ 15.889))))</f>
        <v>27.568360727526262</v>
      </c>
      <c r="Q212" s="7">
        <f t="shared" si="320"/>
        <v>1.3849042704985897E-2</v>
      </c>
      <c r="R212" s="9">
        <f t="shared" ref="R212:R246" si="331">($C$8*$D$6)/P212</f>
        <v>0.20007083680143511</v>
      </c>
      <c r="S212" s="4">
        <f t="shared" si="301"/>
        <v>1014.0948866784112</v>
      </c>
      <c r="T212" s="6">
        <f t="shared" ref="T212:T246" si="332">IF($S212&gt;=650,((0.00002*$S212)+0.035)/10000,IF($S212&lt;650,((-0.0000000000003*($S212^4))+(0.0000000004*($S212^3))-(0.0000002*($S212^2))-(0.0001*$S212)+0.1409)/10000))</f>
        <v>5.5281897733568227E-6</v>
      </c>
      <c r="U212" s="8">
        <f t="shared" ref="U212:U246" si="333">IF($S212&lt;650,(53.495-(0.029*$S212)),IF($S212&lt;700,((0.00000000000000006*($S212^2))-(0.2008*$S212) + 164.43),IF($S212&lt;1250,((0.0115*$S212)+ 15.889))))</f>
        <v>27.551091196801728</v>
      </c>
      <c r="V212" s="7">
        <f t="shared" ref="V212:V246" si="334">($T212*$M$8)/($D$6^2)</f>
        <v>1.383536486598006E-2</v>
      </c>
      <c r="W212" s="9">
        <f t="shared" ref="W212:W246" si="335">($C$8*$D$6)/U212</f>
        <v>0.20019624488195523</v>
      </c>
      <c r="X212" s="4">
        <f t="shared" si="302"/>
        <v>1011.9958640211742</v>
      </c>
      <c r="Y212" s="6">
        <f t="shared" ref="Y212:Y246" si="336">IF($X212&gt;=650,((0.00002*$X212)+0.035)/10000,IF($X212&lt;650,((-0.0000000000003*($X212^4))+(0.0000000004*($X212^3))-(0.0000002*($X212^2))-(0.0001*$X212)+0.1409)/10000))</f>
        <v>5.5239917280423487E-6</v>
      </c>
      <c r="Z212" s="8">
        <f t="shared" ref="Z212:Z246" si="337">IF($X212&lt;650,(53.495-(0.029*$X212)),IF($X212&lt;700,((0.00000000000000006*($X212^2))-(0.2008*$X212) + 164.43),IF($X212&lt;1250,((0.0115*$X212)+ 15.889))))</f>
        <v>27.526952436243501</v>
      </c>
      <c r="AA212" s="7">
        <f t="shared" ref="AA212:AA246" si="338">($Y212*$M$8)/($D$6^2)</f>
        <v>1.3824858445066366E-2</v>
      </c>
      <c r="AB212" s="9">
        <f t="shared" ref="AB212:AB246" si="339">($C$8*$D$6)/Z212</f>
        <v>0.20037179970339994</v>
      </c>
      <c r="AC212" s="4">
        <f t="shared" si="303"/>
        <v>1009.2980661680372</v>
      </c>
      <c r="AD212" s="6">
        <f t="shared" ref="AD212:AD246" si="340">IF(AC212&gt;=650,((0.00002*AC212)+0.035)/10000,IF(AC212&lt;650,((-0.0000000000003*(AC212^4))+(0.0000000004*(AC212^3))-(0.0000002*(AC212^2))-(0.0001*AC212)+0.1409)/10000))</f>
        <v>5.5185961323360747E-6</v>
      </c>
      <c r="AE212" s="8">
        <f t="shared" ref="AE212:AE246" si="341">IF(AC212&lt;650,(53.495-(0.029*AC212)),IF(AC212&lt;700,((0.00000000000000006*(AC212^2))-(0.2008*AC212) + 164.43),IF(AC212&lt;1250,((0.0115*AC212)+ 15.889))))</f>
        <v>27.495927760932425</v>
      </c>
      <c r="AF212" s="7">
        <f t="shared" ref="AF212:AF246" si="342">(AD212*$M$8)/($D$6^2)</f>
        <v>1.3811354922516292E-2</v>
      </c>
      <c r="AG212" s="9">
        <f t="shared" ref="AG212:AG246" si="343">($C$8*$D$6)/AE212</f>
        <v>0.2005978866382124</v>
      </c>
      <c r="AH212" s="4">
        <f t="shared" si="304"/>
        <v>1006.0011420598445</v>
      </c>
      <c r="AI212" s="6">
        <f t="shared" ref="AI212:AI246" si="344">IF(AH212&gt;=650,((0.00002*AH212)+0.035)/10000,IF(AH212&lt;650,((-0.0000000000003*(AH212^4))+(0.0000000004*(AH212^3))-(0.0000002*(AH212^2))-(0.0001*AH212)+0.1409)/10000))</f>
        <v>5.5120022841196893E-6</v>
      </c>
      <c r="AJ212" s="8">
        <f t="shared" ref="AJ212:AJ246" si="345">IF(AH212&lt;650,(53.495-(0.029*AH212)),IF(AH212&lt;700,((0.00000000000000006*(AH212^2))-(0.2008*AH212) + 164.43),IF(AH212&lt;1250,((0.0115*AH212)+ 15.889))))</f>
        <v>27.458013133688212</v>
      </c>
      <c r="AK212" s="7">
        <f t="shared" ref="AK212:AK246" si="346">(AI212*$M$8)/($D$6^2)</f>
        <v>1.3794852541142872E-2</v>
      </c>
      <c r="AL212" s="9">
        <f t="shared" ref="AL212:AL246" si="347">($C$8*$D$6)/AJ212</f>
        <v>0.20087487660324863</v>
      </c>
      <c r="AM212" s="4">
        <f t="shared" si="305"/>
        <v>1002.1049348750992</v>
      </c>
      <c r="AN212" s="6">
        <f t="shared" ref="AN212:AN246" si="348">IF(AM212&gt;=650,((0.00002*AM212)+0.035)/10000,IF(AM212&lt;650,((-0.0000000000003*(AM212^4))+(0.0000000004*(AM212^3))-(0.0000002*(AM212^2))-(0.0001*AM212)+0.1409)/10000))</f>
        <v>5.5042098697501983E-6</v>
      </c>
      <c r="AO212" s="8">
        <f t="shared" ref="AO212:AO246" si="349">IF(AM212&lt;650,(53.495-(0.029*AM212)),IF(AM212&lt;700,((0.00000000000000006*(AM212^2))-(0.2008*AM212) + 164.43),IF(AM212&lt;1250,((0.0115*AM212)+ 15.889))))</f>
        <v>27.41320675106364</v>
      </c>
      <c r="AP212" s="7">
        <f t="shared" ref="AP212:AP246" si="350">(AN212*$M$8)/($D$6^2)</f>
        <v>1.3775350515993805E-2</v>
      </c>
      <c r="AQ212" s="9">
        <f t="shared" ref="AQ212:AQ246" si="351">($C$8*$D$6)/AO212</f>
        <v>0.20120320289730395</v>
      </c>
      <c r="AR212" s="4">
        <f t="shared" si="306"/>
        <v>997.60927782820715</v>
      </c>
      <c r="AS212" s="6">
        <f t="shared" ref="AS212:AS246" si="352">IF(AR212&gt;=650,((0.00002*AR212)+0.035)/10000,IF(AR212&lt;650,((-0.0000000000003*(AR212^4))+(0.0000000004*(AR212^3))-(0.0000002*(AR212^2))-(0.0001*AR212)+0.1409)/10000))</f>
        <v>5.495218555656415E-6</v>
      </c>
      <c r="AT212" s="8">
        <f t="shared" ref="AT212:AT246" si="353">IF(AR212&lt;650,(53.495-(0.029*AR212)),IF(AR212&lt;700,((0.00000000000000006*(AR212^2))-(0.2008*AR212) + 164.43),IF(AR212&lt;1250,((0.0115*AR212)+ 15.889))))</f>
        <v>27.361506695024381</v>
      </c>
      <c r="AU212" s="7">
        <f t="shared" ref="AU212:AU246" si="354">(AS212*$M$8)/($D$6^2)</f>
        <v>1.3752848012242637E-2</v>
      </c>
      <c r="AV212" s="9">
        <f t="shared" ref="AV212:AV246" si="355">($C$8*$D$6)/AT212</f>
        <v>0.20158337994606862</v>
      </c>
      <c r="AW212" s="4">
        <f t="shared" si="307"/>
        <v>992.51355343619889</v>
      </c>
      <c r="AX212" s="6">
        <f t="shared" ref="AX212:AX246" si="356">IF(AW212&gt;=650,((0.00002*AW212)+0.035)/10000,IF(AW212&lt;650,((-0.0000000000003*(AW212^4))+(0.0000000004*(AW212^3))-(0.0000002*(AW212^2))-(0.0001*AW212)+0.1409)/10000))</f>
        <v>5.4850271068723981E-6</v>
      </c>
      <c r="AY212" s="8">
        <f t="shared" ref="AY212:AY246" si="357">IF(AW212&lt;650,(53.495-(0.029*AW212)),IF(AW212&lt;700,((0.00000000000000006*(AW212^2))-(0.2008*AW212) + 164.43),IF(AW212&lt;1250,((0.0115*AW212)+ 15.889))))</f>
        <v>27.302905864516287</v>
      </c>
      <c r="AZ212" s="7">
        <f t="shared" ref="AZ212:AZ246" si="358">(AX212*$M$8)/($D$6^2)</f>
        <v>1.3727341939148081E-2</v>
      </c>
      <c r="BA212" s="9">
        <f t="shared" ref="BA212:BA246" si="359">($C$8*$D$6)/AY212</f>
        <v>0.20201604281133603</v>
      </c>
      <c r="BB212" s="4">
        <f t="shared" si="308"/>
        <v>986.81501270202477</v>
      </c>
      <c r="BC212" s="6">
        <f t="shared" ref="BC212:BC246" si="360">IF(BB212&gt;=650,((0.00002*BB212)+0.035)/10000,IF(BB212&lt;650,((-0.0000000000003*(BB212^4))+(0.0000000004*(BB212^3))-(0.0000002*(BB212^2))-(0.0001*BB212)+0.1409)/10000))</f>
        <v>5.4736300254040495E-6</v>
      </c>
      <c r="BD212" s="8">
        <f t="shared" ref="BD212:BD246" si="361">IF(BB212&lt;650,(53.495-(0.029*BB212)),IF(BB212&lt;700,((0.00000000000000006*(BB212^2))-(0.2008*BB212) + 164.43),IF(BB212&lt;1250,((0.0115*BB212)+ 15.889))))</f>
        <v>27.237372646073283</v>
      </c>
      <c r="BE212" s="7">
        <f t="shared" ref="BE212:BE246" si="362">(BC212*$M$8)/($D$6^2)</f>
        <v>1.3698818536915788E-2</v>
      </c>
      <c r="BF212" s="9">
        <f t="shared" ref="BF212:BF246" si="363">($C$8*$D$6)/BD212</f>
        <v>0.20250209415096315</v>
      </c>
      <c r="BG212" s="4">
        <f t="shared" si="309"/>
        <v>980.50221448419973</v>
      </c>
      <c r="BH212" s="6">
        <f t="shared" ref="BH212:BH246" si="364">IF(BG212&gt;=650,((0.00002*BG212)+0.035)/10000,IF(BG212&lt;650,((-0.0000000000003*(BG212^4))+(0.0000000004*(BG212^3))-(0.0000002*(BG212^2))-(0.0001*BG212)+0.1409)/10000))</f>
        <v>5.4610044289683995E-6</v>
      </c>
      <c r="BI212" s="8">
        <f t="shared" ref="BI212:BI246" si="365">IF(BG212&lt;650,(53.495-(0.029*BG212)),IF(BG212&lt;700,((0.00000000000000006*(BG212^2))-(0.2008*BG212) + 164.43),IF(BG212&lt;1250,((0.0115*BG212)+ 15.889))))</f>
        <v>27.164775466568294</v>
      </c>
      <c r="BJ212" s="7">
        <f t="shared" ref="BJ212:BJ246" si="366">(BH212*$M$8)/($D$6^2)</f>
        <v>1.3667220538203859E-2</v>
      </c>
      <c r="BK212" s="9">
        <f t="shared" ref="BK212:BK246" si="367">($C$8*$D$6)/BI212</f>
        <v>0.20304327590662707</v>
      </c>
      <c r="BL212" s="4">
        <f t="shared" si="310"/>
        <v>973.5316826775454</v>
      </c>
      <c r="BM212" s="6">
        <f t="shared" ref="BM212:BM246" si="368">IF(BL212&gt;=650,((0.00002*BL212)+0.035)/10000,IF(BL212&lt;650,((-0.0000000000003*(BL212^4))+(0.0000000004*(BL212^3))-(0.0000002*(BL212^2))-(0.0001*BL212)+0.1409)/10000))</f>
        <v>5.4470633653550913E-6</v>
      </c>
      <c r="BN212" s="8">
        <f t="shared" ref="BN212:BN246" si="369">IF(BL212&lt;650,(53.495-(0.029*BL212)),IF(BL212&lt;700,((0.00000000000000006*(BL212^2))-(0.2008*BL212) + 164.43),IF(BL212&lt;1250,((0.0115*BL212)+ 15.889))))</f>
        <v>27.084614350791771</v>
      </c>
      <c r="BO212" s="7">
        <f t="shared" ref="BO212:BO246" si="370">(BM212*$M$8)/($D$6^2)</f>
        <v>1.3632330328276633E-2</v>
      </c>
      <c r="BP212" s="9">
        <f t="shared" ref="BP212:BP246" si="371">($C$8*$D$6)/BN212</f>
        <v>0.20364421396455146</v>
      </c>
      <c r="BQ212" s="4">
        <f t="shared" si="311"/>
        <v>965.75412709830437</v>
      </c>
      <c r="BR212" s="6">
        <f t="shared" ref="BR212:BR246" si="372">IF(BQ212&gt;=650,((0.00002*BQ212)+0.035)/10000,IF(BQ212&lt;650,((-0.0000000000003*(BQ212^4))+(0.0000000004*(BQ212^3))-(0.0000002*(BQ212^2))-(0.0001*BQ212)+0.1409)/10000))</f>
        <v>5.4315082541966091E-6</v>
      </c>
      <c r="BS212" s="8">
        <f t="shared" ref="BS212:BS246" si="373">IF(BQ212&lt;650,(53.495-(0.029*BQ212)),IF(BQ212&lt;700,((0.00000000000000006*(BQ212^2))-(0.2008*BQ212) + 164.43),IF(BQ212&lt;1250,((0.0115*BQ212)+ 15.889))))</f>
        <v>26.995172461630499</v>
      </c>
      <c r="BT212" s="7">
        <f t="shared" ref="BT212:BT246" si="374">(BR212*$M$8)/($D$6^2)</f>
        <v>1.3593400651975417E-2</v>
      </c>
      <c r="BU212" s="9">
        <f t="shared" ref="BU212:BU246" si="375">($C$8*$D$6)/BS212</f>
        <v>0.20431893916734986</v>
      </c>
      <c r="BV212" s="4">
        <f t="shared" si="312"/>
        <v>956.71175795549732</v>
      </c>
      <c r="BW212" s="6">
        <f t="shared" ref="BW212:BW246" si="376">IF(BV212&gt;=650,((0.00002*BV212)+0.035)/10000,IF(BV212&lt;650,((-0.0000000000003*(BV212^4))+(0.0000000004*(BV212^3))-(0.0000002*(BV212^2))-(0.0001*BV212)+0.1409)/10000))</f>
        <v>5.4134235159109954E-6</v>
      </c>
      <c r="BX212" s="8">
        <f t="shared" ref="BX212:BX246" si="377">IF(BV212&lt;650,(53.495-(0.029*BV212)),IF(BV212&lt;700,((0.00000000000000006*(BV212^2))-(0.2008*BV212) + 164.43),IF(BV212&lt;1250,((0.0115*BV212)+ 15.889))))</f>
        <v>26.891185216488218</v>
      </c>
      <c r="BY212" s="7">
        <f t="shared" ref="BY212:BY246" si="378">(BW212*$M$8)/($D$6^2)</f>
        <v>1.3548140094189736E-2</v>
      </c>
      <c r="BZ212" s="9">
        <f t="shared" ref="BZ212:BZ246" si="379">($C$8*$D$6)/BX212</f>
        <v>0.20510903314957341</v>
      </c>
      <c r="CA212" s="4">
        <f t="shared" si="313"/>
        <v>945.16950336554919</v>
      </c>
      <c r="CB212" s="6">
        <f t="shared" ref="CB212:CB246" si="380">IF(CA212&gt;=650,((0.00002*CA212)+0.035)/10000,IF(CA212&lt;650,((-0.0000000000003*(CA212^4))+(0.0000000004*(CA212^3))-(0.0000002*(CA212^2))-(0.0001*CA212)+0.1409)/10000))</f>
        <v>5.3903390067310988E-6</v>
      </c>
      <c r="CC212" s="8">
        <f t="shared" ref="CC212:CC246" si="381">IF(CA212&lt;650,(53.495-(0.029*CA212)),IF(CA212&lt;700,((0.00000000000000006*(CA212^2))-(0.2008*CA212) + 164.43),IF(CA212&lt;1250,((0.0115*CA212)+ 15.889))))</f>
        <v>26.758449288703815</v>
      </c>
      <c r="CD212" s="7">
        <f t="shared" ref="CD212:CD246" si="382">(CB212*$M$8)/($D$6^2)</f>
        <v>1.3490366642056236E-2</v>
      </c>
      <c r="CE212" s="9">
        <f t="shared" ref="CE212:CE246" si="383">($C$8*$D$6)/CC212</f>
        <v>0.20612648141491677</v>
      </c>
      <c r="CF212" s="4">
        <f t="shared" si="314"/>
        <v>928.25223169448304</v>
      </c>
      <c r="CG212" s="6">
        <f t="shared" ref="CG212:CG246" si="384">IF(CF212&gt;=650,((0.00002*CF212)+0.035)/10000,IF(CF212&lt;650,((-0.0000000000003*(CF212^4))+(0.0000000004*(CF212^3))-(0.0000002*(CF212^2))-(0.0001*CF212)+0.1409)/10000))</f>
        <v>5.3565044633889669E-6</v>
      </c>
      <c r="CH212" s="8">
        <f t="shared" ref="CH212:CH246" si="385">IF(CF212&lt;650,(53.495-(0.029*CF212)),IF(CF212&lt;700,((0.00000000000000006*(CF212^2))-(0.2008*CF212) + 164.43),IF(CF212&lt;1250,((0.0115*CF212)+ 15.889))))</f>
        <v>26.563900664486553</v>
      </c>
      <c r="CI212" s="7">
        <f t="shared" ref="CI212:CI246" si="386">(CG212*$M$8)/($D$6^2)</f>
        <v>1.3405689148807309E-2</v>
      </c>
      <c r="CJ212" s="9">
        <f t="shared" ref="CJ212:CJ246" si="387">($C$8*$D$6)/CH212</f>
        <v>0.20763610998492679</v>
      </c>
      <c r="CK212" s="4">
        <f t="shared" si="315"/>
        <v>900.33804818626106</v>
      </c>
      <c r="CL212" s="6">
        <f t="shared" ref="CL212:CL246" si="388">IF(CK212&gt;=650,((0.00002*CK212)+0.035)/10000,IF(CK212&lt;650,((-0.0000000000003*(CK212^4))+(0.0000000004*(CK212^3))-(0.0000002*(CK212^2))-(0.0001*CK212)+0.1409)/10000))</f>
        <v>5.3006760963725222E-6</v>
      </c>
      <c r="CM212" s="8">
        <f t="shared" ref="CM212:CM246" si="389">IF(CK212&lt;650,(53.495-(0.029*CK212)),IF(CK212&lt;700,((0.00000000000000006*(CK212^2))-(0.2008*CK212) + 164.43),IF(CK212&lt;1250,((0.0115*CK212)+ 15.889))))</f>
        <v>26.242887554142001</v>
      </c>
      <c r="CN212" s="7">
        <f t="shared" ref="CN212:CN246" si="390">(CL212*$M$8)/($D$6^2)</f>
        <v>1.3265967855000251E-2</v>
      </c>
      <c r="CO212" s="9">
        <f t="shared" ref="CO212:CO246" si="391">($C$8*$D$6)/CM212</f>
        <v>0.21017599487177815</v>
      </c>
      <c r="CP212" s="4">
        <f t="shared" si="316"/>
        <v>852.56305675214571</v>
      </c>
      <c r="CQ212" s="6">
        <f t="shared" ref="CQ212:CQ246" si="392">IF(CP212&gt;=650,((0.00002*CP212)+0.035)/10000,IF(CP212&lt;650,((-0.0000000000003*(CP212^4))+(0.0000000004*(CP212^3))-(0.0000002*(CP212^2))-(0.0001*CP212)+0.1409)/10000))</f>
        <v>5.2051261135042926E-6</v>
      </c>
      <c r="CR212" s="8">
        <f t="shared" ref="CR212:CR246" si="393">IF(CP212&lt;650,(53.495-(0.029*CP212)),IF(CP212&lt;700,((0.00000000000000006*(CP212^2))-(0.2008*CP212) + 164.43),IF(CP212&lt;1250,((0.0115*CP212)+ 15.889))))</f>
        <v>25.693475152649675</v>
      </c>
      <c r="CS212" s="7">
        <f t="shared" ref="CS212:CS246" si="394">(CQ212*$M$8)/($D$6^2)</f>
        <v>1.3026835529570444E-2</v>
      </c>
      <c r="CT212" s="9">
        <f t="shared" ref="CT212:CT246" si="395">($C$8*$D$6)/CR212</f>
        <v>0.21467026033771822</v>
      </c>
      <c r="CU212" s="4">
        <f t="shared" si="317"/>
        <v>774.47653626305566</v>
      </c>
      <c r="CV212" s="6">
        <f t="shared" ref="CV212:CV246" si="396">IF(CU212&gt;=650,((0.00002*CU212)+0.035)/10000,IF(CU212&lt;650,((-0.0000000000003*(CU212^4))+(0.0000000004*(CU212^3))-(0.0000002*(CU212^2))-(0.0001*CU212)+0.1409)/10000))</f>
        <v>5.0489530725261119E-6</v>
      </c>
      <c r="CW212" s="8">
        <f t="shared" ref="CW212:CW246" si="397">IF(CU212&lt;650,(53.495-(0.029*CU212)),IF(CU212&lt;700,((0.00000000000000006*(CU212^2))-(0.2008*CU212) + 164.43),IF(CU212&lt;1250,((0.0115*CU212)+ 15.889))))</f>
        <v>24.79548016702514</v>
      </c>
      <c r="CX212" s="7">
        <f t="shared" ref="CX212:CX246" si="398">(CV212*$M$8)/($D$6^2)</f>
        <v>1.2635982267879544E-2</v>
      </c>
      <c r="CY212" s="9">
        <f t="shared" ref="CY212:CY246" si="399">($C$8*$D$6)/CW212</f>
        <v>0.2224447747269313</v>
      </c>
      <c r="CZ212" s="5">
        <f t="shared" si="318"/>
        <v>658.65992394333682</v>
      </c>
      <c r="DA212" s="6">
        <f t="shared" ref="DA212:DA246" si="400">IF(CZ212&gt;=650,((0.00002*CZ212)+0.035)/10000,IF(CZ212&lt;650,((-0.0000000000003*(CZ212^4))+(0.0000000004*(CZ212^3))-(0.0000002*(CZ212^2))-(0.0001*CZ212)+0.1409)/10000))</f>
        <v>4.8173198478866742E-6</v>
      </c>
      <c r="DB212" s="8">
        <f t="shared" ref="DB212:DB246" si="401">IF(CZ212&lt;650,(53.495-(0.029*CZ212)),IF(CZ212&lt;700,((0.00000000000000006*(CZ212^2))-(0.2008*CZ212) + 164.43),IF(CZ212&lt;1250,((0.0115*CZ212)+ 15.889))))</f>
        <v>32.171087272204005</v>
      </c>
      <c r="DC212" s="7">
        <f t="shared" ref="DC212:DC246" si="402">(DA212*$M$8)/($D$6^2)</f>
        <v>1.2056275291571425E-2</v>
      </c>
      <c r="DD212" s="9">
        <f t="shared" ref="DD212:DD246" si="403">($C$8*$D$6)/DB212</f>
        <v>0.17144664565830606</v>
      </c>
    </row>
    <row r="213" spans="2:108" x14ac:dyDescent="0.25">
      <c r="B213">
        <v>194</v>
      </c>
      <c r="C213">
        <f t="shared" ref="C213:C246" si="404">$B213*$M$8</f>
        <v>0.18965724527097877</v>
      </c>
      <c r="D213" s="4">
        <f t="shared" si="321"/>
        <v>1016.8109334018045</v>
      </c>
      <c r="E213" s="6">
        <f t="shared" si="322"/>
        <v>5.5336218668036091E-6</v>
      </c>
      <c r="F213" s="8">
        <f t="shared" si="323"/>
        <v>27.582325734120751</v>
      </c>
      <c r="G213" s="7">
        <f t="shared" si="319"/>
        <v>1.3848959731189754E-2</v>
      </c>
      <c r="H213" s="9">
        <f t="shared" si="324"/>
        <v>0.19996954039219722</v>
      </c>
      <c r="I213" s="4">
        <f t="shared" ref="I213:I246" si="405">I212+(G213*(D212+N212-(2*I212))+((G213/(2*$I$18))*(N212-D212)))</f>
        <v>1016.4862455035926</v>
      </c>
      <c r="J213" s="6">
        <f t="shared" si="325"/>
        <v>5.5329724910071859E-6</v>
      </c>
      <c r="K213" s="8">
        <f t="shared" si="326"/>
        <v>27.578591823291312</v>
      </c>
      <c r="L213" s="7">
        <f t="shared" si="327"/>
        <v>1.3847334542575217E-2</v>
      </c>
      <c r="M213" s="9">
        <f t="shared" si="328"/>
        <v>0.19999661459660956</v>
      </c>
      <c r="N213" s="4">
        <f t="shared" ref="N213:N246" si="406">N212+(L213*(I212+S212-(2*N212))+((L213/(2*N$18))*(S212-I212)))</f>
        <v>1015.5800035878493</v>
      </c>
      <c r="O213" s="6">
        <f t="shared" si="329"/>
        <v>5.5311600071756992E-6</v>
      </c>
      <c r="P213" s="8">
        <f t="shared" si="330"/>
        <v>27.568170041260267</v>
      </c>
      <c r="Q213" s="7">
        <f t="shared" si="320"/>
        <v>1.3848959731189754E-2</v>
      </c>
      <c r="R213" s="9">
        <f t="shared" si="331"/>
        <v>0.20007222067133823</v>
      </c>
      <c r="S213" s="4">
        <f t="shared" ref="S213:S246" si="407">S212+(Q213*(N212+X212-(2*S212))+((Q213/(2*S$18))*(X212-N212)))</f>
        <v>1014.0783033177935</v>
      </c>
      <c r="T213" s="6">
        <f t="shared" si="332"/>
        <v>5.5281566066355875E-6</v>
      </c>
      <c r="U213" s="8">
        <f t="shared" si="333"/>
        <v>27.550900488154625</v>
      </c>
      <c r="V213" s="7">
        <f t="shared" si="334"/>
        <v>1.3835281859840887E-2</v>
      </c>
      <c r="W213" s="9">
        <f t="shared" si="335"/>
        <v>0.20019763064990984</v>
      </c>
      <c r="X213" s="4">
        <f t="shared" ref="X213:X246" si="408">X212+(V213*(S212+AC212-(2*X212))+((V213/(2*X$18))*(AC212-S212)))</f>
        <v>1011.9792841270942</v>
      </c>
      <c r="Y213" s="6">
        <f t="shared" si="336"/>
        <v>5.5239585682541891E-6</v>
      </c>
      <c r="Z213" s="8">
        <f t="shared" si="337"/>
        <v>27.526761767461583</v>
      </c>
      <c r="AA213" s="7">
        <f t="shared" si="338"/>
        <v>1.3824775456278558E-2</v>
      </c>
      <c r="AB213" s="9">
        <f t="shared" si="339"/>
        <v>0.20037318761263906</v>
      </c>
      <c r="AC213" s="4">
        <f t="shared" ref="AC213:AC246" si="409">AC212+(AA213*(X212+AH212-(2*AC212))+((AA213/(2*AC$18))*(AH212-X212)))</f>
        <v>1009.2814958135873</v>
      </c>
      <c r="AD213" s="6">
        <f t="shared" si="340"/>
        <v>5.5185629916271755E-6</v>
      </c>
      <c r="AE213" s="8">
        <f t="shared" si="341"/>
        <v>27.495737201856251</v>
      </c>
      <c r="AF213" s="7">
        <f t="shared" si="342"/>
        <v>1.3811271981478026E-2</v>
      </c>
      <c r="AG213" s="9">
        <f t="shared" si="343"/>
        <v>0.20059927688091364</v>
      </c>
      <c r="AH213" s="4">
        <f t="shared" ref="AH213:AH246" si="410">AH212+(AF213*(AC212+AM212-(2*AH212))+((AF213/(2*AH$18))*(AM212-AC212)))</f>
        <v>1005.9845863405566</v>
      </c>
      <c r="AI213" s="6">
        <f t="shared" si="344"/>
        <v>5.5119691726811139E-6</v>
      </c>
      <c r="AJ213" s="8">
        <f t="shared" si="345"/>
        <v>27.457822742916399</v>
      </c>
      <c r="AK213" s="7">
        <f t="shared" si="346"/>
        <v>1.3794769673359254E-2</v>
      </c>
      <c r="AL213" s="9">
        <f t="shared" si="347"/>
        <v>0.20087626945668616</v>
      </c>
      <c r="AM213" s="4">
        <f t="shared" ref="AM213:AM246" si="411">AM212+(AK213*(AH212+AR212-(2*AM212))+((AK213/(2*AM$18))*(AR212-AH212)))</f>
        <v>1002.0883967570197</v>
      </c>
      <c r="AN213" s="6">
        <f t="shared" si="348"/>
        <v>5.5041767935140403E-6</v>
      </c>
      <c r="AO213" s="8">
        <f t="shared" si="349"/>
        <v>27.413016562705728</v>
      </c>
      <c r="AP213" s="7">
        <f t="shared" si="350"/>
        <v>1.3775267736311051E-2</v>
      </c>
      <c r="AQ213" s="9">
        <f t="shared" si="351"/>
        <v>0.20120459882199826</v>
      </c>
      <c r="AR213" s="4">
        <f t="shared" ref="AR213:AR246" si="412">AR212+(AP213*(AM212+AW212-(2*AR212))+((AP213/(2*AR$18))*(AW212-AM212)))</f>
        <v>997.59275399941328</v>
      </c>
      <c r="AS213" s="6">
        <f t="shared" si="352"/>
        <v>5.4951855079988276E-6</v>
      </c>
      <c r="AT213" s="8">
        <f t="shared" si="353"/>
        <v>27.361316670993254</v>
      </c>
      <c r="AU213" s="7">
        <f t="shared" si="354"/>
        <v>1.3752765304083288E-2</v>
      </c>
      <c r="AV213" s="9">
        <f t="shared" si="355"/>
        <v>0.20158477994033519</v>
      </c>
      <c r="AW213" s="4">
        <f t="shared" ref="AW213:AW246" si="413">AW212+(AU213*(AR212+BB212-(2*AW212))+((AU213/(2*AW$18))*(BB212-AR212)))</f>
        <v>992.49701576702864</v>
      </c>
      <c r="AX213" s="6">
        <f t="shared" si="356"/>
        <v>5.4849940315340569E-6</v>
      </c>
      <c r="AY213" s="8">
        <f t="shared" si="357"/>
        <v>27.302715681320826</v>
      </c>
      <c r="AZ213" s="7">
        <f t="shared" si="358"/>
        <v>1.3727259161712286E-2</v>
      </c>
      <c r="BA213" s="9">
        <f t="shared" si="359"/>
        <v>0.20201744999943427</v>
      </c>
      <c r="BB213" s="4">
        <f t="shared" ref="BB213:BB246" si="414">BB212+(AZ213*(AW212+BG212-(2*BB212))+((AZ213/(2*BB$18))*(BG212-AW212)))</f>
        <v>986.79833649222098</v>
      </c>
      <c r="BC213" s="6">
        <f t="shared" si="360"/>
        <v>5.4735966729844422E-6</v>
      </c>
      <c r="BD213" s="8">
        <f t="shared" si="361"/>
        <v>27.237180869660541</v>
      </c>
      <c r="BE213" s="7">
        <f t="shared" si="362"/>
        <v>1.3698735066030499E-2</v>
      </c>
      <c r="BF213" s="9">
        <f t="shared" si="363"/>
        <v>0.20250351996391253</v>
      </c>
      <c r="BG213" s="4">
        <f t="shared" ref="BG213:BG246" si="415">BG212+(BE213*(BB212+BL212-(2*BG212))+((BE213/(2*BG$18))*(BL212-BB212)))</f>
        <v>980.48493323789501</v>
      </c>
      <c r="BH213" s="6">
        <f t="shared" si="364"/>
        <v>5.4609698664757907E-6</v>
      </c>
      <c r="BI213" s="8">
        <f t="shared" si="365"/>
        <v>27.164576732235794</v>
      </c>
      <c r="BJ213" s="7">
        <f t="shared" si="366"/>
        <v>1.3667134038876679E-2</v>
      </c>
      <c r="BK213" s="9">
        <f t="shared" si="367"/>
        <v>0.20304476135844557</v>
      </c>
      <c r="BL213" s="4">
        <f t="shared" ref="BL213:BL246" si="416">BL212+(BJ213*(BG212+BQ212-(2*BL212))+((BJ213/(2*BL$18))*(BQ212-BG212)))</f>
        <v>973.51225447184288</v>
      </c>
      <c r="BM213" s="6">
        <f t="shared" si="368"/>
        <v>5.4470245089436863E-6</v>
      </c>
      <c r="BN213" s="8">
        <f t="shared" si="369"/>
        <v>27.084390926426192</v>
      </c>
      <c r="BO213" s="7">
        <f t="shared" si="370"/>
        <v>1.3632233082586594E-2</v>
      </c>
      <c r="BP213" s="9">
        <f t="shared" si="371"/>
        <v>0.20364589386495727</v>
      </c>
      <c r="BQ213" s="4">
        <f t="shared" ref="BQ213:BQ246" si="417">BQ212+(BO213*(BL212+BV212-(2*BQ212))+((BO213/(2*BQ$18))*(BV212-BL212)))</f>
        <v>965.72806589829815</v>
      </c>
      <c r="BR213" s="6">
        <f t="shared" si="372"/>
        <v>5.431456131796597E-6</v>
      </c>
      <c r="BS213" s="8">
        <f t="shared" si="373"/>
        <v>26.994872757830429</v>
      </c>
      <c r="BT213" s="7">
        <f t="shared" si="374"/>
        <v>1.3593270205581312E-2</v>
      </c>
      <c r="BU213" s="9">
        <f t="shared" si="375"/>
        <v>0.2043212075670954</v>
      </c>
      <c r="BV213" s="4">
        <f t="shared" ref="BV213:BV246" si="418">BV212+(BT213*(BQ212+CA212-(2*BV212))+((BT213/(2*BV$18))*(CA212-BQ212)))</f>
        <v>956.66778303882847</v>
      </c>
      <c r="BW213" s="6">
        <f t="shared" si="376"/>
        <v>5.4133355660776576E-6</v>
      </c>
      <c r="BX213" s="8">
        <f t="shared" si="377"/>
        <v>26.890679504946526</v>
      </c>
      <c r="BY213" s="7">
        <f t="shared" si="378"/>
        <v>1.3547919982709484E-2</v>
      </c>
      <c r="BZ213" s="9">
        <f t="shared" si="379"/>
        <v>0.20511289047141423</v>
      </c>
      <c r="CA213" s="4">
        <f t="shared" ref="CA213:CA246" si="419">CA212+(BY213*(BV212+CF212-(2*CA212))+((BY213/(2*CA$18))*(CF212-BV212)))</f>
        <v>945.08383081807756</v>
      </c>
      <c r="CB213" s="6">
        <f t="shared" si="380"/>
        <v>5.3901676616361556E-6</v>
      </c>
      <c r="CC213" s="8">
        <f t="shared" si="381"/>
        <v>26.75746405440789</v>
      </c>
      <c r="CD213" s="7">
        <f t="shared" si="382"/>
        <v>1.3489937817793009E-2</v>
      </c>
      <c r="CE213" s="9">
        <f t="shared" si="383"/>
        <v>0.20613407118046315</v>
      </c>
      <c r="CF213" s="4">
        <f t="shared" ref="CF213:CF246" si="420">CF212+(CD213*(CA212+CK212-(2*CF212))+((CD213/(2*CF$18))*(CK212-CA212)))</f>
        <v>928.0849848644043</v>
      </c>
      <c r="CG213" s="6">
        <f t="shared" si="384"/>
        <v>5.3561699697288095E-6</v>
      </c>
      <c r="CH213" s="8">
        <f t="shared" si="385"/>
        <v>26.561977325940649</v>
      </c>
      <c r="CI213" s="7">
        <f t="shared" si="386"/>
        <v>1.3404852013682906E-2</v>
      </c>
      <c r="CJ213" s="9">
        <f t="shared" si="387"/>
        <v>0.20765114480439656</v>
      </c>
      <c r="CK213" s="4">
        <f t="shared" ref="CK213:CK246" si="421">CK212+(CI213*(CF212+CP212-(2*CK212))+((CI213/(2*CK$18))*(CP212-CF212)))</f>
        <v>900.0419757542852</v>
      </c>
      <c r="CL213" s="6">
        <f t="shared" si="388"/>
        <v>5.3000839515085706E-6</v>
      </c>
      <c r="CM213" s="8">
        <f t="shared" si="389"/>
        <v>26.239482721174276</v>
      </c>
      <c r="CN213" s="7">
        <f t="shared" si="390"/>
        <v>1.3264485897871036E-2</v>
      </c>
      <c r="CO213" s="9">
        <f t="shared" si="391"/>
        <v>0.21020326729036842</v>
      </c>
      <c r="CP213" s="4">
        <f t="shared" ref="CP213:CP246" si="422">CP212+(CN213*(CK212+CU212-(2*CP212))+((CN213/(2*CP$18))*(CU212-CK212)))</f>
        <v>852.11461522884224</v>
      </c>
      <c r="CQ213" s="6">
        <f t="shared" si="392"/>
        <v>5.2042292304576854E-6</v>
      </c>
      <c r="CR213" s="8">
        <f t="shared" si="393"/>
        <v>25.688318075131683</v>
      </c>
      <c r="CS213" s="7">
        <f t="shared" si="394"/>
        <v>1.3024590906158321E-2</v>
      </c>
      <c r="CT213" s="9">
        <f t="shared" si="395"/>
        <v>0.21471335662647217</v>
      </c>
      <c r="CU213" s="4">
        <f t="shared" ref="CU213:CU246" si="423">CU212+(CS213*(CP212+CZ212-(2*CU212))+((CS213/(2*CU$18))*(CZ212-CP212)))</f>
        <v>773.91865648947157</v>
      </c>
      <c r="CV213" s="6">
        <f t="shared" si="396"/>
        <v>5.0478373129789439E-6</v>
      </c>
      <c r="CW213" s="8">
        <f t="shared" si="397"/>
        <v>24.789064549628922</v>
      </c>
      <c r="CX213" s="7">
        <f t="shared" si="398"/>
        <v>1.2633189863662133E-2</v>
      </c>
      <c r="CY213" s="9">
        <f t="shared" si="399"/>
        <v>0.22250234529654997</v>
      </c>
      <c r="CZ213" s="5">
        <f t="shared" ref="CZ213:CZ246" si="424">CZ212+((2*$CX213)*(CU212-CZ212))+((2*$CX213*$CY213)*($C$14-CZ212))+((($CX213*$CY213)/$C$5)*($C$14-CZ212))+(((CZ212-$C$14)*$CX213*($D$6^2))/($CW213*($D$4/(2*$C$8))))</f>
        <v>658.11292106241842</v>
      </c>
      <c r="DA213" s="6">
        <f t="shared" si="400"/>
        <v>4.8162258421248366E-6</v>
      </c>
      <c r="DB213" s="8">
        <f t="shared" si="401"/>
        <v>32.280925450692365</v>
      </c>
      <c r="DC213" s="7">
        <f t="shared" si="402"/>
        <v>1.2053537330412159E-2</v>
      </c>
      <c r="DD213" s="9">
        <f t="shared" si="403"/>
        <v>0.17086328607353171</v>
      </c>
    </row>
    <row r="214" spans="2:108" x14ac:dyDescent="0.25">
      <c r="B214">
        <v>195</v>
      </c>
      <c r="C214">
        <f t="shared" si="404"/>
        <v>0.19063485993732404</v>
      </c>
      <c r="D214" s="4">
        <f t="shared" si="321"/>
        <v>1016.7943564779363</v>
      </c>
      <c r="E214" s="6">
        <f t="shared" si="322"/>
        <v>5.5335887129558728E-6</v>
      </c>
      <c r="F214" s="8">
        <f t="shared" si="323"/>
        <v>27.582135099496266</v>
      </c>
      <c r="G214" s="7">
        <f t="shared" si="319"/>
        <v>1.3848876757269004E-2</v>
      </c>
      <c r="H214" s="9">
        <f t="shared" si="324"/>
        <v>0.19997092248673426</v>
      </c>
      <c r="I214" s="4">
        <f t="shared" si="405"/>
        <v>1016.4696681360309</v>
      </c>
      <c r="J214" s="6">
        <f t="shared" si="325"/>
        <v>5.5329393362720623E-6</v>
      </c>
      <c r="K214" s="8">
        <f t="shared" si="326"/>
        <v>27.578401183564353</v>
      </c>
      <c r="L214" s="7">
        <f t="shared" si="327"/>
        <v>1.3847251566433611E-2</v>
      </c>
      <c r="M214" s="9">
        <f t="shared" si="328"/>
        <v>0.19999799710242436</v>
      </c>
      <c r="N214" s="4">
        <f t="shared" si="406"/>
        <v>1015.5634222809188</v>
      </c>
      <c r="O214" s="6">
        <f t="shared" si="329"/>
        <v>5.5311268445618376E-6</v>
      </c>
      <c r="P214" s="8">
        <f t="shared" si="330"/>
        <v>27.567979356230566</v>
      </c>
      <c r="Q214" s="7">
        <f t="shared" si="320"/>
        <v>1.3848876757269004E-2</v>
      </c>
      <c r="R214" s="9">
        <f t="shared" si="331"/>
        <v>0.20007360455141332</v>
      </c>
      <c r="S214" s="4">
        <f t="shared" si="407"/>
        <v>1014.0617201350018</v>
      </c>
      <c r="T214" s="6">
        <f t="shared" si="332"/>
        <v>5.5281234402700036E-6</v>
      </c>
      <c r="U214" s="8">
        <f t="shared" si="333"/>
        <v>27.55070978155252</v>
      </c>
      <c r="V214" s="7">
        <f t="shared" si="334"/>
        <v>1.3835198854591804E-2</v>
      </c>
      <c r="W214" s="9">
        <f t="shared" si="335"/>
        <v>0.20019901642218915</v>
      </c>
      <c r="X214" s="4">
        <f t="shared" si="408"/>
        <v>1011.9627044390012</v>
      </c>
      <c r="Y214" s="6">
        <f t="shared" si="336"/>
        <v>5.5239254088780026E-6</v>
      </c>
      <c r="Z214" s="8">
        <f t="shared" si="337"/>
        <v>27.526571101048511</v>
      </c>
      <c r="AA214" s="7">
        <f t="shared" si="338"/>
        <v>1.3824692468521792E-2</v>
      </c>
      <c r="AB214" s="9">
        <f t="shared" si="339"/>
        <v>0.20037457552386193</v>
      </c>
      <c r="AC214" s="4">
        <f t="shared" si="409"/>
        <v>1009.2649256624715</v>
      </c>
      <c r="AD214" s="6">
        <f t="shared" si="340"/>
        <v>5.5185298513249436E-6</v>
      </c>
      <c r="AE214" s="8">
        <f t="shared" si="341"/>
        <v>27.49554664511842</v>
      </c>
      <c r="AF214" s="7">
        <f t="shared" si="342"/>
        <v>1.3811189041457523E-2</v>
      </c>
      <c r="AG214" s="9">
        <f t="shared" si="343"/>
        <v>0.20060066712582519</v>
      </c>
      <c r="AH214" s="4">
        <f t="shared" si="410"/>
        <v>1005.9680307987562</v>
      </c>
      <c r="AI214" s="6">
        <f t="shared" si="344"/>
        <v>5.5119360615975122E-6</v>
      </c>
      <c r="AJ214" s="8">
        <f t="shared" si="345"/>
        <v>27.457632354185698</v>
      </c>
      <c r="AK214" s="7">
        <f t="shared" si="346"/>
        <v>1.3794686806464028E-2</v>
      </c>
      <c r="AL214" s="9">
        <f t="shared" si="347"/>
        <v>0.20087766231450713</v>
      </c>
      <c r="AM214" s="4">
        <f t="shared" si="411"/>
        <v>1002.0718587240227</v>
      </c>
      <c r="AN214" s="6">
        <f t="shared" si="348"/>
        <v>5.5041437174480453E-6</v>
      </c>
      <c r="AO214" s="8">
        <f t="shared" si="349"/>
        <v>27.412826375326262</v>
      </c>
      <c r="AP214" s="7">
        <f t="shared" si="350"/>
        <v>1.3775184957054164E-2</v>
      </c>
      <c r="AQ214" s="9">
        <f t="shared" si="351"/>
        <v>0.20120599475888062</v>
      </c>
      <c r="AR214" s="4">
        <f t="shared" si="412"/>
        <v>997.57622988281059</v>
      </c>
      <c r="AS214" s="6">
        <f t="shared" si="352"/>
        <v>5.495152459765622E-6</v>
      </c>
      <c r="AT214" s="8">
        <f t="shared" si="353"/>
        <v>27.36112664365232</v>
      </c>
      <c r="AU214" s="7">
        <f t="shared" si="354"/>
        <v>1.3752682594483345E-2</v>
      </c>
      <c r="AV214" s="9">
        <f t="shared" si="355"/>
        <v>0.20158617997843317</v>
      </c>
      <c r="AW214" s="4">
        <f t="shared" si="413"/>
        <v>992.48047636592855</v>
      </c>
      <c r="AX214" s="6">
        <f t="shared" si="356"/>
        <v>5.4849609527318575E-6</v>
      </c>
      <c r="AY214" s="8">
        <f t="shared" si="357"/>
        <v>27.302525478208178</v>
      </c>
      <c r="AZ214" s="7">
        <f t="shared" si="358"/>
        <v>1.372717637560752E-2</v>
      </c>
      <c r="BA214" s="9">
        <f t="shared" si="359"/>
        <v>0.20201885735450953</v>
      </c>
      <c r="BB214" s="4">
        <f t="shared" si="414"/>
        <v>986.78165346895605</v>
      </c>
      <c r="BC214" s="6">
        <f t="shared" si="360"/>
        <v>5.4735633069379129E-6</v>
      </c>
      <c r="BD214" s="8">
        <f t="shared" si="361"/>
        <v>27.236989014892991</v>
      </c>
      <c r="BE214" s="7">
        <f t="shared" si="362"/>
        <v>1.3698651561041201E-2</v>
      </c>
      <c r="BF214" s="9">
        <f t="shared" si="363"/>
        <v>0.20250494637950237</v>
      </c>
      <c r="BG214" s="4">
        <f t="shared" si="415"/>
        <v>980.46762926109488</v>
      </c>
      <c r="BH214" s="6">
        <f t="shared" si="364"/>
        <v>5.4609352585221902E-6</v>
      </c>
      <c r="BI214" s="8">
        <f t="shared" si="365"/>
        <v>27.16437773650259</v>
      </c>
      <c r="BJ214" s="7">
        <f t="shared" si="366"/>
        <v>1.3667047425774567E-2</v>
      </c>
      <c r="BK214" s="9">
        <f t="shared" si="367"/>
        <v>0.2030462487858975</v>
      </c>
      <c r="BL214" s="4">
        <f t="shared" si="416"/>
        <v>973.49276007857634</v>
      </c>
      <c r="BM214" s="6">
        <f t="shared" si="368"/>
        <v>5.4469855201571531E-6</v>
      </c>
      <c r="BN214" s="8">
        <f t="shared" si="369"/>
        <v>27.084166740903626</v>
      </c>
      <c r="BO214" s="7">
        <f t="shared" si="370"/>
        <v>1.3632135505602177E-2</v>
      </c>
      <c r="BP214" s="9">
        <f t="shared" si="371"/>
        <v>0.2036475795162668</v>
      </c>
      <c r="BQ214" s="4">
        <f t="shared" si="417"/>
        <v>965.70183823434013</v>
      </c>
      <c r="BR214" s="6">
        <f t="shared" si="372"/>
        <v>5.4314036764686807E-6</v>
      </c>
      <c r="BS214" s="8">
        <f t="shared" si="373"/>
        <v>26.994571139694912</v>
      </c>
      <c r="BT214" s="7">
        <f t="shared" si="374"/>
        <v>1.359313892597069E-2</v>
      </c>
      <c r="BU214" s="9">
        <f t="shared" si="375"/>
        <v>0.2043234905069263</v>
      </c>
      <c r="BV214" s="4">
        <f t="shared" si="418"/>
        <v>956.62345630933078</v>
      </c>
      <c r="BW214" s="6">
        <f t="shared" si="376"/>
        <v>5.4132469126186619E-6</v>
      </c>
      <c r="BX214" s="8">
        <f t="shared" si="377"/>
        <v>26.890169747557302</v>
      </c>
      <c r="BY214" s="7">
        <f t="shared" si="378"/>
        <v>1.3547698110269839E-2</v>
      </c>
      <c r="BZ214" s="9">
        <f t="shared" si="379"/>
        <v>0.20511677879984519</v>
      </c>
      <c r="CA214" s="4">
        <f t="shared" si="419"/>
        <v>944.99756376845755</v>
      </c>
      <c r="CB214" s="6">
        <f t="shared" si="380"/>
        <v>5.3899951275369163E-6</v>
      </c>
      <c r="CC214" s="8">
        <f t="shared" si="381"/>
        <v>26.756471983337264</v>
      </c>
      <c r="CD214" s="7">
        <f t="shared" si="382"/>
        <v>1.3489506017816405E-2</v>
      </c>
      <c r="CE214" s="9">
        <f t="shared" si="383"/>
        <v>0.20614171417797103</v>
      </c>
      <c r="CF214" s="4">
        <f t="shared" si="420"/>
        <v>927.91701729732688</v>
      </c>
      <c r="CG214" s="6">
        <f t="shared" si="384"/>
        <v>5.3558340345946544E-6</v>
      </c>
      <c r="CH214" s="8">
        <f t="shared" si="385"/>
        <v>26.560045698919261</v>
      </c>
      <c r="CI214" s="7">
        <f t="shared" si="386"/>
        <v>1.3404011270990834E-2</v>
      </c>
      <c r="CJ214" s="9">
        <f t="shared" si="387"/>
        <v>0.20766624660681338</v>
      </c>
      <c r="CK214" s="4">
        <f t="shared" si="421"/>
        <v>899.74549545759623</v>
      </c>
      <c r="CL214" s="6">
        <f t="shared" si="388"/>
        <v>5.2994909909151924E-6</v>
      </c>
      <c r="CM214" s="8">
        <f t="shared" si="389"/>
        <v>26.236073197762355</v>
      </c>
      <c r="CN214" s="7">
        <f t="shared" si="390"/>
        <v>1.3263001899221047E-2</v>
      </c>
      <c r="CO214" s="9">
        <f t="shared" si="391"/>
        <v>0.21023058437229933</v>
      </c>
      <c r="CP214" s="4">
        <f t="shared" si="422"/>
        <v>851.66669681371786</v>
      </c>
      <c r="CQ214" s="6">
        <f t="shared" si="392"/>
        <v>5.2033333936274364E-6</v>
      </c>
      <c r="CR214" s="8">
        <f t="shared" si="393"/>
        <v>25.683167013357753</v>
      </c>
      <c r="CS214" s="7">
        <f t="shared" si="394"/>
        <v>1.3022348901105129E-2</v>
      </c>
      <c r="CT214" s="9">
        <f t="shared" si="395"/>
        <v>0.2147564199201499</v>
      </c>
      <c r="CU214" s="4">
        <f t="shared" si="423"/>
        <v>773.36240575669819</v>
      </c>
      <c r="CV214" s="6">
        <f t="shared" si="396"/>
        <v>5.0467248115133975E-6</v>
      </c>
      <c r="CW214" s="8">
        <f t="shared" si="397"/>
        <v>24.78266766620203</v>
      </c>
      <c r="CX214" s="7">
        <f t="shared" si="398"/>
        <v>1.2630405613424567E-2</v>
      </c>
      <c r="CY214" s="9">
        <f t="shared" si="399"/>
        <v>0.22255977743356775</v>
      </c>
      <c r="CZ214" s="5">
        <f t="shared" si="424"/>
        <v>657.56786604773777</v>
      </c>
      <c r="DA214" s="6">
        <f t="shared" si="400"/>
        <v>4.8151357320954762E-6</v>
      </c>
      <c r="DB214" s="8">
        <f t="shared" si="401"/>
        <v>32.390372497640215</v>
      </c>
      <c r="DC214" s="7">
        <f t="shared" si="402"/>
        <v>1.2050809119077419E-2</v>
      </c>
      <c r="DD214" s="9">
        <f t="shared" si="403"/>
        <v>0.17028593914447382</v>
      </c>
    </row>
    <row r="215" spans="2:108" x14ac:dyDescent="0.25">
      <c r="B215">
        <v>196</v>
      </c>
      <c r="C215">
        <f t="shared" si="404"/>
        <v>0.19161247460366929</v>
      </c>
      <c r="D215" s="4">
        <f t="shared" si="321"/>
        <v>1016.7777795314153</v>
      </c>
      <c r="E215" s="6">
        <f t="shared" si="322"/>
        <v>5.5335555590628313E-6</v>
      </c>
      <c r="F215" s="8">
        <f t="shared" si="323"/>
        <v>27.581944464611276</v>
      </c>
      <c r="G215" s="7">
        <f t="shared" si="319"/>
        <v>1.3848793783234869E-2</v>
      </c>
      <c r="H215" s="9">
        <f t="shared" si="324"/>
        <v>0.19997230460226489</v>
      </c>
      <c r="I215" s="4">
        <f t="shared" si="405"/>
        <v>1016.4530907890298</v>
      </c>
      <c r="J215" s="6">
        <f t="shared" si="325"/>
        <v>5.5329061815780605E-6</v>
      </c>
      <c r="K215" s="8">
        <f t="shared" si="326"/>
        <v>27.578210544073841</v>
      </c>
      <c r="L215" s="7">
        <f t="shared" si="327"/>
        <v>1.3847168590394917E-2</v>
      </c>
      <c r="M215" s="9">
        <f t="shared" si="328"/>
        <v>0.19999937962563813</v>
      </c>
      <c r="N215" s="4">
        <f t="shared" si="406"/>
        <v>1015.54684108179</v>
      </c>
      <c r="O215" s="6">
        <f t="shared" si="329"/>
        <v>5.5310936821635807E-6</v>
      </c>
      <c r="P215" s="8">
        <f t="shared" si="330"/>
        <v>27.567788672440585</v>
      </c>
      <c r="Q215" s="7">
        <f t="shared" si="320"/>
        <v>1.3848793783234869E-2</v>
      </c>
      <c r="R215" s="9">
        <f t="shared" si="331"/>
        <v>0.20007498844163549</v>
      </c>
      <c r="S215" s="4">
        <f t="shared" si="407"/>
        <v>1014.0451371296787</v>
      </c>
      <c r="T215" s="6">
        <f t="shared" si="332"/>
        <v>5.5280902742593578E-6</v>
      </c>
      <c r="U215" s="8">
        <f t="shared" si="333"/>
        <v>27.550519076991304</v>
      </c>
      <c r="V215" s="7">
        <f t="shared" si="334"/>
        <v>1.383511585023102E-2</v>
      </c>
      <c r="W215" s="9">
        <f t="shared" si="335"/>
        <v>0.20020040219882282</v>
      </c>
      <c r="X215" s="4">
        <f t="shared" si="408"/>
        <v>1011.9461249565106</v>
      </c>
      <c r="Y215" s="6">
        <f t="shared" si="336"/>
        <v>5.5238922499130218E-6</v>
      </c>
      <c r="Z215" s="8">
        <f t="shared" si="337"/>
        <v>27.526380436999872</v>
      </c>
      <c r="AA215" s="7">
        <f t="shared" si="338"/>
        <v>1.3824609481794148E-2</v>
      </c>
      <c r="AB215" s="9">
        <f t="shared" si="339"/>
        <v>0.20037596343710032</v>
      </c>
      <c r="AC215" s="4">
        <f t="shared" si="409"/>
        <v>1009.2483557143271</v>
      </c>
      <c r="AD215" s="6">
        <f t="shared" si="340"/>
        <v>5.5184967114286548E-6</v>
      </c>
      <c r="AE215" s="8">
        <f t="shared" si="341"/>
        <v>27.495356090714761</v>
      </c>
      <c r="AF215" s="7">
        <f t="shared" si="342"/>
        <v>1.381110610245297E-2</v>
      </c>
      <c r="AG215" s="9">
        <f t="shared" si="343"/>
        <v>0.20060205737297718</v>
      </c>
      <c r="AH215" s="4">
        <f t="shared" si="410"/>
        <v>1005.951475433386</v>
      </c>
      <c r="AI215" s="6">
        <f t="shared" si="344"/>
        <v>5.5119029508667726E-6</v>
      </c>
      <c r="AJ215" s="8">
        <f t="shared" si="345"/>
        <v>27.457441967483938</v>
      </c>
      <c r="AK215" s="7">
        <f t="shared" si="346"/>
        <v>1.3794603940451908E-2</v>
      </c>
      <c r="AL215" s="9">
        <f t="shared" si="347"/>
        <v>0.20087905517680038</v>
      </c>
      <c r="AM215" s="4">
        <f t="shared" si="411"/>
        <v>1002.0553207717795</v>
      </c>
      <c r="AN215" s="6">
        <f t="shared" si="348"/>
        <v>5.5041106415435592E-6</v>
      </c>
      <c r="AO215" s="8">
        <f t="shared" si="349"/>
        <v>27.412636188875464</v>
      </c>
      <c r="AP215" s="7">
        <f t="shared" si="350"/>
        <v>1.3775102178201484E-2</v>
      </c>
      <c r="AQ215" s="9">
        <f t="shared" si="351"/>
        <v>0.20120739070831645</v>
      </c>
      <c r="AR215" s="4">
        <f t="shared" si="412"/>
        <v>997.55970546208277</v>
      </c>
      <c r="AS215" s="6">
        <f t="shared" si="352"/>
        <v>5.4951194109241663E-6</v>
      </c>
      <c r="AT215" s="8">
        <f t="shared" si="353"/>
        <v>27.360936612813951</v>
      </c>
      <c r="AU215" s="7">
        <f t="shared" si="354"/>
        <v>1.3752599883361135E-2</v>
      </c>
      <c r="AV215" s="9">
        <f t="shared" si="355"/>
        <v>0.20158758006174637</v>
      </c>
      <c r="AW215" s="4">
        <f t="shared" si="413"/>
        <v>992.46393517791284</v>
      </c>
      <c r="AX215" s="6">
        <f t="shared" si="356"/>
        <v>5.4849278703558261E-6</v>
      </c>
      <c r="AY215" s="8">
        <f t="shared" si="357"/>
        <v>27.302335254545994</v>
      </c>
      <c r="AZ215" s="7">
        <f t="shared" si="358"/>
        <v>1.3727093580558545E-2</v>
      </c>
      <c r="BA215" s="9">
        <f t="shared" si="359"/>
        <v>0.20202026488124736</v>
      </c>
      <c r="BB215" s="4">
        <f t="shared" si="414"/>
        <v>986.76496346917179</v>
      </c>
      <c r="BC215" s="6">
        <f t="shared" si="360"/>
        <v>5.4735299269383436E-6</v>
      </c>
      <c r="BD215" s="8">
        <f t="shared" si="361"/>
        <v>27.236797079895474</v>
      </c>
      <c r="BE215" s="7">
        <f t="shared" si="362"/>
        <v>1.3698568021131717E-2</v>
      </c>
      <c r="BF215" s="9">
        <f t="shared" si="363"/>
        <v>0.20250637341169953</v>
      </c>
      <c r="BG215" s="4">
        <f t="shared" si="415"/>
        <v>980.45030213989298</v>
      </c>
      <c r="BH215" s="6">
        <f t="shared" si="364"/>
        <v>5.4609006042797866E-6</v>
      </c>
      <c r="BI215" s="8">
        <f t="shared" si="365"/>
        <v>27.164178474608768</v>
      </c>
      <c r="BJ215" s="7">
        <f t="shared" si="366"/>
        <v>1.3666960696825768E-2</v>
      </c>
      <c r="BK215" s="9">
        <f t="shared" si="367"/>
        <v>0.20304773822464878</v>
      </c>
      <c r="BL215" s="4">
        <f t="shared" si="416"/>
        <v>973.47319864035455</v>
      </c>
      <c r="BM215" s="6">
        <f t="shared" si="368"/>
        <v>5.4469463972807092E-6</v>
      </c>
      <c r="BN215" s="8">
        <f t="shared" si="369"/>
        <v>27.083941784364079</v>
      </c>
      <c r="BO215" s="7">
        <f t="shared" si="370"/>
        <v>1.3632037593031807E-2</v>
      </c>
      <c r="BP215" s="9">
        <f t="shared" si="371"/>
        <v>0.20364927099290414</v>
      </c>
      <c r="BQ215" s="4">
        <f t="shared" si="417"/>
        <v>965.67544279999834</v>
      </c>
      <c r="BR215" s="6">
        <f t="shared" si="372"/>
        <v>5.4313508855999973E-6</v>
      </c>
      <c r="BS215" s="8">
        <f t="shared" si="373"/>
        <v>26.994267592199982</v>
      </c>
      <c r="BT215" s="7">
        <f t="shared" si="374"/>
        <v>1.3593006806604357E-2</v>
      </c>
      <c r="BU215" s="9">
        <f t="shared" si="375"/>
        <v>0.20432578810153548</v>
      </c>
      <c r="BV215" s="4">
        <f t="shared" si="418"/>
        <v>956.57877678934153</v>
      </c>
      <c r="BW215" s="6">
        <f t="shared" si="376"/>
        <v>5.4131575535786834E-6</v>
      </c>
      <c r="BX215" s="8">
        <f t="shared" si="377"/>
        <v>26.889655933077428</v>
      </c>
      <c r="BY215" s="7">
        <f t="shared" si="378"/>
        <v>1.3547474471977222E-2</v>
      </c>
      <c r="BZ215" s="9">
        <f t="shared" si="379"/>
        <v>0.20512069822415002</v>
      </c>
      <c r="CA215" s="4">
        <f t="shared" si="419"/>
        <v>944.910703658594</v>
      </c>
      <c r="CB215" s="6">
        <f t="shared" si="380"/>
        <v>5.3898214073171883E-6</v>
      </c>
      <c r="CC215" s="8">
        <f t="shared" si="381"/>
        <v>26.755473092073828</v>
      </c>
      <c r="CD215" s="7">
        <f t="shared" si="382"/>
        <v>1.3489071249343711E-2</v>
      </c>
      <c r="CE215" s="9">
        <f t="shared" si="383"/>
        <v>0.20614941029145831</v>
      </c>
      <c r="CF215" s="4">
        <f t="shared" si="420"/>
        <v>927.74833507867936</v>
      </c>
      <c r="CG215" s="6">
        <f t="shared" si="384"/>
        <v>5.355496670157359E-6</v>
      </c>
      <c r="CH215" s="8">
        <f t="shared" si="385"/>
        <v>26.558105853404811</v>
      </c>
      <c r="CI215" s="7">
        <f t="shared" si="386"/>
        <v>1.3403166951191019E-2</v>
      </c>
      <c r="CJ215" s="9">
        <f t="shared" si="387"/>
        <v>0.20768141487367722</v>
      </c>
      <c r="CK215" s="4">
        <f t="shared" si="421"/>
        <v>899.44861620376651</v>
      </c>
      <c r="CL215" s="6">
        <f t="shared" si="388"/>
        <v>5.2988972324075333E-6</v>
      </c>
      <c r="CM215" s="8">
        <f t="shared" si="389"/>
        <v>26.232659086343315</v>
      </c>
      <c r="CN215" s="7">
        <f t="shared" si="390"/>
        <v>1.3261515903636138E-2</v>
      </c>
      <c r="CO215" s="9">
        <f t="shared" si="391"/>
        <v>0.21025794532859335</v>
      </c>
      <c r="CP215" s="4">
        <f t="shared" si="422"/>
        <v>851.21930453888524</v>
      </c>
      <c r="CQ215" s="6">
        <f t="shared" si="392"/>
        <v>5.2024386090777713E-6</v>
      </c>
      <c r="CR215" s="8">
        <f t="shared" si="393"/>
        <v>25.678022002197181</v>
      </c>
      <c r="CS215" s="7">
        <f t="shared" si="394"/>
        <v>1.3020109529587761E-2</v>
      </c>
      <c r="CT215" s="9">
        <f t="shared" si="395"/>
        <v>0.21479944987694327</v>
      </c>
      <c r="CU215" s="4">
        <f t="shared" si="423"/>
        <v>772.80777366463906</v>
      </c>
      <c r="CV215" s="6">
        <f t="shared" si="396"/>
        <v>5.0456155473292783E-6</v>
      </c>
      <c r="CW215" s="8">
        <f t="shared" si="397"/>
        <v>24.776289397143348</v>
      </c>
      <c r="CX215" s="7">
        <f t="shared" si="398"/>
        <v>1.2627629465110339E-2</v>
      </c>
      <c r="CY215" s="9">
        <f t="shared" si="399"/>
        <v>0.22261707197510938</v>
      </c>
      <c r="CZ215" s="5">
        <f t="shared" si="424"/>
        <v>657.02474270594405</v>
      </c>
      <c r="DA215" s="6">
        <f t="shared" si="400"/>
        <v>4.8140494854118882E-6</v>
      </c>
      <c r="DB215" s="8">
        <f t="shared" si="401"/>
        <v>32.499431664672329</v>
      </c>
      <c r="DC215" s="7">
        <f t="shared" si="402"/>
        <v>1.2048090576513208E-2</v>
      </c>
      <c r="DD215" s="9">
        <f t="shared" si="403"/>
        <v>0.16971450629998611</v>
      </c>
    </row>
    <row r="216" spans="2:108" x14ac:dyDescent="0.25">
      <c r="B216">
        <v>197</v>
      </c>
      <c r="C216">
        <f t="shared" si="404"/>
        <v>0.19259008927001453</v>
      </c>
      <c r="D216" s="4">
        <f t="shared" si="321"/>
        <v>1016.7612025644478</v>
      </c>
      <c r="E216" s="6">
        <f t="shared" si="322"/>
        <v>5.5335224051288959E-6</v>
      </c>
      <c r="F216" s="8">
        <f t="shared" si="323"/>
        <v>27.581753829491149</v>
      </c>
      <c r="G216" s="7">
        <f t="shared" si="319"/>
        <v>1.3848710809098391E-2</v>
      </c>
      <c r="H216" s="9">
        <f t="shared" si="324"/>
        <v>0.19997368673860566</v>
      </c>
      <c r="I216" s="4">
        <f t="shared" si="405"/>
        <v>1016.4365134641034</v>
      </c>
      <c r="J216" s="6">
        <f t="shared" si="325"/>
        <v>5.5328730269282077E-6</v>
      </c>
      <c r="K216" s="8">
        <f t="shared" si="326"/>
        <v>27.578019904837188</v>
      </c>
      <c r="L216" s="7">
        <f t="shared" si="327"/>
        <v>1.3847085614466716E-2</v>
      </c>
      <c r="M216" s="9">
        <f t="shared" si="328"/>
        <v>0.20000076216612486</v>
      </c>
      <c r="N216" s="4">
        <f t="shared" si="406"/>
        <v>1015.5302599907626</v>
      </c>
      <c r="O216" s="6">
        <f t="shared" si="329"/>
        <v>5.5310605199815264E-6</v>
      </c>
      <c r="P216" s="8">
        <f t="shared" si="330"/>
        <v>27.56759798989377</v>
      </c>
      <c r="Q216" s="7">
        <f t="shared" si="320"/>
        <v>1.3848710809098391E-2</v>
      </c>
      <c r="R216" s="9">
        <f t="shared" si="331"/>
        <v>0.20007637234197981</v>
      </c>
      <c r="S216" s="4">
        <f t="shared" si="407"/>
        <v>1014.0285543014739</v>
      </c>
      <c r="T216" s="6">
        <f t="shared" si="332"/>
        <v>5.528057108602948E-6</v>
      </c>
      <c r="U216" s="8">
        <f t="shared" si="333"/>
        <v>27.55032837446695</v>
      </c>
      <c r="V216" s="7">
        <f t="shared" si="334"/>
        <v>1.3835032846756776E-2</v>
      </c>
      <c r="W216" s="9">
        <f t="shared" si="335"/>
        <v>0.20020178797983992</v>
      </c>
      <c r="X216" s="4">
        <f t="shared" si="408"/>
        <v>1011.9295456792386</v>
      </c>
      <c r="Y216" s="6">
        <f t="shared" si="336"/>
        <v>5.5238590913584784E-6</v>
      </c>
      <c r="Z216" s="8">
        <f t="shared" si="337"/>
        <v>27.526189775311245</v>
      </c>
      <c r="AA216" s="7">
        <f t="shared" si="338"/>
        <v>1.3824526496093703E-2</v>
      </c>
      <c r="AB216" s="9">
        <f t="shared" si="339"/>
        <v>0.20037735135238613</v>
      </c>
      <c r="AC216" s="4">
        <f t="shared" si="409"/>
        <v>1009.231785968781</v>
      </c>
      <c r="AD216" s="6">
        <f t="shared" si="340"/>
        <v>5.5184635719375628E-6</v>
      </c>
      <c r="AE216" s="8">
        <f t="shared" si="341"/>
        <v>27.495165538640983</v>
      </c>
      <c r="AF216" s="7">
        <f t="shared" si="342"/>
        <v>1.3811023164462503E-2</v>
      </c>
      <c r="AG216" s="9">
        <f t="shared" si="343"/>
        <v>0.20060344762240059</v>
      </c>
      <c r="AH216" s="4">
        <f t="shared" si="410"/>
        <v>1005.9349202433483</v>
      </c>
      <c r="AI216" s="6">
        <f t="shared" si="344"/>
        <v>5.5118698404866971E-6</v>
      </c>
      <c r="AJ216" s="8">
        <f t="shared" si="345"/>
        <v>27.457251582798506</v>
      </c>
      <c r="AK216" s="7">
        <f t="shared" si="346"/>
        <v>1.3794521075317392E-2</v>
      </c>
      <c r="AL216" s="9">
        <f t="shared" si="347"/>
        <v>0.20088044804365793</v>
      </c>
      <c r="AM216" s="4">
        <f t="shared" si="411"/>
        <v>1002.0387828958264</v>
      </c>
      <c r="AN216" s="6">
        <f t="shared" si="348"/>
        <v>5.5040775657916533E-6</v>
      </c>
      <c r="AO216" s="8">
        <f t="shared" si="349"/>
        <v>27.412446003302001</v>
      </c>
      <c r="AP216" s="7">
        <f t="shared" si="350"/>
        <v>1.3775019399730665E-2</v>
      </c>
      <c r="AQ216" s="9">
        <f t="shared" si="351"/>
        <v>0.20120878667068268</v>
      </c>
      <c r="AR216" s="4">
        <f t="shared" si="412"/>
        <v>997.54318072050239</v>
      </c>
      <c r="AS216" s="6">
        <f t="shared" si="352"/>
        <v>5.4950863614410053E-6</v>
      </c>
      <c r="AT216" s="8">
        <f t="shared" si="353"/>
        <v>27.360746578285777</v>
      </c>
      <c r="AU216" s="7">
        <f t="shared" si="354"/>
        <v>1.3752517170632935E-2</v>
      </c>
      <c r="AV216" s="9">
        <f t="shared" si="355"/>
        <v>0.20158898019169361</v>
      </c>
      <c r="AW216" s="4">
        <f t="shared" si="413"/>
        <v>992.44739214693016</v>
      </c>
      <c r="AX216" s="6">
        <f t="shared" si="356"/>
        <v>5.4848947842938606E-6</v>
      </c>
      <c r="AY216" s="8">
        <f t="shared" si="357"/>
        <v>27.302145009689696</v>
      </c>
      <c r="AZ216" s="7">
        <f t="shared" si="358"/>
        <v>1.3727010776284805E-2</v>
      </c>
      <c r="BA216" s="9">
        <f t="shared" si="359"/>
        <v>0.20202167258442411</v>
      </c>
      <c r="BB216" s="4">
        <f t="shared" si="414"/>
        <v>986.7482663276071</v>
      </c>
      <c r="BC216" s="6">
        <f t="shared" si="360"/>
        <v>5.4734965326552146E-6</v>
      </c>
      <c r="BD216" s="8">
        <f t="shared" si="361"/>
        <v>27.236605062767481</v>
      </c>
      <c r="BE216" s="7">
        <f t="shared" si="362"/>
        <v>1.3698484445474862E-2</v>
      </c>
      <c r="BF216" s="9">
        <f t="shared" si="363"/>
        <v>0.20250780107466021</v>
      </c>
      <c r="BG216" s="4">
        <f t="shared" si="415"/>
        <v>980.43295145732031</v>
      </c>
      <c r="BH216" s="6">
        <f t="shared" si="364"/>
        <v>5.4608659029146413E-6</v>
      </c>
      <c r="BI216" s="8">
        <f t="shared" si="365"/>
        <v>27.163978941759183</v>
      </c>
      <c r="BJ216" s="7">
        <f t="shared" si="366"/>
        <v>1.3666873849943185E-2</v>
      </c>
      <c r="BK216" s="9">
        <f t="shared" si="367"/>
        <v>0.20304922971063089</v>
      </c>
      <c r="BL216" s="4">
        <f t="shared" si="416"/>
        <v>973.45356929922343</v>
      </c>
      <c r="BM216" s="6">
        <f t="shared" si="368"/>
        <v>5.4469071385984471E-6</v>
      </c>
      <c r="BN216" s="8">
        <f t="shared" si="369"/>
        <v>27.08371604694107</v>
      </c>
      <c r="BO216" s="7">
        <f t="shared" si="370"/>
        <v>1.363193934058109E-2</v>
      </c>
      <c r="BP216" s="9">
        <f t="shared" si="371"/>
        <v>0.20365096836934804</v>
      </c>
      <c r="BQ216" s="4">
        <f t="shared" si="417"/>
        <v>965.64887829942995</v>
      </c>
      <c r="BR216" s="6">
        <f t="shared" si="372"/>
        <v>5.4312977565988598E-6</v>
      </c>
      <c r="BS216" s="8">
        <f t="shared" si="373"/>
        <v>26.993962100443444</v>
      </c>
      <c r="BT216" s="7">
        <f t="shared" si="374"/>
        <v>1.3592873840996113E-2</v>
      </c>
      <c r="BU216" s="9">
        <f t="shared" si="375"/>
        <v>0.20432810046471067</v>
      </c>
      <c r="BV216" s="4">
        <f t="shared" si="418"/>
        <v>956.53374353106824</v>
      </c>
      <c r="BW216" s="6">
        <f t="shared" si="376"/>
        <v>5.4130674870621369E-6</v>
      </c>
      <c r="BX216" s="8">
        <f t="shared" si="377"/>
        <v>26.889138050607286</v>
      </c>
      <c r="BY216" s="7">
        <f t="shared" si="378"/>
        <v>1.3547249063087564E-2</v>
      </c>
      <c r="BZ216" s="9">
        <f t="shared" si="379"/>
        <v>0.20512464883103348</v>
      </c>
      <c r="CA216" s="4">
        <f t="shared" si="419"/>
        <v>944.82325196390286</v>
      </c>
      <c r="CB216" s="6">
        <f t="shared" si="380"/>
        <v>5.3896465039278059E-6</v>
      </c>
      <c r="CC216" s="8">
        <f t="shared" si="381"/>
        <v>26.754467397584882</v>
      </c>
      <c r="CD216" s="7">
        <f t="shared" si="382"/>
        <v>1.3488633519759955E-2</v>
      </c>
      <c r="CE216" s="9">
        <f t="shared" si="383"/>
        <v>0.20615715940201798</v>
      </c>
      <c r="CF216" s="4">
        <f t="shared" si="420"/>
        <v>927.57894427227143</v>
      </c>
      <c r="CG216" s="6">
        <f t="shared" si="384"/>
        <v>5.3551578885445436E-6</v>
      </c>
      <c r="CH216" s="8">
        <f t="shared" si="385"/>
        <v>26.556157859131119</v>
      </c>
      <c r="CI216" s="7">
        <f t="shared" si="386"/>
        <v>1.3402319084635175E-2</v>
      </c>
      <c r="CJ216" s="9">
        <f t="shared" si="387"/>
        <v>0.20769664908824517</v>
      </c>
      <c r="CK216" s="4">
        <f t="shared" si="421"/>
        <v>899.15134678059997</v>
      </c>
      <c r="CL216" s="6">
        <f t="shared" si="388"/>
        <v>5.2983026935612009E-6</v>
      </c>
      <c r="CM216" s="8">
        <f t="shared" si="389"/>
        <v>26.229240487976899</v>
      </c>
      <c r="CN216" s="7">
        <f t="shared" si="390"/>
        <v>1.3260027955102669E-2</v>
      </c>
      <c r="CO216" s="9">
        <f t="shared" si="391"/>
        <v>0.21028534938052371</v>
      </c>
      <c r="CP216" s="4">
        <f t="shared" si="422"/>
        <v>850.77244132641295</v>
      </c>
      <c r="CQ216" s="6">
        <f t="shared" si="392"/>
        <v>5.201544882652827E-6</v>
      </c>
      <c r="CR216" s="8">
        <f t="shared" si="393"/>
        <v>25.67288307525375</v>
      </c>
      <c r="CS216" s="7">
        <f t="shared" si="394"/>
        <v>1.3017872806232303E-2</v>
      </c>
      <c r="CT216" s="9">
        <f t="shared" si="395"/>
        <v>0.21484244616517359</v>
      </c>
      <c r="CU216" s="4">
        <f t="shared" si="423"/>
        <v>772.25474991139311</v>
      </c>
      <c r="CV216" s="6">
        <f t="shared" si="396"/>
        <v>5.0445094998227862E-6</v>
      </c>
      <c r="CW216" s="8">
        <f t="shared" si="397"/>
        <v>24.769929623981021</v>
      </c>
      <c r="CX216" s="7">
        <f t="shared" si="398"/>
        <v>1.2624861367154443E-2</v>
      </c>
      <c r="CY216" s="9">
        <f t="shared" si="399"/>
        <v>0.22267422975073956</v>
      </c>
      <c r="CZ216" s="5">
        <f t="shared" si="424"/>
        <v>656.48353506766273</v>
      </c>
      <c r="DA216" s="6">
        <f t="shared" si="400"/>
        <v>4.8129670701353259E-6</v>
      </c>
      <c r="DB216" s="8">
        <f t="shared" si="401"/>
        <v>32.608106158439199</v>
      </c>
      <c r="DC216" s="7">
        <f t="shared" si="402"/>
        <v>1.2045381622786634E-2</v>
      </c>
      <c r="DD216" s="9">
        <f t="shared" si="403"/>
        <v>0.1691488911744885</v>
      </c>
    </row>
    <row r="217" spans="2:108" x14ac:dyDescent="0.25">
      <c r="B217">
        <v>198</v>
      </c>
      <c r="C217">
        <f t="shared" si="404"/>
        <v>0.1935677039363598</v>
      </c>
      <c r="D217" s="4">
        <f t="shared" si="321"/>
        <v>1016.7446255792047</v>
      </c>
      <c r="E217" s="6">
        <f t="shared" si="322"/>
        <v>5.5334892511584101E-6</v>
      </c>
      <c r="F217" s="8">
        <f t="shared" si="323"/>
        <v>27.581563194160854</v>
      </c>
      <c r="G217" s="7">
        <f t="shared" si="319"/>
        <v>1.3848627834870437E-2</v>
      </c>
      <c r="H217" s="9">
        <f t="shared" si="324"/>
        <v>0.19997506889557601</v>
      </c>
      <c r="I217" s="4">
        <f t="shared" si="405"/>
        <v>1016.4199361627452</v>
      </c>
      <c r="J217" s="6">
        <f t="shared" si="325"/>
        <v>5.5328398723254906E-6</v>
      </c>
      <c r="K217" s="8">
        <f t="shared" si="326"/>
        <v>27.577829265871571</v>
      </c>
      <c r="L217" s="7">
        <f t="shared" si="327"/>
        <v>1.3847002638656482E-2</v>
      </c>
      <c r="M217" s="9">
        <f t="shared" si="328"/>
        <v>0.20000214472376035</v>
      </c>
      <c r="N217" s="4">
        <f t="shared" si="406"/>
        <v>1015.5136790081375</v>
      </c>
      <c r="O217" s="6">
        <f t="shared" si="329"/>
        <v>5.5310273580162762E-6</v>
      </c>
      <c r="P217" s="8">
        <f t="shared" si="330"/>
        <v>27.56740730859358</v>
      </c>
      <c r="Q217" s="7">
        <f t="shared" si="320"/>
        <v>1.3848627834870437E-2</v>
      </c>
      <c r="R217" s="9">
        <f t="shared" si="331"/>
        <v>0.20007775625242116</v>
      </c>
      <c r="S217" s="4">
        <f t="shared" si="407"/>
        <v>1014.0119716500442</v>
      </c>
      <c r="T217" s="6">
        <f t="shared" si="332"/>
        <v>5.5280239433000898E-6</v>
      </c>
      <c r="U217" s="8">
        <f t="shared" si="333"/>
        <v>27.550137673975506</v>
      </c>
      <c r="V217" s="7">
        <f t="shared" si="334"/>
        <v>1.3834949844167367E-2</v>
      </c>
      <c r="W217" s="9">
        <f t="shared" si="335"/>
        <v>0.20020317376526892</v>
      </c>
      <c r="X217" s="4">
        <f t="shared" si="408"/>
        <v>1011.9129666068018</v>
      </c>
      <c r="Y217" s="6">
        <f t="shared" si="336"/>
        <v>5.5238259332136042E-6</v>
      </c>
      <c r="Z217" s="8">
        <f t="shared" si="337"/>
        <v>27.52599911597822</v>
      </c>
      <c r="AA217" s="7">
        <f t="shared" si="338"/>
        <v>1.3824443511418533E-2</v>
      </c>
      <c r="AB217" s="9">
        <f t="shared" si="339"/>
        <v>0.20037873926975114</v>
      </c>
      <c r="AC217" s="4">
        <f t="shared" si="409"/>
        <v>1009.2152164254485</v>
      </c>
      <c r="AD217" s="6">
        <f t="shared" si="340"/>
        <v>5.5184304328508969E-6</v>
      </c>
      <c r="AE217" s="8">
        <f t="shared" si="341"/>
        <v>27.494974988892658</v>
      </c>
      <c r="AF217" s="7">
        <f t="shared" si="342"/>
        <v>1.3810940227484188E-2</v>
      </c>
      <c r="AG217" s="9">
        <f t="shared" si="343"/>
        <v>0.20060483787412742</v>
      </c>
      <c r="AH217" s="4">
        <f t="shared" si="410"/>
        <v>1005.9183652275042</v>
      </c>
      <c r="AI217" s="6">
        <f t="shared" si="344"/>
        <v>5.5118367304550087E-6</v>
      </c>
      <c r="AJ217" s="8">
        <f t="shared" si="345"/>
        <v>27.457061200116296</v>
      </c>
      <c r="AK217" s="7">
        <f t="shared" si="346"/>
        <v>1.3794438211054784E-2</v>
      </c>
      <c r="AL217" s="9">
        <f t="shared" si="347"/>
        <v>0.20088184091517552</v>
      </c>
      <c r="AM217" s="4">
        <f t="shared" si="411"/>
        <v>1002.0222450915617</v>
      </c>
      <c r="AN217" s="6">
        <f t="shared" si="348"/>
        <v>5.5040444901831238E-6</v>
      </c>
      <c r="AO217" s="8">
        <f t="shared" si="349"/>
        <v>27.412255818552957</v>
      </c>
      <c r="AP217" s="7">
        <f t="shared" si="350"/>
        <v>1.3774936621618673E-2</v>
      </c>
      <c r="AQ217" s="9">
        <f t="shared" si="351"/>
        <v>0.20121018264636784</v>
      </c>
      <c r="AR217" s="4">
        <f t="shared" si="412"/>
        <v>997.52665564092547</v>
      </c>
      <c r="AS217" s="6">
        <f t="shared" si="352"/>
        <v>5.4950533112818518E-6</v>
      </c>
      <c r="AT217" s="8">
        <f t="shared" si="353"/>
        <v>27.360556539870643</v>
      </c>
      <c r="AU217" s="7">
        <f t="shared" si="354"/>
        <v>1.3752434456212933E-2</v>
      </c>
      <c r="AV217" s="9">
        <f t="shared" si="355"/>
        <v>0.20159038036972904</v>
      </c>
      <c r="AW217" s="4">
        <f t="shared" si="413"/>
        <v>992.43084721585581</v>
      </c>
      <c r="AX217" s="6">
        <f t="shared" si="356"/>
        <v>5.4848616944317123E-6</v>
      </c>
      <c r="AY217" s="8">
        <f t="shared" si="357"/>
        <v>27.301954742982339</v>
      </c>
      <c r="AZ217" s="7">
        <f t="shared" si="358"/>
        <v>1.3726927962500374E-2</v>
      </c>
      <c r="BA217" s="9">
        <f t="shared" si="359"/>
        <v>0.2020230804689078</v>
      </c>
      <c r="BB217" s="4">
        <f t="shared" si="414"/>
        <v>986.73156187680047</v>
      </c>
      <c r="BC217" s="6">
        <f t="shared" si="360"/>
        <v>5.4734631237536013E-6</v>
      </c>
      <c r="BD217" s="8">
        <f t="shared" si="361"/>
        <v>27.236412961583206</v>
      </c>
      <c r="BE217" s="7">
        <f t="shared" si="362"/>
        <v>1.3698400833232422E-2</v>
      </c>
      <c r="BF217" s="9">
        <f t="shared" si="363"/>
        <v>0.2025092293827295</v>
      </c>
      <c r="BG217" s="4">
        <f t="shared" si="415"/>
        <v>980.41557679339292</v>
      </c>
      <c r="BH217" s="6">
        <f t="shared" si="364"/>
        <v>5.4608311535867864E-6</v>
      </c>
      <c r="BI217" s="8">
        <f t="shared" si="365"/>
        <v>27.163779133124017</v>
      </c>
      <c r="BJ217" s="7">
        <f t="shared" si="366"/>
        <v>1.3666786883024641E-2</v>
      </c>
      <c r="BK217" s="9">
        <f t="shared" si="367"/>
        <v>0.2030507232800367</v>
      </c>
      <c r="BL217" s="4">
        <f t="shared" si="416"/>
        <v>973.43387119679164</v>
      </c>
      <c r="BM217" s="6">
        <f t="shared" si="368"/>
        <v>5.4468677423935836E-6</v>
      </c>
      <c r="BN217" s="8">
        <f t="shared" si="369"/>
        <v>27.083489518763102</v>
      </c>
      <c r="BO217" s="7">
        <f t="shared" si="370"/>
        <v>1.3631840743953448E-2</v>
      </c>
      <c r="BP217" s="9">
        <f t="shared" si="371"/>
        <v>0.203652671720121</v>
      </c>
      <c r="BQ217" s="4">
        <f t="shared" si="417"/>
        <v>965.62214344750805</v>
      </c>
      <c r="BR217" s="6">
        <f t="shared" si="372"/>
        <v>5.4312442868950162E-6</v>
      </c>
      <c r="BS217" s="8">
        <f t="shared" si="373"/>
        <v>26.993654649646341</v>
      </c>
      <c r="BT217" s="7">
        <f t="shared" si="374"/>
        <v>1.3592740022713407E-2</v>
      </c>
      <c r="BU217" s="9">
        <f t="shared" si="375"/>
        <v>0.20433042770932328</v>
      </c>
      <c r="BV217" s="4">
        <f t="shared" si="418"/>
        <v>956.48835561638634</v>
      </c>
      <c r="BW217" s="6">
        <f t="shared" si="376"/>
        <v>5.4129767112327735E-6</v>
      </c>
      <c r="BX217" s="8">
        <f t="shared" si="377"/>
        <v>26.888616089588442</v>
      </c>
      <c r="BY217" s="7">
        <f t="shared" si="378"/>
        <v>1.3547021879005297E-2</v>
      </c>
      <c r="BZ217" s="9">
        <f t="shared" si="379"/>
        <v>0.20512863070463894</v>
      </c>
      <c r="CA217" s="4">
        <f t="shared" si="419"/>
        <v>944.73521019248824</v>
      </c>
      <c r="CB217" s="6">
        <f t="shared" si="380"/>
        <v>5.389470420384977E-6</v>
      </c>
      <c r="CC217" s="8">
        <f t="shared" si="381"/>
        <v>26.753454917213613</v>
      </c>
      <c r="CD217" s="7">
        <f t="shared" si="382"/>
        <v>1.3488192836613788E-2</v>
      </c>
      <c r="CE217" s="9">
        <f t="shared" si="383"/>
        <v>0.20616496138788998</v>
      </c>
      <c r="CF217" s="4">
        <f t="shared" si="420"/>
        <v>927.40885091964049</v>
      </c>
      <c r="CG217" s="6">
        <f t="shared" si="384"/>
        <v>5.3548177018392814E-6</v>
      </c>
      <c r="CH217" s="8">
        <f t="shared" si="385"/>
        <v>26.554201785575863</v>
      </c>
      <c r="CI217" s="7">
        <f t="shared" si="386"/>
        <v>1.3401467701563533E-2</v>
      </c>
      <c r="CJ217" s="9">
        <f t="shared" si="387"/>
        <v>0.20771194873558826</v>
      </c>
      <c r="CK217" s="4">
        <f t="shared" si="421"/>
        <v>898.853695857557</v>
      </c>
      <c r="CL217" s="6">
        <f t="shared" si="388"/>
        <v>5.2977073917151147E-6</v>
      </c>
      <c r="CM217" s="8">
        <f t="shared" si="389"/>
        <v>26.225817502361906</v>
      </c>
      <c r="CN217" s="7">
        <f t="shared" si="390"/>
        <v>1.3258538097014641E-2</v>
      </c>
      <c r="CO217" s="9">
        <f t="shared" si="391"/>
        <v>0.21031279575949391</v>
      </c>
      <c r="CP217" s="4">
        <f t="shared" si="422"/>
        <v>850.32610999110977</v>
      </c>
      <c r="CQ217" s="6">
        <f t="shared" si="392"/>
        <v>5.2006522199822199E-6</v>
      </c>
      <c r="CR217" s="8">
        <f t="shared" si="393"/>
        <v>25.667750264897762</v>
      </c>
      <c r="CS217" s="7">
        <f t="shared" si="394"/>
        <v>1.3015638745127957E-2</v>
      </c>
      <c r="CT217" s="9">
        <f t="shared" si="395"/>
        <v>0.21488540846304549</v>
      </c>
      <c r="CU217" s="4">
        <f t="shared" si="423"/>
        <v>771.70332429225004</v>
      </c>
      <c r="CV217" s="6">
        <f t="shared" si="396"/>
        <v>5.0434066485845004E-6</v>
      </c>
      <c r="CW217" s="8">
        <f t="shared" si="397"/>
        <v>24.763588229360877</v>
      </c>
      <c r="CX217" s="7">
        <f t="shared" si="398"/>
        <v>1.2622101268478359E-2</v>
      </c>
      <c r="CY217" s="9">
        <f t="shared" si="399"/>
        <v>0.22273125158253176</v>
      </c>
      <c r="CZ217" s="5">
        <f t="shared" si="424"/>
        <v>655.94422738309368</v>
      </c>
      <c r="DA217" s="6">
        <f t="shared" si="400"/>
        <v>4.8118884547661873E-6</v>
      </c>
      <c r="DB217" s="8">
        <f t="shared" si="401"/>
        <v>32.716399141500602</v>
      </c>
      <c r="DC217" s="7">
        <f t="shared" si="402"/>
        <v>1.2042682179063843E-2</v>
      </c>
      <c r="DD217" s="9">
        <f t="shared" si="403"/>
        <v>0.16858899954559653</v>
      </c>
    </row>
    <row r="218" spans="2:108" x14ac:dyDescent="0.25">
      <c r="B218">
        <v>199</v>
      </c>
      <c r="C218">
        <f t="shared" si="404"/>
        <v>0.19454531860270505</v>
      </c>
      <c r="D218" s="4">
        <f t="shared" si="321"/>
        <v>1016.7280485778224</v>
      </c>
      <c r="E218" s="6">
        <f t="shared" si="322"/>
        <v>5.5334560971556448E-6</v>
      </c>
      <c r="F218" s="8">
        <f t="shared" si="323"/>
        <v>27.581372558644958</v>
      </c>
      <c r="G218" s="7">
        <f t="shared" si="319"/>
        <v>1.3848544860561696E-2</v>
      </c>
      <c r="H218" s="9">
        <f t="shared" si="324"/>
        <v>0.19997645107299825</v>
      </c>
      <c r="I218" s="4">
        <f t="shared" si="405"/>
        <v>1016.4033588864288</v>
      </c>
      <c r="J218" s="6">
        <f t="shared" si="325"/>
        <v>5.5328067177728577E-6</v>
      </c>
      <c r="K218" s="8">
        <f t="shared" si="326"/>
        <v>27.577638627193931</v>
      </c>
      <c r="L218" s="7">
        <f t="shared" si="327"/>
        <v>1.3846919662971592E-2</v>
      </c>
      <c r="M218" s="9">
        <f t="shared" si="328"/>
        <v>0.20000352729842205</v>
      </c>
      <c r="N218" s="4">
        <f t="shared" si="406"/>
        <v>1015.4970981342169</v>
      </c>
      <c r="O218" s="6">
        <f t="shared" si="329"/>
        <v>5.5309941962684347E-6</v>
      </c>
      <c r="P218" s="8">
        <f t="shared" si="330"/>
        <v>27.567216628543491</v>
      </c>
      <c r="Q218" s="7">
        <f t="shared" si="320"/>
        <v>1.3848544860561696E-2</v>
      </c>
      <c r="R218" s="9">
        <f t="shared" si="331"/>
        <v>0.20007914017293435</v>
      </c>
      <c r="S218" s="4">
        <f t="shared" si="407"/>
        <v>1013.995389175053</v>
      </c>
      <c r="T218" s="6">
        <f t="shared" si="332"/>
        <v>5.5279907783501063E-6</v>
      </c>
      <c r="U218" s="8">
        <f t="shared" si="333"/>
        <v>27.549946975513109</v>
      </c>
      <c r="V218" s="7">
        <f t="shared" si="334"/>
        <v>1.3834866842461097E-2</v>
      </c>
      <c r="W218" s="9">
        <f t="shared" si="335"/>
        <v>0.20020455955513769</v>
      </c>
      <c r="X218" s="4">
        <f t="shared" si="408"/>
        <v>1011.8963877388175</v>
      </c>
      <c r="Y218" s="6">
        <f t="shared" si="336"/>
        <v>5.5237927754776361E-6</v>
      </c>
      <c r="Z218" s="8">
        <f t="shared" si="337"/>
        <v>27.525808458996401</v>
      </c>
      <c r="AA218" s="7">
        <f t="shared" si="338"/>
        <v>1.382436052776673E-2</v>
      </c>
      <c r="AB218" s="9">
        <f t="shared" si="339"/>
        <v>0.20038012718922701</v>
      </c>
      <c r="AC218" s="4">
        <f t="shared" si="409"/>
        <v>1009.1986470839338</v>
      </c>
      <c r="AD218" s="6">
        <f t="shared" si="340"/>
        <v>5.5183972941678676E-6</v>
      </c>
      <c r="AE218" s="8">
        <f t="shared" si="341"/>
        <v>27.494784441465235</v>
      </c>
      <c r="AF218" s="7">
        <f t="shared" si="342"/>
        <v>1.3810857291516054E-2</v>
      </c>
      <c r="AG218" s="9">
        <f t="shared" si="343"/>
        <v>0.20060622812819059</v>
      </c>
      <c r="AH218" s="4">
        <f t="shared" si="410"/>
        <v>1005.9018103846727</v>
      </c>
      <c r="AI218" s="6">
        <f t="shared" si="344"/>
        <v>5.5118036207693451E-6</v>
      </c>
      <c r="AJ218" s="8">
        <f t="shared" si="345"/>
        <v>27.456870819423735</v>
      </c>
      <c r="AK218" s="7">
        <f t="shared" si="346"/>
        <v>1.3794355347658169E-2</v>
      </c>
      <c r="AL218" s="9">
        <f t="shared" si="347"/>
        <v>0.2008832337914522</v>
      </c>
      <c r="AM218" s="4">
        <f t="shared" si="411"/>
        <v>1002.0057073542425</v>
      </c>
      <c r="AN218" s="6">
        <f t="shared" si="348"/>
        <v>5.5040114147084857E-6</v>
      </c>
      <c r="AO218" s="8">
        <f t="shared" si="349"/>
        <v>27.412065634573786</v>
      </c>
      <c r="AP218" s="7">
        <f t="shared" si="350"/>
        <v>1.3774853843841771E-2</v>
      </c>
      <c r="AQ218" s="9">
        <f t="shared" si="351"/>
        <v>0.20121157863577249</v>
      </c>
      <c r="AR218" s="4">
        <f t="shared" si="412"/>
        <v>997.51013020578489</v>
      </c>
      <c r="AS218" s="6">
        <f t="shared" si="352"/>
        <v>5.4950202604115709E-6</v>
      </c>
      <c r="AT218" s="8">
        <f t="shared" si="353"/>
        <v>27.360366497366527</v>
      </c>
      <c r="AU218" s="7">
        <f t="shared" si="354"/>
        <v>1.3752351740013194E-2</v>
      </c>
      <c r="AV218" s="9">
        <f t="shared" si="355"/>
        <v>0.20159178059734276</v>
      </c>
      <c r="AW218" s="4">
        <f t="shared" si="413"/>
        <v>992.41430032648373</v>
      </c>
      <c r="AX218" s="6">
        <f t="shared" si="356"/>
        <v>5.4848286006529675E-6</v>
      </c>
      <c r="AY218" s="8">
        <f t="shared" si="357"/>
        <v>27.301764453754561</v>
      </c>
      <c r="AZ218" s="7">
        <f t="shared" si="358"/>
        <v>1.3726845138913901E-2</v>
      </c>
      <c r="BA218" s="9">
        <f t="shared" si="359"/>
        <v>0.20202448853965871</v>
      </c>
      <c r="BB218" s="4">
        <f t="shared" si="414"/>
        <v>986.71484994709294</v>
      </c>
      <c r="BC218" s="6">
        <f t="shared" si="360"/>
        <v>5.4734296998941858E-6</v>
      </c>
      <c r="BD218" s="8">
        <f t="shared" si="361"/>
        <v>27.236220774391569</v>
      </c>
      <c r="BE218" s="7">
        <f t="shared" si="362"/>
        <v>1.3698317183555186E-2</v>
      </c>
      <c r="BF218" s="9">
        <f t="shared" si="363"/>
        <v>0.20251065835044119</v>
      </c>
      <c r="BG218" s="4">
        <f t="shared" si="415"/>
        <v>980.39817772515926</v>
      </c>
      <c r="BH218" s="6">
        <f t="shared" si="364"/>
        <v>5.460796355450319E-6</v>
      </c>
      <c r="BI218" s="8">
        <f t="shared" si="365"/>
        <v>27.163579043839331</v>
      </c>
      <c r="BJ218" s="7">
        <f t="shared" si="366"/>
        <v>1.3666699793953099E-2</v>
      </c>
      <c r="BK218" s="9">
        <f t="shared" si="367"/>
        <v>0.20305221896931647</v>
      </c>
      <c r="BL218" s="4">
        <f t="shared" si="416"/>
        <v>973.41410347435612</v>
      </c>
      <c r="BM218" s="6">
        <f t="shared" si="368"/>
        <v>5.4468282069487135E-6</v>
      </c>
      <c r="BN218" s="8">
        <f t="shared" si="369"/>
        <v>27.083262189955093</v>
      </c>
      <c r="BO218" s="7">
        <f t="shared" si="370"/>
        <v>1.3631741798850742E-2</v>
      </c>
      <c r="BP218" s="9">
        <f t="shared" si="371"/>
        <v>0.20365438111977846</v>
      </c>
      <c r="BQ218" s="4">
        <f t="shared" si="417"/>
        <v>965.5952369699437</v>
      </c>
      <c r="BR218" s="6">
        <f t="shared" si="372"/>
        <v>5.4311904739398883E-6</v>
      </c>
      <c r="BS218" s="8">
        <f t="shared" si="373"/>
        <v>26.99334522515435</v>
      </c>
      <c r="BT218" s="7">
        <f t="shared" si="374"/>
        <v>1.3592605345377925E-2</v>
      </c>
      <c r="BU218" s="9">
        <f t="shared" si="375"/>
        <v>0.20433276994731805</v>
      </c>
      <c r="BV218" s="4">
        <f t="shared" si="418"/>
        <v>956.44261215663323</v>
      </c>
      <c r="BW218" s="6">
        <f t="shared" si="376"/>
        <v>5.4128852243132676E-6</v>
      </c>
      <c r="BX218" s="8">
        <f t="shared" si="377"/>
        <v>26.888090039801281</v>
      </c>
      <c r="BY218" s="7">
        <f t="shared" si="378"/>
        <v>1.3546792915282321E-2</v>
      </c>
      <c r="BZ218" s="9">
        <f t="shared" si="379"/>
        <v>0.20513264392656594</v>
      </c>
      <c r="CA218" s="4">
        <f t="shared" si="419"/>
        <v>944.64657988433044</v>
      </c>
      <c r="CB218" s="6">
        <f t="shared" si="380"/>
        <v>5.3892931597686617E-6</v>
      </c>
      <c r="CC218" s="8">
        <f t="shared" si="381"/>
        <v>26.752435668669797</v>
      </c>
      <c r="CD218" s="7">
        <f t="shared" si="382"/>
        <v>1.3487749207613404E-2</v>
      </c>
      <c r="CE218" s="9">
        <f t="shared" si="383"/>
        <v>0.20617281612453089</v>
      </c>
      <c r="CF218" s="4">
        <f t="shared" si="420"/>
        <v>927.23806103942502</v>
      </c>
      <c r="CG218" s="6">
        <f t="shared" si="384"/>
        <v>5.3544761220788509E-6</v>
      </c>
      <c r="CH218" s="8">
        <f t="shared" si="385"/>
        <v>26.552237701953388</v>
      </c>
      <c r="CI218" s="7">
        <f t="shared" si="386"/>
        <v>1.3400612832101711E-2</v>
      </c>
      <c r="CJ218" s="9">
        <f t="shared" si="387"/>
        <v>0.20772731330264599</v>
      </c>
      <c r="CK218" s="4">
        <f t="shared" si="421"/>
        <v>898.55567198717233</v>
      </c>
      <c r="CL218" s="6">
        <f t="shared" si="388"/>
        <v>5.2971113439743452E-6</v>
      </c>
      <c r="CM218" s="8">
        <f t="shared" si="389"/>
        <v>26.222390227852479</v>
      </c>
      <c r="CN218" s="7">
        <f t="shared" si="390"/>
        <v>1.3257046372180803E-2</v>
      </c>
      <c r="CO218" s="9">
        <f t="shared" si="391"/>
        <v>0.21034028370691782</v>
      </c>
      <c r="CP218" s="4">
        <f t="shared" si="422"/>
        <v>849.88031324323811</v>
      </c>
      <c r="CQ218" s="6">
        <f t="shared" si="392"/>
        <v>5.1997606264864771E-6</v>
      </c>
      <c r="CR218" s="8">
        <f t="shared" si="393"/>
        <v>25.662623602297238</v>
      </c>
      <c r="CS218" s="7">
        <f t="shared" si="394"/>
        <v>1.3013407359840648E-2</v>
      </c>
      <c r="CT218" s="9">
        <f t="shared" si="395"/>
        <v>0.21492833645840709</v>
      </c>
      <c r="CU218" s="4">
        <f t="shared" si="423"/>
        <v>771.15348669868786</v>
      </c>
      <c r="CV218" s="6">
        <f t="shared" si="396"/>
        <v>5.042306973397376E-6</v>
      </c>
      <c r="CW218" s="8">
        <f t="shared" si="397"/>
        <v>24.75726509703491</v>
      </c>
      <c r="CX218" s="7">
        <f t="shared" si="398"/>
        <v>1.2619349118485019E-2</v>
      </c>
      <c r="CY218" s="9">
        <f t="shared" si="399"/>
        <v>0.22278813828513663</v>
      </c>
      <c r="CZ218" s="5">
        <f t="shared" si="424"/>
        <v>655.40680411772223</v>
      </c>
      <c r="DA218" s="6">
        <f t="shared" si="400"/>
        <v>4.8108136082354455E-6</v>
      </c>
      <c r="DB218" s="8">
        <f t="shared" si="401"/>
        <v>32.824313733187154</v>
      </c>
      <c r="DC218" s="7">
        <f t="shared" si="402"/>
        <v>1.2039992167588581E-2</v>
      </c>
      <c r="DD218" s="9">
        <f t="shared" si="403"/>
        <v>0.16803473927387566</v>
      </c>
    </row>
    <row r="219" spans="2:108" x14ac:dyDescent="0.25">
      <c r="B219">
        <v>200</v>
      </c>
      <c r="C219">
        <f t="shared" si="404"/>
        <v>0.19552293326905029</v>
      </c>
      <c r="D219" s="4">
        <f t="shared" si="321"/>
        <v>1016.7114715624033</v>
      </c>
      <c r="E219" s="6">
        <f t="shared" si="322"/>
        <v>5.5334229431248071E-6</v>
      </c>
      <c r="F219" s="8">
        <f t="shared" si="323"/>
        <v>27.581181922967637</v>
      </c>
      <c r="G219" s="7">
        <f t="shared" si="319"/>
        <v>1.3848461886182701E-2</v>
      </c>
      <c r="H219" s="9">
        <f t="shared" si="324"/>
        <v>0.19997783327069757</v>
      </c>
      <c r="I219" s="4">
        <f t="shared" si="405"/>
        <v>1016.3867816366079</v>
      </c>
      <c r="J219" s="6">
        <f t="shared" si="325"/>
        <v>5.5327735632732161E-6</v>
      </c>
      <c r="K219" s="8">
        <f t="shared" si="326"/>
        <v>27.577447988820992</v>
      </c>
      <c r="L219" s="7">
        <f t="shared" si="327"/>
        <v>1.3846836687419322E-2</v>
      </c>
      <c r="M219" s="9">
        <f t="shared" si="328"/>
        <v>0.20000490988998895</v>
      </c>
      <c r="N219" s="4">
        <f t="shared" si="406"/>
        <v>1015.480517369304</v>
      </c>
      <c r="O219" s="6">
        <f t="shared" si="329"/>
        <v>5.5309610347386085E-6</v>
      </c>
      <c r="P219" s="8">
        <f t="shared" si="330"/>
        <v>27.567025949746995</v>
      </c>
      <c r="Q219" s="7">
        <f t="shared" si="320"/>
        <v>1.3848461886182701E-2</v>
      </c>
      <c r="R219" s="9">
        <f t="shared" si="331"/>
        <v>0.20008052410349406</v>
      </c>
      <c r="S219" s="4">
        <f t="shared" si="407"/>
        <v>1013.9788068761704</v>
      </c>
      <c r="T219" s="6">
        <f t="shared" si="332"/>
        <v>5.5279576137523412E-6</v>
      </c>
      <c r="U219" s="8">
        <f t="shared" si="333"/>
        <v>27.549756279075957</v>
      </c>
      <c r="V219" s="7">
        <f t="shared" si="334"/>
        <v>1.3834783841636319E-2</v>
      </c>
      <c r="W219" s="9">
        <f t="shared" si="335"/>
        <v>0.20020594534947367</v>
      </c>
      <c r="X219" s="4">
        <f t="shared" si="408"/>
        <v>1011.8798090749031</v>
      </c>
      <c r="Y219" s="6">
        <f t="shared" si="336"/>
        <v>5.5237596181498065E-6</v>
      </c>
      <c r="Z219" s="8">
        <f t="shared" si="337"/>
        <v>27.525617804361385</v>
      </c>
      <c r="AA219" s="7">
        <f t="shared" si="338"/>
        <v>1.3824277545136375E-2</v>
      </c>
      <c r="AB219" s="9">
        <f t="shared" si="339"/>
        <v>0.20038151511084554</v>
      </c>
      <c r="AC219" s="4">
        <f t="shared" si="409"/>
        <v>1009.1820779438292</v>
      </c>
      <c r="AD219" s="6">
        <f t="shared" si="340"/>
        <v>5.5183641558876593E-6</v>
      </c>
      <c r="AE219" s="8">
        <f t="shared" si="341"/>
        <v>27.494593896354033</v>
      </c>
      <c r="AF219" s="7">
        <f t="shared" si="342"/>
        <v>1.3810774356556055E-2</v>
      </c>
      <c r="AG219" s="9">
        <f t="shared" si="343"/>
        <v>0.20060761838462393</v>
      </c>
      <c r="AH219" s="4">
        <f t="shared" si="410"/>
        <v>1005.8852557136295</v>
      </c>
      <c r="AI219" s="6">
        <f t="shared" si="344"/>
        <v>5.5117705114272593E-6</v>
      </c>
      <c r="AJ219" s="8">
        <f t="shared" si="345"/>
        <v>27.456680440706737</v>
      </c>
      <c r="AK219" s="7">
        <f t="shared" si="346"/>
        <v>1.3794272485121424E-2</v>
      </c>
      <c r="AL219" s="9">
        <f t="shared" si="347"/>
        <v>0.20088462667259085</v>
      </c>
      <c r="AM219" s="4">
        <f t="shared" si="411"/>
        <v>1001.9891696789824</v>
      </c>
      <c r="AN219" s="6">
        <f t="shared" si="348"/>
        <v>5.5039783393579651E-6</v>
      </c>
      <c r="AO219" s="8">
        <f t="shared" si="349"/>
        <v>27.411875451308298</v>
      </c>
      <c r="AP219" s="7">
        <f t="shared" si="350"/>
        <v>1.3774771066375495E-2</v>
      </c>
      <c r="AQ219" s="9">
        <f t="shared" si="351"/>
        <v>0.20121297463930923</v>
      </c>
      <c r="AR219" s="4">
        <f t="shared" si="412"/>
        <v>997.49360439708482</v>
      </c>
      <c r="AS219" s="6">
        <f t="shared" si="352"/>
        <v>5.4949872087941706E-6</v>
      </c>
      <c r="AT219" s="8">
        <f t="shared" si="353"/>
        <v>27.360176450566474</v>
      </c>
      <c r="AU219" s="7">
        <f t="shared" si="354"/>
        <v>1.3752269021943648E-2</v>
      </c>
      <c r="AV219" s="9">
        <f t="shared" si="355"/>
        <v>0.20159318087606129</v>
      </c>
      <c r="AW219" s="4">
        <f t="shared" si="413"/>
        <v>992.39775141951907</v>
      </c>
      <c r="AX219" s="6">
        <f t="shared" si="356"/>
        <v>5.484795502839039E-6</v>
      </c>
      <c r="AY219" s="8">
        <f t="shared" si="357"/>
        <v>27.301574141324469</v>
      </c>
      <c r="AZ219" s="7">
        <f t="shared" si="358"/>
        <v>1.3726762305228603E-2</v>
      </c>
      <c r="BA219" s="9">
        <f t="shared" si="359"/>
        <v>0.20202589680173008</v>
      </c>
      <c r="BB219" s="4">
        <f t="shared" si="414"/>
        <v>986.69813036663186</v>
      </c>
      <c r="BC219" s="6">
        <f t="shared" si="360"/>
        <v>5.4733962607332641E-6</v>
      </c>
      <c r="BD219" s="8">
        <f t="shared" si="361"/>
        <v>27.236028499216268</v>
      </c>
      <c r="BE219" s="7">
        <f t="shared" si="362"/>
        <v>1.3698233495582968E-2</v>
      </c>
      <c r="BF219" s="9">
        <f t="shared" si="363"/>
        <v>0.20251208799251752</v>
      </c>
      <c r="BG219" s="4">
        <f t="shared" si="415"/>
        <v>980.38075382674833</v>
      </c>
      <c r="BH219" s="6">
        <f t="shared" si="364"/>
        <v>5.4607615076534975E-6</v>
      </c>
      <c r="BI219" s="8">
        <f t="shared" si="365"/>
        <v>27.163378669007606</v>
      </c>
      <c r="BJ219" s="7">
        <f t="shared" si="366"/>
        <v>1.3666612580596904E-2</v>
      </c>
      <c r="BK219" s="9">
        <f t="shared" si="367"/>
        <v>0.20305371681517367</v>
      </c>
      <c r="BL219" s="4">
        <f t="shared" si="416"/>
        <v>973.39426527302601</v>
      </c>
      <c r="BM219" s="6">
        <f t="shared" si="368"/>
        <v>5.4467885305460523E-6</v>
      </c>
      <c r="BN219" s="8">
        <f t="shared" si="369"/>
        <v>27.083034050639796</v>
      </c>
      <c r="BO219" s="7">
        <f t="shared" si="370"/>
        <v>1.3631642500973878E-2</v>
      </c>
      <c r="BP219" s="9">
        <f t="shared" si="371"/>
        <v>0.20365609664289816</v>
      </c>
      <c r="BQ219" s="4">
        <f t="shared" si="417"/>
        <v>965.56815760340362</v>
      </c>
      <c r="BR219" s="6">
        <f t="shared" si="372"/>
        <v>5.4311363152068083E-6</v>
      </c>
      <c r="BS219" s="8">
        <f t="shared" si="373"/>
        <v>26.99303381243914</v>
      </c>
      <c r="BT219" s="7">
        <f t="shared" si="374"/>
        <v>1.3592469802666195E-2</v>
      </c>
      <c r="BU219" s="9">
        <f t="shared" si="375"/>
        <v>0.20433512728970268</v>
      </c>
      <c r="BV219" s="4">
        <f t="shared" si="418"/>
        <v>956.3965122923978</v>
      </c>
      <c r="BW219" s="6">
        <f t="shared" si="376"/>
        <v>5.412793024584796E-6</v>
      </c>
      <c r="BX219" s="8">
        <f t="shared" si="377"/>
        <v>26.887559891362574</v>
      </c>
      <c r="BY219" s="7">
        <f t="shared" si="378"/>
        <v>1.3546562167616946E-2</v>
      </c>
      <c r="BZ219" s="9">
        <f t="shared" si="379"/>
        <v>0.20513668857588868</v>
      </c>
      <c r="CA219" s="4">
        <f t="shared" si="419"/>
        <v>944.55736261048355</v>
      </c>
      <c r="CB219" s="6">
        <f t="shared" si="380"/>
        <v>5.3891147252209678E-6</v>
      </c>
      <c r="CC219" s="8">
        <f t="shared" si="381"/>
        <v>26.751409670020561</v>
      </c>
      <c r="CD219" s="7">
        <f t="shared" si="382"/>
        <v>1.3487302640622534E-2</v>
      </c>
      <c r="CE219" s="9">
        <f t="shared" si="383"/>
        <v>0.20618072348468358</v>
      </c>
      <c r="CF219" s="4">
        <f t="shared" si="420"/>
        <v>927.06658062676399</v>
      </c>
      <c r="CG219" s="6">
        <f t="shared" si="384"/>
        <v>5.3541331612535284E-6</v>
      </c>
      <c r="CH219" s="8">
        <f t="shared" si="385"/>
        <v>26.550265677207783</v>
      </c>
      <c r="CI219" s="7">
        <f t="shared" si="386"/>
        <v>1.3399754506257701E-2</v>
      </c>
      <c r="CJ219" s="9">
        <f t="shared" si="387"/>
        <v>0.20774274227827852</v>
      </c>
      <c r="CK219" s="4">
        <f t="shared" si="421"/>
        <v>898.25728360646372</v>
      </c>
      <c r="CL219" s="6">
        <f t="shared" si="388"/>
        <v>5.2965145672129272E-6</v>
      </c>
      <c r="CM219" s="8">
        <f t="shared" si="389"/>
        <v>26.218958761474333</v>
      </c>
      <c r="CN219" s="7">
        <f t="shared" si="390"/>
        <v>1.3255552822831692E-2</v>
      </c>
      <c r="CO219" s="9">
        <f t="shared" si="391"/>
        <v>0.21036781247410025</v>
      </c>
      <c r="CP219" s="4">
        <f t="shared" si="422"/>
        <v>849.43505369115803</v>
      </c>
      <c r="CQ219" s="6">
        <f t="shared" si="392"/>
        <v>5.1988701073823172E-6</v>
      </c>
      <c r="CR219" s="8">
        <f t="shared" si="393"/>
        <v>25.657503117448314</v>
      </c>
      <c r="CS219" s="7">
        <f t="shared" si="394"/>
        <v>1.3011178663426215E-2</v>
      </c>
      <c r="CT219" s="9">
        <f t="shared" si="395"/>
        <v>0.2149712298485161</v>
      </c>
      <c r="CU219" s="4">
        <f t="shared" si="423"/>
        <v>770.60522711737383</v>
      </c>
      <c r="CV219" s="6">
        <f t="shared" si="396"/>
        <v>5.0412104542347477E-6</v>
      </c>
      <c r="CW219" s="8">
        <f t="shared" si="397"/>
        <v>24.7509601118498</v>
      </c>
      <c r="CX219" s="7">
        <f t="shared" si="398"/>
        <v>1.2616604867053814E-2</v>
      </c>
      <c r="CY219" s="9">
        <f t="shared" si="399"/>
        <v>0.22284489066585067</v>
      </c>
      <c r="CZ219" s="5">
        <f t="shared" si="424"/>
        <v>654.87124994813894</v>
      </c>
      <c r="DA219" s="6">
        <f t="shared" si="400"/>
        <v>4.8097424998962786E-6</v>
      </c>
      <c r="DB219" s="8">
        <f t="shared" si="401"/>
        <v>32.931853010439426</v>
      </c>
      <c r="DC219" s="7">
        <f t="shared" si="402"/>
        <v>1.203731151166125E-2</v>
      </c>
      <c r="DD219" s="9">
        <f t="shared" si="403"/>
        <v>0.16748602024464102</v>
      </c>
    </row>
    <row r="220" spans="2:108" x14ac:dyDescent="0.25">
      <c r="B220">
        <v>201</v>
      </c>
      <c r="C220">
        <f t="shared" si="404"/>
        <v>0.19650054793539554</v>
      </c>
      <c r="D220" s="4">
        <f t="shared" si="321"/>
        <v>1016.6948945350168</v>
      </c>
      <c r="E220" s="6">
        <f t="shared" si="322"/>
        <v>5.5333897890700339E-6</v>
      </c>
      <c r="F220" s="8">
        <f t="shared" si="323"/>
        <v>27.580991287152692</v>
      </c>
      <c r="G220" s="7">
        <f t="shared" si="319"/>
        <v>1.38483789117438E-2</v>
      </c>
      <c r="H220" s="9">
        <f t="shared" si="324"/>
        <v>0.19997921548850184</v>
      </c>
      <c r="I220" s="4">
        <f t="shared" si="405"/>
        <v>1016.3702044147168</v>
      </c>
      <c r="J220" s="6">
        <f t="shared" si="325"/>
        <v>5.5327404088294337E-6</v>
      </c>
      <c r="K220" s="8">
        <f t="shared" si="326"/>
        <v>27.577257350769244</v>
      </c>
      <c r="L220" s="7">
        <f t="shared" si="327"/>
        <v>1.3846753712006853E-2</v>
      </c>
      <c r="M220" s="9">
        <f t="shared" si="328"/>
        <v>0.20000629249834181</v>
      </c>
      <c r="N220" s="4">
        <f t="shared" si="406"/>
        <v>1015.4639367137031</v>
      </c>
      <c r="O220" s="6">
        <f t="shared" si="329"/>
        <v>5.5309278734274065E-6</v>
      </c>
      <c r="P220" s="8">
        <f t="shared" si="330"/>
        <v>27.566835272207584</v>
      </c>
      <c r="Q220" s="7">
        <f t="shared" si="320"/>
        <v>1.38483789117438E-2</v>
      </c>
      <c r="R220" s="9">
        <f t="shared" si="331"/>
        <v>0.20008190804407497</v>
      </c>
      <c r="S220" s="4">
        <f t="shared" si="407"/>
        <v>1013.962224753073</v>
      </c>
      <c r="T220" s="6">
        <f t="shared" si="332"/>
        <v>5.5279244495061472E-6</v>
      </c>
      <c r="U220" s="8">
        <f t="shared" si="333"/>
        <v>27.549565584660339</v>
      </c>
      <c r="V220" s="7">
        <f t="shared" si="334"/>
        <v>1.3834700841691416E-2</v>
      </c>
      <c r="W220" s="9">
        <f t="shared" si="335"/>
        <v>0.20020733114830358</v>
      </c>
      <c r="X220" s="4">
        <f t="shared" si="408"/>
        <v>1011.8632306146766</v>
      </c>
      <c r="Y220" s="6">
        <f t="shared" si="336"/>
        <v>5.523726461229354E-6</v>
      </c>
      <c r="Z220" s="8">
        <f t="shared" si="337"/>
        <v>27.525427152068779</v>
      </c>
      <c r="AA220" s="7">
        <f t="shared" si="338"/>
        <v>1.3824194563525558E-2</v>
      </c>
      <c r="AB220" s="9">
        <f t="shared" si="339"/>
        <v>0.20038290303463835</v>
      </c>
      <c r="AC220" s="4">
        <f t="shared" si="409"/>
        <v>1009.1655090047149</v>
      </c>
      <c r="AD220" s="6">
        <f t="shared" si="340"/>
        <v>5.5183310180094298E-6</v>
      </c>
      <c r="AE220" s="8">
        <f t="shared" si="341"/>
        <v>27.494403353554219</v>
      </c>
      <c r="AF220" s="7">
        <f t="shared" si="342"/>
        <v>1.3810691422602087E-2</v>
      </c>
      <c r="AG220" s="9">
        <f t="shared" si="343"/>
        <v>0.2006090086434624</v>
      </c>
      <c r="AH220" s="4">
        <f t="shared" si="410"/>
        <v>1005.8687012131057</v>
      </c>
      <c r="AI220" s="6">
        <f t="shared" si="344"/>
        <v>5.5117374024262118E-6</v>
      </c>
      <c r="AJ220" s="8">
        <f t="shared" si="345"/>
        <v>27.456490063950717</v>
      </c>
      <c r="AK220" s="7">
        <f t="shared" si="346"/>
        <v>1.3794189623438192E-2</v>
      </c>
      <c r="AL220" s="9">
        <f t="shared" si="347"/>
        <v>0.20088601955869795</v>
      </c>
      <c r="AM220" s="4">
        <f t="shared" si="411"/>
        <v>1001.9726320607481</v>
      </c>
      <c r="AN220" s="6">
        <f t="shared" si="348"/>
        <v>5.5039452641214965E-6</v>
      </c>
      <c r="AO220" s="8">
        <f t="shared" si="349"/>
        <v>27.411685268698601</v>
      </c>
      <c r="AP220" s="7">
        <f t="shared" si="350"/>
        <v>1.3774688289194658E-2</v>
      </c>
      <c r="AQ220" s="9">
        <f t="shared" si="351"/>
        <v>0.20121437065740322</v>
      </c>
      <c r="AR220" s="4">
        <f t="shared" si="412"/>
        <v>997.4770781963947</v>
      </c>
      <c r="AS220" s="6">
        <f t="shared" si="352"/>
        <v>5.4949541563927896E-6</v>
      </c>
      <c r="AT220" s="8">
        <f t="shared" si="353"/>
        <v>27.359986399258538</v>
      </c>
      <c r="AU220" s="7">
        <f t="shared" si="354"/>
        <v>1.3752186301912037E-2</v>
      </c>
      <c r="AV220" s="9">
        <f t="shared" si="355"/>
        <v>0.20159458120744805</v>
      </c>
      <c r="AW220" s="4">
        <f t="shared" si="413"/>
        <v>992.38120043457059</v>
      </c>
      <c r="AX220" s="6">
        <f t="shared" si="356"/>
        <v>5.4847624008691417E-6</v>
      </c>
      <c r="AY220" s="8">
        <f t="shared" si="357"/>
        <v>27.301383804997563</v>
      </c>
      <c r="AZ220" s="7">
        <f t="shared" si="358"/>
        <v>1.3726679461142186E-2</v>
      </c>
      <c r="BA220" s="9">
        <f t="shared" si="359"/>
        <v>0.20202730526026874</v>
      </c>
      <c r="BB220" s="4">
        <f t="shared" si="414"/>
        <v>986.68140296137449</v>
      </c>
      <c r="BC220" s="6">
        <f t="shared" si="360"/>
        <v>5.4733628059227488E-6</v>
      </c>
      <c r="BD220" s="8">
        <f t="shared" si="361"/>
        <v>27.235836134055806</v>
      </c>
      <c r="BE220" s="7">
        <f t="shared" si="362"/>
        <v>1.3698149768444613E-2</v>
      </c>
      <c r="BF220" s="9">
        <f t="shared" si="363"/>
        <v>0.20251351832386885</v>
      </c>
      <c r="BG220" s="4">
        <f t="shared" si="415"/>
        <v>980.36330466941854</v>
      </c>
      <c r="BH220" s="6">
        <f t="shared" si="364"/>
        <v>5.4607266093388373E-6</v>
      </c>
      <c r="BI220" s="8">
        <f t="shared" si="365"/>
        <v>27.163178003698313</v>
      </c>
      <c r="BJ220" s="7">
        <f t="shared" si="366"/>
        <v>1.3666525240810044E-2</v>
      </c>
      <c r="BK220" s="9">
        <f t="shared" si="367"/>
        <v>0.2030552168545609</v>
      </c>
      <c r="BL220" s="4">
        <f t="shared" si="416"/>
        <v>973.3743557338455</v>
      </c>
      <c r="BM220" s="6">
        <f t="shared" si="368"/>
        <v>5.4467487114676919E-6</v>
      </c>
      <c r="BN220" s="8">
        <f t="shared" si="369"/>
        <v>27.082805090939225</v>
      </c>
      <c r="BO220" s="7">
        <f t="shared" si="370"/>
        <v>1.3631542846023463E-2</v>
      </c>
      <c r="BP220" s="9">
        <f t="shared" si="371"/>
        <v>0.2036578183640696</v>
      </c>
      <c r="BQ220" s="4">
        <f t="shared" si="417"/>
        <v>965.54090409562332</v>
      </c>
      <c r="BR220" s="6">
        <f t="shared" si="372"/>
        <v>5.431081808191247E-6</v>
      </c>
      <c r="BS220" s="8">
        <f t="shared" si="373"/>
        <v>26.992720397099667</v>
      </c>
      <c r="BT220" s="7">
        <f t="shared" si="374"/>
        <v>1.3592333388310144E-2</v>
      </c>
      <c r="BU220" s="9">
        <f t="shared" si="375"/>
        <v>0.20433749984653812</v>
      </c>
      <c r="BV220" s="4">
        <f t="shared" si="418"/>
        <v>956.35005519330593</v>
      </c>
      <c r="BW220" s="6">
        <f t="shared" si="376"/>
        <v>5.4127001103866126E-6</v>
      </c>
      <c r="BX220" s="8">
        <f t="shared" si="377"/>
        <v>26.887025634723017</v>
      </c>
      <c r="BY220" s="7">
        <f t="shared" si="378"/>
        <v>1.3546329631852835E-2</v>
      </c>
      <c r="BZ220" s="9">
        <f t="shared" si="379"/>
        <v>0.20514076472917459</v>
      </c>
      <c r="CA220" s="4">
        <f t="shared" si="419"/>
        <v>944.46755997228456</v>
      </c>
      <c r="CB220" s="6">
        <f t="shared" si="380"/>
        <v>5.3889351199445699E-6</v>
      </c>
      <c r="CC220" s="8">
        <f t="shared" si="381"/>
        <v>26.750376939681274</v>
      </c>
      <c r="CD220" s="7">
        <f t="shared" si="382"/>
        <v>1.3486853143656495E-2</v>
      </c>
      <c r="CE220" s="9">
        <f t="shared" si="383"/>
        <v>0.20618868333844562</v>
      </c>
      <c r="CF220" s="4">
        <f t="shared" si="420"/>
        <v>926.89441565272182</v>
      </c>
      <c r="CG220" s="6">
        <f t="shared" si="384"/>
        <v>5.3537888313054444E-6</v>
      </c>
      <c r="CH220" s="8">
        <f t="shared" si="385"/>
        <v>26.548285780006299</v>
      </c>
      <c r="CI220" s="7">
        <f t="shared" si="386"/>
        <v>1.3398892753918991E-2</v>
      </c>
      <c r="CJ220" s="9">
        <f t="shared" si="387"/>
        <v>0.20775823515331659</v>
      </c>
      <c r="CK220" s="4">
        <f t="shared" si="421"/>
        <v>897.95853903833176</v>
      </c>
      <c r="CL220" s="6">
        <f t="shared" si="388"/>
        <v>5.295917078076664E-6</v>
      </c>
      <c r="CM220" s="8">
        <f t="shared" si="389"/>
        <v>26.215523198940815</v>
      </c>
      <c r="CN220" s="7">
        <f t="shared" si="390"/>
        <v>1.3254057490626654E-2</v>
      </c>
      <c r="CO220" s="9">
        <f t="shared" si="391"/>
        <v>0.21039538132211863</v>
      </c>
      <c r="CP220" s="4">
        <f t="shared" si="422"/>
        <v>848.99033384390486</v>
      </c>
      <c r="CQ220" s="6">
        <f t="shared" si="392"/>
        <v>5.1979806676878097E-6</v>
      </c>
      <c r="CR220" s="8">
        <f t="shared" si="393"/>
        <v>25.652388839204903</v>
      </c>
      <c r="CS220" s="7">
        <f t="shared" si="394"/>
        <v>1.3008952668443353E-2</v>
      </c>
      <c r="CT220" s="9">
        <f t="shared" si="395"/>
        <v>0.21501408833981159</v>
      </c>
      <c r="CU220" s="4">
        <f t="shared" si="423"/>
        <v>770.05853562916946</v>
      </c>
      <c r="CV220" s="6">
        <f t="shared" si="396"/>
        <v>5.0401170712583391E-6</v>
      </c>
      <c r="CW220" s="8">
        <f t="shared" si="397"/>
        <v>24.744673159735449</v>
      </c>
      <c r="CX220" s="7">
        <f t="shared" si="398"/>
        <v>1.2613868464535622E-2</v>
      </c>
      <c r="CY220" s="9">
        <f t="shared" si="399"/>
        <v>0.22290150952468546</v>
      </c>
      <c r="CZ220" s="5">
        <f t="shared" si="424"/>
        <v>654.33754975796558</v>
      </c>
      <c r="DA220" s="6">
        <f t="shared" si="400"/>
        <v>4.8086750995159309E-6</v>
      </c>
      <c r="DB220" s="8">
        <f t="shared" si="401"/>
        <v>33.03902000862621</v>
      </c>
      <c r="DC220" s="7">
        <f t="shared" si="402"/>
        <v>1.2034640135618524E-2</v>
      </c>
      <c r="DD220" s="9">
        <f t="shared" si="403"/>
        <v>0.16694275431171737</v>
      </c>
    </row>
    <row r="221" spans="2:108" x14ac:dyDescent="0.25">
      <c r="B221">
        <v>202</v>
      </c>
      <c r="C221">
        <f t="shared" si="404"/>
        <v>0.19747816260174078</v>
      </c>
      <c r="D221" s="4">
        <f t="shared" si="321"/>
        <v>1016.6783174976999</v>
      </c>
      <c r="E221" s="6">
        <f t="shared" si="322"/>
        <v>5.5333566349954004E-6</v>
      </c>
      <c r="F221" s="8">
        <f t="shared" si="323"/>
        <v>27.580800651223548</v>
      </c>
      <c r="G221" s="7">
        <f t="shared" si="319"/>
        <v>1.3848295937255199E-2</v>
      </c>
      <c r="H221" s="9">
        <f t="shared" si="324"/>
        <v>0.19998059772624166</v>
      </c>
      <c r="I221" s="4">
        <f t="shared" si="405"/>
        <v>1016.3536272221706</v>
      </c>
      <c r="J221" s="6">
        <f t="shared" si="325"/>
        <v>5.5327072544443423E-6</v>
      </c>
      <c r="K221" s="8">
        <f t="shared" si="326"/>
        <v>27.577066713054961</v>
      </c>
      <c r="L221" s="7">
        <f t="shared" si="327"/>
        <v>1.3846670736741267E-2</v>
      </c>
      <c r="M221" s="9">
        <f t="shared" si="328"/>
        <v>0.20000767512336284</v>
      </c>
      <c r="N221" s="4">
        <f t="shared" si="406"/>
        <v>1015.4473561677192</v>
      </c>
      <c r="O221" s="6">
        <f t="shared" si="329"/>
        <v>5.5308947123354396E-6</v>
      </c>
      <c r="P221" s="8">
        <f t="shared" si="330"/>
        <v>27.566644595928771</v>
      </c>
      <c r="Q221" s="7">
        <f t="shared" si="320"/>
        <v>1.3848295937255199E-2</v>
      </c>
      <c r="R221" s="9">
        <f t="shared" si="331"/>
        <v>0.20008329199465158</v>
      </c>
      <c r="S221" s="4">
        <f t="shared" si="407"/>
        <v>1013.9456428054435</v>
      </c>
      <c r="T221" s="6">
        <f t="shared" si="332"/>
        <v>5.5278912856108875E-6</v>
      </c>
      <c r="U221" s="8">
        <f t="shared" si="333"/>
        <v>27.549374892262598</v>
      </c>
      <c r="V221" s="7">
        <f t="shared" si="334"/>
        <v>1.3834617842624797E-2</v>
      </c>
      <c r="W221" s="9">
        <f t="shared" si="335"/>
        <v>0.20020871695165379</v>
      </c>
      <c r="X221" s="4">
        <f t="shared" si="408"/>
        <v>1011.8466523577558</v>
      </c>
      <c r="Y221" s="6">
        <f t="shared" si="336"/>
        <v>5.523693304715512E-6</v>
      </c>
      <c r="Z221" s="8">
        <f t="shared" si="337"/>
        <v>27.52523650211419</v>
      </c>
      <c r="AA221" s="7">
        <f t="shared" si="338"/>
        <v>1.3824111582932364E-2</v>
      </c>
      <c r="AB221" s="9">
        <f t="shared" si="339"/>
        <v>0.20038429096063715</v>
      </c>
      <c r="AC221" s="4">
        <f t="shared" si="409"/>
        <v>1009.1489402661585</v>
      </c>
      <c r="AD221" s="6">
        <f t="shared" si="340"/>
        <v>5.518297880532318E-6</v>
      </c>
      <c r="AE221" s="8">
        <f t="shared" si="341"/>
        <v>27.494212813060823</v>
      </c>
      <c r="AF221" s="7">
        <f t="shared" si="342"/>
        <v>1.3810608489651993E-2</v>
      </c>
      <c r="AG221" s="9">
        <f t="shared" si="343"/>
        <v>0.20061039890474197</v>
      </c>
      <c r="AH221" s="4">
        <f t="shared" si="410"/>
        <v>1005.8521468817872</v>
      </c>
      <c r="AI221" s="6">
        <f t="shared" si="344"/>
        <v>5.5117042937635751E-6</v>
      </c>
      <c r="AJ221" s="8">
        <f t="shared" si="345"/>
        <v>27.45629968914055</v>
      </c>
      <c r="AK221" s="7">
        <f t="shared" si="346"/>
        <v>1.3794106762601899E-2</v>
      </c>
      <c r="AL221" s="9">
        <f t="shared" si="347"/>
        <v>0.20088741244988401</v>
      </c>
      <c r="AM221" s="4">
        <f t="shared" si="411"/>
        <v>1001.9560944943565</v>
      </c>
      <c r="AN221" s="6">
        <f t="shared" si="348"/>
        <v>5.5039121889887133E-6</v>
      </c>
      <c r="AO221" s="8">
        <f t="shared" si="349"/>
        <v>27.4114950866851</v>
      </c>
      <c r="AP221" s="7">
        <f t="shared" si="350"/>
        <v>1.3774605512273315E-2</v>
      </c>
      <c r="AQ221" s="9">
        <f t="shared" si="351"/>
        <v>0.2012157666904921</v>
      </c>
      <c r="AR221" s="4">
        <f t="shared" si="412"/>
        <v>997.46055158484319</v>
      </c>
      <c r="AS221" s="6">
        <f t="shared" si="352"/>
        <v>5.4949211031696866E-6</v>
      </c>
      <c r="AT221" s="8">
        <f t="shared" si="353"/>
        <v>27.359796343225696</v>
      </c>
      <c r="AU221" s="7">
        <f t="shared" si="354"/>
        <v>1.3752103579823908E-2</v>
      </c>
      <c r="AV221" s="9">
        <f t="shared" si="355"/>
        <v>0.20159598159310393</v>
      </c>
      <c r="AW221" s="4">
        <f t="shared" si="413"/>
        <v>992.36464731014337</v>
      </c>
      <c r="AX221" s="6">
        <f t="shared" si="356"/>
        <v>5.4847292946202872E-6</v>
      </c>
      <c r="AY221" s="8">
        <f t="shared" si="357"/>
        <v>27.301193444066648</v>
      </c>
      <c r="AZ221" s="7">
        <f t="shared" si="358"/>
        <v>1.3726596606346848E-2</v>
      </c>
      <c r="BA221" s="9">
        <f t="shared" si="359"/>
        <v>0.20202871392051572</v>
      </c>
      <c r="BB221" s="4">
        <f t="shared" si="414"/>
        <v>986.66466755509271</v>
      </c>
      <c r="BC221" s="6">
        <f t="shared" si="360"/>
        <v>5.4733293351101854E-6</v>
      </c>
      <c r="BD221" s="8">
        <f t="shared" si="361"/>
        <v>27.235643676883566</v>
      </c>
      <c r="BE221" s="7">
        <f t="shared" si="362"/>
        <v>1.3698066001258035E-2</v>
      </c>
      <c r="BF221" s="9">
        <f t="shared" si="363"/>
        <v>0.20251494935959319</v>
      </c>
      <c r="BG221" s="4">
        <f t="shared" si="415"/>
        <v>980.34582982160691</v>
      </c>
      <c r="BH221" s="6">
        <f t="shared" si="364"/>
        <v>5.4606916596432144E-6</v>
      </c>
      <c r="BI221" s="8">
        <f t="shared" si="365"/>
        <v>27.162977042948476</v>
      </c>
      <c r="BJ221" s="7">
        <f t="shared" si="366"/>
        <v>1.366643777243238E-2</v>
      </c>
      <c r="BK221" s="9">
        <f t="shared" si="367"/>
        <v>0.2030567191246756</v>
      </c>
      <c r="BL221" s="4">
        <f t="shared" si="416"/>
        <v>973.35437399791613</v>
      </c>
      <c r="BM221" s="6">
        <f t="shared" si="368"/>
        <v>5.4467087479958324E-6</v>
      </c>
      <c r="BN221" s="8">
        <f t="shared" si="369"/>
        <v>27.082575300976035</v>
      </c>
      <c r="BO221" s="7">
        <f t="shared" si="370"/>
        <v>1.3631442829700371E-2</v>
      </c>
      <c r="BP221" s="9">
        <f t="shared" si="371"/>
        <v>0.20365954635788353</v>
      </c>
      <c r="BQ221" s="4">
        <f t="shared" si="417"/>
        <v>965.51347520551542</v>
      </c>
      <c r="BR221" s="6">
        <f t="shared" si="372"/>
        <v>5.431026950411032E-6</v>
      </c>
      <c r="BS221" s="8">
        <f t="shared" si="373"/>
        <v>26.992404964863425</v>
      </c>
      <c r="BT221" s="7">
        <f t="shared" si="374"/>
        <v>1.3592196096097662E-2</v>
      </c>
      <c r="BU221" s="9">
        <f t="shared" si="375"/>
        <v>0.20433988772692926</v>
      </c>
      <c r="BV221" s="4">
        <f t="shared" si="418"/>
        <v>956.30324005780199</v>
      </c>
      <c r="BW221" s="6">
        <f t="shared" si="376"/>
        <v>5.4126064801156042E-6</v>
      </c>
      <c r="BX221" s="8">
        <f t="shared" si="377"/>
        <v>26.886487260664722</v>
      </c>
      <c r="BY221" s="7">
        <f t="shared" si="378"/>
        <v>1.3546095303977886E-2</v>
      </c>
      <c r="BZ221" s="9">
        <f t="shared" si="379"/>
        <v>0.20514487246050289</v>
      </c>
      <c r="CA221" s="4">
        <f t="shared" si="419"/>
        <v>944.37717360057229</v>
      </c>
      <c r="CB221" s="6">
        <f t="shared" si="380"/>
        <v>5.3887543472011454E-6</v>
      </c>
      <c r="CC221" s="8">
        <f t="shared" si="381"/>
        <v>26.749337496406582</v>
      </c>
      <c r="CD221" s="7">
        <f t="shared" si="382"/>
        <v>1.3486400724878261E-2</v>
      </c>
      <c r="CE221" s="9">
        <f t="shared" si="383"/>
        <v>0.20619669555333664</v>
      </c>
      <c r="CF221" s="4">
        <f t="shared" si="420"/>
        <v>926.72157206373811</v>
      </c>
      <c r="CG221" s="6">
        <f t="shared" si="384"/>
        <v>5.3534431441274768E-6</v>
      </c>
      <c r="CH221" s="8">
        <f t="shared" si="385"/>
        <v>26.546298078732988</v>
      </c>
      <c r="CI221" s="7">
        <f t="shared" si="386"/>
        <v>1.3398027604849811E-2</v>
      </c>
      <c r="CJ221" s="9">
        <f t="shared" si="387"/>
        <v>0.2077737914206097</v>
      </c>
      <c r="CK221" s="4">
        <f t="shared" si="421"/>
        <v>897.65944649295034</v>
      </c>
      <c r="CL221" s="6">
        <f t="shared" si="388"/>
        <v>5.2953188929859009E-6</v>
      </c>
      <c r="CM221" s="8">
        <f t="shared" si="389"/>
        <v>26.212083634668929</v>
      </c>
      <c r="CN221" s="7">
        <f t="shared" si="390"/>
        <v>1.3252560416660782E-2</v>
      </c>
      <c r="CO221" s="9">
        <f t="shared" si="391"/>
        <v>0.21042298952170518</v>
      </c>
      <c r="CP221" s="4">
        <f t="shared" si="422"/>
        <v>848.54615611370104</v>
      </c>
      <c r="CQ221" s="6">
        <f t="shared" si="392"/>
        <v>5.1970923122274028E-6</v>
      </c>
      <c r="CR221" s="8">
        <f t="shared" si="393"/>
        <v>25.647280795307559</v>
      </c>
      <c r="CS221" s="7">
        <f t="shared" si="394"/>
        <v>1.3006729386966178E-2</v>
      </c>
      <c r="CT221" s="9">
        <f t="shared" si="395"/>
        <v>0.21505691164769178</v>
      </c>
      <c r="CU221" s="4">
        <f t="shared" si="423"/>
        <v>769.51340240813897</v>
      </c>
      <c r="CV221" s="6">
        <f t="shared" si="396"/>
        <v>5.0390268048162778E-6</v>
      </c>
      <c r="CW221" s="8">
        <f t="shared" si="397"/>
        <v>24.738404127693599</v>
      </c>
      <c r="CX221" s="7">
        <f t="shared" si="398"/>
        <v>1.2611139861747825E-2</v>
      </c>
      <c r="CY221" s="9">
        <f t="shared" si="399"/>
        <v>0.22295799565443636</v>
      </c>
      <c r="CZ221" s="5">
        <f t="shared" si="424"/>
        <v>653.80568863388351</v>
      </c>
      <c r="DA221" s="6">
        <f t="shared" si="400"/>
        <v>4.8076113772677679E-6</v>
      </c>
      <c r="DB221" s="8">
        <f t="shared" si="401"/>
        <v>33.145817722341832</v>
      </c>
      <c r="DC221" s="7">
        <f t="shared" si="402"/>
        <v>1.2031977964813475E-2</v>
      </c>
      <c r="DD221" s="9">
        <f t="shared" si="403"/>
        <v>0.16640485524308579</v>
      </c>
    </row>
    <row r="222" spans="2:108" x14ac:dyDescent="0.25">
      <c r="B222">
        <v>203</v>
      </c>
      <c r="C222">
        <f t="shared" si="404"/>
        <v>0.19845577726808605</v>
      </c>
      <c r="D222" s="4">
        <f t="shared" si="321"/>
        <v>1016.6617404524578</v>
      </c>
      <c r="E222" s="6">
        <f t="shared" si="322"/>
        <v>5.5333234809049163E-6</v>
      </c>
      <c r="F222" s="8">
        <f t="shared" si="323"/>
        <v>27.580610015203263</v>
      </c>
      <c r="G222" s="7">
        <f t="shared" si="319"/>
        <v>1.3848212962726925E-2</v>
      </c>
      <c r="H222" s="9">
        <f t="shared" si="324"/>
        <v>0.19998197998375022</v>
      </c>
      <c r="I222" s="4">
        <f t="shared" si="405"/>
        <v>1016.3370500603659</v>
      </c>
      <c r="J222" s="6">
        <f t="shared" si="325"/>
        <v>5.5326741001207327E-6</v>
      </c>
      <c r="K222" s="8">
        <f t="shared" si="326"/>
        <v>27.576876075694209</v>
      </c>
      <c r="L222" s="7">
        <f t="shared" si="327"/>
        <v>1.3846587761629553E-2</v>
      </c>
      <c r="M222" s="9">
        <f t="shared" si="328"/>
        <v>0.20000905776493583</v>
      </c>
      <c r="N222" s="4">
        <f t="shared" si="406"/>
        <v>1015.4307757316583</v>
      </c>
      <c r="O222" s="6">
        <f t="shared" si="329"/>
        <v>5.5308615514633175E-6</v>
      </c>
      <c r="P222" s="8">
        <f t="shared" si="330"/>
        <v>27.566453920914071</v>
      </c>
      <c r="Q222" s="7">
        <f t="shared" si="320"/>
        <v>1.3848212962726925E-2</v>
      </c>
      <c r="R222" s="9">
        <f t="shared" si="331"/>
        <v>0.20008467595519838</v>
      </c>
      <c r="S222" s="4">
        <f t="shared" si="407"/>
        <v>1013.9290610329709</v>
      </c>
      <c r="T222" s="6">
        <f t="shared" si="332"/>
        <v>5.5278581220659428E-6</v>
      </c>
      <c r="U222" s="8">
        <f t="shared" si="333"/>
        <v>27.549184201879164</v>
      </c>
      <c r="V222" s="7">
        <f t="shared" si="334"/>
        <v>1.3834534844434905E-2</v>
      </c>
      <c r="W222" s="9">
        <f t="shared" si="335"/>
        <v>0.20021010275955003</v>
      </c>
      <c r="X222" s="4">
        <f t="shared" si="408"/>
        <v>1011.8300743037588</v>
      </c>
      <c r="Y222" s="6">
        <f t="shared" si="336"/>
        <v>5.5236601486075175E-6</v>
      </c>
      <c r="Z222" s="8">
        <f t="shared" si="337"/>
        <v>27.525045854493225</v>
      </c>
      <c r="AA222" s="7">
        <f t="shared" si="338"/>
        <v>1.382402860335488E-2</v>
      </c>
      <c r="AB222" s="9">
        <f t="shared" si="339"/>
        <v>0.20038567888887357</v>
      </c>
      <c r="AC222" s="4">
        <f t="shared" si="409"/>
        <v>1009.1323717277153</v>
      </c>
      <c r="AD222" s="6">
        <f t="shared" si="340"/>
        <v>5.5182647434554308E-6</v>
      </c>
      <c r="AE222" s="8">
        <f t="shared" si="341"/>
        <v>27.494022274868726</v>
      </c>
      <c r="AF222" s="7">
        <f t="shared" si="342"/>
        <v>1.3810525557703542E-2</v>
      </c>
      <c r="AG222" s="9">
        <f t="shared" si="343"/>
        <v>0.20061178916849973</v>
      </c>
      <c r="AH222" s="4">
        <f t="shared" si="410"/>
        <v>1005.8355927183128</v>
      </c>
      <c r="AI222" s="6">
        <f t="shared" si="344"/>
        <v>5.5116711854366261E-6</v>
      </c>
      <c r="AJ222" s="8">
        <f t="shared" si="345"/>
        <v>27.456109316260594</v>
      </c>
      <c r="AK222" s="7">
        <f t="shared" si="346"/>
        <v>1.379402390260573E-2</v>
      </c>
      <c r="AL222" s="9">
        <f t="shared" si="347"/>
        <v>0.20088880534626327</v>
      </c>
      <c r="AM222" s="4">
        <f t="shared" si="411"/>
        <v>1001.9395569744722</v>
      </c>
      <c r="AN222" s="6">
        <f t="shared" si="348"/>
        <v>5.5038791139489453E-6</v>
      </c>
      <c r="AO222" s="8">
        <f t="shared" si="349"/>
        <v>27.411304905206428</v>
      </c>
      <c r="AP222" s="7">
        <f t="shared" si="350"/>
        <v>1.3774522735584757E-2</v>
      </c>
      <c r="AQ222" s="9">
        <f t="shared" si="351"/>
        <v>0.20121716273902659</v>
      </c>
      <c r="AR222" s="4">
        <f t="shared" si="412"/>
        <v>997.44402454311228</v>
      </c>
      <c r="AS222" s="6">
        <f t="shared" si="352"/>
        <v>5.4948880490862253E-6</v>
      </c>
      <c r="AT222" s="8">
        <f t="shared" si="353"/>
        <v>27.359606282245792</v>
      </c>
      <c r="AU222" s="7">
        <f t="shared" si="354"/>
        <v>1.3752020855582565E-2</v>
      </c>
      <c r="AV222" s="9">
        <f t="shared" si="355"/>
        <v>0.20159738203466773</v>
      </c>
      <c r="AW222" s="4">
        <f t="shared" si="413"/>
        <v>992.34809198363189</v>
      </c>
      <c r="AX222" s="6">
        <f t="shared" si="356"/>
        <v>5.4846961839672646E-6</v>
      </c>
      <c r="AY222" s="8">
        <f t="shared" si="357"/>
        <v>27.301003057811766</v>
      </c>
      <c r="AZ222" s="7">
        <f t="shared" si="358"/>
        <v>1.3726513740529233E-2</v>
      </c>
      <c r="BA222" s="9">
        <f t="shared" si="359"/>
        <v>0.2020301227878068</v>
      </c>
      <c r="BB222" s="4">
        <f t="shared" si="414"/>
        <v>986.64792396937821</v>
      </c>
      <c r="BC222" s="6">
        <f t="shared" si="360"/>
        <v>5.4732958479387569E-6</v>
      </c>
      <c r="BD222" s="8">
        <f t="shared" si="361"/>
        <v>27.235451125647849</v>
      </c>
      <c r="BE222" s="7">
        <f t="shared" si="362"/>
        <v>1.3697982193130235E-2</v>
      </c>
      <c r="BF222" s="9">
        <f t="shared" si="363"/>
        <v>0.20251638111497594</v>
      </c>
      <c r="BG222" s="4">
        <f t="shared" si="415"/>
        <v>980.32832884897857</v>
      </c>
      <c r="BH222" s="6">
        <f t="shared" si="364"/>
        <v>5.4606566576979576E-6</v>
      </c>
      <c r="BI222" s="8">
        <f t="shared" si="365"/>
        <v>27.162775781763251</v>
      </c>
      <c r="BJ222" s="7">
        <f t="shared" si="366"/>
        <v>1.3666350173289892E-2</v>
      </c>
      <c r="BK222" s="9">
        <f t="shared" si="367"/>
        <v>0.20305822366295576</v>
      </c>
      <c r="BL222" s="4">
        <f t="shared" si="416"/>
        <v>973.33431920651697</v>
      </c>
      <c r="BM222" s="6">
        <f t="shared" si="368"/>
        <v>5.4466686384130343E-6</v>
      </c>
      <c r="BN222" s="8">
        <f t="shared" si="369"/>
        <v>27.082344670874946</v>
      </c>
      <c r="BO222" s="7">
        <f t="shared" si="370"/>
        <v>1.3631342447706375E-2</v>
      </c>
      <c r="BP222" s="9">
        <f t="shared" si="371"/>
        <v>0.20366128069892139</v>
      </c>
      <c r="BQ222" s="4">
        <f t="shared" si="417"/>
        <v>965.48586970327392</v>
      </c>
      <c r="BR222" s="6">
        <f t="shared" si="372"/>
        <v>5.4309717394065481E-6</v>
      </c>
      <c r="BS222" s="8">
        <f t="shared" si="373"/>
        <v>26.992087501587648</v>
      </c>
      <c r="BT222" s="7">
        <f t="shared" si="374"/>
        <v>1.3592057919873082E-2</v>
      </c>
      <c r="BU222" s="9">
        <f t="shared" si="375"/>
        <v>0.20434229103901566</v>
      </c>
      <c r="BV222" s="4">
        <f t="shared" si="418"/>
        <v>956.25606611292721</v>
      </c>
      <c r="BW222" s="6">
        <f t="shared" si="376"/>
        <v>5.4125121322258552E-6</v>
      </c>
      <c r="BX222" s="8">
        <f t="shared" si="377"/>
        <v>26.885944760298663</v>
      </c>
      <c r="BY222" s="7">
        <f t="shared" si="378"/>
        <v>1.3545859180123148E-2</v>
      </c>
      <c r="BZ222" s="9">
        <f t="shared" si="379"/>
        <v>0.20514901184148418</v>
      </c>
      <c r="CA222" s="4">
        <f t="shared" si="419"/>
        <v>944.28620515491775</v>
      </c>
      <c r="CB222" s="6">
        <f t="shared" si="380"/>
        <v>5.3885724103098362E-6</v>
      </c>
      <c r="CC222" s="8">
        <f t="shared" si="381"/>
        <v>26.748291359281552</v>
      </c>
      <c r="CD222" s="7">
        <f t="shared" si="382"/>
        <v>1.3485945392594631E-2</v>
      </c>
      <c r="CE222" s="9">
        <f t="shared" si="383"/>
        <v>0.20620475999436502</v>
      </c>
      <c r="CF222" s="4">
        <f t="shared" si="420"/>
        <v>926.54805578110188</v>
      </c>
      <c r="CG222" s="6">
        <f t="shared" si="384"/>
        <v>5.3530961115622042E-6</v>
      </c>
      <c r="CH222" s="8">
        <f t="shared" si="385"/>
        <v>26.544302641482673</v>
      </c>
      <c r="CI222" s="7">
        <f t="shared" si="386"/>
        <v>1.3397159088688505E-2</v>
      </c>
      <c r="CJ222" s="9">
        <f t="shared" si="387"/>
        <v>0.20778941057507158</v>
      </c>
      <c r="CK222" s="4">
        <f t="shared" si="421"/>
        <v>897.36001406914761</v>
      </c>
      <c r="CL222" s="6">
        <f t="shared" si="388"/>
        <v>5.2947200281382956E-6</v>
      </c>
      <c r="CM222" s="8">
        <f t="shared" si="389"/>
        <v>26.208640161795195</v>
      </c>
      <c r="CN222" s="7">
        <f t="shared" si="390"/>
        <v>1.3251061641471846E-2</v>
      </c>
      <c r="CO222" s="9">
        <f t="shared" si="391"/>
        <v>0.21045063635313005</v>
      </c>
      <c r="CP222" s="4">
        <f t="shared" si="422"/>
        <v>848.1025228184044</v>
      </c>
      <c r="CQ222" s="6">
        <f t="shared" si="392"/>
        <v>5.1962050456368094E-6</v>
      </c>
      <c r="CR222" s="8">
        <f t="shared" si="393"/>
        <v>25.642179012411649</v>
      </c>
      <c r="CS222" s="7">
        <f t="shared" si="394"/>
        <v>1.3004508830596458E-2</v>
      </c>
      <c r="CT222" s="9">
        <f t="shared" si="395"/>
        <v>0.21509969949629701</v>
      </c>
      <c r="CU222" s="4">
        <f t="shared" si="423"/>
        <v>768.96981772056347</v>
      </c>
      <c r="CV222" s="6">
        <f t="shared" si="396"/>
        <v>5.0379396354411275E-6</v>
      </c>
      <c r="CW222" s="8">
        <f t="shared" si="397"/>
        <v>24.732152903786478</v>
      </c>
      <c r="CX222" s="7">
        <f t="shared" si="398"/>
        <v>1.2608419009969396E-2</v>
      </c>
      <c r="CY222" s="9">
        <f t="shared" si="399"/>
        <v>0.22301434984075166</v>
      </c>
      <c r="CZ222" s="5">
        <f t="shared" si="424"/>
        <v>653.27565186176093</v>
      </c>
      <c r="DA222" s="6">
        <f t="shared" si="400"/>
        <v>4.8065513037235219E-6</v>
      </c>
      <c r="DB222" s="8">
        <f t="shared" si="401"/>
        <v>33.252249106184024</v>
      </c>
      <c r="DC222" s="7">
        <f t="shared" si="402"/>
        <v>1.2029324925596172E-2</v>
      </c>
      <c r="DD222" s="9">
        <f t="shared" si="403"/>
        <v>0.16587223866833845</v>
      </c>
    </row>
    <row r="223" spans="2:108" x14ac:dyDescent="0.25">
      <c r="B223">
        <v>204</v>
      </c>
      <c r="C223">
        <f t="shared" si="404"/>
        <v>0.1994333919344313</v>
      </c>
      <c r="D223" s="4">
        <f t="shared" si="321"/>
        <v>1016.6451634012647</v>
      </c>
      <c r="E223" s="6">
        <f t="shared" si="322"/>
        <v>5.5332903268025297E-6</v>
      </c>
      <c r="F223" s="8">
        <f t="shared" si="323"/>
        <v>27.580419379114545</v>
      </c>
      <c r="G223" s="7">
        <f t="shared" si="319"/>
        <v>1.3848129988168863E-2</v>
      </c>
      <c r="H223" s="9">
        <f t="shared" si="324"/>
        <v>0.19998336226086336</v>
      </c>
      <c r="I223" s="4">
        <f t="shared" si="405"/>
        <v>1016.3204729306804</v>
      </c>
      <c r="J223" s="6">
        <f t="shared" si="325"/>
        <v>5.5326409458613613E-6</v>
      </c>
      <c r="K223" s="8">
        <f t="shared" si="326"/>
        <v>27.576685438702825</v>
      </c>
      <c r="L223" s="7">
        <f t="shared" si="327"/>
        <v>1.3846504786678607E-2</v>
      </c>
      <c r="M223" s="9">
        <f t="shared" si="328"/>
        <v>0.20001044042294622</v>
      </c>
      <c r="N223" s="4">
        <f t="shared" si="406"/>
        <v>1015.4141954058266</v>
      </c>
      <c r="O223" s="6">
        <f t="shared" si="329"/>
        <v>5.5308283908116544E-6</v>
      </c>
      <c r="P223" s="8">
        <f t="shared" si="330"/>
        <v>27.566263247167004</v>
      </c>
      <c r="Q223" s="7">
        <f t="shared" si="320"/>
        <v>1.3848129988168863E-2</v>
      </c>
      <c r="R223" s="9">
        <f t="shared" si="331"/>
        <v>0.2000860599256899</v>
      </c>
      <c r="S223" s="4">
        <f t="shared" si="407"/>
        <v>1013.9124794353503</v>
      </c>
      <c r="T223" s="6">
        <f t="shared" si="332"/>
        <v>5.5278249588707015E-6</v>
      </c>
      <c r="U223" s="8">
        <f t="shared" si="333"/>
        <v>27.548993513506527</v>
      </c>
      <c r="V223" s="7">
        <f t="shared" si="334"/>
        <v>1.3834451847120215E-2</v>
      </c>
      <c r="W223" s="9">
        <f t="shared" si="335"/>
        <v>0.20021148857201762</v>
      </c>
      <c r="X223" s="4">
        <f t="shared" si="408"/>
        <v>1011.8134964523033</v>
      </c>
      <c r="Y223" s="6">
        <f t="shared" si="336"/>
        <v>5.5236269929046071E-6</v>
      </c>
      <c r="Z223" s="8">
        <f t="shared" si="337"/>
        <v>27.524855209201487</v>
      </c>
      <c r="AA223" s="7">
        <f t="shared" si="338"/>
        <v>1.3823945624791197E-2</v>
      </c>
      <c r="AB223" s="9">
        <f t="shared" si="339"/>
        <v>0.20038706681937934</v>
      </c>
      <c r="AC223" s="4">
        <f t="shared" si="409"/>
        <v>1009.1158033889268</v>
      </c>
      <c r="AD223" s="6">
        <f t="shared" si="340"/>
        <v>5.5182316067778545E-6</v>
      </c>
      <c r="AE223" s="8">
        <f t="shared" si="341"/>
        <v>27.493831738972659</v>
      </c>
      <c r="AF223" s="7">
        <f t="shared" si="342"/>
        <v>1.3810442626754439E-2</v>
      </c>
      <c r="AG223" s="9">
        <f t="shared" si="343"/>
        <v>0.20061317943477378</v>
      </c>
      <c r="AH223" s="4">
        <f t="shared" si="410"/>
        <v>1005.8190387212736</v>
      </c>
      <c r="AI223" s="6">
        <f t="shared" si="344"/>
        <v>5.5116380774425474E-6</v>
      </c>
      <c r="AJ223" s="8">
        <f t="shared" si="345"/>
        <v>27.455918945294645</v>
      </c>
      <c r="AK223" s="7">
        <f t="shared" si="346"/>
        <v>1.3793941043442634E-2</v>
      </c>
      <c r="AL223" s="9">
        <f t="shared" si="347"/>
        <v>0.20089019824795409</v>
      </c>
      <c r="AM223" s="4">
        <f t="shared" si="411"/>
        <v>1001.9230194956037</v>
      </c>
      <c r="AN223" s="6">
        <f t="shared" si="348"/>
        <v>5.5038460389912082E-6</v>
      </c>
      <c r="AO223" s="8">
        <f t="shared" si="349"/>
        <v>27.411114724199443</v>
      </c>
      <c r="AP223" s="7">
        <f t="shared" si="350"/>
        <v>1.3774439959101501E-2</v>
      </c>
      <c r="AQ223" s="9">
        <f t="shared" si="351"/>
        <v>0.20121855880347045</v>
      </c>
      <c r="AR223" s="4">
        <f t="shared" si="412"/>
        <v>997.42749705143126</v>
      </c>
      <c r="AS223" s="6">
        <f t="shared" si="352"/>
        <v>5.4948549941028625E-6</v>
      </c>
      <c r="AT223" s="8">
        <f t="shared" si="353"/>
        <v>27.359416216091461</v>
      </c>
      <c r="AU223" s="7">
        <f t="shared" si="354"/>
        <v>1.3751938129089047E-2</v>
      </c>
      <c r="AV223" s="9">
        <f t="shared" si="355"/>
        <v>0.20159878253381669</v>
      </c>
      <c r="AW223" s="4">
        <f t="shared" si="413"/>
        <v>992.3315343913132</v>
      </c>
      <c r="AX223" s="6">
        <f t="shared" si="356"/>
        <v>5.4846630687826267E-6</v>
      </c>
      <c r="AY223" s="8">
        <f t="shared" si="357"/>
        <v>27.300812645500102</v>
      </c>
      <c r="AZ223" s="7">
        <f t="shared" si="358"/>
        <v>1.372643086337037E-2</v>
      </c>
      <c r="BA223" s="9">
        <f t="shared" si="359"/>
        <v>0.20203153186757322</v>
      </c>
      <c r="BB223" s="4">
        <f t="shared" si="414"/>
        <v>986.63117202364765</v>
      </c>
      <c r="BC223" s="6">
        <f t="shared" si="360"/>
        <v>5.4732623440472962E-6</v>
      </c>
      <c r="BD223" s="8">
        <f t="shared" si="361"/>
        <v>27.235258478271945</v>
      </c>
      <c r="BE223" s="7">
        <f t="shared" si="362"/>
        <v>1.3697898343157315E-2</v>
      </c>
      <c r="BF223" s="9">
        <f t="shared" si="363"/>
        <v>0.20251781360548932</v>
      </c>
      <c r="BG223" s="4">
        <f t="shared" si="415"/>
        <v>980.31080131447686</v>
      </c>
      <c r="BH223" s="6">
        <f t="shared" si="364"/>
        <v>5.4606216026289542E-6</v>
      </c>
      <c r="BI223" s="8">
        <f t="shared" si="365"/>
        <v>27.162574215116486</v>
      </c>
      <c r="BJ223" s="7">
        <f t="shared" si="366"/>
        <v>1.3666262441194951E-2</v>
      </c>
      <c r="BK223" s="9">
        <f t="shared" si="367"/>
        <v>0.20305973050707582</v>
      </c>
      <c r="BL223" s="4">
        <f t="shared" si="416"/>
        <v>973.3141905012244</v>
      </c>
      <c r="BM223" s="6">
        <f t="shared" si="368"/>
        <v>5.4466283810024496E-6</v>
      </c>
      <c r="BN223" s="8">
        <f t="shared" si="369"/>
        <v>27.08211319076408</v>
      </c>
      <c r="BO223" s="7">
        <f t="shared" si="370"/>
        <v>1.3631241695744733E-2</v>
      </c>
      <c r="BP223" s="9">
        <f t="shared" si="371"/>
        <v>0.20366302146174528</v>
      </c>
      <c r="BQ223" s="4">
        <f t="shared" si="417"/>
        <v>965.45808637047367</v>
      </c>
      <c r="BR223" s="6">
        <f t="shared" si="372"/>
        <v>5.4309161727409478E-6</v>
      </c>
      <c r="BS223" s="8">
        <f t="shared" si="373"/>
        <v>26.991767993260446</v>
      </c>
      <c r="BT223" s="7">
        <f t="shared" si="374"/>
        <v>1.3591918853537719E-2</v>
      </c>
      <c r="BU223" s="9">
        <f t="shared" si="375"/>
        <v>0.2043447098899632</v>
      </c>
      <c r="BV223" s="4">
        <f t="shared" si="418"/>
        <v>956.20853261409388</v>
      </c>
      <c r="BW223" s="6">
        <f t="shared" si="376"/>
        <v>5.4124170652281877E-6</v>
      </c>
      <c r="BX223" s="8">
        <f t="shared" si="377"/>
        <v>26.885398125062078</v>
      </c>
      <c r="BY223" s="7">
        <f t="shared" si="378"/>
        <v>1.3545621256561663E-2</v>
      </c>
      <c r="BZ223" s="9">
        <f t="shared" si="379"/>
        <v>0.20515318294127974</v>
      </c>
      <c r="CA223" s="4">
        <f t="shared" si="419"/>
        <v>944.19465632286392</v>
      </c>
      <c r="CB223" s="6">
        <f t="shared" si="380"/>
        <v>5.3883893126457281E-6</v>
      </c>
      <c r="CC223" s="8">
        <f t="shared" si="381"/>
        <v>26.747238547712932</v>
      </c>
      <c r="CD223" s="7">
        <f t="shared" si="382"/>
        <v>1.3485487155252409E-2</v>
      </c>
      <c r="CE223" s="9">
        <f t="shared" si="383"/>
        <v>0.20621287652409348</v>
      </c>
      <c r="CF223" s="4">
        <f t="shared" si="420"/>
        <v>926.37387270044906</v>
      </c>
      <c r="CG223" s="6">
        <f t="shared" si="384"/>
        <v>5.3527477454008985E-6</v>
      </c>
      <c r="CH223" s="8">
        <f t="shared" si="385"/>
        <v>26.542299536055161</v>
      </c>
      <c r="CI223" s="7">
        <f t="shared" si="386"/>
        <v>1.3396287234945013E-2</v>
      </c>
      <c r="CJ223" s="9">
        <f t="shared" si="387"/>
        <v>0.20780509211372414</v>
      </c>
      <c r="CK223" s="4">
        <f t="shared" si="421"/>
        <v>897.06024975577679</v>
      </c>
      <c r="CL223" s="6">
        <f t="shared" si="388"/>
        <v>5.2941204995115535E-6</v>
      </c>
      <c r="CM223" s="8">
        <f t="shared" si="389"/>
        <v>26.205192872191432</v>
      </c>
      <c r="CN223" s="7">
        <f t="shared" si="390"/>
        <v>1.3249561205047149E-2</v>
      </c>
      <c r="CO223" s="9">
        <f t="shared" si="391"/>
        <v>0.21047832110608508</v>
      </c>
      <c r="CP223" s="4">
        <f t="shared" si="422"/>
        <v>847.65943618389429</v>
      </c>
      <c r="CQ223" s="6">
        <f t="shared" si="392"/>
        <v>5.1953188723677892E-6</v>
      </c>
      <c r="CR223" s="8">
        <f t="shared" si="393"/>
        <v>25.637083516114785</v>
      </c>
      <c r="CS223" s="7">
        <f t="shared" si="394"/>
        <v>1.3002291010475581E-2</v>
      </c>
      <c r="CT223" s="9">
        <f t="shared" si="395"/>
        <v>0.21514245161829837</v>
      </c>
      <c r="CU223" s="4">
        <f t="shared" si="423"/>
        <v>768.42777192395931</v>
      </c>
      <c r="CV223" s="6">
        <f t="shared" si="396"/>
        <v>5.0368555438479191E-6</v>
      </c>
      <c r="CW223" s="8">
        <f t="shared" si="397"/>
        <v>24.725919377125532</v>
      </c>
      <c r="CX223" s="7">
        <f t="shared" si="398"/>
        <v>1.260570586093597E-2</v>
      </c>
      <c r="CY223" s="9">
        <f t="shared" si="399"/>
        <v>0.22307057286220147</v>
      </c>
      <c r="CZ223" s="5">
        <f t="shared" si="424"/>
        <v>652.74742492287794</v>
      </c>
      <c r="DA223" s="6">
        <f t="shared" si="400"/>
        <v>4.8054948498457567E-6</v>
      </c>
      <c r="DB223" s="8">
        <f t="shared" si="401"/>
        <v>33.35831707551165</v>
      </c>
      <c r="DC223" s="7">
        <f t="shared" si="402"/>
        <v>1.2026680945294806E-2</v>
      </c>
      <c r="DD223" s="9">
        <f t="shared" si="403"/>
        <v>0.16534482202787806</v>
      </c>
    </row>
    <row r="224" spans="2:108" x14ac:dyDescent="0.25">
      <c r="B224">
        <v>205</v>
      </c>
      <c r="C224">
        <f t="shared" si="404"/>
        <v>0.20041100660077654</v>
      </c>
      <c r="D224" s="4">
        <f t="shared" si="321"/>
        <v>1016.628586346064</v>
      </c>
      <c r="E224" s="6">
        <f t="shared" si="322"/>
        <v>5.5332571726921285E-6</v>
      </c>
      <c r="F224" s="8">
        <f t="shared" si="323"/>
        <v>27.580228742979735</v>
      </c>
      <c r="G224" s="7">
        <f t="shared" si="319"/>
        <v>1.3848047013590744E-2</v>
      </c>
      <c r="H224" s="9">
        <f t="shared" si="324"/>
        <v>0.19998474455741946</v>
      </c>
      <c r="I224" s="4">
        <f t="shared" si="405"/>
        <v>1016.3038958344738</v>
      </c>
      <c r="J224" s="6">
        <f t="shared" si="325"/>
        <v>5.5326077916689478E-6</v>
      </c>
      <c r="K224" s="8">
        <f t="shared" si="326"/>
        <v>27.576494802096448</v>
      </c>
      <c r="L224" s="7">
        <f t="shared" si="327"/>
        <v>1.3846421811895236E-2</v>
      </c>
      <c r="M224" s="9">
        <f t="shared" si="328"/>
        <v>0.20001182309728086</v>
      </c>
      <c r="N224" s="4">
        <f t="shared" si="406"/>
        <v>1015.3976151905314</v>
      </c>
      <c r="O224" s="6">
        <f t="shared" si="329"/>
        <v>5.5307952303810635E-6</v>
      </c>
      <c r="P224" s="8">
        <f t="shared" si="330"/>
        <v>27.566072574691113</v>
      </c>
      <c r="Q224" s="7">
        <f t="shared" si="320"/>
        <v>1.3848047013590744E-2</v>
      </c>
      <c r="R224" s="9">
        <f t="shared" si="331"/>
        <v>0.20008744390610037</v>
      </c>
      <c r="S224" s="4">
        <f t="shared" si="407"/>
        <v>1013.8958980122821</v>
      </c>
      <c r="T224" s="6">
        <f t="shared" si="332"/>
        <v>5.5277917960245641E-6</v>
      </c>
      <c r="U224" s="8">
        <f t="shared" si="333"/>
        <v>27.548802827141245</v>
      </c>
      <c r="V224" s="7">
        <f t="shared" si="334"/>
        <v>1.3834368850679225E-2</v>
      </c>
      <c r="W224" s="9">
        <f t="shared" si="335"/>
        <v>0.20021287438908139</v>
      </c>
      <c r="X224" s="4">
        <f t="shared" si="408"/>
        <v>1011.796918803007</v>
      </c>
      <c r="Y224" s="6">
        <f t="shared" si="336"/>
        <v>5.5235938376060143E-6</v>
      </c>
      <c r="Z224" s="8">
        <f t="shared" si="337"/>
        <v>27.524664566234577</v>
      </c>
      <c r="AA224" s="7">
        <f t="shared" si="338"/>
        <v>1.38238626472394E-2</v>
      </c>
      <c r="AB224" s="9">
        <f t="shared" si="339"/>
        <v>0.2003884547521862</v>
      </c>
      <c r="AC224" s="4">
        <f t="shared" si="409"/>
        <v>1009.0992352493215</v>
      </c>
      <c r="AD224" s="6">
        <f t="shared" si="340"/>
        <v>5.5181984704986438E-6</v>
      </c>
      <c r="AE224" s="8">
        <f t="shared" si="341"/>
        <v>27.493641205367197</v>
      </c>
      <c r="AF224" s="7">
        <f t="shared" si="342"/>
        <v>1.3810359696802325E-2</v>
      </c>
      <c r="AG224" s="9">
        <f t="shared" si="343"/>
        <v>0.20061456970360339</v>
      </c>
      <c r="AH224" s="4">
        <f t="shared" si="410"/>
        <v>1005.8024848892118</v>
      </c>
      <c r="AI224" s="6">
        <f t="shared" si="344"/>
        <v>5.5116049697784237E-6</v>
      </c>
      <c r="AJ224" s="8">
        <f t="shared" si="345"/>
        <v>27.455728576225937</v>
      </c>
      <c r="AK224" s="7">
        <f t="shared" si="346"/>
        <v>1.3793858185105314E-2</v>
      </c>
      <c r="AL224" s="9">
        <f t="shared" si="347"/>
        <v>0.20089159115507899</v>
      </c>
      <c r="AM224" s="4">
        <f t="shared" si="411"/>
        <v>1001.9064820521013</v>
      </c>
      <c r="AN224" s="6">
        <f t="shared" si="348"/>
        <v>5.5038129641042034E-6</v>
      </c>
      <c r="AO224" s="8">
        <f t="shared" si="349"/>
        <v>27.410924543599165</v>
      </c>
      <c r="AP224" s="7">
        <f t="shared" si="350"/>
        <v>1.3774357182795264E-2</v>
      </c>
      <c r="AQ224" s="9">
        <f t="shared" si="351"/>
        <v>0.20121995488430089</v>
      </c>
      <c r="AR224" s="4">
        <f t="shared" si="412"/>
        <v>997.41096908957115</v>
      </c>
      <c r="AS224" s="6">
        <f t="shared" si="352"/>
        <v>5.4948219381791424E-6</v>
      </c>
      <c r="AT224" s="8">
        <f t="shared" si="353"/>
        <v>27.359226144530069</v>
      </c>
      <c r="AU224" s="7">
        <f t="shared" si="354"/>
        <v>1.3751855400242098E-2</v>
      </c>
      <c r="AV224" s="9">
        <f t="shared" si="355"/>
        <v>0.20160018309226699</v>
      </c>
      <c r="AW224" s="4">
        <f t="shared" si="413"/>
        <v>992.31497446834021</v>
      </c>
      <c r="AX224" s="6">
        <f t="shared" si="356"/>
        <v>5.484629948936681E-6</v>
      </c>
      <c r="AY224" s="8">
        <f t="shared" si="357"/>
        <v>27.30062220638591</v>
      </c>
      <c r="AZ224" s="7">
        <f t="shared" si="358"/>
        <v>1.3726347974545682E-2</v>
      </c>
      <c r="BA224" s="9">
        <f t="shared" si="359"/>
        <v>0.20203294116534223</v>
      </c>
      <c r="BB224" s="4">
        <f t="shared" si="414"/>
        <v>986.61441153514897</v>
      </c>
      <c r="BC224" s="6">
        <f t="shared" si="360"/>
        <v>5.4732288230702991E-6</v>
      </c>
      <c r="BD224" s="8">
        <f t="shared" si="361"/>
        <v>27.235065732654213</v>
      </c>
      <c r="BE224" s="7">
        <f t="shared" si="362"/>
        <v>1.3697814450424534E-2</v>
      </c>
      <c r="BF224" s="9">
        <f t="shared" si="363"/>
        <v>0.20251924684679182</v>
      </c>
      <c r="BG224" s="4">
        <f t="shared" si="415"/>
        <v>980.29324677837383</v>
      </c>
      <c r="BH224" s="6">
        <f t="shared" si="364"/>
        <v>5.4605864935567479E-6</v>
      </c>
      <c r="BI224" s="8">
        <f t="shared" si="365"/>
        <v>27.162372337951297</v>
      </c>
      <c r="BJ224" s="7">
        <f t="shared" si="366"/>
        <v>1.3666174573946539E-2</v>
      </c>
      <c r="BK224" s="9">
        <f t="shared" si="367"/>
        <v>0.20306123969494236</v>
      </c>
      <c r="BL224" s="4">
        <f t="shared" si="416"/>
        <v>973.29398702403057</v>
      </c>
      <c r="BM224" s="6">
        <f t="shared" si="368"/>
        <v>5.4465879740480618E-6</v>
      </c>
      <c r="BN224" s="8">
        <f t="shared" si="369"/>
        <v>27.081880850776351</v>
      </c>
      <c r="BO224" s="7">
        <f t="shared" si="370"/>
        <v>1.3631140569520779E-2</v>
      </c>
      <c r="BP224" s="9">
        <f t="shared" si="371"/>
        <v>0.2036647687208876</v>
      </c>
      <c r="BQ224" s="4">
        <f t="shared" si="417"/>
        <v>965.43012400016585</v>
      </c>
      <c r="BR224" s="6">
        <f t="shared" si="372"/>
        <v>5.4308602480003326E-6</v>
      </c>
      <c r="BS224" s="8">
        <f t="shared" si="373"/>
        <v>26.991446426001907</v>
      </c>
      <c r="BT224" s="7">
        <f t="shared" si="374"/>
        <v>1.3591778891050328E-2</v>
      </c>
      <c r="BU224" s="9">
        <f t="shared" si="375"/>
        <v>0.20434714438595572</v>
      </c>
      <c r="BV224" s="4">
        <f t="shared" si="418"/>
        <v>956.16063884485698</v>
      </c>
      <c r="BW224" s="6">
        <f t="shared" si="376"/>
        <v>5.412321277689715E-6</v>
      </c>
      <c r="BX224" s="8">
        <f t="shared" si="377"/>
        <v>26.884847346715855</v>
      </c>
      <c r="BY224" s="7">
        <f t="shared" si="378"/>
        <v>1.3545381529707355E-2</v>
      </c>
      <c r="BZ224" s="9">
        <f t="shared" si="379"/>
        <v>0.20515738582662127</v>
      </c>
      <c r="CA224" s="4">
        <f t="shared" si="419"/>
        <v>944.10252881917734</v>
      </c>
      <c r="CB224" s="6">
        <f t="shared" si="380"/>
        <v>5.3882050576383549E-6</v>
      </c>
      <c r="CC224" s="8">
        <f t="shared" si="381"/>
        <v>26.746179081420539</v>
      </c>
      <c r="CD224" s="7">
        <f t="shared" si="382"/>
        <v>1.3485026021434665E-2</v>
      </c>
      <c r="CE224" s="9">
        <f t="shared" si="383"/>
        <v>0.2062210450027038</v>
      </c>
      <c r="CF224" s="4">
        <f t="shared" si="420"/>
        <v>926.19902869128259</v>
      </c>
      <c r="CG224" s="6">
        <f t="shared" si="384"/>
        <v>5.3523980573825656E-6</v>
      </c>
      <c r="CH224" s="8">
        <f t="shared" si="385"/>
        <v>26.540288829949748</v>
      </c>
      <c r="CI224" s="7">
        <f t="shared" si="386"/>
        <v>1.3395412072998474E-2</v>
      </c>
      <c r="CJ224" s="9">
        <f t="shared" si="387"/>
        <v>0.2078208355357391</v>
      </c>
      <c r="CK224" s="4">
        <f t="shared" si="421"/>
        <v>896.76016143307663</v>
      </c>
      <c r="CL224" s="6">
        <f t="shared" si="388"/>
        <v>5.2935203228661531E-6</v>
      </c>
      <c r="CM224" s="8">
        <f t="shared" si="389"/>
        <v>26.201741856480382</v>
      </c>
      <c r="CN224" s="7">
        <f t="shared" si="390"/>
        <v>1.3248059146830341E-2</v>
      </c>
      <c r="CO224" s="9">
        <f t="shared" si="391"/>
        <v>0.2105060430795688</v>
      </c>
      <c r="CP224" s="4">
        <f t="shared" si="422"/>
        <v>847.21689834639756</v>
      </c>
      <c r="CQ224" s="6">
        <f t="shared" si="392"/>
        <v>5.1944337966927958E-6</v>
      </c>
      <c r="CR224" s="8">
        <f t="shared" si="393"/>
        <v>25.631994330983574</v>
      </c>
      <c r="CS224" s="7">
        <f t="shared" si="394"/>
        <v>1.3000075937296192E-2</v>
      </c>
      <c r="CT224" s="9">
        <f t="shared" si="395"/>
        <v>0.21518516775469143</v>
      </c>
      <c r="CU224" s="4">
        <f t="shared" si="423"/>
        <v>767.88725546610249</v>
      </c>
      <c r="CV224" s="6">
        <f t="shared" si="396"/>
        <v>5.0357745109322057E-6</v>
      </c>
      <c r="CW224" s="8">
        <f t="shared" si="397"/>
        <v>24.719703437860176</v>
      </c>
      <c r="CX224" s="7">
        <f t="shared" si="398"/>
        <v>1.260300036683497E-2</v>
      </c>
      <c r="CY224" s="9">
        <f t="shared" si="399"/>
        <v>0.22312666549034668</v>
      </c>
      <c r="CZ224" s="5">
        <f t="shared" si="424"/>
        <v>652.22099349024279</v>
      </c>
      <c r="DA224" s="6">
        <f t="shared" si="400"/>
        <v>4.8044419869804861E-6</v>
      </c>
      <c r="DB224" s="8">
        <f t="shared" si="401"/>
        <v>33.464024507184774</v>
      </c>
      <c r="DC224" s="7">
        <f t="shared" si="402"/>
        <v>1.2024045952197235E-2</v>
      </c>
      <c r="DD224" s="9">
        <f t="shared" si="403"/>
        <v>0.16482252452378485</v>
      </c>
    </row>
    <row r="225" spans="2:108" x14ac:dyDescent="0.25">
      <c r="B225">
        <v>206</v>
      </c>
      <c r="C225">
        <f t="shared" si="404"/>
        <v>0.20138862126712181</v>
      </c>
      <c r="D225" s="4">
        <f t="shared" si="321"/>
        <v>1016.6120092887699</v>
      </c>
      <c r="E225" s="6">
        <f t="shared" si="322"/>
        <v>5.5332240185775396E-6</v>
      </c>
      <c r="F225" s="8">
        <f t="shared" si="323"/>
        <v>27.580038106820851</v>
      </c>
      <c r="G225" s="7">
        <f t="shared" si="319"/>
        <v>1.3847964039002146E-2</v>
      </c>
      <c r="H225" s="9">
        <f t="shared" si="324"/>
        <v>0.19998612687325926</v>
      </c>
      <c r="I225" s="4">
        <f t="shared" si="405"/>
        <v>1016.2873187730881</v>
      </c>
      <c r="J225" s="6">
        <f t="shared" si="325"/>
        <v>5.5325746375461766E-6</v>
      </c>
      <c r="K225" s="8">
        <f t="shared" si="326"/>
        <v>27.576304165890512</v>
      </c>
      <c r="L225" s="7">
        <f t="shared" si="327"/>
        <v>1.3846338837286159E-2</v>
      </c>
      <c r="M225" s="9">
        <f t="shared" si="328"/>
        <v>0.20001320578782808</v>
      </c>
      <c r="N225" s="4">
        <f t="shared" si="406"/>
        <v>1015.3810350860799</v>
      </c>
      <c r="O225" s="6">
        <f t="shared" si="329"/>
        <v>5.5307620701721598E-6</v>
      </c>
      <c r="P225" s="8">
        <f t="shared" si="330"/>
        <v>27.565881903489917</v>
      </c>
      <c r="Q225" s="7">
        <f t="shared" si="320"/>
        <v>1.3847964039002146E-2</v>
      </c>
      <c r="R225" s="9">
        <f t="shared" si="331"/>
        <v>0.20008882789640431</v>
      </c>
      <c r="S225" s="4">
        <f t="shared" si="407"/>
        <v>1013.879316763473</v>
      </c>
      <c r="T225" s="6">
        <f t="shared" si="332"/>
        <v>5.5277586335269468E-6</v>
      </c>
      <c r="U225" s="8">
        <f t="shared" si="333"/>
        <v>27.548612142779938</v>
      </c>
      <c r="V225" s="7">
        <f t="shared" si="334"/>
        <v>1.3834285855110475E-2</v>
      </c>
      <c r="W225" s="9">
        <f t="shared" si="335"/>
        <v>0.20021426021076563</v>
      </c>
      <c r="X225" s="4">
        <f t="shared" si="408"/>
        <v>1011.7803413554871</v>
      </c>
      <c r="Y225" s="6">
        <f t="shared" si="336"/>
        <v>5.5235606827109751E-6</v>
      </c>
      <c r="Z225" s="8">
        <f t="shared" si="337"/>
        <v>27.524473925588101</v>
      </c>
      <c r="AA225" s="7">
        <f t="shared" si="338"/>
        <v>1.3823779670697572E-2</v>
      </c>
      <c r="AB225" s="9">
        <f t="shared" si="339"/>
        <v>0.20038984268732579</v>
      </c>
      <c r="AC225" s="4">
        <f t="shared" si="409"/>
        <v>1009.082667308414</v>
      </c>
      <c r="AD225" s="6">
        <f t="shared" si="340"/>
        <v>5.5181653346168286E-6</v>
      </c>
      <c r="AE225" s="8">
        <f t="shared" si="341"/>
        <v>27.493450674046763</v>
      </c>
      <c r="AF225" s="7">
        <f t="shared" si="342"/>
        <v>1.381027676784477E-2</v>
      </c>
      <c r="AG225" s="9">
        <f t="shared" si="343"/>
        <v>0.20061595997502901</v>
      </c>
      <c r="AH225" s="4">
        <f t="shared" si="410"/>
        <v>1005.7859312206192</v>
      </c>
      <c r="AI225" s="6">
        <f t="shared" si="344"/>
        <v>5.5115718624412395E-6</v>
      </c>
      <c r="AJ225" s="8">
        <f t="shared" si="345"/>
        <v>27.455538209037122</v>
      </c>
      <c r="AK225" s="7">
        <f t="shared" si="346"/>
        <v>1.3793775327586221E-2</v>
      </c>
      <c r="AL225" s="9">
        <f t="shared" si="347"/>
        <v>0.20089298406776471</v>
      </c>
      <c r="AM225" s="4">
        <f t="shared" si="411"/>
        <v>1001.8899446381533</v>
      </c>
      <c r="AN225" s="6">
        <f t="shared" si="348"/>
        <v>5.5037798892763072E-6</v>
      </c>
      <c r="AO225" s="8">
        <f t="shared" si="349"/>
        <v>27.410734363338761</v>
      </c>
      <c r="AP225" s="7">
        <f t="shared" si="350"/>
        <v>1.3774274406636958E-2</v>
      </c>
      <c r="AQ225" s="9">
        <f t="shared" si="351"/>
        <v>0.20122135098200886</v>
      </c>
      <c r="AR225" s="4">
        <f t="shared" si="412"/>
        <v>997.39444063683857</v>
      </c>
      <c r="AS225" s="6">
        <f t="shared" si="352"/>
        <v>5.4947888812736781E-6</v>
      </c>
      <c r="AT225" s="8">
        <f t="shared" si="353"/>
        <v>27.359036067323643</v>
      </c>
      <c r="AU225" s="7">
        <f t="shared" si="354"/>
        <v>1.3751772668938149E-2</v>
      </c>
      <c r="AV225" s="9">
        <f t="shared" si="355"/>
        <v>0.20160158371177431</v>
      </c>
      <c r="AW225" s="4">
        <f t="shared" si="413"/>
        <v>992.29841214873488</v>
      </c>
      <c r="AX225" s="6">
        <f t="shared" si="356"/>
        <v>5.4845968242974707E-6</v>
      </c>
      <c r="AY225" s="8">
        <f t="shared" si="357"/>
        <v>27.300431739710451</v>
      </c>
      <c r="AZ225" s="7">
        <f t="shared" si="358"/>
        <v>1.3726265073724922E-2</v>
      </c>
      <c r="BA225" s="9">
        <f t="shared" si="359"/>
        <v>0.20203435068673747</v>
      </c>
      <c r="BB225" s="4">
        <f t="shared" si="414"/>
        <v>986.59764231896736</v>
      </c>
      <c r="BC225" s="6">
        <f t="shared" si="360"/>
        <v>5.4731952846379359E-6</v>
      </c>
      <c r="BD225" s="8">
        <f t="shared" si="361"/>
        <v>27.234872886668121</v>
      </c>
      <c r="BE225" s="7">
        <f t="shared" si="362"/>
        <v>1.369773051400632E-2</v>
      </c>
      <c r="BF225" s="9">
        <f t="shared" si="363"/>
        <v>0.20252068085472802</v>
      </c>
      <c r="BG225" s="4">
        <f t="shared" si="415"/>
        <v>980.27566479832126</v>
      </c>
      <c r="BH225" s="6">
        <f t="shared" si="364"/>
        <v>5.460551329596643E-6</v>
      </c>
      <c r="BI225" s="8">
        <f t="shared" si="365"/>
        <v>27.162170145180696</v>
      </c>
      <c r="BJ225" s="7">
        <f t="shared" si="366"/>
        <v>1.3666086569330538E-2</v>
      </c>
      <c r="BK225" s="9">
        <f t="shared" si="367"/>
        <v>0.2030627512646894</v>
      </c>
      <c r="BL225" s="4">
        <f t="shared" si="416"/>
        <v>973.27370791746046</v>
      </c>
      <c r="BM225" s="6">
        <f t="shared" si="368"/>
        <v>5.4465474158349212E-6</v>
      </c>
      <c r="BN225" s="8">
        <f t="shared" si="369"/>
        <v>27.081647641050793</v>
      </c>
      <c r="BO225" s="7">
        <f t="shared" si="370"/>
        <v>1.3631039064742523E-2</v>
      </c>
      <c r="BP225" s="9">
        <f t="shared" si="371"/>
        <v>0.20366652255084094</v>
      </c>
      <c r="BQ225" s="4">
        <f t="shared" si="417"/>
        <v>965.40198139696884</v>
      </c>
      <c r="BR225" s="6">
        <f t="shared" si="372"/>
        <v>5.4308039627939387E-6</v>
      </c>
      <c r="BS225" s="8">
        <f t="shared" si="373"/>
        <v>26.991122786065141</v>
      </c>
      <c r="BT225" s="7">
        <f t="shared" si="374"/>
        <v>1.3591638026427561E-2</v>
      </c>
      <c r="BU225" s="9">
        <f t="shared" si="375"/>
        <v>0.2043495946321871</v>
      </c>
      <c r="BV225" s="4">
        <f t="shared" si="418"/>
        <v>956.11238411668194</v>
      </c>
      <c r="BW225" s="6">
        <f t="shared" si="376"/>
        <v>5.4122247682333649E-6</v>
      </c>
      <c r="BX225" s="8">
        <f t="shared" si="377"/>
        <v>26.88429241734184</v>
      </c>
      <c r="BY225" s="7">
        <f t="shared" si="378"/>
        <v>1.3545139996113835E-2</v>
      </c>
      <c r="BZ225" s="9">
        <f t="shared" si="379"/>
        <v>0.20516162056183113</v>
      </c>
      <c r="CA225" s="4">
        <f t="shared" si="419"/>
        <v>944.0098243851096</v>
      </c>
      <c r="CB225" s="6">
        <f t="shared" si="380"/>
        <v>5.3880196487702198E-6</v>
      </c>
      <c r="CC225" s="8">
        <f t="shared" si="381"/>
        <v>26.745112980428758</v>
      </c>
      <c r="CD225" s="7">
        <f t="shared" si="382"/>
        <v>1.3484561999857042E-2</v>
      </c>
      <c r="CE225" s="9">
        <f t="shared" si="383"/>
        <v>0.20622926528806076</v>
      </c>
      <c r="CF225" s="4">
        <f t="shared" si="420"/>
        <v>926.02352959651535</v>
      </c>
      <c r="CG225" s="6">
        <f t="shared" si="384"/>
        <v>5.3520470591930315E-6</v>
      </c>
      <c r="CH225" s="8">
        <f t="shared" si="385"/>
        <v>26.538270590359925</v>
      </c>
      <c r="CI225" s="7">
        <f t="shared" si="386"/>
        <v>1.3394533632094923E-2</v>
      </c>
      <c r="CJ225" s="9">
        <f t="shared" si="387"/>
        <v>0.20783664034247812</v>
      </c>
      <c r="CK225" s="4">
        <f t="shared" si="421"/>
        <v>896.45975687402154</v>
      </c>
      <c r="CL225" s="6">
        <f t="shared" si="388"/>
        <v>5.2929195137480433E-6</v>
      </c>
      <c r="CM225" s="8">
        <f t="shared" si="389"/>
        <v>26.198287204051248</v>
      </c>
      <c r="CN225" s="7">
        <f t="shared" si="390"/>
        <v>1.3246555505728163E-2</v>
      </c>
      <c r="CO225" s="9">
        <f t="shared" si="391"/>
        <v>0.21053380158177193</v>
      </c>
      <c r="CP225" s="4">
        <f t="shared" si="422"/>
        <v>846.77491135475577</v>
      </c>
      <c r="CQ225" s="6">
        <f t="shared" si="392"/>
        <v>5.1935498227095121E-6</v>
      </c>
      <c r="CR225" s="8">
        <f t="shared" si="393"/>
        <v>25.626911480579693</v>
      </c>
      <c r="CS225" s="7">
        <f t="shared" si="394"/>
        <v>1.2997863621313535E-2</v>
      </c>
      <c r="CT225" s="9">
        <f t="shared" si="395"/>
        <v>0.21522784765459507</v>
      </c>
      <c r="CU225" s="4">
        <f t="shared" si="423"/>
        <v>767.34825888405885</v>
      </c>
      <c r="CV225" s="6">
        <f t="shared" si="396"/>
        <v>5.0346965177681185E-6</v>
      </c>
      <c r="CW225" s="8">
        <f t="shared" si="397"/>
        <v>24.713504977166679</v>
      </c>
      <c r="CX225" s="7">
        <f t="shared" si="398"/>
        <v>1.2600302480300744E-2</v>
      </c>
      <c r="CY225" s="9">
        <f t="shared" si="399"/>
        <v>0.22318262848980752</v>
      </c>
      <c r="CZ225" s="5">
        <f t="shared" si="424"/>
        <v>651.69634342500069</v>
      </c>
      <c r="DA225" s="6">
        <f t="shared" si="400"/>
        <v>4.8033926868500022E-6</v>
      </c>
      <c r="DB225" s="8">
        <f t="shared" si="401"/>
        <v>33.569374240285356</v>
      </c>
      <c r="DC225" s="7">
        <f t="shared" si="402"/>
        <v>1.2021419875533018E-2</v>
      </c>
      <c r="DD225" s="9">
        <f t="shared" si="403"/>
        <v>0.16430526707229781</v>
      </c>
    </row>
    <row r="226" spans="2:108" x14ac:dyDescent="0.25">
      <c r="B226">
        <v>207</v>
      </c>
      <c r="C226">
        <f t="shared" si="404"/>
        <v>0.20236623593346706</v>
      </c>
      <c r="D226" s="4">
        <f t="shared" si="321"/>
        <v>1016.5954322312668</v>
      </c>
      <c r="E226" s="6">
        <f t="shared" si="322"/>
        <v>5.5331908644625339E-6</v>
      </c>
      <c r="F226" s="8">
        <f t="shared" si="323"/>
        <v>27.579847470659566</v>
      </c>
      <c r="G226" s="7">
        <f t="shared" si="319"/>
        <v>1.3847881064412502E-2</v>
      </c>
      <c r="H226" s="9">
        <f t="shared" si="324"/>
        <v>0.19998750920822606</v>
      </c>
      <c r="I226" s="4">
        <f t="shared" si="405"/>
        <v>1016.2707417478476</v>
      </c>
      <c r="J226" s="6">
        <f t="shared" si="325"/>
        <v>5.5325414834956953E-6</v>
      </c>
      <c r="K226" s="8">
        <f t="shared" si="326"/>
        <v>27.576113530100248</v>
      </c>
      <c r="L226" s="7">
        <f t="shared" si="327"/>
        <v>1.3846255862858E-2</v>
      </c>
      <c r="M226" s="9">
        <f t="shared" si="328"/>
        <v>0.2000145884944777</v>
      </c>
      <c r="N226" s="4">
        <f t="shared" si="406"/>
        <v>1015.36445509278</v>
      </c>
      <c r="O226" s="6">
        <f t="shared" si="329"/>
        <v>5.5307289101855607E-6</v>
      </c>
      <c r="P226" s="8">
        <f t="shared" si="330"/>
        <v>27.565691233566969</v>
      </c>
      <c r="Q226" s="7">
        <f t="shared" si="320"/>
        <v>1.3847881064412502E-2</v>
      </c>
      <c r="R226" s="9">
        <f t="shared" si="331"/>
        <v>0.20009021189657591</v>
      </c>
      <c r="S226" s="4">
        <f t="shared" si="407"/>
        <v>1013.8627356886346</v>
      </c>
      <c r="T226" s="6">
        <f t="shared" si="332"/>
        <v>5.5277254713772695E-6</v>
      </c>
      <c r="U226" s="8">
        <f t="shared" si="333"/>
        <v>27.548421460419299</v>
      </c>
      <c r="V226" s="7">
        <f t="shared" si="334"/>
        <v>1.3834202860412511E-2</v>
      </c>
      <c r="W226" s="9">
        <f t="shared" si="335"/>
        <v>0.20021564603709421</v>
      </c>
      <c r="X226" s="4">
        <f t="shared" si="408"/>
        <v>1011.7637641093602</v>
      </c>
      <c r="Y226" s="6">
        <f t="shared" si="336"/>
        <v>5.5235275282187205E-6</v>
      </c>
      <c r="Z226" s="8">
        <f t="shared" si="337"/>
        <v>27.524283287257639</v>
      </c>
      <c r="AA226" s="7">
        <f t="shared" si="338"/>
        <v>1.3823696695163791E-2</v>
      </c>
      <c r="AB226" s="9">
        <f t="shared" si="339"/>
        <v>0.20039123062483002</v>
      </c>
      <c r="AC226" s="4">
        <f t="shared" si="409"/>
        <v>1009.0660995657043</v>
      </c>
      <c r="AD226" s="6">
        <f t="shared" si="340"/>
        <v>5.5181321991314089E-6</v>
      </c>
      <c r="AE226" s="8">
        <f t="shared" si="341"/>
        <v>27.4932601450056</v>
      </c>
      <c r="AF226" s="7">
        <f t="shared" si="342"/>
        <v>1.3810193839879272E-2</v>
      </c>
      <c r="AG226" s="9">
        <f t="shared" si="343"/>
        <v>0.20061735024909236</v>
      </c>
      <c r="AH226" s="4">
        <f t="shared" si="410"/>
        <v>1005.7693777139364</v>
      </c>
      <c r="AI226" s="6">
        <f t="shared" si="344"/>
        <v>5.5115387554278734E-6</v>
      </c>
      <c r="AJ226" s="8">
        <f t="shared" si="345"/>
        <v>27.455347843710268</v>
      </c>
      <c r="AK226" s="7">
        <f t="shared" si="346"/>
        <v>1.3793692470877549E-2</v>
      </c>
      <c r="AL226" s="9">
        <f t="shared" si="347"/>
        <v>0.20089437698614232</v>
      </c>
      <c r="AM226" s="4">
        <f t="shared" si="411"/>
        <v>1001.8734072477836</v>
      </c>
      <c r="AN226" s="6">
        <f t="shared" si="348"/>
        <v>5.5037468144955678E-6</v>
      </c>
      <c r="AO226" s="8">
        <f t="shared" si="349"/>
        <v>27.410544183349508</v>
      </c>
      <c r="AP226" s="7">
        <f t="shared" si="350"/>
        <v>1.3774191630596672E-2</v>
      </c>
      <c r="AQ226" s="9">
        <f t="shared" si="351"/>
        <v>0.20122274709709914</v>
      </c>
      <c r="AR226" s="4">
        <f t="shared" si="412"/>
        <v>997.3779116720699</v>
      </c>
      <c r="AS226" s="6">
        <f t="shared" si="352"/>
        <v>5.49475582334414E-6</v>
      </c>
      <c r="AT226" s="8">
        <f t="shared" si="353"/>
        <v>27.358845984228804</v>
      </c>
      <c r="AU226" s="7">
        <f t="shared" si="354"/>
        <v>1.3751689935071254E-2</v>
      </c>
      <c r="AV226" s="9">
        <f t="shared" si="355"/>
        <v>0.20160298439413418</v>
      </c>
      <c r="AW226" s="4">
        <f t="shared" si="413"/>
        <v>992.2818473653823</v>
      </c>
      <c r="AX226" s="6">
        <f t="shared" si="356"/>
        <v>5.4845636947307656E-6</v>
      </c>
      <c r="AY226" s="8">
        <f t="shared" si="357"/>
        <v>27.300241244701894</v>
      </c>
      <c r="AZ226" s="7">
        <f t="shared" si="358"/>
        <v>1.3726182160572151E-2</v>
      </c>
      <c r="BA226" s="9">
        <f t="shared" si="359"/>
        <v>0.20203576043747989</v>
      </c>
      <c r="BB226" s="4">
        <f t="shared" si="414"/>
        <v>986.58086418803271</v>
      </c>
      <c r="BC226" s="6">
        <f t="shared" si="360"/>
        <v>5.4731617283760662E-6</v>
      </c>
      <c r="BD226" s="8">
        <f t="shared" si="361"/>
        <v>27.234679938162376</v>
      </c>
      <c r="BE226" s="7">
        <f t="shared" si="362"/>
        <v>1.3697646532966318E-2</v>
      </c>
      <c r="BF226" s="9">
        <f t="shared" si="363"/>
        <v>0.20252211564532743</v>
      </c>
      <c r="BG226" s="4">
        <f t="shared" si="415"/>
        <v>980.25805492940162</v>
      </c>
      <c r="BH226" s="6">
        <f t="shared" si="364"/>
        <v>5.4605161098588037E-6</v>
      </c>
      <c r="BI226" s="8">
        <f t="shared" si="365"/>
        <v>27.161967631688118</v>
      </c>
      <c r="BJ226" s="7">
        <f t="shared" si="366"/>
        <v>1.366599842511996E-2</v>
      </c>
      <c r="BK226" s="9">
        <f t="shared" si="367"/>
        <v>0.20306426525467455</v>
      </c>
      <c r="BL226" s="4">
        <f t="shared" si="416"/>
        <v>973.25335232468763</v>
      </c>
      <c r="BM226" s="6">
        <f t="shared" si="368"/>
        <v>5.4465067046493762E-6</v>
      </c>
      <c r="BN226" s="8">
        <f t="shared" si="369"/>
        <v>27.081413551733906</v>
      </c>
      <c r="BO226" s="7">
        <f t="shared" si="370"/>
        <v>1.3630937177121216E-2</v>
      </c>
      <c r="BP226" s="9">
        <f t="shared" si="371"/>
        <v>0.20366828302604825</v>
      </c>
      <c r="BQ226" s="4">
        <f t="shared" si="417"/>
        <v>965.37365737715504</v>
      </c>
      <c r="BR226" s="6">
        <f t="shared" si="372"/>
        <v>5.4307473147543106E-6</v>
      </c>
      <c r="BS226" s="8">
        <f t="shared" si="373"/>
        <v>26.990797059837284</v>
      </c>
      <c r="BT226" s="7">
        <f t="shared" si="374"/>
        <v>1.3591496253744397E-2</v>
      </c>
      <c r="BU226" s="9">
        <f t="shared" si="375"/>
        <v>0.20435206073285378</v>
      </c>
      <c r="BV226" s="4">
        <f t="shared" si="418"/>
        <v>956.06376776871025</v>
      </c>
      <c r="BW226" s="6">
        <f t="shared" si="376"/>
        <v>5.4121275355374211E-6</v>
      </c>
      <c r="BX226" s="8">
        <f t="shared" si="377"/>
        <v>26.883733329340167</v>
      </c>
      <c r="BY226" s="7">
        <f t="shared" si="378"/>
        <v>1.3544896652473251E-2</v>
      </c>
      <c r="BZ226" s="9">
        <f t="shared" si="379"/>
        <v>0.20516588720884232</v>
      </c>
      <c r="CA226" s="4">
        <f t="shared" si="419"/>
        <v>943.91654478766952</v>
      </c>
      <c r="CB226" s="6">
        <f t="shared" si="380"/>
        <v>5.387833089575339E-6</v>
      </c>
      <c r="CC226" s="8">
        <f t="shared" si="381"/>
        <v>26.744040265058199</v>
      </c>
      <c r="CD226" s="7">
        <f t="shared" si="382"/>
        <v>1.3484095099364097E-2</v>
      </c>
      <c r="CE226" s="9">
        <f t="shared" si="383"/>
        <v>0.20623753723577476</v>
      </c>
      <c r="CF226" s="4">
        <f t="shared" si="420"/>
        <v>925.84738123203442</v>
      </c>
      <c r="CG226" s="6">
        <f t="shared" si="384"/>
        <v>5.3516947624640692E-6</v>
      </c>
      <c r="CH226" s="8">
        <f t="shared" si="385"/>
        <v>26.536244884168397</v>
      </c>
      <c r="CI226" s="7">
        <f t="shared" si="386"/>
        <v>1.3393651941345128E-2</v>
      </c>
      <c r="CJ226" s="9">
        <f t="shared" si="387"/>
        <v>0.20785250603753053</v>
      </c>
      <c r="CK226" s="4">
        <f t="shared" si="421"/>
        <v>896.15904374566094</v>
      </c>
      <c r="CL226" s="6">
        <f t="shared" si="388"/>
        <v>5.2923180874913225E-6</v>
      </c>
      <c r="CM226" s="8">
        <f t="shared" si="389"/>
        <v>26.1948290030751</v>
      </c>
      <c r="CN226" s="7">
        <f t="shared" si="390"/>
        <v>1.3245050320117168E-2</v>
      </c>
      <c r="CO226" s="9">
        <f t="shared" si="391"/>
        <v>0.21056159592996396</v>
      </c>
      <c r="CP226" s="4">
        <f t="shared" si="422"/>
        <v>846.33347717263439</v>
      </c>
      <c r="CQ226" s="6">
        <f t="shared" si="392"/>
        <v>5.1926669543452697E-6</v>
      </c>
      <c r="CR226" s="8">
        <f t="shared" si="393"/>
        <v>25.621834987485293</v>
      </c>
      <c r="CS226" s="7">
        <f t="shared" si="394"/>
        <v>1.2995654072356515E-2</v>
      </c>
      <c r="CT226" s="9">
        <f t="shared" si="395"/>
        <v>0.21527049107505558</v>
      </c>
      <c r="CU226" s="4">
        <f t="shared" si="423"/>
        <v>766.81077280322029</v>
      </c>
      <c r="CV226" s="6">
        <f t="shared" si="396"/>
        <v>5.033621545606441E-6</v>
      </c>
      <c r="CW226" s="8">
        <f t="shared" si="397"/>
        <v>24.707323887237031</v>
      </c>
      <c r="CX226" s="7">
        <f t="shared" si="398"/>
        <v>1.2597612154409753E-2</v>
      </c>
      <c r="CY226" s="9">
        <f t="shared" si="399"/>
        <v>0.22323846261833261</v>
      </c>
      <c r="CZ226" s="5">
        <f t="shared" si="424"/>
        <v>651.17346077292882</v>
      </c>
      <c r="DA226" s="6">
        <f t="shared" si="400"/>
        <v>4.8023469215458577E-6</v>
      </c>
      <c r="DB226" s="8">
        <f t="shared" si="401"/>
        <v>33.674369076821336</v>
      </c>
      <c r="DC226" s="7">
        <f t="shared" si="402"/>
        <v>1.2018802645455868E-2</v>
      </c>
      <c r="DD226" s="9">
        <f t="shared" si="403"/>
        <v>0.16379297225783815</v>
      </c>
    </row>
    <row r="227" spans="2:108" x14ac:dyDescent="0.25">
      <c r="B227">
        <v>208</v>
      </c>
      <c r="C227">
        <f t="shared" si="404"/>
        <v>0.2033438505998123</v>
      </c>
      <c r="D227" s="4">
        <f t="shared" si="321"/>
        <v>1016.5788551754109</v>
      </c>
      <c r="E227" s="6">
        <f t="shared" si="322"/>
        <v>5.5331577103508223E-6</v>
      </c>
      <c r="F227" s="8">
        <f t="shared" si="323"/>
        <v>27.579656834517223</v>
      </c>
      <c r="G227" s="7">
        <f t="shared" si="319"/>
        <v>1.3847798089831102E-2</v>
      </c>
      <c r="H227" s="9">
        <f t="shared" si="324"/>
        <v>0.19998889156216546</v>
      </c>
      <c r="I227" s="4">
        <f t="shared" si="405"/>
        <v>1016.2541647600593</v>
      </c>
      <c r="J227" s="6">
        <f t="shared" si="325"/>
        <v>5.5325083295201197E-6</v>
      </c>
      <c r="K227" s="8">
        <f t="shared" si="326"/>
        <v>27.575922894740682</v>
      </c>
      <c r="L227" s="7">
        <f t="shared" si="327"/>
        <v>1.3846172888617309E-2</v>
      </c>
      <c r="M227" s="9">
        <f t="shared" si="328"/>
        <v>0.200015971217121</v>
      </c>
      <c r="N227" s="4">
        <f t="shared" si="406"/>
        <v>1015.3478752109395</v>
      </c>
      <c r="O227" s="6">
        <f t="shared" si="329"/>
        <v>5.5306957504218795E-6</v>
      </c>
      <c r="P227" s="8">
        <f t="shared" si="330"/>
        <v>27.565500564925806</v>
      </c>
      <c r="Q227" s="7">
        <f t="shared" si="320"/>
        <v>1.3847798089831102E-2</v>
      </c>
      <c r="R227" s="9">
        <f t="shared" si="331"/>
        <v>0.20009159590658954</v>
      </c>
      <c r="S227" s="4">
        <f t="shared" si="407"/>
        <v>1013.8461547874844</v>
      </c>
      <c r="T227" s="6">
        <f t="shared" si="332"/>
        <v>5.5276923095749689E-6</v>
      </c>
      <c r="U227" s="8">
        <f t="shared" si="333"/>
        <v>27.54823078005607</v>
      </c>
      <c r="V227" s="7">
        <f t="shared" si="334"/>
        <v>1.3834119866583923E-2</v>
      </c>
      <c r="W227" s="9">
        <f t="shared" si="335"/>
        <v>0.20021703186809059</v>
      </c>
      <c r="X227" s="4">
        <f t="shared" si="408"/>
        <v>1011.7471870642426</v>
      </c>
      <c r="Y227" s="6">
        <f t="shared" si="336"/>
        <v>5.5234943741284854E-6</v>
      </c>
      <c r="Z227" s="8">
        <f t="shared" si="337"/>
        <v>27.524092651238789</v>
      </c>
      <c r="AA227" s="7">
        <f t="shared" si="338"/>
        <v>1.3823613720636141E-2</v>
      </c>
      <c r="AB227" s="9">
        <f t="shared" si="339"/>
        <v>0.20039261856473062</v>
      </c>
      <c r="AC227" s="4">
        <f t="shared" si="409"/>
        <v>1009.0495320206783</v>
      </c>
      <c r="AD227" s="6">
        <f t="shared" si="340"/>
        <v>5.518099064041357E-6</v>
      </c>
      <c r="AE227" s="8">
        <f t="shared" si="341"/>
        <v>27.493069618237797</v>
      </c>
      <c r="AF227" s="7">
        <f t="shared" si="342"/>
        <v>1.3810110912903259E-2</v>
      </c>
      <c r="AG227" s="9">
        <f t="shared" si="343"/>
        <v>0.20061874052583623</v>
      </c>
      <c r="AH227" s="4">
        <f t="shared" si="410"/>
        <v>1005.7528243675513</v>
      </c>
      <c r="AI227" s="6">
        <f t="shared" si="344"/>
        <v>5.5115056487351033E-6</v>
      </c>
      <c r="AJ227" s="8">
        <f t="shared" si="345"/>
        <v>27.455157480226838</v>
      </c>
      <c r="AK227" s="7">
        <f t="shared" si="346"/>
        <v>1.379360961497123E-2</v>
      </c>
      <c r="AL227" s="9">
        <f t="shared" si="347"/>
        <v>0.20089576991034724</v>
      </c>
      <c r="AM227" s="4">
        <f t="shared" si="411"/>
        <v>1001.856869874848</v>
      </c>
      <c r="AN227" s="6">
        <f t="shared" si="348"/>
        <v>5.5037137397496965E-6</v>
      </c>
      <c r="AO227" s="8">
        <f t="shared" si="349"/>
        <v>27.410354003560752</v>
      </c>
      <c r="AP227" s="7">
        <f t="shared" si="350"/>
        <v>1.3774108854643649E-2</v>
      </c>
      <c r="AQ227" s="9">
        <f t="shared" si="351"/>
        <v>0.20122414323009075</v>
      </c>
      <c r="AR227" s="4">
        <f t="shared" si="412"/>
        <v>997.36138217362566</v>
      </c>
      <c r="AS227" s="6">
        <f t="shared" si="352"/>
        <v>5.4947227643472523E-6</v>
      </c>
      <c r="AT227" s="8">
        <f t="shared" si="353"/>
        <v>27.358655894996694</v>
      </c>
      <c r="AU227" s="7">
        <f t="shared" si="354"/>
        <v>1.3751607198533113E-2</v>
      </c>
      <c r="AV227" s="9">
        <f t="shared" si="355"/>
        <v>0.20160438514118262</v>
      </c>
      <c r="AW227" s="4">
        <f t="shared" si="413"/>
        <v>992.26528005002467</v>
      </c>
      <c r="AX227" s="6">
        <f t="shared" si="356"/>
        <v>5.4845305601000495E-6</v>
      </c>
      <c r="AY227" s="8">
        <f t="shared" si="357"/>
        <v>27.300050720575285</v>
      </c>
      <c r="AZ227" s="7">
        <f t="shared" si="358"/>
        <v>1.3726099234745714E-2</v>
      </c>
      <c r="BA227" s="9">
        <f t="shared" si="359"/>
        <v>0.20203717042338781</v>
      </c>
      <c r="BB227" s="4">
        <f t="shared" si="414"/>
        <v>986.56407695312657</v>
      </c>
      <c r="BC227" s="6">
        <f t="shared" si="360"/>
        <v>5.4731281539062534E-6</v>
      </c>
      <c r="BD227" s="8">
        <f t="shared" si="361"/>
        <v>27.234486884960955</v>
      </c>
      <c r="BE227" s="7">
        <f t="shared" si="362"/>
        <v>1.3697562506357411E-2</v>
      </c>
      <c r="BF227" s="9">
        <f t="shared" si="363"/>
        <v>0.20252355123480445</v>
      </c>
      <c r="BG227" s="4">
        <f t="shared" si="415"/>
        <v>980.24041672418002</v>
      </c>
      <c r="BH227" s="6">
        <f t="shared" si="364"/>
        <v>5.4604808334483607E-6</v>
      </c>
      <c r="BI227" s="8">
        <f t="shared" si="365"/>
        <v>27.161764792328071</v>
      </c>
      <c r="BJ227" s="7">
        <f t="shared" si="366"/>
        <v>1.3665910139075223E-2</v>
      </c>
      <c r="BK227" s="9">
        <f t="shared" si="367"/>
        <v>0.20306578170347409</v>
      </c>
      <c r="BL227" s="4">
        <f t="shared" si="416"/>
        <v>973.23291938964894</v>
      </c>
      <c r="BM227" s="6">
        <f t="shared" si="368"/>
        <v>5.4464658387792985E-6</v>
      </c>
      <c r="BN227" s="8">
        <f t="shared" si="369"/>
        <v>27.08117857298096</v>
      </c>
      <c r="BO227" s="7">
        <f t="shared" si="370"/>
        <v>1.3630834902371927E-2</v>
      </c>
      <c r="BP227" s="9">
        <f t="shared" si="371"/>
        <v>0.20367005022089288</v>
      </c>
      <c r="BQ227" s="4">
        <f t="shared" si="417"/>
        <v>965.34515076873379</v>
      </c>
      <c r="BR227" s="6">
        <f t="shared" si="372"/>
        <v>5.4306903015374676E-6</v>
      </c>
      <c r="BS227" s="8">
        <f t="shared" si="373"/>
        <v>26.990469233840436</v>
      </c>
      <c r="BT227" s="7">
        <f t="shared" si="374"/>
        <v>1.3591353567134576E-2</v>
      </c>
      <c r="BU227" s="9">
        <f t="shared" si="375"/>
        <v>0.20435454279114768</v>
      </c>
      <c r="BV227" s="4">
        <f t="shared" si="418"/>
        <v>956.01478916752217</v>
      </c>
      <c r="BW227" s="6">
        <f t="shared" si="376"/>
        <v>5.4120295783350451E-6</v>
      </c>
      <c r="BX227" s="8">
        <f t="shared" si="377"/>
        <v>26.883170075426506</v>
      </c>
      <c r="BY227" s="7">
        <f t="shared" si="378"/>
        <v>1.3544651495615095E-2</v>
      </c>
      <c r="BZ227" s="9">
        <f t="shared" si="379"/>
        <v>0.20517018582721941</v>
      </c>
      <c r="CA227" s="4">
        <f t="shared" si="419"/>
        <v>943.8226918189057</v>
      </c>
      <c r="CB227" s="6">
        <f t="shared" si="380"/>
        <v>5.3876453836378114E-6</v>
      </c>
      <c r="CC227" s="8">
        <f t="shared" si="381"/>
        <v>26.742960955917415</v>
      </c>
      <c r="CD227" s="7">
        <f t="shared" si="382"/>
        <v>1.3483625328925729E-2</v>
      </c>
      <c r="CE227" s="9">
        <f t="shared" si="383"/>
        <v>0.20624586069926404</v>
      </c>
      <c r="CF227" s="4">
        <f t="shared" si="420"/>
        <v>925.67058938628645</v>
      </c>
      <c r="CG227" s="6">
        <f t="shared" si="384"/>
        <v>5.3513411787725728E-6</v>
      </c>
      <c r="CH227" s="8">
        <f t="shared" si="385"/>
        <v>26.534211777942293</v>
      </c>
      <c r="CI227" s="7">
        <f t="shared" si="386"/>
        <v>1.3392767029722504E-2</v>
      </c>
      <c r="CJ227" s="9">
        <f t="shared" si="387"/>
        <v>0.20786843212674971</v>
      </c>
      <c r="CK227" s="4">
        <f t="shared" si="421"/>
        <v>895.85802961044715</v>
      </c>
      <c r="CL227" s="6">
        <f t="shared" si="388"/>
        <v>5.2917160592208948E-6</v>
      </c>
      <c r="CM227" s="8">
        <f t="shared" si="389"/>
        <v>26.191367340520141</v>
      </c>
      <c r="CN227" s="7">
        <f t="shared" si="390"/>
        <v>1.3243543627850352E-2</v>
      </c>
      <c r="CO227" s="9">
        <f t="shared" si="391"/>
        <v>0.21058942545038062</v>
      </c>
      <c r="CP227" s="4">
        <f t="shared" si="422"/>
        <v>845.89259768067745</v>
      </c>
      <c r="CQ227" s="6">
        <f t="shared" si="392"/>
        <v>5.191785195361355E-6</v>
      </c>
      <c r="CR227" s="8">
        <f t="shared" si="393"/>
        <v>25.616764873327789</v>
      </c>
      <c r="CS227" s="7">
        <f t="shared" si="394"/>
        <v>1.299344729983848E-2</v>
      </c>
      <c r="CT227" s="9">
        <f t="shared" si="395"/>
        <v>0.21531309778085508</v>
      </c>
      <c r="CU227" s="4">
        <f t="shared" si="423"/>
        <v>766.27478793634737</v>
      </c>
      <c r="CV227" s="6">
        <f t="shared" si="396"/>
        <v>5.0325495758726951E-6</v>
      </c>
      <c r="CW227" s="8">
        <f t="shared" si="397"/>
        <v>24.701160061267991</v>
      </c>
      <c r="CX227" s="7">
        <f t="shared" si="398"/>
        <v>1.2594929342675767E-2</v>
      </c>
      <c r="CY227" s="9">
        <f t="shared" si="399"/>
        <v>0.22329416862686671</v>
      </c>
      <c r="CZ227" s="5">
        <f t="shared" si="424"/>
        <v>650.65233176101742</v>
      </c>
      <c r="DA227" s="6">
        <f t="shared" si="400"/>
        <v>4.8013046635220355E-6</v>
      </c>
      <c r="DB227" s="8">
        <f t="shared" si="401"/>
        <v>33.779011782413107</v>
      </c>
      <c r="DC227" s="7">
        <f t="shared" si="402"/>
        <v>1.2016194193026545E-2</v>
      </c>
      <c r="DD227" s="9">
        <f t="shared" si="403"/>
        <v>0.16328556428852325</v>
      </c>
    </row>
    <row r="228" spans="2:108" x14ac:dyDescent="0.25">
      <c r="B228">
        <v>209</v>
      </c>
      <c r="C228">
        <f t="shared" si="404"/>
        <v>0.20432146526615755</v>
      </c>
      <c r="D228" s="4">
        <f t="shared" si="321"/>
        <v>1016.5622781230302</v>
      </c>
      <c r="E228" s="6">
        <f t="shared" si="322"/>
        <v>5.5331245562460607E-6</v>
      </c>
      <c r="F228" s="8">
        <f t="shared" si="323"/>
        <v>27.579466198414845</v>
      </c>
      <c r="G228" s="7">
        <f t="shared" si="319"/>
        <v>1.3847715115267098E-2</v>
      </c>
      <c r="H228" s="9">
        <f t="shared" si="324"/>
        <v>0.19999027393492538</v>
      </c>
      <c r="I228" s="4">
        <f t="shared" si="405"/>
        <v>1016.2375878110133</v>
      </c>
      <c r="J228" s="6">
        <f t="shared" si="325"/>
        <v>5.5324751756220273E-6</v>
      </c>
      <c r="K228" s="8">
        <f t="shared" si="326"/>
        <v>27.575732259826651</v>
      </c>
      <c r="L228" s="7">
        <f t="shared" si="327"/>
        <v>1.3846089914570533E-2</v>
      </c>
      <c r="M228" s="9">
        <f t="shared" si="328"/>
        <v>0.2000173539556506</v>
      </c>
      <c r="N228" s="4">
        <f t="shared" si="406"/>
        <v>1015.3312954408667</v>
      </c>
      <c r="O228" s="6">
        <f t="shared" si="329"/>
        <v>5.5306625908817336E-6</v>
      </c>
      <c r="P228" s="8">
        <f t="shared" si="330"/>
        <v>27.565309897569968</v>
      </c>
      <c r="Q228" s="7">
        <f t="shared" si="320"/>
        <v>1.3847715115267098E-2</v>
      </c>
      <c r="R228" s="9">
        <f t="shared" si="331"/>
        <v>0.2000929799264195</v>
      </c>
      <c r="S228" s="4">
        <f t="shared" si="407"/>
        <v>1013.8295740597445</v>
      </c>
      <c r="T228" s="6">
        <f t="shared" si="332"/>
        <v>5.5276591481194893E-6</v>
      </c>
      <c r="U228" s="8">
        <f t="shared" si="333"/>
        <v>27.548040101687061</v>
      </c>
      <c r="V228" s="7">
        <f t="shared" si="334"/>
        <v>1.3834036873623326E-2</v>
      </c>
      <c r="W228" s="9">
        <f t="shared" si="335"/>
        <v>0.20021841770377774</v>
      </c>
      <c r="X228" s="4">
        <f t="shared" si="408"/>
        <v>1011.7306102197493</v>
      </c>
      <c r="Y228" s="6">
        <f t="shared" si="336"/>
        <v>5.5234612204394992E-6</v>
      </c>
      <c r="Z228" s="8">
        <f t="shared" si="337"/>
        <v>27.523902017527117</v>
      </c>
      <c r="AA228" s="7">
        <f t="shared" si="338"/>
        <v>1.3823530747112695E-2</v>
      </c>
      <c r="AB228" s="9">
        <f t="shared" si="339"/>
        <v>0.2003940065070596</v>
      </c>
      <c r="AC228" s="4">
        <f t="shared" si="409"/>
        <v>1009.0329646728061</v>
      </c>
      <c r="AD228" s="6">
        <f t="shared" si="340"/>
        <v>5.5180659293456124E-6</v>
      </c>
      <c r="AE228" s="8">
        <f t="shared" si="341"/>
        <v>27.492879093737269</v>
      </c>
      <c r="AF228" s="7">
        <f t="shared" si="342"/>
        <v>1.3810027986914076E-2</v>
      </c>
      <c r="AG228" s="9">
        <f t="shared" si="343"/>
        <v>0.20062013080530477</v>
      </c>
      <c r="AH228" s="4">
        <f t="shared" si="410"/>
        <v>1005.7362711797978</v>
      </c>
      <c r="AI228" s="6">
        <f t="shared" si="344"/>
        <v>5.5114725423595962E-6</v>
      </c>
      <c r="AJ228" s="8">
        <f t="shared" si="345"/>
        <v>27.454967118567673</v>
      </c>
      <c r="AK228" s="7">
        <f t="shared" si="346"/>
        <v>1.3793526759858921E-2</v>
      </c>
      <c r="AL228" s="9">
        <f t="shared" si="347"/>
        <v>0.20089716284051956</v>
      </c>
      <c r="AM228" s="4">
        <f t="shared" si="411"/>
        <v>1001.8403325130317</v>
      </c>
      <c r="AN228" s="6">
        <f t="shared" si="348"/>
        <v>5.503680665026064E-6</v>
      </c>
      <c r="AO228" s="8">
        <f t="shared" si="349"/>
        <v>27.410163823899865</v>
      </c>
      <c r="AP228" s="7">
        <f t="shared" si="350"/>
        <v>1.3774026078746284E-2</v>
      </c>
      <c r="AQ228" s="9">
        <f t="shared" si="351"/>
        <v>0.20122553938151719</v>
      </c>
      <c r="AR228" s="4">
        <f t="shared" si="412"/>
        <v>997.34485211938454</v>
      </c>
      <c r="AS228" s="6">
        <f t="shared" si="352"/>
        <v>5.4946897042387701E-6</v>
      </c>
      <c r="AT228" s="8">
        <f t="shared" si="353"/>
        <v>27.358465799372922</v>
      </c>
      <c r="AU228" s="7">
        <f t="shared" si="354"/>
        <v>1.3751524459212988E-2</v>
      </c>
      <c r="AV228" s="9">
        <f t="shared" si="355"/>
        <v>0.20160578595479658</v>
      </c>
      <c r="AW228" s="4">
        <f t="shared" si="413"/>
        <v>992.24871013325492</v>
      </c>
      <c r="AX228" s="6">
        <f t="shared" si="356"/>
        <v>5.4844974202665106E-6</v>
      </c>
      <c r="AY228" s="8">
        <f t="shared" si="357"/>
        <v>27.299860166532433</v>
      </c>
      <c r="AZ228" s="7">
        <f t="shared" si="358"/>
        <v>1.3726016295898206E-2</v>
      </c>
      <c r="BA228" s="9">
        <f t="shared" si="359"/>
        <v>0.20203858065037783</v>
      </c>
      <c r="BB228" s="4">
        <f t="shared" si="414"/>
        <v>986.54728042289025</v>
      </c>
      <c r="BC228" s="6">
        <f t="shared" si="360"/>
        <v>5.4730945608457818E-6</v>
      </c>
      <c r="BD228" s="8">
        <f t="shared" si="361"/>
        <v>27.234293724863235</v>
      </c>
      <c r="BE228" s="7">
        <f t="shared" si="362"/>
        <v>1.3697478433221784E-2</v>
      </c>
      <c r="BF228" s="9">
        <f t="shared" si="363"/>
        <v>0.20252498763955731</v>
      </c>
      <c r="BG228" s="4">
        <f t="shared" si="415"/>
        <v>980.22274973275557</v>
      </c>
      <c r="BH228" s="6">
        <f t="shared" si="364"/>
        <v>5.4604454994655118E-6</v>
      </c>
      <c r="BI228" s="8">
        <f t="shared" si="365"/>
        <v>27.161561621926687</v>
      </c>
      <c r="BJ228" s="7">
        <f t="shared" si="366"/>
        <v>1.36658217089444E-2</v>
      </c>
      <c r="BK228" s="9">
        <f t="shared" si="367"/>
        <v>0.20306730064987893</v>
      </c>
      <c r="BL228" s="4">
        <f t="shared" si="416"/>
        <v>973.21240825715813</v>
      </c>
      <c r="BM228" s="6">
        <f t="shared" si="368"/>
        <v>5.446424816514317E-6</v>
      </c>
      <c r="BN228" s="8">
        <f t="shared" si="369"/>
        <v>27.080942694957315</v>
      </c>
      <c r="BO228" s="7">
        <f t="shared" si="370"/>
        <v>1.3630732236214122E-2</v>
      </c>
      <c r="BP228" s="9">
        <f t="shared" si="371"/>
        <v>0.20367182420968871</v>
      </c>
      <c r="BQ228" s="4">
        <f t="shared" si="417"/>
        <v>965.31646041152942</v>
      </c>
      <c r="BR228" s="6">
        <f t="shared" si="372"/>
        <v>5.4306329208230595E-6</v>
      </c>
      <c r="BS228" s="8">
        <f t="shared" si="373"/>
        <v>26.990139294732586</v>
      </c>
      <c r="BT228" s="7">
        <f t="shared" si="374"/>
        <v>1.3591209960790971E-2</v>
      </c>
      <c r="BU228" s="9">
        <f t="shared" si="375"/>
        <v>0.20435704090924914</v>
      </c>
      <c r="BV228" s="4">
        <f t="shared" si="418"/>
        <v>955.96544770689616</v>
      </c>
      <c r="BW228" s="6">
        <f t="shared" si="376"/>
        <v>5.4119308954137923E-6</v>
      </c>
      <c r="BX228" s="8">
        <f t="shared" si="377"/>
        <v>26.882602648629305</v>
      </c>
      <c r="BY228" s="7">
        <f t="shared" si="378"/>
        <v>1.3544404522504992E-2</v>
      </c>
      <c r="BZ228" s="9">
        <f t="shared" si="379"/>
        <v>0.20517451647417895</v>
      </c>
      <c r="CA228" s="4">
        <f t="shared" si="419"/>
        <v>943.72826729520011</v>
      </c>
      <c r="CB228" s="6">
        <f t="shared" si="380"/>
        <v>5.3874565345904003E-6</v>
      </c>
      <c r="CC228" s="8">
        <f t="shared" si="381"/>
        <v>26.7418750738948</v>
      </c>
      <c r="CD228" s="7">
        <f t="shared" si="382"/>
        <v>1.3483152697633635E-2</v>
      </c>
      <c r="CE228" s="9">
        <f t="shared" si="383"/>
        <v>0.20625423552981548</v>
      </c>
      <c r="CF228" s="4">
        <f t="shared" si="420"/>
        <v>925.49315981988332</v>
      </c>
      <c r="CG228" s="6">
        <f t="shared" si="384"/>
        <v>5.3509863196397667E-6</v>
      </c>
      <c r="CH228" s="8">
        <f t="shared" si="385"/>
        <v>26.532171337928659</v>
      </c>
      <c r="CI228" s="7">
        <f t="shared" si="386"/>
        <v>1.3391878926061146E-2</v>
      </c>
      <c r="CJ228" s="9">
        <f t="shared" si="387"/>
        <v>0.20788441811828731</v>
      </c>
      <c r="CK228" s="4">
        <f t="shared" si="421"/>
        <v>895.55672192755264</v>
      </c>
      <c r="CL228" s="6">
        <f t="shared" si="388"/>
        <v>5.2911134438551058E-6</v>
      </c>
      <c r="CM228" s="8">
        <f t="shared" si="389"/>
        <v>26.187902302166854</v>
      </c>
      <c r="CN228" s="7">
        <f t="shared" si="390"/>
        <v>1.3242035466263765E-2</v>
      </c>
      <c r="CO228" s="9">
        <f t="shared" si="391"/>
        <v>0.21061728947811231</v>
      </c>
      <c r="CP228" s="4">
        <f t="shared" si="422"/>
        <v>845.45227467860684</v>
      </c>
      <c r="CQ228" s="6">
        <f t="shared" si="392"/>
        <v>5.1909045493572141E-6</v>
      </c>
      <c r="CR228" s="8">
        <f t="shared" si="393"/>
        <v>25.611701158803978</v>
      </c>
      <c r="CS228" s="7">
        <f t="shared" si="394"/>
        <v>1.2991243312767745E-2</v>
      </c>
      <c r="CT228" s="9">
        <f t="shared" si="395"/>
        <v>0.21535566754432528</v>
      </c>
      <c r="CU228" s="4">
        <f t="shared" si="423"/>
        <v>765.74029508261913</v>
      </c>
      <c r="CV228" s="6">
        <f t="shared" si="396"/>
        <v>5.0314805901652385E-6</v>
      </c>
      <c r="CW228" s="8">
        <f t="shared" si="397"/>
        <v>24.695013393450118</v>
      </c>
      <c r="CX228" s="7">
        <f t="shared" si="398"/>
        <v>1.2592253999045115E-2</v>
      </c>
      <c r="CY228" s="9">
        <f t="shared" si="399"/>
        <v>0.2233497472596194</v>
      </c>
      <c r="CZ228" s="5">
        <f t="shared" si="424"/>
        <v>650.13294279413344</v>
      </c>
      <c r="DA228" s="6">
        <f t="shared" si="400"/>
        <v>4.8002658855882672E-6</v>
      </c>
      <c r="DB228" s="8">
        <f t="shared" si="401"/>
        <v>33.883305086963361</v>
      </c>
      <c r="DC228" s="7">
        <f t="shared" si="402"/>
        <v>1.2013594450196138E-2</v>
      </c>
      <c r="DD228" s="9">
        <f t="shared" si="403"/>
        <v>0.16278296895311262</v>
      </c>
    </row>
    <row r="229" spans="2:108" x14ac:dyDescent="0.25">
      <c r="B229">
        <v>210</v>
      </c>
      <c r="C229">
        <f t="shared" si="404"/>
        <v>0.20529907993250279</v>
      </c>
      <c r="D229" s="4">
        <f t="shared" si="321"/>
        <v>1016.5457010759252</v>
      </c>
      <c r="E229" s="6">
        <f t="shared" si="322"/>
        <v>5.5330914021518505E-6</v>
      </c>
      <c r="F229" s="8">
        <f t="shared" si="323"/>
        <v>27.579275562373141</v>
      </c>
      <c r="G229" s="7">
        <f t="shared" si="319"/>
        <v>1.3847632140729498E-2</v>
      </c>
      <c r="H229" s="9">
        <f t="shared" si="324"/>
        <v>0.19999165632635607</v>
      </c>
      <c r="I229" s="4">
        <f t="shared" si="405"/>
        <v>1016.2210109019829</v>
      </c>
      <c r="J229" s="6">
        <f t="shared" si="325"/>
        <v>5.5324420218039669E-6</v>
      </c>
      <c r="K229" s="8">
        <f t="shared" si="326"/>
        <v>27.575541625372804</v>
      </c>
      <c r="L229" s="7">
        <f t="shared" si="327"/>
        <v>1.3846006940724053E-2</v>
      </c>
      <c r="M229" s="9">
        <f t="shared" si="328"/>
        <v>0.20001873670996054</v>
      </c>
      <c r="N229" s="4">
        <f t="shared" si="406"/>
        <v>1015.3147157828697</v>
      </c>
      <c r="O229" s="6">
        <f t="shared" si="329"/>
        <v>5.5306294315657398E-6</v>
      </c>
      <c r="P229" s="8">
        <f t="shared" si="330"/>
        <v>27.565119231503001</v>
      </c>
      <c r="Q229" s="7">
        <f t="shared" si="320"/>
        <v>1.3847632140729498E-2</v>
      </c>
      <c r="R229" s="9">
        <f t="shared" si="331"/>
        <v>0.20009436395604002</v>
      </c>
      <c r="S229" s="4">
        <f t="shared" si="407"/>
        <v>1013.8129935051423</v>
      </c>
      <c r="T229" s="6">
        <f t="shared" si="332"/>
        <v>5.5276259870102853E-6</v>
      </c>
      <c r="U229" s="8">
        <f t="shared" si="333"/>
        <v>27.547849425309138</v>
      </c>
      <c r="V229" s="7">
        <f t="shared" si="334"/>
        <v>1.3833953881529347E-2</v>
      </c>
      <c r="W229" s="9">
        <f t="shared" si="335"/>
        <v>0.20021980354417826</v>
      </c>
      <c r="X229" s="4">
        <f t="shared" si="408"/>
        <v>1011.7140335754949</v>
      </c>
      <c r="Y229" s="6">
        <f t="shared" si="336"/>
        <v>5.5234280671509902E-6</v>
      </c>
      <c r="Z229" s="8">
        <f t="shared" si="337"/>
        <v>27.52371138611819</v>
      </c>
      <c r="AA229" s="7">
        <f t="shared" si="338"/>
        <v>1.3823447774591519E-2</v>
      </c>
      <c r="AB229" s="9">
        <f t="shared" si="339"/>
        <v>0.20039539445184892</v>
      </c>
      <c r="AC229" s="4">
        <f t="shared" si="409"/>
        <v>1009.016397521543</v>
      </c>
      <c r="AD229" s="6">
        <f t="shared" si="340"/>
        <v>5.518032795043086E-6</v>
      </c>
      <c r="AE229" s="8">
        <f t="shared" si="341"/>
        <v>27.492688571497744</v>
      </c>
      <c r="AF229" s="7">
        <f t="shared" si="342"/>
        <v>1.3809945061908996E-2</v>
      </c>
      <c r="AG229" s="9">
        <f t="shared" si="343"/>
        <v>0.20062152108754347</v>
      </c>
      <c r="AH229" s="4">
        <f t="shared" si="410"/>
        <v>1005.7197181489548</v>
      </c>
      <c r="AI229" s="6">
        <f t="shared" si="344"/>
        <v>5.5114394362979106E-6</v>
      </c>
      <c r="AJ229" s="8">
        <f t="shared" si="345"/>
        <v>27.454776758712981</v>
      </c>
      <c r="AK229" s="7">
        <f t="shared" si="346"/>
        <v>1.3793443905532013E-2</v>
      </c>
      <c r="AL229" s="9">
        <f t="shared" si="347"/>
        <v>0.20089855577680393</v>
      </c>
      <c r="AM229" s="4">
        <f t="shared" si="411"/>
        <v>1001.823795155846</v>
      </c>
      <c r="AN229" s="6">
        <f t="shared" si="348"/>
        <v>5.5036475903116931E-6</v>
      </c>
      <c r="AO229" s="8">
        <f t="shared" si="349"/>
        <v>27.409973644292229</v>
      </c>
      <c r="AP229" s="7">
        <f t="shared" si="350"/>
        <v>1.3773943302872096E-2</v>
      </c>
      <c r="AQ229" s="9">
        <f t="shared" si="351"/>
        <v>0.20122693555192664</v>
      </c>
      <c r="AR229" s="4">
        <f t="shared" si="412"/>
        <v>997.32832148673788</v>
      </c>
      <c r="AS229" s="6">
        <f t="shared" si="352"/>
        <v>5.4946566429734765E-6</v>
      </c>
      <c r="AT229" s="8">
        <f t="shared" si="353"/>
        <v>27.358275697097483</v>
      </c>
      <c r="AU229" s="7">
        <f t="shared" si="354"/>
        <v>1.375144171699772E-2</v>
      </c>
      <c r="AV229" s="9">
        <f t="shared" si="355"/>
        <v>0.20160718683689441</v>
      </c>
      <c r="AW229" s="4">
        <f t="shared" si="413"/>
        <v>992.23213754451149</v>
      </c>
      <c r="AX229" s="6">
        <f t="shared" si="356"/>
        <v>5.4844642750890239E-6</v>
      </c>
      <c r="AY229" s="8">
        <f t="shared" si="357"/>
        <v>27.299669581761883</v>
      </c>
      <c r="AZ229" s="7">
        <f t="shared" si="358"/>
        <v>1.3725933343676435E-2</v>
      </c>
      <c r="BA229" s="9">
        <f t="shared" si="359"/>
        <v>0.20203999112446508</v>
      </c>
      <c r="BB229" s="4">
        <f t="shared" si="414"/>
        <v>986.53047440383295</v>
      </c>
      <c r="BC229" s="6">
        <f t="shared" si="360"/>
        <v>5.4730609488076658E-6</v>
      </c>
      <c r="BD229" s="8">
        <f t="shared" si="361"/>
        <v>27.234100455644079</v>
      </c>
      <c r="BE229" s="7">
        <f t="shared" si="362"/>
        <v>1.3697394312590929E-2</v>
      </c>
      <c r="BF229" s="9">
        <f t="shared" si="363"/>
        <v>0.20252642487616751</v>
      </c>
      <c r="BG229" s="4">
        <f t="shared" si="415"/>
        <v>980.20505350281405</v>
      </c>
      <c r="BH229" s="6">
        <f t="shared" si="364"/>
        <v>5.4604101070056283E-6</v>
      </c>
      <c r="BI229" s="8">
        <f t="shared" si="365"/>
        <v>27.161358115282361</v>
      </c>
      <c r="BJ229" s="7">
        <f t="shared" si="366"/>
        <v>1.3665733132463477E-2</v>
      </c>
      <c r="BK229" s="9">
        <f t="shared" si="367"/>
        <v>0.20306882213288993</v>
      </c>
      <c r="BL229" s="4">
        <f t="shared" si="416"/>
        <v>973.19181807301743</v>
      </c>
      <c r="BM229" s="6">
        <f t="shared" si="368"/>
        <v>5.4463836361460348E-6</v>
      </c>
      <c r="BN229" s="8">
        <f t="shared" si="369"/>
        <v>27.0807059078397</v>
      </c>
      <c r="BO229" s="7">
        <f t="shared" si="370"/>
        <v>1.3630629174372206E-2</v>
      </c>
      <c r="BP229" s="9">
        <f t="shared" si="371"/>
        <v>0.20367360506667073</v>
      </c>
      <c r="BQ229" s="4">
        <f t="shared" si="417"/>
        <v>965.2875851572561</v>
      </c>
      <c r="BR229" s="6">
        <f t="shared" si="372"/>
        <v>5.4305751703145123E-6</v>
      </c>
      <c r="BS229" s="8">
        <f t="shared" si="373"/>
        <v>26.989807229308447</v>
      </c>
      <c r="BT229" s="7">
        <f t="shared" si="374"/>
        <v>1.3591065428965963E-2</v>
      </c>
      <c r="BU229" s="9">
        <f t="shared" si="375"/>
        <v>0.20435955518832083</v>
      </c>
      <c r="BV229" s="4">
        <f t="shared" si="418"/>
        <v>955.91574280756709</v>
      </c>
      <c r="BW229" s="6">
        <f t="shared" si="376"/>
        <v>5.4118314856151341E-6</v>
      </c>
      <c r="BX229" s="8">
        <f t="shared" si="377"/>
        <v>26.882031042287021</v>
      </c>
      <c r="BY229" s="7">
        <f t="shared" si="378"/>
        <v>1.3544155730243496E-2</v>
      </c>
      <c r="BZ229" s="9">
        <f t="shared" si="379"/>
        <v>0.20517887920461056</v>
      </c>
      <c r="CA229" s="4">
        <f t="shared" si="419"/>
        <v>943.63327305657185</v>
      </c>
      <c r="CB229" s="6">
        <f t="shared" si="380"/>
        <v>5.3872665461131438E-6</v>
      </c>
      <c r="CC229" s="8">
        <f t="shared" si="381"/>
        <v>26.740782640150577</v>
      </c>
      <c r="CD229" s="7">
        <f t="shared" si="382"/>
        <v>1.348267721469782E-2</v>
      </c>
      <c r="CE229" s="9">
        <f t="shared" si="383"/>
        <v>0.20626266157664491</v>
      </c>
      <c r="CF229" s="4">
        <f t="shared" si="420"/>
        <v>925.31509826522802</v>
      </c>
      <c r="CG229" s="6">
        <f t="shared" si="384"/>
        <v>5.3506301965304568E-6</v>
      </c>
      <c r="CH229" s="8">
        <f t="shared" si="385"/>
        <v>26.53012363005012</v>
      </c>
      <c r="CI229" s="7">
        <f t="shared" si="386"/>
        <v>1.339098765905395E-2</v>
      </c>
      <c r="CJ229" s="9">
        <f t="shared" si="387"/>
        <v>0.20790046352262626</v>
      </c>
      <c r="CK229" s="4">
        <f t="shared" si="421"/>
        <v>895.25512805417566</v>
      </c>
      <c r="CL229" s="6">
        <f t="shared" si="388"/>
        <v>5.290510256108352E-6</v>
      </c>
      <c r="CM229" s="8">
        <f t="shared" si="389"/>
        <v>26.184433972623019</v>
      </c>
      <c r="CN229" s="7">
        <f t="shared" si="390"/>
        <v>1.3240525872183032E-2</v>
      </c>
      <c r="CO229" s="9">
        <f t="shared" si="391"/>
        <v>0.21064518735699345</v>
      </c>
      <c r="CP229" s="4">
        <f t="shared" si="422"/>
        <v>845.01250988726895</v>
      </c>
      <c r="CQ229" s="6">
        <f t="shared" si="392"/>
        <v>5.1900250197745385E-6</v>
      </c>
      <c r="CR229" s="8">
        <f t="shared" si="393"/>
        <v>25.606643863703592</v>
      </c>
      <c r="CS229" s="7">
        <f t="shared" si="394"/>
        <v>1.2989042119757805E-2</v>
      </c>
      <c r="CT229" s="9">
        <f t="shared" si="395"/>
        <v>0.21539820014516547</v>
      </c>
      <c r="CU229" s="4">
        <f t="shared" si="423"/>
        <v>765.2072851266895</v>
      </c>
      <c r="CV229" s="6">
        <f t="shared" si="396"/>
        <v>5.03041457025338E-6</v>
      </c>
      <c r="CW229" s="8">
        <f t="shared" si="397"/>
        <v>24.688883778956928</v>
      </c>
      <c r="CX229" s="7">
        <f t="shared" si="398"/>
        <v>1.2589586077891967E-2</v>
      </c>
      <c r="CY229" s="9">
        <f t="shared" si="399"/>
        <v>0.22340519925413282</v>
      </c>
      <c r="CZ229" s="5">
        <f t="shared" si="424"/>
        <v>649.61528045176419</v>
      </c>
      <c r="DA229" s="6">
        <f t="shared" si="400"/>
        <v>4.7768328859513708E-6</v>
      </c>
      <c r="DB229" s="8">
        <f t="shared" si="401"/>
        <v>34.65615686689884</v>
      </c>
      <c r="DC229" s="7">
        <f t="shared" si="402"/>
        <v>1.1954948833245115E-2</v>
      </c>
      <c r="DD229" s="9">
        <f t="shared" si="403"/>
        <v>0.15915281723774002</v>
      </c>
    </row>
    <row r="230" spans="2:108" x14ac:dyDescent="0.25">
      <c r="B230">
        <v>211</v>
      </c>
      <c r="C230">
        <f t="shared" si="404"/>
        <v>0.20627669459884806</v>
      </c>
      <c r="D230" s="4">
        <f t="shared" si="321"/>
        <v>1016.5291240358696</v>
      </c>
      <c r="E230" s="6">
        <f t="shared" si="322"/>
        <v>5.5330582480717401E-6</v>
      </c>
      <c r="F230" s="8">
        <f t="shared" si="323"/>
        <v>27.579084926412499</v>
      </c>
      <c r="G230" s="7">
        <f t="shared" si="319"/>
        <v>1.3847549166227189E-2</v>
      </c>
      <c r="H230" s="9">
        <f t="shared" si="324"/>
        <v>0.19999303873631008</v>
      </c>
      <c r="I230" s="4">
        <f t="shared" si="405"/>
        <v>1016.2044340342251</v>
      </c>
      <c r="J230" s="6">
        <f t="shared" si="325"/>
        <v>5.5324088680684506E-6</v>
      </c>
      <c r="K230" s="8">
        <f t="shared" si="326"/>
        <v>27.575350991393588</v>
      </c>
      <c r="L230" s="7">
        <f t="shared" si="327"/>
        <v>1.3845923967084155E-2</v>
      </c>
      <c r="M230" s="9">
        <f t="shared" si="328"/>
        <v>0.20002011947994627</v>
      </c>
      <c r="N230" s="4">
        <f t="shared" si="406"/>
        <v>1015.2981362372566</v>
      </c>
      <c r="O230" s="6">
        <f t="shared" si="329"/>
        <v>5.5305962724745139E-6</v>
      </c>
      <c r="P230" s="8">
        <f t="shared" si="330"/>
        <v>27.564928566728447</v>
      </c>
      <c r="Q230" s="7">
        <f t="shared" si="320"/>
        <v>1.3847549166227189E-2</v>
      </c>
      <c r="R230" s="9">
        <f t="shared" si="331"/>
        <v>0.20009574799542548</v>
      </c>
      <c r="S230" s="4">
        <f t="shared" si="407"/>
        <v>1013.7964131234104</v>
      </c>
      <c r="T230" s="6">
        <f t="shared" si="332"/>
        <v>5.5275928262468214E-6</v>
      </c>
      <c r="U230" s="8">
        <f t="shared" si="333"/>
        <v>27.547658750919219</v>
      </c>
      <c r="V230" s="7">
        <f t="shared" si="334"/>
        <v>1.3833870890300649E-2</v>
      </c>
      <c r="W230" s="9">
        <f t="shared" si="335"/>
        <v>0.20022118938931435</v>
      </c>
      <c r="X230" s="4">
        <f t="shared" si="408"/>
        <v>1011.6974571310924</v>
      </c>
      <c r="Y230" s="6">
        <f t="shared" si="336"/>
        <v>5.523394914262185E-6</v>
      </c>
      <c r="Z230" s="8">
        <f t="shared" si="337"/>
        <v>27.52352075700756</v>
      </c>
      <c r="AA230" s="7">
        <f t="shared" si="338"/>
        <v>1.3823364803070681E-2</v>
      </c>
      <c r="AB230" s="9">
        <f t="shared" si="339"/>
        <v>0.20039678239913067</v>
      </c>
      <c r="AC230" s="4">
        <f t="shared" si="409"/>
        <v>1008.9998305663281</v>
      </c>
      <c r="AD230" s="6">
        <f t="shared" si="340"/>
        <v>5.5179996611326571E-6</v>
      </c>
      <c r="AE230" s="8">
        <f t="shared" si="341"/>
        <v>27.492498051512772</v>
      </c>
      <c r="AF230" s="7">
        <f t="shared" si="342"/>
        <v>1.3809862137885218E-2</v>
      </c>
      <c r="AG230" s="9">
        <f t="shared" si="343"/>
        <v>0.20062291137259908</v>
      </c>
      <c r="AH230" s="4">
        <f t="shared" si="410"/>
        <v>1005.7031652732448</v>
      </c>
      <c r="AI230" s="6">
        <f t="shared" si="344"/>
        <v>5.5114063305464897E-6</v>
      </c>
      <c r="AJ230" s="8">
        <f t="shared" si="345"/>
        <v>27.454586400642313</v>
      </c>
      <c r="AK230" s="7">
        <f t="shared" si="346"/>
        <v>1.3793361051981602E-2</v>
      </c>
      <c r="AL230" s="9">
        <f t="shared" si="347"/>
        <v>0.20089994871934982</v>
      </c>
      <c r="AM230" s="4">
        <f t="shared" si="411"/>
        <v>1001.807257796625</v>
      </c>
      <c r="AN230" s="6">
        <f t="shared" si="348"/>
        <v>5.5036145155932504E-6</v>
      </c>
      <c r="AO230" s="8">
        <f t="shared" si="349"/>
        <v>27.409783464661189</v>
      </c>
      <c r="AP230" s="7">
        <f t="shared" si="350"/>
        <v>1.377386052698772E-2</v>
      </c>
      <c r="AQ230" s="9">
        <f t="shared" si="351"/>
        <v>0.20122833174188223</v>
      </c>
      <c r="AR230" s="4">
        <f t="shared" si="412"/>
        <v>997.31179025258371</v>
      </c>
      <c r="AS230" s="6">
        <f t="shared" si="352"/>
        <v>5.4946235805051673E-6</v>
      </c>
      <c r="AT230" s="8">
        <f t="shared" si="353"/>
        <v>27.358085587904711</v>
      </c>
      <c r="AU230" s="7">
        <f t="shared" si="354"/>
        <v>1.3751358971771674E-2</v>
      </c>
      <c r="AV230" s="9">
        <f t="shared" si="355"/>
        <v>0.20160858778943633</v>
      </c>
      <c r="AW230" s="4">
        <f t="shared" si="413"/>
        <v>992.21556221207254</v>
      </c>
      <c r="AX230" s="6">
        <f t="shared" si="356"/>
        <v>5.4844311244241452E-6</v>
      </c>
      <c r="AY230" s="8">
        <f t="shared" si="357"/>
        <v>27.299478965438833</v>
      </c>
      <c r="AZ230" s="7">
        <f t="shared" si="358"/>
        <v>1.3725850377721402E-2</v>
      </c>
      <c r="BA230" s="9">
        <f t="shared" si="359"/>
        <v>0.20204140185176378</v>
      </c>
      <c r="BB230" s="4">
        <f t="shared" si="414"/>
        <v>986.51365870034078</v>
      </c>
      <c r="BC230" s="6">
        <f t="shared" si="360"/>
        <v>5.473027317400682E-6</v>
      </c>
      <c r="BD230" s="8">
        <f t="shared" si="361"/>
        <v>27.233907075053921</v>
      </c>
      <c r="BE230" s="7">
        <f t="shared" si="362"/>
        <v>1.3697310143485733E-2</v>
      </c>
      <c r="BF230" s="9">
        <f t="shared" si="363"/>
        <v>0.20252786296139919</v>
      </c>
      <c r="BG230" s="4">
        <f t="shared" si="415"/>
        <v>980.1873275796803</v>
      </c>
      <c r="BH230" s="6">
        <f t="shared" si="364"/>
        <v>5.4603746551593611E-6</v>
      </c>
      <c r="BI230" s="8">
        <f t="shared" si="365"/>
        <v>27.161154267166324</v>
      </c>
      <c r="BJ230" s="7">
        <f t="shared" si="366"/>
        <v>1.3665644407356637E-2</v>
      </c>
      <c r="BK230" s="9">
        <f t="shared" si="367"/>
        <v>0.20307034619171344</v>
      </c>
      <c r="BL230" s="4">
        <f t="shared" si="416"/>
        <v>973.17114798412854</v>
      </c>
      <c r="BM230" s="6">
        <f t="shared" si="368"/>
        <v>5.4463422959682582E-6</v>
      </c>
      <c r="BN230" s="8">
        <f t="shared" si="369"/>
        <v>27.080468201817478</v>
      </c>
      <c r="BO230" s="7">
        <f t="shared" si="370"/>
        <v>1.3630525712576102E-2</v>
      </c>
      <c r="BP230" s="9">
        <f t="shared" si="371"/>
        <v>0.20367539286598541</v>
      </c>
      <c r="BQ230" s="4">
        <f t="shared" si="417"/>
        <v>965.25852386958798</v>
      </c>
      <c r="BR230" s="6">
        <f t="shared" si="372"/>
        <v>5.4305170477391765E-6</v>
      </c>
      <c r="BS230" s="8">
        <f t="shared" si="373"/>
        <v>26.989473024500263</v>
      </c>
      <c r="BT230" s="7">
        <f t="shared" si="374"/>
        <v>1.3590919965971801E-2</v>
      </c>
      <c r="BU230" s="9">
        <f t="shared" si="375"/>
        <v>0.20436208572850145</v>
      </c>
      <c r="BV230" s="4">
        <f t="shared" si="418"/>
        <v>955.86567391698088</v>
      </c>
      <c r="BW230" s="6">
        <f t="shared" si="376"/>
        <v>5.4117313478339621E-6</v>
      </c>
      <c r="BX230" s="8">
        <f t="shared" si="377"/>
        <v>26.881455250045278</v>
      </c>
      <c r="BY230" s="7">
        <f t="shared" si="378"/>
        <v>1.3543905116064863E-2</v>
      </c>
      <c r="BZ230" s="9">
        <f t="shared" si="379"/>
        <v>0.20518327407109813</v>
      </c>
      <c r="CA230" s="4">
        <f t="shared" si="419"/>
        <v>943.5377109659911</v>
      </c>
      <c r="CB230" s="6">
        <f t="shared" si="380"/>
        <v>5.3870754219319829E-6</v>
      </c>
      <c r="CC230" s="8">
        <f t="shared" si="381"/>
        <v>26.739683676108896</v>
      </c>
      <c r="CD230" s="7">
        <f t="shared" si="382"/>
        <v>1.3482198889443174E-2</v>
      </c>
      <c r="CE230" s="9">
        <f t="shared" si="383"/>
        <v>0.20627113868695632</v>
      </c>
      <c r="CF230" s="4">
        <f t="shared" si="420"/>
        <v>925.13641042615961</v>
      </c>
      <c r="CG230" s="6">
        <f t="shared" si="384"/>
        <v>5.3502728208523196E-6</v>
      </c>
      <c r="CH230" s="8">
        <f t="shared" si="385"/>
        <v>26.528068719900837</v>
      </c>
      <c r="CI230" s="7">
        <f t="shared" si="386"/>
        <v>1.3390093257250836E-2</v>
      </c>
      <c r="CJ230" s="9">
        <f t="shared" si="387"/>
        <v>0.20791656785261139</v>
      </c>
      <c r="CK230" s="4">
        <f t="shared" si="421"/>
        <v>894.95325524683381</v>
      </c>
      <c r="CL230" s="6">
        <f t="shared" si="388"/>
        <v>5.2899065104936678E-6</v>
      </c>
      <c r="CM230" s="8">
        <f t="shared" si="389"/>
        <v>26.180962435338586</v>
      </c>
      <c r="CN230" s="7">
        <f t="shared" si="390"/>
        <v>1.3239014881929832E-2</v>
      </c>
      <c r="CO230" s="9">
        <f t="shared" si="391"/>
        <v>0.21067311843949288</v>
      </c>
      <c r="CP230" s="4">
        <f t="shared" si="422"/>
        <v>844.57330495063002</v>
      </c>
      <c r="CQ230" s="6">
        <f t="shared" si="392"/>
        <v>5.18914660990126E-6</v>
      </c>
      <c r="CR230" s="8">
        <f t="shared" si="393"/>
        <v>25.601593006932244</v>
      </c>
      <c r="CS230" s="7">
        <f t="shared" si="394"/>
        <v>1.2986843729037346E-2</v>
      </c>
      <c r="CT230" s="9">
        <f t="shared" si="395"/>
        <v>0.21544069537026514</v>
      </c>
      <c r="CU230" s="4">
        <f t="shared" si="423"/>
        <v>764.67574903775107</v>
      </c>
      <c r="CV230" s="6">
        <f t="shared" si="396"/>
        <v>5.0293514980755034E-6</v>
      </c>
      <c r="CW230" s="8">
        <f t="shared" si="397"/>
        <v>24.682771113934137</v>
      </c>
      <c r="CX230" s="7">
        <f t="shared" si="398"/>
        <v>1.2586925534013627E-2</v>
      </c>
      <c r="CY230" s="9">
        <f t="shared" si="399"/>
        <v>0.22346052534134914</v>
      </c>
      <c r="CZ230" s="5">
        <f t="shared" si="424"/>
        <v>649.0993314848381</v>
      </c>
      <c r="DA230" s="6">
        <f t="shared" si="400"/>
        <v>4.7862395892601894E-6</v>
      </c>
      <c r="DB230" s="8">
        <f t="shared" si="401"/>
        <v>34.671119386939694</v>
      </c>
      <c r="DC230" s="7">
        <f t="shared" si="402"/>
        <v>1.1978490928903766E-2</v>
      </c>
      <c r="DD230" s="9">
        <f t="shared" si="403"/>
        <v>0.15908413392841558</v>
      </c>
    </row>
    <row r="231" spans="2:108" x14ac:dyDescent="0.25">
      <c r="B231">
        <v>212</v>
      </c>
      <c r="C231">
        <f t="shared" si="404"/>
        <v>0.20725430926519331</v>
      </c>
      <c r="D231" s="4">
        <f t="shared" si="321"/>
        <v>1016.5125470046106</v>
      </c>
      <c r="E231" s="6">
        <f t="shared" si="322"/>
        <v>5.5330250940092216E-6</v>
      </c>
      <c r="F231" s="8">
        <f t="shared" si="323"/>
        <v>27.578894290553023</v>
      </c>
      <c r="G231" s="7">
        <f t="shared" si="319"/>
        <v>1.3847466191768906E-2</v>
      </c>
      <c r="H231" s="9">
        <f t="shared" si="324"/>
        <v>0.19999442116464192</v>
      </c>
      <c r="I231" s="4">
        <f t="shared" si="405"/>
        <v>1016.1878572089805</v>
      </c>
      <c r="J231" s="6">
        <f t="shared" si="325"/>
        <v>5.5323757144179612E-6</v>
      </c>
      <c r="K231" s="8">
        <f t="shared" si="326"/>
        <v>27.575160357903275</v>
      </c>
      <c r="L231" s="7">
        <f t="shared" si="327"/>
        <v>1.3845840993657054E-2</v>
      </c>
      <c r="M231" s="9">
        <f t="shared" si="328"/>
        <v>0.2000215022655045</v>
      </c>
      <c r="N231" s="4">
        <f t="shared" si="406"/>
        <v>1015.2815568043353</v>
      </c>
      <c r="O231" s="6">
        <f t="shared" si="329"/>
        <v>5.5305631136086715E-6</v>
      </c>
      <c r="P231" s="8">
        <f t="shared" si="330"/>
        <v>27.564737903249856</v>
      </c>
      <c r="Q231" s="7">
        <f t="shared" si="320"/>
        <v>1.3847466191768906E-2</v>
      </c>
      <c r="R231" s="9">
        <f t="shared" si="331"/>
        <v>0.20009713204455004</v>
      </c>
      <c r="S231" s="4">
        <f t="shared" si="407"/>
        <v>1013.7798329142855</v>
      </c>
      <c r="T231" s="6">
        <f t="shared" si="332"/>
        <v>5.5275596658285718E-6</v>
      </c>
      <c r="U231" s="8">
        <f t="shared" si="333"/>
        <v>27.547468078514285</v>
      </c>
      <c r="V231" s="7">
        <f t="shared" si="334"/>
        <v>1.3833787899935919E-2</v>
      </c>
      <c r="W231" s="9">
        <f t="shared" si="335"/>
        <v>0.20022257523920775</v>
      </c>
      <c r="X231" s="4">
        <f t="shared" si="408"/>
        <v>1011.6808808861539</v>
      </c>
      <c r="Y231" s="6">
        <f t="shared" si="336"/>
        <v>5.5233617617723077E-6</v>
      </c>
      <c r="Z231" s="8">
        <f t="shared" si="337"/>
        <v>27.523330130190768</v>
      </c>
      <c r="AA231" s="7">
        <f t="shared" si="338"/>
        <v>1.3823281832548237E-2</v>
      </c>
      <c r="AB231" s="9">
        <f t="shared" si="339"/>
        <v>0.200398170348937</v>
      </c>
      <c r="AC231" s="4">
        <f t="shared" si="409"/>
        <v>1008.9832638065842</v>
      </c>
      <c r="AD231" s="6">
        <f t="shared" si="340"/>
        <v>5.5179665276131686E-6</v>
      </c>
      <c r="AE231" s="8">
        <f t="shared" si="341"/>
        <v>27.492307533775715</v>
      </c>
      <c r="AF231" s="7">
        <f t="shared" si="342"/>
        <v>1.3809779214839842E-2</v>
      </c>
      <c r="AG231" s="9">
        <f t="shared" si="343"/>
        <v>0.20062430166051978</v>
      </c>
      <c r="AH231" s="4">
        <f t="shared" si="410"/>
        <v>1005.6866125508326</v>
      </c>
      <c r="AI231" s="6">
        <f t="shared" si="344"/>
        <v>5.511373225101666E-6</v>
      </c>
      <c r="AJ231" s="8">
        <f t="shared" si="345"/>
        <v>27.454396044334572</v>
      </c>
      <c r="AK231" s="7">
        <f t="shared" si="346"/>
        <v>1.3793278199198509E-2</v>
      </c>
      <c r="AL231" s="9">
        <f t="shared" si="347"/>
        <v>0.2009013416683115</v>
      </c>
      <c r="AM231" s="4">
        <f t="shared" si="411"/>
        <v>1001.7907204285226</v>
      </c>
      <c r="AN231" s="6">
        <f t="shared" si="348"/>
        <v>5.5035814408570454E-6</v>
      </c>
      <c r="AO231" s="8">
        <f t="shared" si="349"/>
        <v>27.409593284928008</v>
      </c>
      <c r="AP231" s="7">
        <f t="shared" si="350"/>
        <v>1.377377775105889E-2</v>
      </c>
      <c r="AQ231" s="9">
        <f t="shared" si="351"/>
        <v>0.20122972795196245</v>
      </c>
      <c r="AR231" s="4">
        <f t="shared" si="412"/>
        <v>997.29525839332132</v>
      </c>
      <c r="AS231" s="6">
        <f t="shared" si="352"/>
        <v>5.4945905167866435E-6</v>
      </c>
      <c r="AT231" s="8">
        <f t="shared" si="353"/>
        <v>27.357895471523193</v>
      </c>
      <c r="AU231" s="7">
        <f t="shared" si="354"/>
        <v>1.3751276223416722E-2</v>
      </c>
      <c r="AV231" s="9">
        <f t="shared" si="355"/>
        <v>0.20160998881442502</v>
      </c>
      <c r="AW231" s="4">
        <f t="shared" si="413"/>
        <v>992.19898406305094</v>
      </c>
      <c r="AX231" s="6">
        <f t="shared" si="356"/>
        <v>5.4843979681261018E-6</v>
      </c>
      <c r="AY231" s="8">
        <f t="shared" si="357"/>
        <v>27.299288316725082</v>
      </c>
      <c r="AZ231" s="7">
        <f t="shared" si="358"/>
        <v>1.3725767397668284E-2</v>
      </c>
      <c r="BA231" s="9">
        <f t="shared" si="359"/>
        <v>0.20204281283848771</v>
      </c>
      <c r="BB231" s="4">
        <f t="shared" si="414"/>
        <v>986.4968331146855</v>
      </c>
      <c r="BC231" s="6">
        <f t="shared" si="360"/>
        <v>5.4729936662293711E-6</v>
      </c>
      <c r="BD231" s="8">
        <f t="shared" si="361"/>
        <v>27.233713580818883</v>
      </c>
      <c r="BE231" s="7">
        <f t="shared" si="362"/>
        <v>1.3697225924916481E-2</v>
      </c>
      <c r="BF231" s="9">
        <f t="shared" si="363"/>
        <v>0.2025293019121982</v>
      </c>
      <c r="BG231" s="4">
        <f t="shared" si="415"/>
        <v>980.16957150637097</v>
      </c>
      <c r="BH231" s="6">
        <f t="shared" si="364"/>
        <v>5.4603391430127422E-6</v>
      </c>
      <c r="BI231" s="8">
        <f t="shared" si="365"/>
        <v>27.160950072323267</v>
      </c>
      <c r="BJ231" s="7">
        <f t="shared" si="366"/>
        <v>1.3665555531336495E-2</v>
      </c>
      <c r="BK231" s="9">
        <f t="shared" si="367"/>
        <v>0.20307187286575687</v>
      </c>
      <c r="BL231" s="4">
        <f t="shared" si="416"/>
        <v>973.15039713860199</v>
      </c>
      <c r="BM231" s="6">
        <f t="shared" si="368"/>
        <v>5.4463007942772051E-6</v>
      </c>
      <c r="BN231" s="8">
        <f t="shared" si="369"/>
        <v>27.080229567093923</v>
      </c>
      <c r="BO231" s="7">
        <f t="shared" si="370"/>
        <v>1.363042184656176E-2</v>
      </c>
      <c r="BP231" s="9">
        <f t="shared" si="371"/>
        <v>0.20367718768168114</v>
      </c>
      <c r="BQ231" s="4">
        <f t="shared" si="417"/>
        <v>965.22927542422576</v>
      </c>
      <c r="BR231" s="6">
        <f t="shared" si="372"/>
        <v>5.4304585508484523E-6</v>
      </c>
      <c r="BS231" s="8">
        <f t="shared" si="373"/>
        <v>26.989136667378595</v>
      </c>
      <c r="BT231" s="7">
        <f t="shared" si="374"/>
        <v>1.3590773566180932E-2</v>
      </c>
      <c r="BU231" s="9">
        <f t="shared" si="375"/>
        <v>0.20436463262889995</v>
      </c>
      <c r="BV231" s="4">
        <f t="shared" si="418"/>
        <v>955.81524050904852</v>
      </c>
      <c r="BW231" s="6">
        <f t="shared" si="376"/>
        <v>5.4116304810180976E-6</v>
      </c>
      <c r="BX231" s="8">
        <f t="shared" si="377"/>
        <v>26.880875265854058</v>
      </c>
      <c r="BY231" s="7">
        <f t="shared" si="378"/>
        <v>1.3543652677335809E-2</v>
      </c>
      <c r="BZ231" s="9">
        <f t="shared" si="379"/>
        <v>0.20518770112394097</v>
      </c>
      <c r="CA231" s="4">
        <f t="shared" si="419"/>
        <v>943.44158290870394</v>
      </c>
      <c r="CB231" s="6">
        <f t="shared" si="380"/>
        <v>5.3868831658174087E-6</v>
      </c>
      <c r="CC231" s="8">
        <f t="shared" si="381"/>
        <v>26.738578203450096</v>
      </c>
      <c r="CD231" s="7">
        <f t="shared" si="382"/>
        <v>1.3481717731306081E-2</v>
      </c>
      <c r="CE231" s="9">
        <f t="shared" si="383"/>
        <v>0.20627966670599993</v>
      </c>
      <c r="CF231" s="4">
        <f t="shared" si="420"/>
        <v>924.95710197761696</v>
      </c>
      <c r="CG231" s="6">
        <f t="shared" si="384"/>
        <v>5.3499142039552348E-6</v>
      </c>
      <c r="CH231" s="8">
        <f t="shared" si="385"/>
        <v>26.526006672742596</v>
      </c>
      <c r="CI231" s="7">
        <f t="shared" si="386"/>
        <v>1.3389195749057071E-2</v>
      </c>
      <c r="CJ231" s="9">
        <f t="shared" si="387"/>
        <v>0.20793273062347928</v>
      </c>
      <c r="CK231" s="4">
        <f t="shared" si="421"/>
        <v>894.65111066264672</v>
      </c>
      <c r="CL231" s="6">
        <f t="shared" si="388"/>
        <v>5.2893022213252943E-6</v>
      </c>
      <c r="CM231" s="8">
        <f t="shared" si="389"/>
        <v>26.177487772620438</v>
      </c>
      <c r="CN231" s="7">
        <f t="shared" si="390"/>
        <v>1.3237502531328318E-2</v>
      </c>
      <c r="CO231" s="9">
        <f t="shared" si="391"/>
        <v>0.2107010820866051</v>
      </c>
      <c r="CP231" s="4">
        <f t="shared" si="422"/>
        <v>844.13466143772109</v>
      </c>
      <c r="CQ231" s="6">
        <f t="shared" si="392"/>
        <v>5.1882693228754427E-6</v>
      </c>
      <c r="CR231" s="8">
        <f t="shared" si="393"/>
        <v>25.596548606533794</v>
      </c>
      <c r="CS231" s="7">
        <f t="shared" si="394"/>
        <v>1.298464814845998E-2</v>
      </c>
      <c r="CT231" s="9">
        <f t="shared" si="395"/>
        <v>0.2154831530135308</v>
      </c>
      <c r="CU231" s="4">
        <f t="shared" si="423"/>
        <v>764.14567786860619</v>
      </c>
      <c r="CV231" s="6">
        <f t="shared" si="396"/>
        <v>5.0282913557372125E-6</v>
      </c>
      <c r="CW231" s="8">
        <f t="shared" si="397"/>
        <v>24.67667529548897</v>
      </c>
      <c r="CX231" s="7">
        <f t="shared" si="398"/>
        <v>1.2584272322625911E-2</v>
      </c>
      <c r="CY231" s="9">
        <f t="shared" si="399"/>
        <v>0.22351572624567809</v>
      </c>
      <c r="CZ231" s="5">
        <f t="shared" si="424"/>
        <v>648.5850828126222</v>
      </c>
      <c r="DA231" s="6">
        <f t="shared" si="400"/>
        <v>4.7956057848449002E-6</v>
      </c>
      <c r="DB231" s="8">
        <f t="shared" si="401"/>
        <v>34.686032598433954</v>
      </c>
      <c r="DC231" s="7">
        <f t="shared" si="402"/>
        <v>1.2001931646142732E-2</v>
      </c>
      <c r="DD231" s="9">
        <f t="shared" si="403"/>
        <v>0.159015735926196</v>
      </c>
    </row>
    <row r="232" spans="2:108" x14ac:dyDescent="0.25">
      <c r="B232">
        <v>213</v>
      </c>
      <c r="C232">
        <f t="shared" si="404"/>
        <v>0.20823192393153855</v>
      </c>
      <c r="D232" s="4">
        <f t="shared" si="321"/>
        <v>1016.4959699838697</v>
      </c>
      <c r="E232" s="6">
        <f t="shared" si="322"/>
        <v>5.5329919399677401E-6</v>
      </c>
      <c r="F232" s="8">
        <f t="shared" si="323"/>
        <v>27.5787036548145</v>
      </c>
      <c r="G232" s="7">
        <f t="shared" si="319"/>
        <v>1.3847383217363269E-2</v>
      </c>
      <c r="H232" s="9">
        <f t="shared" si="324"/>
        <v>0.19999580361120853</v>
      </c>
      <c r="I232" s="4">
        <f t="shared" si="405"/>
        <v>1016.1712804274741</v>
      </c>
      <c r="J232" s="6">
        <f t="shared" si="325"/>
        <v>5.5323425608549482E-6</v>
      </c>
      <c r="K232" s="8">
        <f t="shared" si="326"/>
        <v>27.574969724915952</v>
      </c>
      <c r="L232" s="7">
        <f t="shared" si="327"/>
        <v>1.384575802044888E-2</v>
      </c>
      <c r="M232" s="9">
        <f t="shared" si="328"/>
        <v>0.20002288506653335</v>
      </c>
      <c r="N232" s="4">
        <f t="shared" si="406"/>
        <v>1015.2649774844137</v>
      </c>
      <c r="O232" s="6">
        <f t="shared" si="329"/>
        <v>5.5305299549688285E-6</v>
      </c>
      <c r="P232" s="8">
        <f t="shared" si="330"/>
        <v>27.564547241070755</v>
      </c>
      <c r="Q232" s="7">
        <f t="shared" si="320"/>
        <v>1.3847383217363269E-2</v>
      </c>
      <c r="R232" s="9">
        <f t="shared" si="331"/>
        <v>0.20009851610338816</v>
      </c>
      <c r="S232" s="4">
        <f t="shared" si="407"/>
        <v>1013.7632528775092</v>
      </c>
      <c r="T232" s="6">
        <f t="shared" si="332"/>
        <v>5.5275265057550188E-6</v>
      </c>
      <c r="U232" s="8">
        <f t="shared" si="333"/>
        <v>27.547277408091354</v>
      </c>
      <c r="V232" s="7">
        <f t="shared" si="334"/>
        <v>1.3833704910433859E-2</v>
      </c>
      <c r="W232" s="9">
        <f t="shared" si="335"/>
        <v>0.20022396109387991</v>
      </c>
      <c r="X232" s="4">
        <f t="shared" si="408"/>
        <v>1011.6643048402898</v>
      </c>
      <c r="Y232" s="6">
        <f t="shared" si="336"/>
        <v>5.5233286096805808E-6</v>
      </c>
      <c r="Z232" s="8">
        <f t="shared" si="337"/>
        <v>27.52313950566333</v>
      </c>
      <c r="AA232" s="7">
        <f t="shared" si="338"/>
        <v>1.3823198863022241E-2</v>
      </c>
      <c r="AB232" s="9">
        <f t="shared" si="339"/>
        <v>0.2003995583013003</v>
      </c>
      <c r="AC232" s="4">
        <f t="shared" si="409"/>
        <v>1008.9666972417174</v>
      </c>
      <c r="AD232" s="6">
        <f t="shared" si="340"/>
        <v>5.5179333944834355E-6</v>
      </c>
      <c r="AE232" s="8">
        <f t="shared" si="341"/>
        <v>27.49211701827975</v>
      </c>
      <c r="AF232" s="7">
        <f t="shared" si="342"/>
        <v>1.3809696292769905E-2</v>
      </c>
      <c r="AG232" s="9">
        <f t="shared" si="343"/>
        <v>0.2006256919513551</v>
      </c>
      <c r="AH232" s="4">
        <f t="shared" si="410"/>
        <v>1005.6700599798239</v>
      </c>
      <c r="AI232" s="6">
        <f t="shared" si="344"/>
        <v>5.5113401199596481E-6</v>
      </c>
      <c r="AJ232" s="8">
        <f t="shared" si="345"/>
        <v>27.454205689767974</v>
      </c>
      <c r="AK232" s="7">
        <f t="shared" si="346"/>
        <v>1.3793195347173246E-2</v>
      </c>
      <c r="AL232" s="9">
        <f t="shared" si="347"/>
        <v>0.20090273462384825</v>
      </c>
      <c r="AM232" s="4">
        <f t="shared" si="411"/>
        <v>1001.7741830445096</v>
      </c>
      <c r="AN232" s="6">
        <f t="shared" si="348"/>
        <v>5.50354836608902E-6</v>
      </c>
      <c r="AO232" s="8">
        <f t="shared" si="349"/>
        <v>27.409403105011862</v>
      </c>
      <c r="AP232" s="7">
        <f t="shared" si="350"/>
        <v>1.3773694975050422E-2</v>
      </c>
      <c r="AQ232" s="9">
        <f t="shared" si="351"/>
        <v>0.20123112418276112</v>
      </c>
      <c r="AR232" s="4">
        <f t="shared" si="412"/>
        <v>997.27872588484558</v>
      </c>
      <c r="AS232" s="6">
        <f t="shared" si="352"/>
        <v>5.4945574517696919E-6</v>
      </c>
      <c r="AT232" s="8">
        <f t="shared" si="353"/>
        <v>27.357705347675726</v>
      </c>
      <c r="AU232" s="7">
        <f t="shared" si="354"/>
        <v>1.3751193471812204E-2</v>
      </c>
      <c r="AV232" s="9">
        <f t="shared" si="355"/>
        <v>0.20161138991390593</v>
      </c>
      <c r="AW232" s="4">
        <f t="shared" si="413"/>
        <v>992.18240302338893</v>
      </c>
      <c r="AX232" s="6">
        <f t="shared" si="356"/>
        <v>5.4843648060467782E-6</v>
      </c>
      <c r="AY232" s="8">
        <f t="shared" si="357"/>
        <v>27.29909763476897</v>
      </c>
      <c r="AZ232" s="7">
        <f t="shared" si="358"/>
        <v>1.3725684403146395E-2</v>
      </c>
      <c r="BA232" s="9">
        <f t="shared" si="359"/>
        <v>0.20204422409095055</v>
      </c>
      <c r="BB232" s="4">
        <f t="shared" si="414"/>
        <v>986.47999744703463</v>
      </c>
      <c r="BC232" s="6">
        <f t="shared" si="360"/>
        <v>5.472959994894069E-6</v>
      </c>
      <c r="BD232" s="8">
        <f t="shared" si="361"/>
        <v>27.233519970640899</v>
      </c>
      <c r="BE232" s="7">
        <f t="shared" si="362"/>
        <v>1.3697141655882941E-2</v>
      </c>
      <c r="BF232" s="9">
        <f t="shared" si="363"/>
        <v>0.20253074174569136</v>
      </c>
      <c r="BG232" s="4">
        <f t="shared" si="415"/>
        <v>980.15178482364729</v>
      </c>
      <c r="BH232" s="6">
        <f t="shared" si="364"/>
        <v>5.4603035696472947E-6</v>
      </c>
      <c r="BI232" s="8">
        <f t="shared" si="365"/>
        <v>27.160745525471945</v>
      </c>
      <c r="BJ232" s="7">
        <f t="shared" si="366"/>
        <v>1.3665466502104385E-2</v>
      </c>
      <c r="BK232" s="9">
        <f t="shared" si="367"/>
        <v>0.20307340219462405</v>
      </c>
      <c r="BL232" s="4">
        <f t="shared" si="416"/>
        <v>973.12956468586515</v>
      </c>
      <c r="BM232" s="6">
        <f t="shared" si="368"/>
        <v>5.4462591293717307E-6</v>
      </c>
      <c r="BN232" s="8">
        <f t="shared" si="369"/>
        <v>27.079989993887448</v>
      </c>
      <c r="BO232" s="7">
        <f t="shared" si="370"/>
        <v>1.363031757207174E-2</v>
      </c>
      <c r="BP232" s="9">
        <f t="shared" si="371"/>
        <v>0.2036789895876992</v>
      </c>
      <c r="BQ232" s="4">
        <f t="shared" si="417"/>
        <v>965.19983870895965</v>
      </c>
      <c r="BR232" s="6">
        <f t="shared" si="372"/>
        <v>5.4303996774179203E-6</v>
      </c>
      <c r="BS232" s="8">
        <f t="shared" si="373"/>
        <v>26.988798145153034</v>
      </c>
      <c r="BT232" s="7">
        <f t="shared" si="374"/>
        <v>1.359062622402632E-2</v>
      </c>
      <c r="BU232" s="9">
        <f t="shared" si="375"/>
        <v>0.20436719598759018</v>
      </c>
      <c r="BV232" s="4">
        <f t="shared" si="418"/>
        <v>955.7644420838966</v>
      </c>
      <c r="BW232" s="6">
        <f t="shared" si="376"/>
        <v>5.4115288841677929E-6</v>
      </c>
      <c r="BX232" s="8">
        <f t="shared" si="377"/>
        <v>26.88029108396481</v>
      </c>
      <c r="BY232" s="7">
        <f t="shared" si="378"/>
        <v>1.3543398411554271E-2</v>
      </c>
      <c r="BZ232" s="9">
        <f t="shared" si="379"/>
        <v>0.20519216041117558</v>
      </c>
      <c r="CA232" s="4">
        <f t="shared" si="419"/>
        <v>943.34489079156742</v>
      </c>
      <c r="CB232" s="6">
        <f t="shared" si="380"/>
        <v>5.3866897815831361E-6</v>
      </c>
      <c r="CC232" s="8">
        <f t="shared" si="381"/>
        <v>26.737466244103025</v>
      </c>
      <c r="CD232" s="7">
        <f t="shared" si="382"/>
        <v>1.3481233749831099E-2</v>
      </c>
      <c r="CE232" s="9">
        <f t="shared" si="383"/>
        <v>0.20628824547712993</v>
      </c>
      <c r="CF232" s="4">
        <f t="shared" si="420"/>
        <v>924.77717856532092</v>
      </c>
      <c r="CG232" s="6">
        <f t="shared" si="384"/>
        <v>5.3495543571306429E-6</v>
      </c>
      <c r="CH232" s="8">
        <f t="shared" si="385"/>
        <v>26.523937553501192</v>
      </c>
      <c r="CI232" s="7">
        <f t="shared" si="386"/>
        <v>1.3388295162731672E-2</v>
      </c>
      <c r="CJ232" s="9">
        <f t="shared" si="387"/>
        <v>0.2079489513528858</v>
      </c>
      <c r="CK232" s="4">
        <f t="shared" si="421"/>
        <v>894.34870136060601</v>
      </c>
      <c r="CL232" s="6">
        <f t="shared" si="388"/>
        <v>5.2886974027212125E-6</v>
      </c>
      <c r="CM232" s="8">
        <f t="shared" si="389"/>
        <v>26.174010065646968</v>
      </c>
      <c r="CN232" s="7">
        <f t="shared" si="390"/>
        <v>1.3235988855711476E-2</v>
      </c>
      <c r="CO232" s="9">
        <f t="shared" si="391"/>
        <v>0.21072907766774274</v>
      </c>
      <c r="CP232" s="4">
        <f t="shared" si="422"/>
        <v>843.69658084453431</v>
      </c>
      <c r="CQ232" s="6">
        <f t="shared" si="392"/>
        <v>5.1873931616890687E-6</v>
      </c>
      <c r="CR232" s="8">
        <f t="shared" si="393"/>
        <v>25.591510679712144</v>
      </c>
      <c r="CS232" s="7">
        <f t="shared" si="394"/>
        <v>1.2982455385513722E-2</v>
      </c>
      <c r="CT232" s="9">
        <f t="shared" si="395"/>
        <v>0.21552557287571741</v>
      </c>
      <c r="CU232" s="4">
        <f t="shared" si="423"/>
        <v>763.61706275474614</v>
      </c>
      <c r="CV232" s="6">
        <f t="shared" si="396"/>
        <v>5.0272341255094928E-6</v>
      </c>
      <c r="CW232" s="8">
        <f t="shared" si="397"/>
        <v>24.670596221679581</v>
      </c>
      <c r="CX232" s="7">
        <f t="shared" si="398"/>
        <v>1.2581626399358527E-2</v>
      </c>
      <c r="CY232" s="9">
        <f t="shared" si="399"/>
        <v>0.22357080268506355</v>
      </c>
      <c r="CZ232" s="5">
        <f t="shared" si="424"/>
        <v>648.07252151969169</v>
      </c>
      <c r="DA232" s="6">
        <f t="shared" si="400"/>
        <v>4.8049318324808604E-6</v>
      </c>
      <c r="DB232" s="8">
        <f t="shared" si="401"/>
        <v>34.700896875928933</v>
      </c>
      <c r="DC232" s="7">
        <f t="shared" si="402"/>
        <v>1.2025271885369481E-2</v>
      </c>
      <c r="DD232" s="9">
        <f t="shared" si="403"/>
        <v>0.1589476208560488</v>
      </c>
    </row>
    <row r="233" spans="2:108" x14ac:dyDescent="0.25">
      <c r="B233">
        <v>214</v>
      </c>
      <c r="C233">
        <f t="shared" si="404"/>
        <v>0.20920953859788383</v>
      </c>
      <c r="D233" s="4">
        <f t="shared" si="321"/>
        <v>1016.479392975343</v>
      </c>
      <c r="E233" s="6">
        <f t="shared" si="322"/>
        <v>5.532958785950687E-6</v>
      </c>
      <c r="F233" s="8">
        <f t="shared" si="323"/>
        <v>27.578513019216444</v>
      </c>
      <c r="G233" s="7">
        <f t="shared" si="319"/>
        <v>1.3847300243018773E-2</v>
      </c>
      <c r="H233" s="9">
        <f t="shared" si="324"/>
        <v>0.19999718607586875</v>
      </c>
      <c r="I233" s="4">
        <f t="shared" si="405"/>
        <v>1016.1547036909152</v>
      </c>
      <c r="J233" s="6">
        <f t="shared" si="325"/>
        <v>5.5323094073818309E-6</v>
      </c>
      <c r="K233" s="8">
        <f t="shared" si="326"/>
        <v>27.574779092445524</v>
      </c>
      <c r="L233" s="7">
        <f t="shared" si="327"/>
        <v>1.3845675047465688E-2</v>
      </c>
      <c r="M233" s="9">
        <f t="shared" si="328"/>
        <v>0.20002426788293215</v>
      </c>
      <c r="N233" s="4">
        <f t="shared" si="406"/>
        <v>1015.2483982777994</v>
      </c>
      <c r="O233" s="6">
        <f t="shared" si="329"/>
        <v>5.530496796555599E-6</v>
      </c>
      <c r="P233" s="8">
        <f t="shared" si="330"/>
        <v>27.564356580194691</v>
      </c>
      <c r="Q233" s="7">
        <f t="shared" si="320"/>
        <v>1.3847300243018773E-2</v>
      </c>
      <c r="R233" s="9">
        <f t="shared" si="331"/>
        <v>0.20009990017191406</v>
      </c>
      <c r="S233" s="4">
        <f t="shared" si="407"/>
        <v>1013.7466730128275</v>
      </c>
      <c r="T233" s="6">
        <f t="shared" si="332"/>
        <v>5.5274933460256552E-6</v>
      </c>
      <c r="U233" s="8">
        <f t="shared" si="333"/>
        <v>27.547086739647515</v>
      </c>
      <c r="V233" s="7">
        <f t="shared" si="334"/>
        <v>1.3833621921793198E-2</v>
      </c>
      <c r="W233" s="9">
        <f t="shared" si="335"/>
        <v>0.20022534695335178</v>
      </c>
      <c r="X233" s="4">
        <f t="shared" si="408"/>
        <v>1011.6477289931091</v>
      </c>
      <c r="Y233" s="6">
        <f t="shared" si="336"/>
        <v>5.5232954579862183E-6</v>
      </c>
      <c r="Z233" s="8">
        <f t="shared" si="337"/>
        <v>27.522948883420753</v>
      </c>
      <c r="AA233" s="7">
        <f t="shared" si="338"/>
        <v>1.3823115894490725E-2</v>
      </c>
      <c r="AB233" s="9">
        <f t="shared" si="339"/>
        <v>0.20040094625625296</v>
      </c>
      <c r="AC233" s="4">
        <f t="shared" si="409"/>
        <v>1008.9501308711165</v>
      </c>
      <c r="AD233" s="6">
        <f t="shared" si="340"/>
        <v>5.5179002617422331E-6</v>
      </c>
      <c r="AE233" s="8">
        <f t="shared" si="341"/>
        <v>27.491926505017837</v>
      </c>
      <c r="AF233" s="7">
        <f t="shared" si="342"/>
        <v>1.3809613371672341E-2</v>
      </c>
      <c r="AG233" s="9">
        <f t="shared" si="343"/>
        <v>0.20062708224515607</v>
      </c>
      <c r="AH233" s="4">
        <f t="shared" si="410"/>
        <v>1005.6535075582642</v>
      </c>
      <c r="AI233" s="6">
        <f t="shared" si="344"/>
        <v>5.5113070151165287E-6</v>
      </c>
      <c r="AJ233" s="8">
        <f t="shared" si="345"/>
        <v>27.454015336920037</v>
      </c>
      <c r="AK233" s="7">
        <f t="shared" si="346"/>
        <v>1.3793112495896036E-2</v>
      </c>
      <c r="AL233" s="9">
        <f t="shared" si="347"/>
        <v>0.20090412758612444</v>
      </c>
      <c r="AM233" s="4">
        <f t="shared" si="411"/>
        <v>1001.7576456373704</v>
      </c>
      <c r="AN233" s="6">
        <f t="shared" si="348"/>
        <v>5.5035152912747406E-6</v>
      </c>
      <c r="AO233" s="8">
        <f t="shared" si="349"/>
        <v>27.40921292482976</v>
      </c>
      <c r="AP233" s="7">
        <f t="shared" si="350"/>
        <v>1.3773612198926196E-2</v>
      </c>
      <c r="AQ233" s="9">
        <f t="shared" si="351"/>
        <v>0.20123252043488796</v>
      </c>
      <c r="AR233" s="4">
        <f t="shared" si="412"/>
        <v>997.26219270254114</v>
      </c>
      <c r="AS233" s="6">
        <f t="shared" si="352"/>
        <v>5.4945243854050828E-6</v>
      </c>
      <c r="AT233" s="8">
        <f t="shared" si="353"/>
        <v>27.357515216079221</v>
      </c>
      <c r="AU233" s="7">
        <f t="shared" si="354"/>
        <v>1.3751110716834911E-2</v>
      </c>
      <c r="AV233" s="9">
        <f t="shared" si="355"/>
        <v>0.20161279108996796</v>
      </c>
      <c r="AW233" s="4">
        <f t="shared" si="413"/>
        <v>992.16581901785344</v>
      </c>
      <c r="AX233" s="6">
        <f t="shared" si="356"/>
        <v>5.4843316380357075E-6</v>
      </c>
      <c r="AY233" s="8">
        <f t="shared" si="357"/>
        <v>27.298906918705313</v>
      </c>
      <c r="AZ233" s="7">
        <f t="shared" si="358"/>
        <v>1.3725601393779159E-2</v>
      </c>
      <c r="BA233" s="9">
        <f t="shared" si="359"/>
        <v>0.20204563561556646</v>
      </c>
      <c r="BB233" s="4">
        <f t="shared" si="414"/>
        <v>986.46315149546115</v>
      </c>
      <c r="BC233" s="6">
        <f t="shared" si="360"/>
        <v>5.4729263029909232E-6</v>
      </c>
      <c r="BD233" s="8">
        <f t="shared" si="361"/>
        <v>27.233326242197805</v>
      </c>
      <c r="BE233" s="7">
        <f t="shared" si="362"/>
        <v>1.369705733537439E-2</v>
      </c>
      <c r="BF233" s="9">
        <f t="shared" si="363"/>
        <v>0.20253218247918561</v>
      </c>
      <c r="BG233" s="4">
        <f t="shared" si="415"/>
        <v>980.13396707006859</v>
      </c>
      <c r="BH233" s="6">
        <f t="shared" si="364"/>
        <v>5.4602679341401382E-6</v>
      </c>
      <c r="BI233" s="8">
        <f t="shared" si="365"/>
        <v>27.160540621305788</v>
      </c>
      <c r="BJ233" s="7">
        <f t="shared" si="366"/>
        <v>1.3665377317350621E-2</v>
      </c>
      <c r="BK233" s="9">
        <f t="shared" si="367"/>
        <v>0.20307493421811082</v>
      </c>
      <c r="BL233" s="4">
        <f t="shared" si="416"/>
        <v>973.10864977676897</v>
      </c>
      <c r="BM233" s="6">
        <f t="shared" si="368"/>
        <v>5.4462172995535375E-6</v>
      </c>
      <c r="BN233" s="8">
        <f t="shared" si="369"/>
        <v>27.079749472432844</v>
      </c>
      <c r="BO233" s="7">
        <f t="shared" si="370"/>
        <v>1.3630212884855726E-2</v>
      </c>
      <c r="BP233" s="9">
        <f t="shared" si="371"/>
        <v>0.20368079865786426</v>
      </c>
      <c r="BQ233" s="4">
        <f t="shared" si="417"/>
        <v>965.17021262372782</v>
      </c>
      <c r="BR233" s="6">
        <f t="shared" si="372"/>
        <v>5.4303404252474564E-6</v>
      </c>
      <c r="BS233" s="8">
        <f t="shared" si="373"/>
        <v>26.98845744517287</v>
      </c>
      <c r="BT233" s="7">
        <f t="shared" si="374"/>
        <v>1.3590477934001723E-2</v>
      </c>
      <c r="BU233" s="9">
        <f t="shared" si="375"/>
        <v>0.20436977590160565</v>
      </c>
      <c r="BV233" s="4">
        <f t="shared" si="418"/>
        <v>955.71327816761732</v>
      </c>
      <c r="BW233" s="6">
        <f t="shared" si="376"/>
        <v>5.4114265563352351E-6</v>
      </c>
      <c r="BX233" s="8">
        <f t="shared" si="377"/>
        <v>26.879702698927598</v>
      </c>
      <c r="BY233" s="7">
        <f t="shared" si="378"/>
        <v>1.3543142316348169E-2</v>
      </c>
      <c r="BZ233" s="9">
        <f t="shared" si="379"/>
        <v>0.20519665197859696</v>
      </c>
      <c r="CA233" s="4">
        <f t="shared" si="419"/>
        <v>943.24763654239473</v>
      </c>
      <c r="CB233" s="6">
        <f t="shared" si="380"/>
        <v>5.3864952730847907E-6</v>
      </c>
      <c r="CC233" s="8">
        <f t="shared" si="381"/>
        <v>26.73634782023754</v>
      </c>
      <c r="CD233" s="7">
        <f t="shared" si="382"/>
        <v>1.3480746954667677E-2</v>
      </c>
      <c r="CE233" s="9">
        <f t="shared" si="383"/>
        <v>0.20629687484186074</v>
      </c>
      <c r="CF233" s="4">
        <f t="shared" si="420"/>
        <v>924.59664580547428</v>
      </c>
      <c r="CG233" s="6">
        <f t="shared" si="384"/>
        <v>5.3491932916109486E-6</v>
      </c>
      <c r="CH233" s="8">
        <f t="shared" si="385"/>
        <v>26.521861426762953</v>
      </c>
      <c r="CI233" s="7">
        <f t="shared" si="386"/>
        <v>1.3387391526385907E-2</v>
      </c>
      <c r="CJ233" s="9">
        <f t="shared" si="387"/>
        <v>0.20796522956093255</v>
      </c>
      <c r="CK233" s="4">
        <f t="shared" si="421"/>
        <v>894.04603430283396</v>
      </c>
      <c r="CL233" s="6">
        <f t="shared" si="388"/>
        <v>5.2880920686056682E-6</v>
      </c>
      <c r="CM233" s="8">
        <f t="shared" si="389"/>
        <v>26.170529394482589</v>
      </c>
      <c r="CN233" s="7">
        <f t="shared" si="390"/>
        <v>1.3234473889927425E-2</v>
      </c>
      <c r="CO233" s="9">
        <f t="shared" si="391"/>
        <v>0.21075710456062971</v>
      </c>
      <c r="CP233" s="4">
        <f t="shared" si="422"/>
        <v>843.259064595871</v>
      </c>
      <c r="CQ233" s="6">
        <f t="shared" si="392"/>
        <v>5.1865181291917422E-6</v>
      </c>
      <c r="CR233" s="8">
        <f t="shared" si="393"/>
        <v>25.586479242852516</v>
      </c>
      <c r="CS233" s="7">
        <f t="shared" si="394"/>
        <v>1.2980265447330259E-2</v>
      </c>
      <c r="CT233" s="9">
        <f t="shared" si="395"/>
        <v>0.21556795476426358</v>
      </c>
      <c r="CU233" s="4">
        <f t="shared" si="423"/>
        <v>763.08989491343743</v>
      </c>
      <c r="CV233" s="6">
        <f t="shared" si="396"/>
        <v>5.0261797898268758E-6</v>
      </c>
      <c r="CW233" s="8">
        <f t="shared" si="397"/>
        <v>24.664533791504532</v>
      </c>
      <c r="CX233" s="7">
        <f t="shared" si="398"/>
        <v>1.2578987720250489E-2</v>
      </c>
      <c r="CY233" s="9">
        <f t="shared" si="399"/>
        <v>0.22362575537105045</v>
      </c>
      <c r="CZ233" s="5">
        <f t="shared" si="424"/>
        <v>647.56163485297157</v>
      </c>
      <c r="DA233" s="6">
        <f t="shared" si="400"/>
        <v>4.8142180870835823E-6</v>
      </c>
      <c r="DB233" s="8">
        <f t="shared" si="401"/>
        <v>34.715712589263816</v>
      </c>
      <c r="DC233" s="7">
        <f t="shared" si="402"/>
        <v>1.2048512534828778E-2</v>
      </c>
      <c r="DD233" s="9">
        <f t="shared" si="403"/>
        <v>0.15887978637390154</v>
      </c>
    </row>
    <row r="234" spans="2:108" x14ac:dyDescent="0.25">
      <c r="B234">
        <v>215</v>
      </c>
      <c r="C234">
        <f t="shared" si="404"/>
        <v>0.21018715326422907</v>
      </c>
      <c r="D234" s="4">
        <f t="shared" si="321"/>
        <v>1016.4628159807015</v>
      </c>
      <c r="E234" s="6">
        <f t="shared" si="322"/>
        <v>5.5329256319614039E-6</v>
      </c>
      <c r="F234" s="8">
        <f t="shared" si="323"/>
        <v>27.578322383778065</v>
      </c>
      <c r="G234" s="7">
        <f t="shared" si="319"/>
        <v>1.3847217268743776E-2</v>
      </c>
      <c r="H234" s="9">
        <f t="shared" si="324"/>
        <v>0.19999856855848358</v>
      </c>
      <c r="I234" s="4">
        <f t="shared" si="405"/>
        <v>1016.1381270004974</v>
      </c>
      <c r="J234" s="6">
        <f t="shared" si="325"/>
        <v>5.5322762540009953E-6</v>
      </c>
      <c r="K234" s="8">
        <f t="shared" si="326"/>
        <v>27.574588460505719</v>
      </c>
      <c r="L234" s="7">
        <f t="shared" si="327"/>
        <v>1.3845592074713448E-2</v>
      </c>
      <c r="M234" s="9">
        <f t="shared" si="328"/>
        <v>0.20002565071460157</v>
      </c>
      <c r="N234" s="4">
        <f t="shared" si="406"/>
        <v>1015.2318191847994</v>
      </c>
      <c r="O234" s="6">
        <f t="shared" si="329"/>
        <v>5.5304636383695997E-6</v>
      </c>
      <c r="P234" s="8">
        <f t="shared" si="330"/>
        <v>27.564165920625193</v>
      </c>
      <c r="Q234" s="7">
        <f t="shared" si="320"/>
        <v>1.3847217268743776E-2</v>
      </c>
      <c r="R234" s="9">
        <f t="shared" si="331"/>
        <v>0.20010128425010212</v>
      </c>
      <c r="S234" s="4">
        <f t="shared" si="407"/>
        <v>1013.7300933199906</v>
      </c>
      <c r="T234" s="6">
        <f t="shared" si="332"/>
        <v>5.5274601866399819E-6</v>
      </c>
      <c r="U234" s="8">
        <f t="shared" si="333"/>
        <v>27.546896073179891</v>
      </c>
      <c r="V234" s="7">
        <f t="shared" si="334"/>
        <v>1.3833538934012689E-2</v>
      </c>
      <c r="W234" s="9">
        <f t="shared" si="335"/>
        <v>0.20022673281764411</v>
      </c>
      <c r="X234" s="4">
        <f t="shared" si="408"/>
        <v>1011.6311533442191</v>
      </c>
      <c r="Y234" s="6">
        <f t="shared" si="336"/>
        <v>5.5232623066884391E-6</v>
      </c>
      <c r="Z234" s="8">
        <f t="shared" si="337"/>
        <v>27.52275826345852</v>
      </c>
      <c r="AA234" s="7">
        <f t="shared" si="338"/>
        <v>1.3823032926951737E-2</v>
      </c>
      <c r="AB234" s="9">
        <f t="shared" si="339"/>
        <v>0.20040233421382761</v>
      </c>
      <c r="AC234" s="4">
        <f t="shared" si="409"/>
        <v>1008.9335646941527</v>
      </c>
      <c r="AD234" s="6">
        <f t="shared" si="340"/>
        <v>5.5178671293883051E-6</v>
      </c>
      <c r="AE234" s="8">
        <f t="shared" si="341"/>
        <v>27.491735993982754</v>
      </c>
      <c r="AF234" s="7">
        <f t="shared" si="342"/>
        <v>1.3809530451544007E-2</v>
      </c>
      <c r="AG234" s="9">
        <f t="shared" si="343"/>
        <v>0.20062847254197519</v>
      </c>
      <c r="AH234" s="4">
        <f t="shared" si="410"/>
        <v>1005.6369552841372</v>
      </c>
      <c r="AI234" s="6">
        <f t="shared" si="344"/>
        <v>5.5112739105682749E-6</v>
      </c>
      <c r="AJ234" s="8">
        <f t="shared" si="345"/>
        <v>27.453824985767575</v>
      </c>
      <c r="AK234" s="7">
        <f t="shared" si="346"/>
        <v>1.3793029645356782E-2</v>
      </c>
      <c r="AL234" s="9">
        <f t="shared" si="347"/>
        <v>0.20090552055530961</v>
      </c>
      <c r="AM234" s="4">
        <f t="shared" si="411"/>
        <v>1001.7411081996995</v>
      </c>
      <c r="AN234" s="6">
        <f t="shared" si="348"/>
        <v>5.5034822163993995E-6</v>
      </c>
      <c r="AO234" s="8">
        <f t="shared" si="349"/>
        <v>27.409022744296543</v>
      </c>
      <c r="AP234" s="7">
        <f t="shared" si="350"/>
        <v>1.377352942264915E-2</v>
      </c>
      <c r="AQ234" s="9">
        <f t="shared" si="351"/>
        <v>0.20123391670896873</v>
      </c>
      <c r="AR234" s="4">
        <f t="shared" si="412"/>
        <v>997.24565882127729</v>
      </c>
      <c r="AS234" s="6">
        <f t="shared" si="352"/>
        <v>5.4944913176425552E-6</v>
      </c>
      <c r="AT234" s="8">
        <f t="shared" si="353"/>
        <v>27.357325076444688</v>
      </c>
      <c r="AU234" s="7">
        <f t="shared" si="354"/>
        <v>1.375102795835906E-2</v>
      </c>
      <c r="AV234" s="9">
        <f t="shared" si="355"/>
        <v>0.20161419234474373</v>
      </c>
      <c r="AW234" s="4">
        <f t="shared" si="413"/>
        <v>992.14923197003122</v>
      </c>
      <c r="AX234" s="6">
        <f t="shared" si="356"/>
        <v>5.4842984639400628E-6</v>
      </c>
      <c r="AY234" s="8">
        <f t="shared" si="357"/>
        <v>27.298716167655357</v>
      </c>
      <c r="AZ234" s="7">
        <f t="shared" si="358"/>
        <v>1.3725518369184101E-2</v>
      </c>
      <c r="BA234" s="9">
        <f t="shared" si="359"/>
        <v>0.20204704741885041</v>
      </c>
      <c r="BB234" s="4">
        <f t="shared" si="414"/>
        <v>986.44629505595424</v>
      </c>
      <c r="BC234" s="6">
        <f t="shared" si="360"/>
        <v>5.4728925901119093E-6</v>
      </c>
      <c r="BD234" s="8">
        <f t="shared" si="361"/>
        <v>27.233132393143471</v>
      </c>
      <c r="BE234" s="7">
        <f t="shared" si="362"/>
        <v>1.3696972962369674E-2</v>
      </c>
      <c r="BF234" s="9">
        <f t="shared" si="363"/>
        <v>0.20253362413016718</v>
      </c>
      <c r="BG234" s="4">
        <f t="shared" si="415"/>
        <v>980.11611778204565</v>
      </c>
      <c r="BH234" s="6">
        <f t="shared" si="364"/>
        <v>5.4602322355640917E-6</v>
      </c>
      <c r="BI234" s="8">
        <f t="shared" si="365"/>
        <v>27.160335354493526</v>
      </c>
      <c r="BJ234" s="7">
        <f t="shared" si="366"/>
        <v>1.3665287974754754E-2</v>
      </c>
      <c r="BK234" s="9">
        <f t="shared" si="367"/>
        <v>0.20307646897620027</v>
      </c>
      <c r="BL234" s="4">
        <f t="shared" si="416"/>
        <v>973.08765156369293</v>
      </c>
      <c r="BM234" s="6">
        <f t="shared" si="368"/>
        <v>5.4461753031273856E-6</v>
      </c>
      <c r="BN234" s="8">
        <f t="shared" si="369"/>
        <v>27.079507992982467</v>
      </c>
      <c r="BO234" s="7">
        <f t="shared" si="370"/>
        <v>1.3630107780671048E-2</v>
      </c>
      <c r="BP234" s="9">
        <f t="shared" si="371"/>
        <v>0.20368261496587564</v>
      </c>
      <c r="BQ234" s="4">
        <f t="shared" si="417"/>
        <v>965.14039608067162</v>
      </c>
      <c r="BR234" s="6">
        <f t="shared" si="372"/>
        <v>5.430280792161343E-6</v>
      </c>
      <c r="BS234" s="8">
        <f t="shared" si="373"/>
        <v>26.988114554927723</v>
      </c>
      <c r="BT234" s="7">
        <f t="shared" si="374"/>
        <v>1.3590328690661986E-2</v>
      </c>
      <c r="BU234" s="9">
        <f t="shared" si="375"/>
        <v>0.20437237246693507</v>
      </c>
      <c r="BV234" s="4">
        <f t="shared" si="418"/>
        <v>955.66174831201613</v>
      </c>
      <c r="BW234" s="6">
        <f t="shared" si="376"/>
        <v>5.4113234966240328E-6</v>
      </c>
      <c r="BX234" s="8">
        <f t="shared" si="377"/>
        <v>26.879110105588182</v>
      </c>
      <c r="BY234" s="7">
        <f t="shared" si="378"/>
        <v>1.3542884389474106E-2</v>
      </c>
      <c r="BZ234" s="9">
        <f t="shared" si="379"/>
        <v>0.20520117586978068</v>
      </c>
      <c r="CA234" s="4">
        <f t="shared" si="419"/>
        <v>943.14982210931078</v>
      </c>
      <c r="CB234" s="6">
        <f t="shared" si="380"/>
        <v>5.3862996442186221E-6</v>
      </c>
      <c r="CC234" s="8">
        <f t="shared" si="381"/>
        <v>26.735222954257075</v>
      </c>
      <c r="CD234" s="7">
        <f t="shared" si="382"/>
        <v>1.3480257355566936E-2</v>
      </c>
      <c r="CE234" s="9">
        <f t="shared" si="383"/>
        <v>0.20630555463992276</v>
      </c>
      <c r="CF234" s="4">
        <f t="shared" si="420"/>
        <v>924.41550928447828</v>
      </c>
      <c r="CG234" s="6">
        <f t="shared" si="384"/>
        <v>5.3488310185689571E-6</v>
      </c>
      <c r="CH234" s="8">
        <f t="shared" si="385"/>
        <v>26.5197783567715</v>
      </c>
      <c r="CI234" s="7">
        <f t="shared" si="386"/>
        <v>1.3386484867981881E-2</v>
      </c>
      <c r="CJ234" s="9">
        <f t="shared" si="387"/>
        <v>0.20798156477019172</v>
      </c>
      <c r="CK234" s="4">
        <f t="shared" si="421"/>
        <v>893.74311635582933</v>
      </c>
      <c r="CL234" s="6">
        <f t="shared" si="388"/>
        <v>5.2874862327116591E-6</v>
      </c>
      <c r="CM234" s="8">
        <f t="shared" si="389"/>
        <v>26.167045838092037</v>
      </c>
      <c r="CN234" s="7">
        <f t="shared" si="390"/>
        <v>1.3232957668345648E-2</v>
      </c>
      <c r="CO234" s="9">
        <f t="shared" si="391"/>
        <v>0.21078516215119569</v>
      </c>
      <c r="CP234" s="4">
        <f t="shared" si="422"/>
        <v>842.82211404714417</v>
      </c>
      <c r="CQ234" s="6">
        <f t="shared" si="392"/>
        <v>5.185644228094289E-6</v>
      </c>
      <c r="CR234" s="8">
        <f t="shared" si="393"/>
        <v>25.581454311542156</v>
      </c>
      <c r="CS234" s="7">
        <f t="shared" si="394"/>
        <v>1.2978078340693958E-2</v>
      </c>
      <c r="CT234" s="9">
        <f t="shared" si="395"/>
        <v>0.2156102984931311</v>
      </c>
      <c r="CU234" s="4">
        <f t="shared" si="423"/>
        <v>762.56416564281676</v>
      </c>
      <c r="CV234" s="6">
        <f t="shared" si="396"/>
        <v>5.0251283312856338E-6</v>
      </c>
      <c r="CW234" s="8">
        <f t="shared" si="397"/>
        <v>24.65848790489239</v>
      </c>
      <c r="CX234" s="7">
        <f t="shared" si="398"/>
        <v>1.25763562417456E-2</v>
      </c>
      <c r="CY234" s="9">
        <f t="shared" si="399"/>
        <v>0.22368058500885074</v>
      </c>
      <c r="CZ234" s="5">
        <f t="shared" si="424"/>
        <v>647.05241021884683</v>
      </c>
      <c r="DA234" s="6">
        <f t="shared" si="400"/>
        <v>4.8234648987978263E-6</v>
      </c>
      <c r="DB234" s="8">
        <f t="shared" si="401"/>
        <v>34.730480103653434</v>
      </c>
      <c r="DC234" s="7">
        <f t="shared" si="402"/>
        <v>1.2071654470825649E-2</v>
      </c>
      <c r="DD234" s="9">
        <f t="shared" si="403"/>
        <v>0.1588122301660837</v>
      </c>
    </row>
    <row r="235" spans="2:108" x14ac:dyDescent="0.25">
      <c r="B235">
        <v>216</v>
      </c>
      <c r="C235">
        <f t="shared" si="404"/>
        <v>0.21116476793057432</v>
      </c>
      <c r="D235" s="4">
        <f t="shared" si="321"/>
        <v>1016.4462390015922</v>
      </c>
      <c r="E235" s="6">
        <f t="shared" si="322"/>
        <v>5.5328924780031849E-6</v>
      </c>
      <c r="F235" s="8">
        <f t="shared" si="323"/>
        <v>27.57813174851831</v>
      </c>
      <c r="G235" s="7">
        <f t="shared" si="319"/>
        <v>1.384713429454652E-2</v>
      </c>
      <c r="H235" s="9">
        <f t="shared" si="324"/>
        <v>0.19999995105891602</v>
      </c>
      <c r="I235" s="4">
        <f t="shared" si="405"/>
        <v>1016.1215503573997</v>
      </c>
      <c r="J235" s="6">
        <f t="shared" si="325"/>
        <v>5.5322431007147995E-6</v>
      </c>
      <c r="K235" s="8">
        <f t="shared" si="326"/>
        <v>27.574397829110097</v>
      </c>
      <c r="L235" s="7">
        <f t="shared" si="327"/>
        <v>1.3845509102198061E-2</v>
      </c>
      <c r="M235" s="9">
        <f t="shared" si="328"/>
        <v>0.2000270335614435</v>
      </c>
      <c r="N235" s="4">
        <f t="shared" si="406"/>
        <v>1015.2152402057204</v>
      </c>
      <c r="O235" s="6">
        <f t="shared" si="329"/>
        <v>5.5304304804114412E-6</v>
      </c>
      <c r="P235" s="8">
        <f t="shared" si="330"/>
        <v>27.563975262365783</v>
      </c>
      <c r="Q235" s="7">
        <f t="shared" si="320"/>
        <v>1.384713429454652E-2</v>
      </c>
      <c r="R235" s="9">
        <f t="shared" si="331"/>
        <v>0.20010266833792684</v>
      </c>
      <c r="S235" s="4">
        <f t="shared" si="407"/>
        <v>1013.7135137987527</v>
      </c>
      <c r="T235" s="6">
        <f t="shared" si="332"/>
        <v>5.527427027597506E-6</v>
      </c>
      <c r="U235" s="8">
        <f t="shared" si="333"/>
        <v>27.546705408685654</v>
      </c>
      <c r="V235" s="7">
        <f t="shared" si="334"/>
        <v>1.3833455947091098E-2</v>
      </c>
      <c r="W235" s="9">
        <f t="shared" si="335"/>
        <v>0.20022811868677726</v>
      </c>
      <c r="X235" s="4">
        <f t="shared" si="408"/>
        <v>1011.6145778932249</v>
      </c>
      <c r="Y235" s="6">
        <f t="shared" si="336"/>
        <v>5.5232291557864505E-6</v>
      </c>
      <c r="Z235" s="8">
        <f t="shared" si="337"/>
        <v>27.522567645772085</v>
      </c>
      <c r="AA235" s="7">
        <f t="shared" si="338"/>
        <v>1.3822949960403291E-2</v>
      </c>
      <c r="AB235" s="9">
        <f t="shared" si="339"/>
        <v>0.20040372217405703</v>
      </c>
      <c r="AC235" s="4">
        <f t="shared" si="409"/>
        <v>1008.916998710179</v>
      </c>
      <c r="AD235" s="6">
        <f t="shared" si="340"/>
        <v>5.5178339974203582E-6</v>
      </c>
      <c r="AE235" s="8">
        <f t="shared" si="341"/>
        <v>27.491545485167059</v>
      </c>
      <c r="AF235" s="7">
        <f t="shared" si="342"/>
        <v>1.3809447532381666E-2</v>
      </c>
      <c r="AG235" s="9">
        <f t="shared" si="343"/>
        <v>0.20062986284186646</v>
      </c>
      <c r="AH235" s="4">
        <f t="shared" si="410"/>
        <v>1005.6204031553638</v>
      </c>
      <c r="AI235" s="6">
        <f t="shared" si="344"/>
        <v>5.5112408063107288E-6</v>
      </c>
      <c r="AJ235" s="8">
        <f t="shared" si="345"/>
        <v>27.453634636286683</v>
      </c>
      <c r="AK235" s="7">
        <f t="shared" si="346"/>
        <v>1.3792946795545082E-2</v>
      </c>
      <c r="AL235" s="9">
        <f t="shared" si="347"/>
        <v>0.20090691353157861</v>
      </c>
      <c r="AM235" s="4">
        <f t="shared" si="411"/>
        <v>1001.7245707238989</v>
      </c>
      <c r="AN235" s="6">
        <f t="shared" si="348"/>
        <v>5.5034491414477983E-6</v>
      </c>
      <c r="AO235" s="8">
        <f t="shared" si="349"/>
        <v>27.408832563324836</v>
      </c>
      <c r="AP235" s="7">
        <f t="shared" si="350"/>
        <v>1.3773446646181247E-2</v>
      </c>
      <c r="AQ235" s="9">
        <f t="shared" si="351"/>
        <v>0.20123531300564543</v>
      </c>
      <c r="AR235" s="4">
        <f t="shared" si="412"/>
        <v>997.22912421540195</v>
      </c>
      <c r="AS235" s="6">
        <f t="shared" si="352"/>
        <v>5.4944582484308042E-6</v>
      </c>
      <c r="AT235" s="8">
        <f t="shared" si="353"/>
        <v>27.357134928477123</v>
      </c>
      <c r="AU235" s="7">
        <f t="shared" si="354"/>
        <v>1.3750945196256243E-2</v>
      </c>
      <c r="AV235" s="9">
        <f t="shared" si="355"/>
        <v>0.20161559368041015</v>
      </c>
      <c r="AW235" s="4">
        <f t="shared" si="413"/>
        <v>992.13264180232454</v>
      </c>
      <c r="AX235" s="6">
        <f t="shared" si="356"/>
        <v>5.4842652836046491E-6</v>
      </c>
      <c r="AY235" s="8">
        <f t="shared" si="357"/>
        <v>27.29852538072673</v>
      </c>
      <c r="AZ235" s="7">
        <f t="shared" si="358"/>
        <v>1.3725435328972812E-2</v>
      </c>
      <c r="BA235" s="9">
        <f t="shared" si="359"/>
        <v>0.20204845950741848</v>
      </c>
      <c r="BB235" s="4">
        <f t="shared" si="414"/>
        <v>986.42942792243002</v>
      </c>
      <c r="BC235" s="6">
        <f t="shared" si="360"/>
        <v>5.4728588558448604E-6</v>
      </c>
      <c r="BD235" s="8">
        <f t="shared" si="361"/>
        <v>27.232938421107946</v>
      </c>
      <c r="BE235" s="7">
        <f t="shared" si="362"/>
        <v>1.3696888535837254E-2</v>
      </c>
      <c r="BF235" s="9">
        <f t="shared" si="363"/>
        <v>0.20253506671630048</v>
      </c>
      <c r="BG235" s="4">
        <f t="shared" si="415"/>
        <v>980.09823649389398</v>
      </c>
      <c r="BH235" s="6">
        <f t="shared" si="364"/>
        <v>5.4601964729877884E-6</v>
      </c>
      <c r="BI235" s="8">
        <f t="shared" si="365"/>
        <v>27.16012971967978</v>
      </c>
      <c r="BJ235" s="7">
        <f t="shared" si="366"/>
        <v>1.3665198471985857E-2</v>
      </c>
      <c r="BK235" s="9">
        <f t="shared" si="367"/>
        <v>0.20307800650905836</v>
      </c>
      <c r="BL235" s="4">
        <f t="shared" si="416"/>
        <v>973.06656920064938</v>
      </c>
      <c r="BM235" s="6">
        <f t="shared" si="368"/>
        <v>5.4461331384012988E-6</v>
      </c>
      <c r="BN235" s="8">
        <f t="shared" si="369"/>
        <v>27.079265545807466</v>
      </c>
      <c r="BO235" s="7">
        <f t="shared" si="370"/>
        <v>1.3630002255283206E-2</v>
      </c>
      <c r="BP235" s="9">
        <f t="shared" si="371"/>
        <v>0.20368443858529811</v>
      </c>
      <c r="BQ235" s="4">
        <f t="shared" si="417"/>
        <v>965.11038800418703</v>
      </c>
      <c r="BR235" s="6">
        <f t="shared" si="372"/>
        <v>5.4302207760083747E-6</v>
      </c>
      <c r="BS235" s="8">
        <f t="shared" si="373"/>
        <v>26.987769462048149</v>
      </c>
      <c r="BT235" s="7">
        <f t="shared" si="374"/>
        <v>1.3590178488623306E-2</v>
      </c>
      <c r="BU235" s="9">
        <f t="shared" si="375"/>
        <v>0.20437498577851751</v>
      </c>
      <c r="BV235" s="4">
        <f t="shared" si="418"/>
        <v>955.60985209435819</v>
      </c>
      <c r="BW235" s="6">
        <f t="shared" si="376"/>
        <v>5.4112197041887167E-6</v>
      </c>
      <c r="BX235" s="8">
        <f t="shared" si="377"/>
        <v>26.878513299085121</v>
      </c>
      <c r="BY235" s="7">
        <f t="shared" si="378"/>
        <v>1.3542624628816132E-2</v>
      </c>
      <c r="BZ235" s="9">
        <f t="shared" si="379"/>
        <v>0.20520573212610455</v>
      </c>
      <c r="CA235" s="4">
        <f t="shared" si="419"/>
        <v>943.05144946011819</v>
      </c>
      <c r="CB235" s="6">
        <f t="shared" si="380"/>
        <v>5.3861028989202362E-6</v>
      </c>
      <c r="CC235" s="8">
        <f t="shared" si="381"/>
        <v>26.734091668791358</v>
      </c>
      <c r="CD235" s="7">
        <f t="shared" si="382"/>
        <v>1.3479764962378491E-2</v>
      </c>
      <c r="CE235" s="9">
        <f t="shared" si="383"/>
        <v>0.20631428470931701</v>
      </c>
      <c r="CF235" s="4">
        <f t="shared" si="420"/>
        <v>924.23377455866671</v>
      </c>
      <c r="CG235" s="6">
        <f t="shared" si="384"/>
        <v>5.348467549117334E-6</v>
      </c>
      <c r="CH235" s="8">
        <f t="shared" si="385"/>
        <v>26.517688407424664</v>
      </c>
      <c r="CI235" s="7">
        <f t="shared" si="386"/>
        <v>1.3385575215331192E-2</v>
      </c>
      <c r="CJ235" s="9">
        <f t="shared" si="387"/>
        <v>0.20799795650572939</v>
      </c>
      <c r="CK235" s="4">
        <f t="shared" si="421"/>
        <v>893.43995429170161</v>
      </c>
      <c r="CL235" s="6">
        <f t="shared" si="388"/>
        <v>5.2868799085834038E-6</v>
      </c>
      <c r="CM235" s="8">
        <f t="shared" si="389"/>
        <v>26.163559474354567</v>
      </c>
      <c r="CN235" s="7">
        <f t="shared" si="390"/>
        <v>1.3231440224863174E-2</v>
      </c>
      <c r="CO235" s="9">
        <f t="shared" si="391"/>
        <v>0.21081324983347152</v>
      </c>
      <c r="CP235" s="4">
        <f t="shared" si="422"/>
        <v>842.38573048613523</v>
      </c>
      <c r="CQ235" s="6">
        <f t="shared" si="392"/>
        <v>5.1847714609722703E-6</v>
      </c>
      <c r="CR235" s="8">
        <f t="shared" si="393"/>
        <v>25.576435900590553</v>
      </c>
      <c r="CS235" s="7">
        <f t="shared" si="394"/>
        <v>1.2975894072050657E-2</v>
      </c>
      <c r="CT235" s="9">
        <f t="shared" si="395"/>
        <v>0.21565260388264831</v>
      </c>
      <c r="CU235" s="4">
        <f t="shared" si="423"/>
        <v>762.03986632099361</v>
      </c>
      <c r="CV235" s="6">
        <f t="shared" si="396"/>
        <v>5.0240797326419879E-6</v>
      </c>
      <c r="CW235" s="8">
        <f t="shared" si="397"/>
        <v>24.652458462691428</v>
      </c>
      <c r="CX235" s="7">
        <f t="shared" si="398"/>
        <v>1.2573731920687966E-2</v>
      </c>
      <c r="CY235" s="9">
        <f t="shared" si="399"/>
        <v>0.22373529229740896</v>
      </c>
      <c r="CZ235" s="5">
        <f t="shared" si="424"/>
        <v>646.54483518033999</v>
      </c>
      <c r="DA235" s="6">
        <f t="shared" si="400"/>
        <v>4.8326726130846567E-6</v>
      </c>
      <c r="DB235" s="8">
        <f t="shared" si="401"/>
        <v>34.745199779770132</v>
      </c>
      <c r="DC235" s="7">
        <f t="shared" si="402"/>
        <v>1.2094698557943274E-2</v>
      </c>
      <c r="DD235" s="9">
        <f t="shared" si="403"/>
        <v>0.15874494994878083</v>
      </c>
    </row>
    <row r="236" spans="2:108" x14ac:dyDescent="0.25">
      <c r="B236">
        <v>217</v>
      </c>
      <c r="C236">
        <f t="shared" si="404"/>
        <v>0.21214238259691956</v>
      </c>
      <c r="D236" s="4">
        <f t="shared" si="321"/>
        <v>1016.4296620396379</v>
      </c>
      <c r="E236" s="6">
        <f t="shared" si="322"/>
        <v>5.5328593240792766E-6</v>
      </c>
      <c r="F236" s="8">
        <f t="shared" si="323"/>
        <v>27.577941113455836</v>
      </c>
      <c r="G236" s="7">
        <f t="shared" si="319"/>
        <v>1.3847051320435138E-2</v>
      </c>
      <c r="H236" s="9">
        <f t="shared" si="324"/>
        <v>0.20000133357703107</v>
      </c>
      <c r="I236" s="4">
        <f t="shared" si="405"/>
        <v>1016.1049737627854</v>
      </c>
      <c r="J236" s="6">
        <f t="shared" si="325"/>
        <v>5.5322099475255712E-6</v>
      </c>
      <c r="K236" s="8">
        <f t="shared" si="326"/>
        <v>27.574207198272031</v>
      </c>
      <c r="L236" s="7">
        <f t="shared" si="327"/>
        <v>1.3845426129925356E-2</v>
      </c>
      <c r="M236" s="9">
        <f t="shared" si="328"/>
        <v>0.20002841642336114</v>
      </c>
      <c r="N236" s="4">
        <f t="shared" si="406"/>
        <v>1015.1986613408685</v>
      </c>
      <c r="O236" s="6">
        <f t="shared" si="329"/>
        <v>5.5303973226817377E-6</v>
      </c>
      <c r="P236" s="8">
        <f t="shared" si="330"/>
        <v>27.563784605419986</v>
      </c>
      <c r="Q236" s="7">
        <f t="shared" si="320"/>
        <v>1.3847051320435138E-2</v>
      </c>
      <c r="R236" s="9">
        <f t="shared" si="331"/>
        <v>0.20010405243536256</v>
      </c>
      <c r="S236" s="4">
        <f t="shared" si="407"/>
        <v>1013.6969344488723</v>
      </c>
      <c r="T236" s="6">
        <f t="shared" si="332"/>
        <v>5.5273938688977457E-6</v>
      </c>
      <c r="U236" s="8">
        <f t="shared" si="333"/>
        <v>27.546514746162032</v>
      </c>
      <c r="V236" s="7">
        <f t="shared" si="334"/>
        <v>1.3833372961027221E-2</v>
      </c>
      <c r="W236" s="9">
        <f t="shared" si="335"/>
        <v>0.20022950456077113</v>
      </c>
      <c r="X236" s="4">
        <f t="shared" si="408"/>
        <v>1011.5980026397298</v>
      </c>
      <c r="Y236" s="6">
        <f t="shared" si="336"/>
        <v>5.5231960052794596E-6</v>
      </c>
      <c r="Z236" s="8">
        <f t="shared" si="337"/>
        <v>27.522377030356893</v>
      </c>
      <c r="AA236" s="7">
        <f t="shared" si="338"/>
        <v>1.3822866994843403E-2</v>
      </c>
      <c r="AB236" s="9">
        <f t="shared" si="339"/>
        <v>0.20040511013697412</v>
      </c>
      <c r="AC236" s="4">
        <f t="shared" si="409"/>
        <v>1008.9004329185298</v>
      </c>
      <c r="AD236" s="6">
        <f t="shared" si="340"/>
        <v>5.51780086583706E-6</v>
      </c>
      <c r="AE236" s="8">
        <f t="shared" si="341"/>
        <v>27.491354978563091</v>
      </c>
      <c r="AF236" s="7">
        <f t="shared" si="342"/>
        <v>1.3809364614181981E-2</v>
      </c>
      <c r="AG236" s="9">
        <f t="shared" si="343"/>
        <v>0.2006312531448855</v>
      </c>
      <c r="AH236" s="4">
        <f t="shared" si="410"/>
        <v>1005.6038511698002</v>
      </c>
      <c r="AI236" s="6">
        <f t="shared" si="344"/>
        <v>5.511207702339601E-6</v>
      </c>
      <c r="AJ236" s="8">
        <f t="shared" si="345"/>
        <v>27.453444288452701</v>
      </c>
      <c r="AK236" s="7">
        <f t="shared" si="346"/>
        <v>1.3792863946450198E-2</v>
      </c>
      <c r="AL236" s="9">
        <f t="shared" si="347"/>
        <v>0.20090830651511177</v>
      </c>
      <c r="AM236" s="4">
        <f t="shared" si="411"/>
        <v>1001.7080332021743</v>
      </c>
      <c r="AN236" s="6">
        <f t="shared" si="348"/>
        <v>5.5034160664043491E-6</v>
      </c>
      <c r="AO236" s="8">
        <f t="shared" si="349"/>
        <v>27.408642381825004</v>
      </c>
      <c r="AP236" s="7">
        <f t="shared" si="350"/>
        <v>1.3773363869483477E-2</v>
      </c>
      <c r="AQ236" s="9">
        <f t="shared" si="351"/>
        <v>0.20123670932557669</v>
      </c>
      <c r="AR236" s="4">
        <f t="shared" si="412"/>
        <v>997.21258885873658</v>
      </c>
      <c r="AS236" s="6">
        <f t="shared" si="352"/>
        <v>5.4944251777174738E-6</v>
      </c>
      <c r="AT236" s="8">
        <f t="shared" si="353"/>
        <v>27.356944771875469</v>
      </c>
      <c r="AU236" s="7">
        <f t="shared" si="354"/>
        <v>1.3750862430395435E-2</v>
      </c>
      <c r="AV236" s="9">
        <f t="shared" si="355"/>
        <v>0.20161699509918898</v>
      </c>
      <c r="AW236" s="4">
        <f t="shared" si="413"/>
        <v>992.11604843594694</v>
      </c>
      <c r="AX236" s="6">
        <f t="shared" si="356"/>
        <v>5.4842320968718945E-6</v>
      </c>
      <c r="AY236" s="8">
        <f t="shared" si="357"/>
        <v>27.298334557013391</v>
      </c>
      <c r="AZ236" s="7">
        <f t="shared" si="358"/>
        <v>1.372535227275094E-2</v>
      </c>
      <c r="BA236" s="9">
        <f t="shared" si="359"/>
        <v>0.20204987188798831</v>
      </c>
      <c r="BB236" s="4">
        <f t="shared" si="414"/>
        <v>986.41254988674302</v>
      </c>
      <c r="BC236" s="6">
        <f t="shared" si="360"/>
        <v>5.4728250997734868E-6</v>
      </c>
      <c r="BD236" s="8">
        <f t="shared" si="361"/>
        <v>27.232744323697545</v>
      </c>
      <c r="BE236" s="7">
        <f t="shared" si="362"/>
        <v>1.3696804054735294E-2</v>
      </c>
      <c r="BF236" s="9">
        <f t="shared" si="363"/>
        <v>0.2025365102554274</v>
      </c>
      <c r="BG236" s="4">
        <f t="shared" si="415"/>
        <v>980.08032273788797</v>
      </c>
      <c r="BH236" s="6">
        <f t="shared" si="364"/>
        <v>5.460160645475776E-6</v>
      </c>
      <c r="BI236" s="8">
        <f t="shared" si="365"/>
        <v>27.15992371148571</v>
      </c>
      <c r="BJ236" s="7">
        <f t="shared" si="366"/>
        <v>1.366510880670278E-2</v>
      </c>
      <c r="BK236" s="9">
        <f t="shared" si="367"/>
        <v>0.20307954685702917</v>
      </c>
      <c r="BL236" s="4">
        <f t="shared" si="416"/>
        <v>973.04540184338566</v>
      </c>
      <c r="BM236" s="6">
        <f t="shared" si="368"/>
        <v>5.4460908036867718E-6</v>
      </c>
      <c r="BN236" s="8">
        <f t="shared" si="369"/>
        <v>27.079022121198932</v>
      </c>
      <c r="BO236" s="7">
        <f t="shared" si="370"/>
        <v>1.3629896304466396E-2</v>
      </c>
      <c r="BP236" s="9">
        <f t="shared" si="371"/>
        <v>0.20368626958955319</v>
      </c>
      <c r="BQ236" s="4">
        <f t="shared" si="417"/>
        <v>965.08018733097208</v>
      </c>
      <c r="BR236" s="6">
        <f t="shared" si="372"/>
        <v>5.430160374661945E-6</v>
      </c>
      <c r="BS236" s="8">
        <f t="shared" si="373"/>
        <v>26.987422154306181</v>
      </c>
      <c r="BT236" s="7">
        <f t="shared" si="374"/>
        <v>1.3590027322563437E-2</v>
      </c>
      <c r="BU236" s="9">
        <f t="shared" si="375"/>
        <v>0.20437761593023857</v>
      </c>
      <c r="BV236" s="4">
        <f t="shared" si="418"/>
        <v>955.55758911711325</v>
      </c>
      <c r="BW236" s="6">
        <f t="shared" si="376"/>
        <v>5.411115178234227E-6</v>
      </c>
      <c r="BX236" s="8">
        <f t="shared" si="377"/>
        <v>26.8779122748468</v>
      </c>
      <c r="BY236" s="7">
        <f t="shared" si="378"/>
        <v>1.354236303238446E-2</v>
      </c>
      <c r="BZ236" s="9">
        <f t="shared" si="379"/>
        <v>0.20521032078677093</v>
      </c>
      <c r="CA236" s="4">
        <f t="shared" si="419"/>
        <v>942.95252058167307</v>
      </c>
      <c r="CB236" s="6">
        <f t="shared" si="380"/>
        <v>5.3859050411633473E-6</v>
      </c>
      <c r="CC236" s="8">
        <f t="shared" si="381"/>
        <v>26.732953986689239</v>
      </c>
      <c r="CD236" s="7">
        <f t="shared" si="382"/>
        <v>1.347926978504733E-2</v>
      </c>
      <c r="CE236" s="9">
        <f t="shared" si="383"/>
        <v>0.20632306488636898</v>
      </c>
      <c r="CF236" s="4">
        <f t="shared" si="420"/>
        <v>924.05144715405584</v>
      </c>
      <c r="CG236" s="6">
        <f t="shared" si="384"/>
        <v>5.3481028943081118E-6</v>
      </c>
      <c r="CH236" s="8">
        <f t="shared" si="385"/>
        <v>26.515591642271641</v>
      </c>
      <c r="CI236" s="7">
        <f t="shared" si="386"/>
        <v>1.338466259609369E-2</v>
      </c>
      <c r="CJ236" s="9">
        <f t="shared" si="387"/>
        <v>0.20801440429512763</v>
      </c>
      <c r="CK236" s="4">
        <f t="shared" si="421"/>
        <v>893.13655478939256</v>
      </c>
      <c r="CL236" s="6">
        <f t="shared" si="388"/>
        <v>5.2862731095787864E-6</v>
      </c>
      <c r="CM236" s="8">
        <f t="shared" si="389"/>
        <v>26.160070380078011</v>
      </c>
      <c r="CN236" s="7">
        <f t="shared" si="390"/>
        <v>1.3229921592910693E-2</v>
      </c>
      <c r="CO236" s="9">
        <f t="shared" si="391"/>
        <v>0.21084136700948555</v>
      </c>
      <c r="CP236" s="4">
        <f t="shared" si="422"/>
        <v>841.94991513470711</v>
      </c>
      <c r="CQ236" s="6">
        <f t="shared" si="392"/>
        <v>5.1838998302694141E-6</v>
      </c>
      <c r="CR236" s="8">
        <f t="shared" si="393"/>
        <v>25.571424024049129</v>
      </c>
      <c r="CS236" s="7">
        <f t="shared" si="394"/>
        <v>1.2973712647516258E-2</v>
      </c>
      <c r="CT236" s="9">
        <f t="shared" si="395"/>
        <v>0.21569487075935725</v>
      </c>
      <c r="CU236" s="4">
        <f t="shared" si="423"/>
        <v>761.51698840516087</v>
      </c>
      <c r="CV236" s="6">
        <f t="shared" si="396"/>
        <v>5.0230339768103221E-6</v>
      </c>
      <c r="CW236" s="8">
        <f t="shared" si="397"/>
        <v>24.64644536665935</v>
      </c>
      <c r="CX236" s="7">
        <f t="shared" si="398"/>
        <v>1.2571114714317528E-2</v>
      </c>
      <c r="CY236" s="9">
        <f t="shared" si="399"/>
        <v>0.22378987792946808</v>
      </c>
      <c r="CZ236" s="5">
        <f t="shared" si="424"/>
        <v>646.03889745435322</v>
      </c>
      <c r="DA236" s="6">
        <f t="shared" si="400"/>
        <v>4.8418415708064683E-6</v>
      </c>
      <c r="DB236" s="8">
        <f t="shared" si="401"/>
        <v>34.759871973823749</v>
      </c>
      <c r="DC236" s="7">
        <f t="shared" si="402"/>
        <v>1.2117645649255765E-2</v>
      </c>
      <c r="DD236" s="9">
        <f t="shared" si="403"/>
        <v>0.15867794346750166</v>
      </c>
    </row>
    <row r="237" spans="2:108" x14ac:dyDescent="0.25">
      <c r="B237">
        <v>218</v>
      </c>
      <c r="C237">
        <f t="shared" si="404"/>
        <v>0.2131199972632648</v>
      </c>
      <c r="D237" s="4">
        <f t="shared" si="321"/>
        <v>1016.4130850964382</v>
      </c>
      <c r="E237" s="6">
        <f t="shared" si="322"/>
        <v>5.5328261701928767E-6</v>
      </c>
      <c r="F237" s="8">
        <f t="shared" si="323"/>
        <v>27.57775047860904</v>
      </c>
      <c r="G237" s="7">
        <f t="shared" si="319"/>
        <v>1.3846968346417623E-2</v>
      </c>
      <c r="H237" s="9">
        <f t="shared" si="324"/>
        <v>0.20000271611269563</v>
      </c>
      <c r="I237" s="4">
        <f t="shared" si="405"/>
        <v>1016.0883972178041</v>
      </c>
      <c r="J237" s="6">
        <f t="shared" si="325"/>
        <v>5.5321767944356083E-6</v>
      </c>
      <c r="K237" s="8">
        <f t="shared" si="326"/>
        <v>27.574016568004744</v>
      </c>
      <c r="L237" s="7">
        <f t="shared" si="327"/>
        <v>1.3845343157901081E-2</v>
      </c>
      <c r="M237" s="9">
        <f t="shared" si="328"/>
        <v>0.2000297993002588</v>
      </c>
      <c r="N237" s="4">
        <f t="shared" si="406"/>
        <v>1015.1820825905494</v>
      </c>
      <c r="O237" s="6">
        <f t="shared" si="329"/>
        <v>5.5303641651810998E-6</v>
      </c>
      <c r="P237" s="8">
        <f t="shared" si="330"/>
        <v>27.563593949791318</v>
      </c>
      <c r="Q237" s="7">
        <f t="shared" si="320"/>
        <v>1.3846968346417623E-2</v>
      </c>
      <c r="R237" s="9">
        <f t="shared" si="331"/>
        <v>0.20010543654238377</v>
      </c>
      <c r="S237" s="4">
        <f t="shared" si="407"/>
        <v>1013.6803552701115</v>
      </c>
      <c r="T237" s="6">
        <f t="shared" si="332"/>
        <v>5.527360710540223E-6</v>
      </c>
      <c r="U237" s="8">
        <f t="shared" si="333"/>
        <v>27.54632408560628</v>
      </c>
      <c r="V237" s="7">
        <f t="shared" si="334"/>
        <v>1.3833289975819858E-2</v>
      </c>
      <c r="W237" s="9">
        <f t="shared" si="335"/>
        <v>0.20023089043964554</v>
      </c>
      <c r="X237" s="4">
        <f t="shared" si="408"/>
        <v>1011.5814275833344</v>
      </c>
      <c r="Y237" s="6">
        <f t="shared" si="336"/>
        <v>5.5231628551666693E-6</v>
      </c>
      <c r="Z237" s="8">
        <f t="shared" si="337"/>
        <v>27.522186417208346</v>
      </c>
      <c r="AA237" s="7">
        <f t="shared" si="338"/>
        <v>1.3822784030270079E-2</v>
      </c>
      <c r="AB237" s="9">
        <f t="shared" si="339"/>
        <v>0.20040649810261207</v>
      </c>
      <c r="AC237" s="4">
        <f t="shared" si="409"/>
        <v>1008.8838673185203</v>
      </c>
      <c r="AD237" s="6">
        <f t="shared" si="340"/>
        <v>5.5177677346370416E-6</v>
      </c>
      <c r="AE237" s="8">
        <f t="shared" si="341"/>
        <v>27.491164474162982</v>
      </c>
      <c r="AF237" s="7">
        <f t="shared" si="342"/>
        <v>1.380928169694153E-2</v>
      </c>
      <c r="AG237" s="9">
        <f t="shared" si="343"/>
        <v>0.2006326434510895</v>
      </c>
      <c r="AH237" s="4">
        <f t="shared" si="410"/>
        <v>1005.5872993252372</v>
      </c>
      <c r="AI237" s="6">
        <f t="shared" si="344"/>
        <v>5.511174598650475E-6</v>
      </c>
      <c r="AJ237" s="8">
        <f t="shared" si="345"/>
        <v>27.453253942240227</v>
      </c>
      <c r="AK237" s="7">
        <f t="shared" si="346"/>
        <v>1.3792781098061079E-2</v>
      </c>
      <c r="AL237" s="9">
        <f t="shared" si="347"/>
        <v>0.20090969950609491</v>
      </c>
      <c r="AM237" s="4">
        <f t="shared" si="411"/>
        <v>1001.6914956265326</v>
      </c>
      <c r="AN237" s="6">
        <f t="shared" si="348"/>
        <v>5.5033829912530658E-6</v>
      </c>
      <c r="AO237" s="8">
        <f t="shared" si="349"/>
        <v>27.408452199705124</v>
      </c>
      <c r="AP237" s="7">
        <f t="shared" si="350"/>
        <v>1.3773281092515835E-2</v>
      </c>
      <c r="AQ237" s="9">
        <f t="shared" si="351"/>
        <v>0.20123810566943801</v>
      </c>
      <c r="AR237" s="4">
        <f t="shared" si="412"/>
        <v>997.19605272457079</v>
      </c>
      <c r="AS237" s="6">
        <f t="shared" si="352"/>
        <v>5.4943921054491417E-6</v>
      </c>
      <c r="AT237" s="8">
        <f t="shared" si="353"/>
        <v>27.356754606332565</v>
      </c>
      <c r="AU237" s="7">
        <f t="shared" si="354"/>
        <v>1.3750779660642934E-2</v>
      </c>
      <c r="AV237" s="9">
        <f t="shared" si="355"/>
        <v>0.20161839660334704</v>
      </c>
      <c r="AW237" s="4">
        <f t="shared" si="413"/>
        <v>992.09945179091903</v>
      </c>
      <c r="AX237" s="6">
        <f t="shared" si="356"/>
        <v>5.4841989035818387E-6</v>
      </c>
      <c r="AY237" s="8">
        <f t="shared" si="357"/>
        <v>27.29814369559557</v>
      </c>
      <c r="AZ237" s="7">
        <f t="shared" si="358"/>
        <v>1.3725269200118153E-2</v>
      </c>
      <c r="BA237" s="9">
        <f t="shared" si="359"/>
        <v>0.20205128456737961</v>
      </c>
      <c r="BB237" s="4">
        <f t="shared" si="414"/>
        <v>986.39566073869776</v>
      </c>
      <c r="BC237" s="6">
        <f t="shared" si="360"/>
        <v>5.4727913214773959E-6</v>
      </c>
      <c r="BD237" s="8">
        <f t="shared" si="361"/>
        <v>27.232550098495025</v>
      </c>
      <c r="BE237" s="7">
        <f t="shared" si="362"/>
        <v>1.369671951801168E-2</v>
      </c>
      <c r="BF237" s="9">
        <f t="shared" si="363"/>
        <v>0.20253795476556616</v>
      </c>
      <c r="BG237" s="4">
        <f t="shared" si="415"/>
        <v>980.06237604431465</v>
      </c>
      <c r="BH237" s="6">
        <f t="shared" si="364"/>
        <v>5.4601247520886298E-6</v>
      </c>
      <c r="BI237" s="8">
        <f t="shared" si="365"/>
        <v>27.159717324509618</v>
      </c>
      <c r="BJ237" s="7">
        <f t="shared" si="366"/>
        <v>1.366501897655443E-2</v>
      </c>
      <c r="BK237" s="9">
        <f t="shared" si="367"/>
        <v>0.20308109006063035</v>
      </c>
      <c r="BL237" s="4">
        <f t="shared" si="416"/>
        <v>973.02414864948537</v>
      </c>
      <c r="BM237" s="6">
        <f t="shared" si="368"/>
        <v>5.4460482972989707E-6</v>
      </c>
      <c r="BN237" s="8">
        <f t="shared" si="369"/>
        <v>27.07877770946908</v>
      </c>
      <c r="BO237" s="7">
        <f t="shared" si="370"/>
        <v>1.3629789924003988E-2</v>
      </c>
      <c r="BP237" s="9">
        <f t="shared" si="371"/>
        <v>0.20368810805191037</v>
      </c>
      <c r="BQ237" s="4">
        <f t="shared" si="417"/>
        <v>965.04979301007154</v>
      </c>
      <c r="BR237" s="6">
        <f t="shared" si="372"/>
        <v>5.4300995860201432E-6</v>
      </c>
      <c r="BS237" s="8">
        <f t="shared" si="373"/>
        <v>26.987072619615823</v>
      </c>
      <c r="BT237" s="7">
        <f t="shared" si="374"/>
        <v>1.3589875187221939E-2</v>
      </c>
      <c r="BU237" s="9">
        <f t="shared" si="375"/>
        <v>0.20438026301492637</v>
      </c>
      <c r="BV237" s="4">
        <f t="shared" si="418"/>
        <v>955.50495900769943</v>
      </c>
      <c r="BW237" s="6">
        <f t="shared" si="376"/>
        <v>5.4110099180154E-6</v>
      </c>
      <c r="BX237" s="8">
        <f t="shared" si="377"/>
        <v>26.877307028588543</v>
      </c>
      <c r="BY237" s="7">
        <f t="shared" si="378"/>
        <v>1.3542099598314167E-2</v>
      </c>
      <c r="BZ237" s="9">
        <f t="shared" si="379"/>
        <v>0.20521494188882852</v>
      </c>
      <c r="CA237" s="4">
        <f t="shared" si="419"/>
        <v>942.85303747927094</v>
      </c>
      <c r="CB237" s="6">
        <f t="shared" si="380"/>
        <v>5.385706074958542E-6</v>
      </c>
      <c r="CC237" s="8">
        <f t="shared" si="381"/>
        <v>26.731809931011615</v>
      </c>
      <c r="CD237" s="7">
        <f t="shared" si="382"/>
        <v>1.3478771833610723E-2</v>
      </c>
      <c r="CE237" s="9">
        <f t="shared" si="383"/>
        <v>0.20633189500578167</v>
      </c>
      <c r="CF237" s="4">
        <f t="shared" si="420"/>
        <v>923.86853256610982</v>
      </c>
      <c r="CG237" s="6">
        <f t="shared" si="384"/>
        <v>5.3477370651322199E-6</v>
      </c>
      <c r="CH237" s="8">
        <f t="shared" si="385"/>
        <v>26.51348812451026</v>
      </c>
      <c r="CI237" s="7">
        <f t="shared" si="386"/>
        <v>1.3383747037776306E-2</v>
      </c>
      <c r="CJ237" s="9">
        <f t="shared" si="387"/>
        <v>0.20803090766850507</v>
      </c>
      <c r="CK237" s="4">
        <f t="shared" si="421"/>
        <v>892.83292443588562</v>
      </c>
      <c r="CL237" s="6">
        <f t="shared" si="388"/>
        <v>5.2856658488717721E-6</v>
      </c>
      <c r="CM237" s="8">
        <f t="shared" si="389"/>
        <v>26.156578631012685</v>
      </c>
      <c r="CN237" s="7">
        <f t="shared" si="390"/>
        <v>1.3228401805458605E-2</v>
      </c>
      <c r="CO237" s="9">
        <f t="shared" si="391"/>
        <v>0.21086951308916108</v>
      </c>
      <c r="CP237" s="4">
        <f t="shared" si="422"/>
        <v>841.51466915047445</v>
      </c>
      <c r="CQ237" s="6">
        <f t="shared" si="392"/>
        <v>5.1830293383009496E-6</v>
      </c>
      <c r="CR237" s="8">
        <f t="shared" si="393"/>
        <v>25.566418695230453</v>
      </c>
      <c r="CS237" s="7">
        <f t="shared" si="394"/>
        <v>1.2971534072885073E-2</v>
      </c>
      <c r="CT237" s="9">
        <f t="shared" si="395"/>
        <v>0.21573709895586463</v>
      </c>
      <c r="CU237" s="4">
        <f t="shared" si="423"/>
        <v>760.99552343071457</v>
      </c>
      <c r="CV237" s="6">
        <f t="shared" si="396"/>
        <v>5.0219910468614294E-6</v>
      </c>
      <c r="CW237" s="8">
        <f t="shared" si="397"/>
        <v>24.640448519453216</v>
      </c>
      <c r="CX237" s="7">
        <f t="shared" si="398"/>
        <v>1.2568504580265668E-2</v>
      </c>
      <c r="CY237" s="9">
        <f t="shared" si="399"/>
        <v>0.22384434259163374</v>
      </c>
      <c r="CZ237" s="5">
        <f t="shared" si="424"/>
        <v>645.53458490897492</v>
      </c>
      <c r="DA237" s="6">
        <f t="shared" si="400"/>
        <v>4.8509721083099809E-6</v>
      </c>
      <c r="DB237" s="8">
        <f t="shared" si="401"/>
        <v>34.774497037639719</v>
      </c>
      <c r="DC237" s="7">
        <f t="shared" si="402"/>
        <v>1.2140496586535893E-2</v>
      </c>
      <c r="DD237" s="9">
        <f t="shared" si="403"/>
        <v>0.15861120849655766</v>
      </c>
    </row>
    <row r="238" spans="2:108" x14ac:dyDescent="0.25">
      <c r="B238">
        <v>219</v>
      </c>
      <c r="C238">
        <f t="shared" si="404"/>
        <v>0.21409761192961008</v>
      </c>
      <c r="D238" s="4">
        <f t="shared" si="321"/>
        <v>1016.3965081735695</v>
      </c>
      <c r="E238" s="6">
        <f t="shared" si="322"/>
        <v>5.5327930163471394E-6</v>
      </c>
      <c r="F238" s="8">
        <f t="shared" si="323"/>
        <v>27.577559843996049</v>
      </c>
      <c r="G238" s="7">
        <f t="shared" si="319"/>
        <v>1.3846885372501876E-2</v>
      </c>
      <c r="H238" s="9">
        <f t="shared" si="324"/>
        <v>0.20000409866577862</v>
      </c>
      <c r="I238" s="4">
        <f t="shared" si="405"/>
        <v>1016.0718207235902</v>
      </c>
      <c r="J238" s="6">
        <f t="shared" si="325"/>
        <v>5.5321436414471802E-6</v>
      </c>
      <c r="K238" s="8">
        <f t="shared" si="326"/>
        <v>27.573825938321285</v>
      </c>
      <c r="L238" s="7">
        <f t="shared" si="327"/>
        <v>1.3845260186130916E-2</v>
      </c>
      <c r="M238" s="9">
        <f t="shared" si="328"/>
        <v>0.20003118219204205</v>
      </c>
      <c r="N238" s="4">
        <f t="shared" si="406"/>
        <v>1015.1655039550679</v>
      </c>
      <c r="O238" s="6">
        <f t="shared" si="329"/>
        <v>5.5303310079101358E-6</v>
      </c>
      <c r="P238" s="8">
        <f t="shared" si="330"/>
        <v>27.56340329548328</v>
      </c>
      <c r="Q238" s="7">
        <f t="shared" si="320"/>
        <v>1.3846885372501876E-2</v>
      </c>
      <c r="R238" s="9">
        <f t="shared" si="331"/>
        <v>0.2001068206589651</v>
      </c>
      <c r="S238" s="4">
        <f t="shared" si="407"/>
        <v>1013.6637762622358</v>
      </c>
      <c r="T238" s="6">
        <f t="shared" si="332"/>
        <v>5.5273275525244722E-6</v>
      </c>
      <c r="U238" s="8">
        <f t="shared" si="333"/>
        <v>27.546133427015711</v>
      </c>
      <c r="V238" s="7">
        <f t="shared" si="334"/>
        <v>1.3833206991467846E-2</v>
      </c>
      <c r="W238" s="9">
        <f t="shared" si="335"/>
        <v>0.20023227632341978</v>
      </c>
      <c r="X238" s="4">
        <f t="shared" si="408"/>
        <v>1011.5648527236373</v>
      </c>
      <c r="Y238" s="6">
        <f t="shared" si="336"/>
        <v>5.5231297054472751E-6</v>
      </c>
      <c r="Z238" s="8">
        <f t="shared" si="337"/>
        <v>27.521995806321826</v>
      </c>
      <c r="AA238" s="7">
        <f t="shared" si="338"/>
        <v>1.3822701066681304E-2</v>
      </c>
      <c r="AB238" s="9">
        <f t="shared" si="339"/>
        <v>0.20040788607100421</v>
      </c>
      <c r="AC238" s="4">
        <f t="shared" si="409"/>
        <v>1008.8673019094463</v>
      </c>
      <c r="AD238" s="6">
        <f t="shared" si="340"/>
        <v>5.5177346038188928E-6</v>
      </c>
      <c r="AE238" s="8">
        <f t="shared" si="341"/>
        <v>27.490973971958631</v>
      </c>
      <c r="AF238" s="7">
        <f t="shared" si="342"/>
        <v>1.380919878065678E-2</v>
      </c>
      <c r="AG238" s="9">
        <f t="shared" si="343"/>
        <v>0.20063403376053729</v>
      </c>
      <c r="AH238" s="4">
        <f t="shared" si="410"/>
        <v>1005.5707476193979</v>
      </c>
      <c r="AI238" s="6">
        <f t="shared" si="344"/>
        <v>5.5111414952387963E-6</v>
      </c>
      <c r="AJ238" s="8">
        <f t="shared" si="345"/>
        <v>27.453063597623075</v>
      </c>
      <c r="AK238" s="7">
        <f t="shared" si="346"/>
        <v>1.3792698250366326E-2</v>
      </c>
      <c r="AL238" s="9">
        <f t="shared" si="347"/>
        <v>0.20091109250471961</v>
      </c>
      <c r="AM238" s="4">
        <f t="shared" si="411"/>
        <v>1001.6749579887781</v>
      </c>
      <c r="AN238" s="6">
        <f t="shared" si="348"/>
        <v>5.5033499159775567E-6</v>
      </c>
      <c r="AO238" s="8">
        <f t="shared" si="349"/>
        <v>27.40826201687095</v>
      </c>
      <c r="AP238" s="7">
        <f t="shared" si="350"/>
        <v>1.377319831523729E-2</v>
      </c>
      <c r="AQ238" s="9">
        <f t="shared" si="351"/>
        <v>0.20123950203792193</v>
      </c>
      <c r="AR238" s="4">
        <f t="shared" si="412"/>
        <v>997.1795157856568</v>
      </c>
      <c r="AS238" s="6">
        <f t="shared" si="352"/>
        <v>5.494359031571314E-6</v>
      </c>
      <c r="AT238" s="8">
        <f t="shared" si="353"/>
        <v>27.356564431535052</v>
      </c>
      <c r="AU238" s="7">
        <f t="shared" si="354"/>
        <v>1.3750696886862359E-2</v>
      </c>
      <c r="AV238" s="9">
        <f t="shared" si="355"/>
        <v>0.20161979819519696</v>
      </c>
      <c r="AW238" s="4">
        <f t="shared" si="413"/>
        <v>992.08285178606491</v>
      </c>
      <c r="AX238" s="6">
        <f t="shared" si="356"/>
        <v>5.4841657035721307E-6</v>
      </c>
      <c r="AY238" s="8">
        <f t="shared" si="357"/>
        <v>27.297952795539743</v>
      </c>
      <c r="AZ238" s="7">
        <f t="shared" si="358"/>
        <v>1.3725186110668133E-2</v>
      </c>
      <c r="BA238" s="9">
        <f t="shared" si="359"/>
        <v>0.20205269755251415</v>
      </c>
      <c r="BB238" s="4">
        <f t="shared" si="414"/>
        <v>986.37876026606114</v>
      </c>
      <c r="BC238" s="6">
        <f t="shared" si="360"/>
        <v>5.4727575205321235E-6</v>
      </c>
      <c r="BD238" s="8">
        <f t="shared" si="361"/>
        <v>27.232355743059703</v>
      </c>
      <c r="BE238" s="7">
        <f t="shared" si="362"/>
        <v>1.3696634924604101E-2</v>
      </c>
      <c r="BF238" s="9">
        <f t="shared" si="363"/>
        <v>0.20253940026491038</v>
      </c>
      <c r="BG238" s="4">
        <f t="shared" si="415"/>
        <v>980.04439594152768</v>
      </c>
      <c r="BH238" s="6">
        <f t="shared" si="364"/>
        <v>5.4600887918830557E-6</v>
      </c>
      <c r="BI238" s="8">
        <f t="shared" si="365"/>
        <v>27.159510553327568</v>
      </c>
      <c r="BJ238" s="7">
        <f t="shared" si="366"/>
        <v>1.3664928979180034E-2</v>
      </c>
      <c r="BK238" s="9">
        <f t="shared" si="367"/>
        <v>0.2030826361605485</v>
      </c>
      <c r="BL238" s="4">
        <f t="shared" si="416"/>
        <v>973.00280877846785</v>
      </c>
      <c r="BM238" s="6">
        <f t="shared" si="368"/>
        <v>5.4460056175569356E-6</v>
      </c>
      <c r="BN238" s="8">
        <f t="shared" si="369"/>
        <v>27.078532300952379</v>
      </c>
      <c r="BO238" s="7">
        <f t="shared" si="370"/>
        <v>1.3629683109689058E-2</v>
      </c>
      <c r="BP238" s="9">
        <f t="shared" si="371"/>
        <v>0.20368995404547868</v>
      </c>
      <c r="BQ238" s="4">
        <f t="shared" si="417"/>
        <v>965.01920400291704</v>
      </c>
      <c r="BR238" s="6">
        <f t="shared" si="372"/>
        <v>5.4300384080058345E-6</v>
      </c>
      <c r="BS238" s="8">
        <f t="shared" si="373"/>
        <v>26.986720846033545</v>
      </c>
      <c r="BT238" s="7">
        <f t="shared" si="374"/>
        <v>1.3589722077400382E-2</v>
      </c>
      <c r="BU238" s="9">
        <f t="shared" si="375"/>
        <v>0.20438292712434811</v>
      </c>
      <c r="BV238" s="4">
        <f t="shared" si="418"/>
        <v>955.45196141822578</v>
      </c>
      <c r="BW238" s="6">
        <f t="shared" si="376"/>
        <v>5.4109039228364516E-6</v>
      </c>
      <c r="BX238" s="8">
        <f t="shared" si="377"/>
        <v>26.876697556309594</v>
      </c>
      <c r="BY238" s="7">
        <f t="shared" si="378"/>
        <v>1.3541834324863923E-2</v>
      </c>
      <c r="BZ238" s="9">
        <f t="shared" si="379"/>
        <v>0.20521959546719487</v>
      </c>
      <c r="CA238" s="4">
        <f t="shared" si="419"/>
        <v>942.75300217604308</v>
      </c>
      <c r="CB238" s="6">
        <f t="shared" si="380"/>
        <v>5.3855060043520867E-6</v>
      </c>
      <c r="CC238" s="8">
        <f t="shared" si="381"/>
        <v>26.730659525024492</v>
      </c>
      <c r="CD238" s="7">
        <f t="shared" si="382"/>
        <v>1.3478271118195233E-2</v>
      </c>
      <c r="CE238" s="9">
        <f t="shared" si="383"/>
        <v>0.20634077490068761</v>
      </c>
      <c r="CF238" s="4">
        <f t="shared" si="420"/>
        <v>923.68503625952189</v>
      </c>
      <c r="CG238" s="6">
        <f t="shared" si="384"/>
        <v>5.3473700725190445E-6</v>
      </c>
      <c r="CH238" s="8">
        <f t="shared" si="385"/>
        <v>26.5113779169845</v>
      </c>
      <c r="CI238" s="7">
        <f t="shared" si="386"/>
        <v>1.3382828567731939E-2</v>
      </c>
      <c r="CJ238" s="9">
        <f t="shared" si="387"/>
        <v>0.20804746615853631</v>
      </c>
      <c r="CK238" s="4">
        <f t="shared" si="421"/>
        <v>892.52906972740266</v>
      </c>
      <c r="CL238" s="6">
        <f t="shared" si="388"/>
        <v>5.2850581394548053E-6</v>
      </c>
      <c r="CM238" s="8">
        <f t="shared" si="389"/>
        <v>26.153084301865128</v>
      </c>
      <c r="CN238" s="7">
        <f t="shared" si="390"/>
        <v>1.3226880895023014E-2</v>
      </c>
      <c r="CO238" s="9">
        <f t="shared" si="391"/>
        <v>0.21089768749021501</v>
      </c>
      <c r="CP238" s="4">
        <f t="shared" si="422"/>
        <v>841.07999362843168</v>
      </c>
      <c r="CQ238" s="6">
        <f t="shared" si="392"/>
        <v>5.1821599872568635E-6</v>
      </c>
      <c r="CR238" s="8">
        <f t="shared" si="393"/>
        <v>25.561419926726963</v>
      </c>
      <c r="CS238" s="7">
        <f t="shared" si="394"/>
        <v>1.2969358353637966E-2</v>
      </c>
      <c r="CT238" s="9">
        <f t="shared" si="395"/>
        <v>0.21577928831069651</v>
      </c>
      <c r="CU238" s="4">
        <f t="shared" si="423"/>
        <v>760.47546301038119</v>
      </c>
      <c r="CV238" s="6">
        <f t="shared" si="396"/>
        <v>5.0209509260207633E-6</v>
      </c>
      <c r="CW238" s="8">
        <f t="shared" si="397"/>
        <v>24.634467824619385</v>
      </c>
      <c r="CX238" s="7">
        <f t="shared" si="398"/>
        <v>1.2565901476550834E-2</v>
      </c>
      <c r="CY238" s="9">
        <f t="shared" si="399"/>
        <v>0.22389868696443899</v>
      </c>
      <c r="CZ238" s="5">
        <f t="shared" si="424"/>
        <v>645.03188556084604</v>
      </c>
      <c r="DA238" s="6">
        <f t="shared" si="400"/>
        <v>4.8600645575074129E-6</v>
      </c>
      <c r="DB238" s="8">
        <f t="shared" si="401"/>
        <v>34.789075318735456</v>
      </c>
      <c r="DC238" s="7">
        <f t="shared" si="402"/>
        <v>1.2163252200458217E-2</v>
      </c>
      <c r="DD238" s="9">
        <f t="shared" si="403"/>
        <v>0.15854474283855402</v>
      </c>
    </row>
    <row r="239" spans="2:108" x14ac:dyDescent="0.25">
      <c r="B239">
        <v>220</v>
      </c>
      <c r="C239">
        <f t="shared" si="404"/>
        <v>0.21507522659595532</v>
      </c>
      <c r="D239" s="4">
        <f t="shared" si="321"/>
        <v>1016.3799312725857</v>
      </c>
      <c r="E239" s="6">
        <f t="shared" si="322"/>
        <v>5.5327598625451725E-6</v>
      </c>
      <c r="F239" s="8">
        <f t="shared" si="323"/>
        <v>27.577369209634735</v>
      </c>
      <c r="G239" s="7">
        <f t="shared" si="319"/>
        <v>1.3846802398695674E-2</v>
      </c>
      <c r="H239" s="9">
        <f t="shared" si="324"/>
        <v>0.2000054812361507</v>
      </c>
      <c r="I239" s="4">
        <f t="shared" si="405"/>
        <v>1016.0552442812643</v>
      </c>
      <c r="J239" s="6">
        <f t="shared" si="325"/>
        <v>5.5321104885625288E-6</v>
      </c>
      <c r="K239" s="8">
        <f t="shared" si="326"/>
        <v>27.57363530923454</v>
      </c>
      <c r="L239" s="7">
        <f t="shared" si="327"/>
        <v>1.3845177214620474E-2</v>
      </c>
      <c r="M239" s="9">
        <f t="shared" si="328"/>
        <v>0.20003256509861764</v>
      </c>
      <c r="N239" s="4">
        <f t="shared" si="406"/>
        <v>1015.1489254347283</v>
      </c>
      <c r="O239" s="6">
        <f t="shared" si="329"/>
        <v>5.5302978508694571E-6</v>
      </c>
      <c r="P239" s="8">
        <f t="shared" si="330"/>
        <v>27.563212642499373</v>
      </c>
      <c r="Q239" s="7">
        <f t="shared" si="320"/>
        <v>1.3846802398695674E-2</v>
      </c>
      <c r="R239" s="9">
        <f t="shared" si="331"/>
        <v>0.20010820478508107</v>
      </c>
      <c r="S239" s="4">
        <f t="shared" si="407"/>
        <v>1013.6471974250148</v>
      </c>
      <c r="T239" s="6">
        <f t="shared" si="332"/>
        <v>5.52729439485003E-6</v>
      </c>
      <c r="U239" s="8">
        <f t="shared" si="333"/>
        <v>27.545942770387668</v>
      </c>
      <c r="V239" s="7">
        <f t="shared" si="334"/>
        <v>1.3833124007970023E-2</v>
      </c>
      <c r="W239" s="9">
        <f t="shared" si="335"/>
        <v>0.20023366221211297</v>
      </c>
      <c r="X239" s="4">
        <f t="shared" si="408"/>
        <v>1011.548278060234</v>
      </c>
      <c r="Y239" s="6">
        <f t="shared" si="336"/>
        <v>5.5230965561204687E-6</v>
      </c>
      <c r="Z239" s="8">
        <f t="shared" si="337"/>
        <v>27.521805197692689</v>
      </c>
      <c r="AA239" s="7">
        <f t="shared" si="338"/>
        <v>1.3822618104075056E-2</v>
      </c>
      <c r="AB239" s="9">
        <f t="shared" si="339"/>
        <v>0.20040927404218406</v>
      </c>
      <c r="AC239" s="4">
        <f t="shared" si="409"/>
        <v>1008.8507366905833</v>
      </c>
      <c r="AD239" s="6">
        <f t="shared" si="340"/>
        <v>5.5177014733811677E-6</v>
      </c>
      <c r="AE239" s="8">
        <f t="shared" si="341"/>
        <v>27.490783471941707</v>
      </c>
      <c r="AF239" s="7">
        <f t="shared" si="342"/>
        <v>1.3809115865324115E-2</v>
      </c>
      <c r="AG239" s="9">
        <f t="shared" si="343"/>
        <v>0.20063542407328941</v>
      </c>
      <c r="AH239" s="4">
        <f t="shared" si="410"/>
        <v>1005.5541960499374</v>
      </c>
      <c r="AI239" s="6">
        <f t="shared" si="344"/>
        <v>5.5111083920998758E-6</v>
      </c>
      <c r="AJ239" s="8">
        <f t="shared" si="345"/>
        <v>27.452873254574278</v>
      </c>
      <c r="AK239" s="7">
        <f t="shared" si="346"/>
        <v>1.3792615403354202E-2</v>
      </c>
      <c r="AL239" s="9">
        <f t="shared" si="347"/>
        <v>0.20091248551118307</v>
      </c>
      <c r="AM239" s="4">
        <f t="shared" si="411"/>
        <v>1001.6584202805097</v>
      </c>
      <c r="AN239" s="6">
        <f t="shared" si="348"/>
        <v>5.50331684056102E-6</v>
      </c>
      <c r="AO239" s="8">
        <f t="shared" si="349"/>
        <v>27.408071833225861</v>
      </c>
      <c r="AP239" s="7">
        <f t="shared" si="350"/>
        <v>1.3773115537605799E-2</v>
      </c>
      <c r="AQ239" s="9">
        <f t="shared" si="351"/>
        <v>0.20124089843173856</v>
      </c>
      <c r="AR239" s="4">
        <f t="shared" si="412"/>
        <v>997.1629780142041</v>
      </c>
      <c r="AS239" s="6">
        <f t="shared" si="352"/>
        <v>5.4943259560284093E-6</v>
      </c>
      <c r="AT239" s="8">
        <f t="shared" si="353"/>
        <v>27.356374247163345</v>
      </c>
      <c r="AU239" s="7">
        <f t="shared" si="354"/>
        <v>1.3750614108914606E-2</v>
      </c>
      <c r="AV239" s="9">
        <f t="shared" si="355"/>
        <v>0.20162119987709737</v>
      </c>
      <c r="AW239" s="4">
        <f t="shared" si="413"/>
        <v>992.06624833900844</v>
      </c>
      <c r="AX239" s="6">
        <f t="shared" si="356"/>
        <v>5.4841324966780175E-6</v>
      </c>
      <c r="AY239" s="8">
        <f t="shared" si="357"/>
        <v>27.297761855898596</v>
      </c>
      <c r="AZ239" s="7">
        <f t="shared" si="358"/>
        <v>1.3725103003988558E-2</v>
      </c>
      <c r="BA239" s="9">
        <f t="shared" si="359"/>
        <v>0.20205411085041627</v>
      </c>
      <c r="BB239" s="4">
        <f t="shared" si="414"/>
        <v>986.36184825457462</v>
      </c>
      <c r="BC239" s="6">
        <f t="shared" si="360"/>
        <v>5.4727236965091495E-6</v>
      </c>
      <c r="BD239" s="8">
        <f t="shared" si="361"/>
        <v>27.232161254927608</v>
      </c>
      <c r="BE239" s="7">
        <f t="shared" si="362"/>
        <v>1.3696550273440109E-2</v>
      </c>
      <c r="BF239" s="9">
        <f t="shared" si="363"/>
        <v>0.20254084677182785</v>
      </c>
      <c r="BG239" s="4">
        <f t="shared" si="415"/>
        <v>980.02638195600139</v>
      </c>
      <c r="BH239" s="6">
        <f t="shared" si="364"/>
        <v>5.4600527639120032E-6</v>
      </c>
      <c r="BI239" s="8">
        <f t="shared" si="365"/>
        <v>27.159303392494017</v>
      </c>
      <c r="BJ239" s="7">
        <f t="shared" si="366"/>
        <v>1.3664838812209411E-2</v>
      </c>
      <c r="BK239" s="9">
        <f t="shared" si="367"/>
        <v>0.20308418519763458</v>
      </c>
      <c r="BL239" s="4">
        <f t="shared" si="416"/>
        <v>972.98138139188643</v>
      </c>
      <c r="BM239" s="6">
        <f t="shared" si="368"/>
        <v>5.4459627627837734E-6</v>
      </c>
      <c r="BN239" s="8">
        <f t="shared" si="369"/>
        <v>27.078285886006693</v>
      </c>
      <c r="BO239" s="7">
        <f t="shared" si="370"/>
        <v>1.3629575857324858E-2</v>
      </c>
      <c r="BP239" s="9">
        <f t="shared" si="371"/>
        <v>0.20369180764319805</v>
      </c>
      <c r="BQ239" s="4">
        <f t="shared" si="417"/>
        <v>964.98841928336469</v>
      </c>
      <c r="BR239" s="6">
        <f t="shared" si="372"/>
        <v>5.42997683856673E-6</v>
      </c>
      <c r="BS239" s="8">
        <f t="shared" si="373"/>
        <v>26.986366821758693</v>
      </c>
      <c r="BT239" s="7">
        <f t="shared" si="374"/>
        <v>1.3589567987962514E-2</v>
      </c>
      <c r="BU239" s="9">
        <f t="shared" si="375"/>
        <v>0.20438560834920677</v>
      </c>
      <c r="BV239" s="4">
        <f t="shared" si="418"/>
        <v>955.39859602523404</v>
      </c>
      <c r="BW239" s="6">
        <f t="shared" si="376"/>
        <v>5.4107971920504687E-6</v>
      </c>
      <c r="BX239" s="8">
        <f t="shared" si="377"/>
        <v>26.87608385429019</v>
      </c>
      <c r="BY239" s="7">
        <f t="shared" si="378"/>
        <v>1.3541567210414699E-2</v>
      </c>
      <c r="BZ239" s="9">
        <f t="shared" si="379"/>
        <v>0.20522428155467853</v>
      </c>
      <c r="CA239" s="4">
        <f t="shared" si="419"/>
        <v>942.65241671236208</v>
      </c>
      <c r="CB239" s="6">
        <f t="shared" si="380"/>
        <v>5.3853048334247243E-6</v>
      </c>
      <c r="CC239" s="8">
        <f t="shared" si="381"/>
        <v>26.729502792192164</v>
      </c>
      <c r="CD239" s="7">
        <f t="shared" si="382"/>
        <v>1.3477767649013714E-2</v>
      </c>
      <c r="CE239" s="9">
        <f t="shared" si="383"/>
        <v>0.20634970440270009</v>
      </c>
      <c r="CF239" s="4">
        <f t="shared" si="420"/>
        <v>923.50096366800994</v>
      </c>
      <c r="CG239" s="6">
        <f t="shared" si="384"/>
        <v>5.3470019273360202E-6</v>
      </c>
      <c r="CH239" s="8">
        <f t="shared" si="385"/>
        <v>26.509261082182114</v>
      </c>
      <c r="CI239" s="7">
        <f t="shared" si="386"/>
        <v>1.3381907213158451E-2</v>
      </c>
      <c r="CJ239" s="9">
        <f t="shared" si="387"/>
        <v>0.20806407930046991</v>
      </c>
      <c r="CK239" s="4">
        <f t="shared" si="421"/>
        <v>892.22499707058819</v>
      </c>
      <c r="CL239" s="6">
        <f t="shared" si="388"/>
        <v>5.2844499941411772E-6</v>
      </c>
      <c r="CM239" s="8">
        <f t="shared" si="389"/>
        <v>26.149587466311765</v>
      </c>
      <c r="CN239" s="7">
        <f t="shared" si="390"/>
        <v>1.3225358893671662E-2</v>
      </c>
      <c r="CO239" s="9">
        <f t="shared" si="391"/>
        <v>0.21092588963805722</v>
      </c>
      <c r="CP239" s="4">
        <f t="shared" si="422"/>
        <v>840.64588960254105</v>
      </c>
      <c r="CQ239" s="6">
        <f t="shared" si="392"/>
        <v>5.1812917792050825E-6</v>
      </c>
      <c r="CR239" s="8">
        <f t="shared" si="393"/>
        <v>25.55642773042922</v>
      </c>
      <c r="CS239" s="7">
        <f t="shared" si="394"/>
        <v>1.2967185494950325E-2</v>
      </c>
      <c r="CT239" s="9">
        <f t="shared" si="395"/>
        <v>0.21582143866815634</v>
      </c>
      <c r="CU239" s="4">
        <f t="shared" si="423"/>
        <v>759.95679883335413</v>
      </c>
      <c r="CV239" s="6">
        <f t="shared" si="396"/>
        <v>5.019913597666709E-6</v>
      </c>
      <c r="CW239" s="8">
        <f t="shared" si="397"/>
        <v>24.628503186583572</v>
      </c>
      <c r="CX239" s="7">
        <f t="shared" si="398"/>
        <v>1.2563305361574222E-2</v>
      </c>
      <c r="CY239" s="9">
        <f t="shared" si="399"/>
        <v>0.22395291172240822</v>
      </c>
      <c r="CZ239" s="5">
        <f t="shared" si="424"/>
        <v>644.53078757258822</v>
      </c>
      <c r="DA239" s="6">
        <f t="shared" si="400"/>
        <v>4.869119245955725E-6</v>
      </c>
      <c r="DB239" s="8">
        <f t="shared" si="401"/>
        <v>34.80360716039494</v>
      </c>
      <c r="DC239" s="7">
        <f t="shared" si="402"/>
        <v>1.2185913310797434E-2</v>
      </c>
      <c r="DD239" s="9">
        <f t="shared" si="403"/>
        <v>0.15847854432389274</v>
      </c>
    </row>
    <row r="240" spans="2:108" x14ac:dyDescent="0.25">
      <c r="B240">
        <v>221</v>
      </c>
      <c r="C240">
        <f t="shared" si="404"/>
        <v>0.21605284126230057</v>
      </c>
      <c r="D240" s="4">
        <f t="shared" si="321"/>
        <v>1016.3633543950187</v>
      </c>
      <c r="E240" s="6">
        <f t="shared" si="322"/>
        <v>5.5327267087900381E-6</v>
      </c>
      <c r="F240" s="8">
        <f t="shared" si="323"/>
        <v>27.577178575542714</v>
      </c>
      <c r="G240" s="7">
        <f t="shared" si="319"/>
        <v>1.384671942500668E-2</v>
      </c>
      <c r="H240" s="9">
        <f t="shared" si="324"/>
        <v>0.20000686382368446</v>
      </c>
      <c r="I240" s="4">
        <f t="shared" si="405"/>
        <v>1016.0386678919328</v>
      </c>
      <c r="J240" s="6">
        <f t="shared" si="325"/>
        <v>5.5320773357838667E-6</v>
      </c>
      <c r="K240" s="8">
        <f t="shared" si="326"/>
        <v>27.573444680757227</v>
      </c>
      <c r="L240" s="7">
        <f t="shared" si="327"/>
        <v>1.3845094243375289E-2</v>
      </c>
      <c r="M240" s="9">
        <f t="shared" si="328"/>
        <v>0.20003394801989349</v>
      </c>
      <c r="N240" s="4">
        <f t="shared" si="406"/>
        <v>1015.1323470298339</v>
      </c>
      <c r="O240" s="6">
        <f t="shared" si="329"/>
        <v>5.5302646940596678E-6</v>
      </c>
      <c r="P240" s="8">
        <f t="shared" si="330"/>
        <v>27.56302199084309</v>
      </c>
      <c r="Q240" s="7">
        <f t="shared" si="320"/>
        <v>1.384671942500668E-2</v>
      </c>
      <c r="R240" s="9">
        <f t="shared" si="331"/>
        <v>0.20010958892070635</v>
      </c>
      <c r="S240" s="4">
        <f t="shared" si="407"/>
        <v>1013.630618758221</v>
      </c>
      <c r="T240" s="6">
        <f t="shared" si="332"/>
        <v>5.5272612375164422E-6</v>
      </c>
      <c r="U240" s="8">
        <f t="shared" si="333"/>
        <v>27.545752115719541</v>
      </c>
      <c r="V240" s="7">
        <f t="shared" si="334"/>
        <v>1.3833041025325255E-2</v>
      </c>
      <c r="W240" s="9">
        <f t="shared" si="335"/>
        <v>0.20023504810574394</v>
      </c>
      <c r="X240" s="4">
        <f t="shared" si="408"/>
        <v>1011.5317035927175</v>
      </c>
      <c r="Y240" s="6">
        <f t="shared" si="336"/>
        <v>5.5230634071854355E-6</v>
      </c>
      <c r="Z240" s="8">
        <f t="shared" si="337"/>
        <v>27.521614591316251</v>
      </c>
      <c r="AA240" s="7">
        <f t="shared" si="338"/>
        <v>1.3822535142449298E-2</v>
      </c>
      <c r="AB240" s="9">
        <f t="shared" si="339"/>
        <v>0.20041066201618549</v>
      </c>
      <c r="AC240" s="4">
        <f t="shared" si="409"/>
        <v>1008.8341716611862</v>
      </c>
      <c r="AD240" s="6">
        <f t="shared" si="340"/>
        <v>5.5176683433223729E-6</v>
      </c>
      <c r="AE240" s="8">
        <f t="shared" si="341"/>
        <v>27.490592974103642</v>
      </c>
      <c r="AF240" s="7">
        <f t="shared" si="342"/>
        <v>1.3809032950939795E-2</v>
      </c>
      <c r="AG240" s="9">
        <f t="shared" si="343"/>
        <v>0.20063681438940814</v>
      </c>
      <c r="AH240" s="4">
        <f t="shared" si="410"/>
        <v>1005.5376446144404</v>
      </c>
      <c r="AI240" s="6">
        <f t="shared" si="344"/>
        <v>5.5110752892288811E-6</v>
      </c>
      <c r="AJ240" s="8">
        <f t="shared" si="345"/>
        <v>27.452682913066063</v>
      </c>
      <c r="AK240" s="7">
        <f t="shared" si="346"/>
        <v>1.3792532557012615E-2</v>
      </c>
      <c r="AL240" s="9">
        <f t="shared" si="347"/>
        <v>0.20091387852568854</v>
      </c>
      <c r="AM240" s="4">
        <f t="shared" si="411"/>
        <v>1001.6418824931175</v>
      </c>
      <c r="AN240" s="6">
        <f t="shared" si="348"/>
        <v>5.5032837649862355E-6</v>
      </c>
      <c r="AO240" s="8">
        <f t="shared" si="349"/>
        <v>27.407881648670852</v>
      </c>
      <c r="AP240" s="7">
        <f t="shared" si="350"/>
        <v>1.3773032759578259E-2</v>
      </c>
      <c r="AQ240" s="9">
        <f t="shared" si="351"/>
        <v>0.20124229485161546</v>
      </c>
      <c r="AR240" s="4">
        <f t="shared" si="412"/>
        <v>997.14643938187442</v>
      </c>
      <c r="AS240" s="6">
        <f t="shared" si="352"/>
        <v>5.4942928787637491E-6</v>
      </c>
      <c r="AT240" s="8">
        <f t="shared" si="353"/>
        <v>27.356184052891557</v>
      </c>
      <c r="AU240" s="7">
        <f t="shared" si="354"/>
        <v>1.3750531326657827E-2</v>
      </c>
      <c r="AV240" s="9">
        <f t="shared" si="355"/>
        <v>0.20162260165145354</v>
      </c>
      <c r="AW240" s="4">
        <f t="shared" si="413"/>
        <v>992.04964136616979</v>
      </c>
      <c r="AX240" s="6">
        <f t="shared" si="356"/>
        <v>5.4840992827323399E-6</v>
      </c>
      <c r="AY240" s="8">
        <f t="shared" si="357"/>
        <v>27.297570875710953</v>
      </c>
      <c r="AZ240" s="7">
        <f t="shared" si="358"/>
        <v>1.3725019879661078E-2</v>
      </c>
      <c r="BA240" s="9">
        <f t="shared" si="359"/>
        <v>0.20205552446821326</v>
      </c>
      <c r="BB240" s="4">
        <f t="shared" si="414"/>
        <v>986.34492448796743</v>
      </c>
      <c r="BC240" s="6">
        <f t="shared" si="360"/>
        <v>5.472689848975935E-6</v>
      </c>
      <c r="BD240" s="8">
        <f t="shared" si="361"/>
        <v>27.231966631611627</v>
      </c>
      <c r="BE240" s="7">
        <f t="shared" si="362"/>
        <v>1.3696465563437192E-2</v>
      </c>
      <c r="BF240" s="9">
        <f t="shared" si="363"/>
        <v>0.20254229430485968</v>
      </c>
      <c r="BG240" s="4">
        <f t="shared" si="415"/>
        <v>980.00833361238517</v>
      </c>
      <c r="BH240" s="6">
        <f t="shared" si="364"/>
        <v>5.460016667224771E-6</v>
      </c>
      <c r="BI240" s="8">
        <f t="shared" si="365"/>
        <v>27.159095836542427</v>
      </c>
      <c r="BJ240" s="7">
        <f t="shared" si="366"/>
        <v>1.3664748473263247E-2</v>
      </c>
      <c r="BK240" s="9">
        <f t="shared" si="367"/>
        <v>0.20308573721289919</v>
      </c>
      <c r="BL240" s="4">
        <f t="shared" si="416"/>
        <v>972.95986565342514</v>
      </c>
      <c r="BM240" s="6">
        <f t="shared" si="368"/>
        <v>5.4459197313068499E-6</v>
      </c>
      <c r="BN240" s="8">
        <f t="shared" si="369"/>
        <v>27.078038455014386</v>
      </c>
      <c r="BO240" s="7">
        <f t="shared" si="370"/>
        <v>1.3629468162725294E-2</v>
      </c>
      <c r="BP240" s="9">
        <f t="shared" si="371"/>
        <v>0.20369366891783114</v>
      </c>
      <c r="BQ240" s="4">
        <f t="shared" si="417"/>
        <v>964.95743783772866</v>
      </c>
      <c r="BR240" s="6">
        <f t="shared" si="372"/>
        <v>5.4299148756754581E-6</v>
      </c>
      <c r="BS240" s="8">
        <f t="shared" si="373"/>
        <v>26.986010535133879</v>
      </c>
      <c r="BT240" s="7">
        <f t="shared" si="374"/>
        <v>1.3589412913834446E-2</v>
      </c>
      <c r="BU240" s="9">
        <f t="shared" si="375"/>
        <v>0.20438830677913825</v>
      </c>
      <c r="BV240" s="4">
        <f t="shared" si="418"/>
        <v>955.34486252943941</v>
      </c>
      <c r="BW240" s="6">
        <f t="shared" si="376"/>
        <v>5.4106897250588794E-6</v>
      </c>
      <c r="BX240" s="8">
        <f t="shared" si="377"/>
        <v>26.875465919088555</v>
      </c>
      <c r="BY240" s="7">
        <f t="shared" si="378"/>
        <v>1.354129825346846E-2</v>
      </c>
      <c r="BZ240" s="9">
        <f t="shared" si="379"/>
        <v>0.20522900018200149</v>
      </c>
      <c r="CA240" s="4">
        <f t="shared" si="419"/>
        <v>942.55128314525803</v>
      </c>
      <c r="CB240" s="6">
        <f t="shared" si="380"/>
        <v>5.3851025662905167E-6</v>
      </c>
      <c r="CC240" s="8">
        <f t="shared" si="381"/>
        <v>26.728339756170467</v>
      </c>
      <c r="CD240" s="7">
        <f t="shared" si="382"/>
        <v>1.3477261436362395E-2</v>
      </c>
      <c r="CE240" s="9">
        <f t="shared" si="383"/>
        <v>0.20635868334196367</v>
      </c>
      <c r="CF240" s="4">
        <f t="shared" si="420"/>
        <v>923.31632019412666</v>
      </c>
      <c r="CG240" s="6">
        <f t="shared" si="384"/>
        <v>5.3466326403882532E-6</v>
      </c>
      <c r="CH240" s="8">
        <f t="shared" si="385"/>
        <v>26.507137682232454</v>
      </c>
      <c r="CI240" s="7">
        <f t="shared" si="386"/>
        <v>1.338098300109771E-2</v>
      </c>
      <c r="CJ240" s="9">
        <f t="shared" si="387"/>
        <v>0.20808074663214521</v>
      </c>
      <c r="CK240" s="4">
        <f t="shared" si="421"/>
        <v>891.92071278368167</v>
      </c>
      <c r="CL240" s="6">
        <f t="shared" si="388"/>
        <v>5.2838414255673638E-6</v>
      </c>
      <c r="CM240" s="8">
        <f t="shared" si="389"/>
        <v>26.14608819701234</v>
      </c>
      <c r="CN240" s="7">
        <f t="shared" si="390"/>
        <v>1.3223835833029775E-2</v>
      </c>
      <c r="CO240" s="9">
        <f t="shared" si="391"/>
        <v>0.21095411896569136</v>
      </c>
      <c r="CP240" s="4">
        <f t="shared" si="422"/>
        <v>840.21235804728065</v>
      </c>
      <c r="CQ240" s="6">
        <f t="shared" si="392"/>
        <v>5.1804247160945618E-6</v>
      </c>
      <c r="CR240" s="8">
        <f t="shared" si="393"/>
        <v>25.551442117543729</v>
      </c>
      <c r="CS240" s="7">
        <f t="shared" si="394"/>
        <v>1.2965015501699786E-2</v>
      </c>
      <c r="CT240" s="9">
        <f t="shared" si="395"/>
        <v>0.21586354987818665</v>
      </c>
      <c r="CU240" s="4">
        <f t="shared" si="423"/>
        <v>759.43952266443807</v>
      </c>
      <c r="CV240" s="6">
        <f t="shared" si="396"/>
        <v>5.0188790453288762E-6</v>
      </c>
      <c r="CW240" s="8">
        <f t="shared" si="397"/>
        <v>24.622554510641038</v>
      </c>
      <c r="CX240" s="7">
        <f t="shared" si="398"/>
        <v>1.2560716194115491E-2</v>
      </c>
      <c r="CY240" s="9">
        <f t="shared" si="399"/>
        <v>0.22400701753412031</v>
      </c>
      <c r="CZ240" s="5">
        <f t="shared" si="424"/>
        <v>644.03127925028866</v>
      </c>
      <c r="DA240" s="6">
        <f t="shared" si="400"/>
        <v>4.8781364969340827E-6</v>
      </c>
      <c r="DB240" s="8">
        <f t="shared" si="401"/>
        <v>34.818092901741622</v>
      </c>
      <c r="DC240" s="7">
        <f t="shared" si="402"/>
        <v>1.2208480726622225E-2</v>
      </c>
      <c r="DD240" s="9">
        <f t="shared" si="403"/>
        <v>0.15841261081028665</v>
      </c>
    </row>
    <row r="241" spans="1:108" x14ac:dyDescent="0.25">
      <c r="B241">
        <v>222</v>
      </c>
      <c r="C241">
        <f t="shared" si="404"/>
        <v>0.21703045592864584</v>
      </c>
      <c r="D241" s="4">
        <f t="shared" si="321"/>
        <v>1016.3467775423785</v>
      </c>
      <c r="E241" s="6">
        <f t="shared" si="322"/>
        <v>5.5326935550847575E-6</v>
      </c>
      <c r="F241" s="8">
        <f t="shared" si="323"/>
        <v>27.57698794173735</v>
      </c>
      <c r="G241" s="7">
        <f t="shared" si="319"/>
        <v>1.3846636451442452E-2</v>
      </c>
      <c r="H241" s="9">
        <f t="shared" si="324"/>
        <v>0.20000824642825427</v>
      </c>
      <c r="I241" s="4">
        <f t="shared" si="405"/>
        <v>1016.0220915566886</v>
      </c>
      <c r="J241" s="6">
        <f t="shared" si="325"/>
        <v>5.5320441831133775E-6</v>
      </c>
      <c r="K241" s="8">
        <f t="shared" si="326"/>
        <v>27.573254052901916</v>
      </c>
      <c r="L241" s="7">
        <f t="shared" si="327"/>
        <v>1.3845011272400827E-2</v>
      </c>
      <c r="M241" s="9">
        <f t="shared" si="328"/>
        <v>0.20003533095577866</v>
      </c>
      <c r="N241" s="4">
        <f t="shared" si="406"/>
        <v>1015.1157687406874</v>
      </c>
      <c r="O241" s="6">
        <f t="shared" si="329"/>
        <v>5.5302315374813751E-6</v>
      </c>
      <c r="P241" s="8">
        <f t="shared" si="330"/>
        <v>27.562831340517903</v>
      </c>
      <c r="Q241" s="7">
        <f t="shared" si="320"/>
        <v>1.3846636451442452E-2</v>
      </c>
      <c r="R241" s="9">
        <f t="shared" si="331"/>
        <v>0.20011097306581574</v>
      </c>
      <c r="S241" s="4">
        <f t="shared" si="407"/>
        <v>1013.6140402616302</v>
      </c>
      <c r="T241" s="6">
        <f t="shared" si="332"/>
        <v>5.527228080523261E-6</v>
      </c>
      <c r="U241" s="8">
        <f t="shared" si="333"/>
        <v>27.545561463008745</v>
      </c>
      <c r="V241" s="7">
        <f t="shared" si="334"/>
        <v>1.383295804353242E-2</v>
      </c>
      <c r="W241" s="9">
        <f t="shared" si="335"/>
        <v>0.20023643400433122</v>
      </c>
      <c r="X241" s="4">
        <f t="shared" si="408"/>
        <v>1011.5151293206775</v>
      </c>
      <c r="Y241" s="6">
        <f t="shared" si="336"/>
        <v>5.5230302586413553E-6</v>
      </c>
      <c r="Z241" s="8">
        <f t="shared" si="337"/>
        <v>27.521423987187788</v>
      </c>
      <c r="AA241" s="7">
        <f t="shared" si="338"/>
        <v>1.3822452181801975E-2</v>
      </c>
      <c r="AB241" s="9">
        <f t="shared" si="339"/>
        <v>0.20041204999304257</v>
      </c>
      <c r="AC241" s="4">
        <f t="shared" si="409"/>
        <v>1008.8176068204889</v>
      </c>
      <c r="AD241" s="6">
        <f t="shared" si="340"/>
        <v>5.5176352136409787E-6</v>
      </c>
      <c r="AE241" s="8">
        <f t="shared" si="341"/>
        <v>27.49040247843562</v>
      </c>
      <c r="AF241" s="7">
        <f t="shared" si="342"/>
        <v>1.3808950037499995E-2</v>
      </c>
      <c r="AG241" s="9">
        <f t="shared" si="343"/>
        <v>0.20063820470895755</v>
      </c>
      <c r="AH241" s="4">
        <f t="shared" si="410"/>
        <v>1005.52109331042</v>
      </c>
      <c r="AI241" s="6">
        <f t="shared" si="344"/>
        <v>5.5110421866208402E-6</v>
      </c>
      <c r="AJ241" s="8">
        <f t="shared" si="345"/>
        <v>27.452492573069829</v>
      </c>
      <c r="AK241" s="7">
        <f t="shared" si="346"/>
        <v>1.3792449711329119E-2</v>
      </c>
      <c r="AL241" s="9">
        <f t="shared" si="347"/>
        <v>0.20091527154844521</v>
      </c>
      <c r="AM241" s="4">
        <f t="shared" si="411"/>
        <v>1001.6253446177792</v>
      </c>
      <c r="AN241" s="6">
        <f t="shared" si="348"/>
        <v>5.5032506892355587E-6</v>
      </c>
      <c r="AO241" s="8">
        <f t="shared" si="349"/>
        <v>27.407691463104459</v>
      </c>
      <c r="AP241" s="7">
        <f t="shared" si="350"/>
        <v>1.3772949981110517E-2</v>
      </c>
      <c r="AQ241" s="9">
        <f t="shared" si="351"/>
        <v>0.20124369129829831</v>
      </c>
      <c r="AR241" s="4">
        <f t="shared" si="412"/>
        <v>997.1298998597764</v>
      </c>
      <c r="AS241" s="6">
        <f t="shared" si="352"/>
        <v>5.4942597997195532E-6</v>
      </c>
      <c r="AT241" s="8">
        <f t="shared" si="353"/>
        <v>27.355993848387428</v>
      </c>
      <c r="AU241" s="7">
        <f t="shared" si="354"/>
        <v>1.3750448539947413E-2</v>
      </c>
      <c r="AV241" s="9">
        <f t="shared" si="355"/>
        <v>0.20162400352071774</v>
      </c>
      <c r="AW241" s="4">
        <f t="shared" si="413"/>
        <v>992.03303078276224</v>
      </c>
      <c r="AX241" s="6">
        <f t="shared" si="356"/>
        <v>5.4840660615655251E-6</v>
      </c>
      <c r="AY241" s="8">
        <f t="shared" si="357"/>
        <v>27.297379854001765</v>
      </c>
      <c r="AZ241" s="7">
        <f t="shared" si="358"/>
        <v>1.3724936737261306E-2</v>
      </c>
      <c r="BA241" s="9">
        <f t="shared" si="359"/>
        <v>0.20205693841313549</v>
      </c>
      <c r="BB241" s="4">
        <f t="shared" si="414"/>
        <v>986.3279887479697</v>
      </c>
      <c r="BC241" s="6">
        <f t="shared" si="360"/>
        <v>5.4726559774959395E-6</v>
      </c>
      <c r="BD241" s="8">
        <f t="shared" si="361"/>
        <v>27.231771870601651</v>
      </c>
      <c r="BE241" s="7">
        <f t="shared" si="362"/>
        <v>1.3696380793502818E-2</v>
      </c>
      <c r="BF241" s="9">
        <f t="shared" si="363"/>
        <v>0.20254374288271898</v>
      </c>
      <c r="BG241" s="4">
        <f t="shared" si="415"/>
        <v>979.99025043355755</v>
      </c>
      <c r="BH241" s="6">
        <f t="shared" si="364"/>
        <v>5.4599805008671155E-6</v>
      </c>
      <c r="BI241" s="8">
        <f t="shared" si="365"/>
        <v>27.158887879985912</v>
      </c>
      <c r="BJ241" s="7">
        <f t="shared" si="366"/>
        <v>1.3664657959953365E-2</v>
      </c>
      <c r="BK241" s="9">
        <f t="shared" si="367"/>
        <v>0.20308729224750793</v>
      </c>
      <c r="BL241" s="4">
        <f t="shared" si="416"/>
        <v>972.93826072899401</v>
      </c>
      <c r="BM241" s="6">
        <f t="shared" si="368"/>
        <v>5.4458765214579887E-6</v>
      </c>
      <c r="BN241" s="8">
        <f t="shared" si="369"/>
        <v>27.07778999838343</v>
      </c>
      <c r="BO241" s="7">
        <f t="shared" si="370"/>
        <v>1.362936002171543E-2</v>
      </c>
      <c r="BP241" s="9">
        <f t="shared" si="371"/>
        <v>0.20369553794195494</v>
      </c>
      <c r="BQ241" s="4">
        <f t="shared" si="417"/>
        <v>964.92625866481171</v>
      </c>
      <c r="BR241" s="6">
        <f t="shared" si="372"/>
        <v>5.4298525173296236E-6</v>
      </c>
      <c r="BS241" s="8">
        <f t="shared" si="373"/>
        <v>26.985651974645336</v>
      </c>
      <c r="BT241" s="7">
        <f t="shared" si="374"/>
        <v>1.3589256850004797E-2</v>
      </c>
      <c r="BU241" s="9">
        <f t="shared" si="375"/>
        <v>0.20439102250270869</v>
      </c>
      <c r="BV241" s="4">
        <f t="shared" si="418"/>
        <v>955.29076065547065</v>
      </c>
      <c r="BW241" s="6">
        <f t="shared" si="376"/>
        <v>5.4105815213109421E-6</v>
      </c>
      <c r="BX241" s="8">
        <f t="shared" si="377"/>
        <v>26.874843747537909</v>
      </c>
      <c r="BY241" s="7">
        <f t="shared" si="378"/>
        <v>1.3541027452646858E-2</v>
      </c>
      <c r="BZ241" s="9">
        <f t="shared" si="379"/>
        <v>0.20523375137782165</v>
      </c>
      <c r="CA241" s="4">
        <f t="shared" si="419"/>
        <v>942.44960354784394</v>
      </c>
      <c r="CB241" s="6">
        <f t="shared" si="380"/>
        <v>5.3848992070956886E-6</v>
      </c>
      <c r="CC241" s="8">
        <f t="shared" si="381"/>
        <v>26.727170440800204</v>
      </c>
      <c r="CD241" s="7">
        <f t="shared" si="382"/>
        <v>1.3476752490618011E-2</v>
      </c>
      <c r="CE241" s="9">
        <f t="shared" si="383"/>
        <v>0.20636771154720349</v>
      </c>
      <c r="CF241" s="4">
        <f t="shared" si="420"/>
        <v>923.13111120908388</v>
      </c>
      <c r="CG241" s="6">
        <f t="shared" si="384"/>
        <v>5.3462622224181678E-6</v>
      </c>
      <c r="CH241" s="8">
        <f t="shared" si="385"/>
        <v>26.505007778904464</v>
      </c>
      <c r="CI241" s="7">
        <f t="shared" si="386"/>
        <v>1.3380055958434712E-2</v>
      </c>
      <c r="CJ241" s="9">
        <f t="shared" si="387"/>
        <v>0.20809746769400791</v>
      </c>
      <c r="CK241" s="4">
        <f t="shared" si="421"/>
        <v>891.61622309767631</v>
      </c>
      <c r="CL241" s="6">
        <f t="shared" si="388"/>
        <v>5.2832324461953527E-6</v>
      </c>
      <c r="CM241" s="8">
        <f t="shared" si="389"/>
        <v>26.142586565623276</v>
      </c>
      <c r="CN241" s="7">
        <f t="shared" si="390"/>
        <v>1.322231174428589E-2</v>
      </c>
      <c r="CO241" s="9">
        <f t="shared" si="391"/>
        <v>0.21098237491361635</v>
      </c>
      <c r="CP241" s="4">
        <f t="shared" si="422"/>
        <v>839.77939987915397</v>
      </c>
      <c r="CQ241" s="6">
        <f t="shared" si="392"/>
        <v>5.1795587997583084E-6</v>
      </c>
      <c r="CR241" s="8">
        <f t="shared" si="393"/>
        <v>25.546463098610268</v>
      </c>
      <c r="CS241" s="7">
        <f t="shared" si="394"/>
        <v>1.2962848378473803E-2</v>
      </c>
      <c r="CT241" s="9">
        <f t="shared" si="395"/>
        <v>0.21590562179623413</v>
      </c>
      <c r="CU241" s="4">
        <f t="shared" si="423"/>
        <v>758.92362634320239</v>
      </c>
      <c r="CV241" s="6">
        <f t="shared" si="396"/>
        <v>5.0178472526864054E-6</v>
      </c>
      <c r="CW241" s="8">
        <f t="shared" si="397"/>
        <v>24.616621702946826</v>
      </c>
      <c r="CX241" s="7">
        <f t="shared" si="398"/>
        <v>1.2558133933328528E-2</v>
      </c>
      <c r="CY241" s="9">
        <f t="shared" si="399"/>
        <v>0.22406100506227186</v>
      </c>
      <c r="CZ241" s="5">
        <f t="shared" si="424"/>
        <v>643.53334904104156</v>
      </c>
      <c r="DA241" s="6">
        <f t="shared" si="400"/>
        <v>4.8871166295195626E-6</v>
      </c>
      <c r="DB241" s="8">
        <f t="shared" si="401"/>
        <v>34.83253287780979</v>
      </c>
      <c r="DC241" s="7">
        <f t="shared" si="402"/>
        <v>1.2230955246484727E-2</v>
      </c>
      <c r="DD241" s="9">
        <f t="shared" si="403"/>
        <v>0.15834694018228435</v>
      </c>
    </row>
    <row r="242" spans="1:108" x14ac:dyDescent="0.25">
      <c r="B242">
        <v>223</v>
      </c>
      <c r="C242">
        <f t="shared" si="404"/>
        <v>0.21800807059499108</v>
      </c>
      <c r="D242" s="4">
        <f t="shared" si="321"/>
        <v>1016.330200716154</v>
      </c>
      <c r="E242" s="6">
        <f t="shared" si="322"/>
        <v>5.5326604014323089E-6</v>
      </c>
      <c r="F242" s="8">
        <f t="shared" si="323"/>
        <v>27.576797308235768</v>
      </c>
      <c r="G242" s="7">
        <f t="shared" si="319"/>
        <v>1.3846553478010448E-2</v>
      </c>
      <c r="H242" s="9">
        <f t="shared" si="324"/>
        <v>0.20000962904973621</v>
      </c>
      <c r="I242" s="4">
        <f t="shared" si="405"/>
        <v>1016.0055152766106</v>
      </c>
      <c r="J242" s="6">
        <f t="shared" si="325"/>
        <v>5.5320110305532219E-6</v>
      </c>
      <c r="K242" s="8">
        <f t="shared" si="326"/>
        <v>27.573063425681021</v>
      </c>
      <c r="L242" s="7">
        <f t="shared" si="327"/>
        <v>1.3844928301702497E-2</v>
      </c>
      <c r="M242" s="9">
        <f t="shared" si="328"/>
        <v>0.20003671390618327</v>
      </c>
      <c r="N242" s="4">
        <f t="shared" si="406"/>
        <v>1015.0991905675902</v>
      </c>
      <c r="O242" s="6">
        <f t="shared" si="329"/>
        <v>5.5301983811351805E-6</v>
      </c>
      <c r="P242" s="8">
        <f t="shared" si="330"/>
        <v>27.562640691527285</v>
      </c>
      <c r="Q242" s="7">
        <f t="shared" si="320"/>
        <v>1.3846553478010448E-2</v>
      </c>
      <c r="R242" s="9">
        <f t="shared" si="331"/>
        <v>0.20011235722038401</v>
      </c>
      <c r="S242" s="4">
        <f t="shared" si="407"/>
        <v>1013.5974619350213</v>
      </c>
      <c r="T242" s="6">
        <f t="shared" si="332"/>
        <v>5.5271949238700431E-6</v>
      </c>
      <c r="U242" s="8">
        <f t="shared" si="333"/>
        <v>27.545370812252745</v>
      </c>
      <c r="V242" s="7">
        <f t="shared" si="334"/>
        <v>1.3832875062590412E-2</v>
      </c>
      <c r="W242" s="9">
        <f t="shared" si="335"/>
        <v>0.20023781990789308</v>
      </c>
      <c r="X242" s="4">
        <f t="shared" si="408"/>
        <v>1011.4985552437004</v>
      </c>
      <c r="Y242" s="6">
        <f t="shared" si="336"/>
        <v>5.5229971104874016E-6</v>
      </c>
      <c r="Z242" s="8">
        <f t="shared" si="337"/>
        <v>27.521233385302551</v>
      </c>
      <c r="AA242" s="7">
        <f t="shared" si="338"/>
        <v>1.3822369222131018E-2</v>
      </c>
      <c r="AB242" s="9">
        <f t="shared" si="339"/>
        <v>0.20041343797278963</v>
      </c>
      <c r="AC242" s="4">
        <f t="shared" si="409"/>
        <v>1008.8010421677031</v>
      </c>
      <c r="AD242" s="6">
        <f t="shared" si="340"/>
        <v>5.5176020843354063E-6</v>
      </c>
      <c r="AE242" s="8">
        <f t="shared" si="341"/>
        <v>27.490211984928585</v>
      </c>
      <c r="AF242" s="7">
        <f t="shared" si="342"/>
        <v>1.380886712500076E-2</v>
      </c>
      <c r="AG242" s="9">
        <f t="shared" si="343"/>
        <v>0.20063959503200349</v>
      </c>
      <c r="AH242" s="4">
        <f t="shared" si="410"/>
        <v>1005.5045421353168</v>
      </c>
      <c r="AI242" s="6">
        <f t="shared" si="344"/>
        <v>5.5110090842706336E-6</v>
      </c>
      <c r="AJ242" s="8">
        <f t="shared" si="345"/>
        <v>27.452302234556143</v>
      </c>
      <c r="AK242" s="7">
        <f t="shared" si="346"/>
        <v>1.3792366866290906E-2</v>
      </c>
      <c r="AL242" s="9">
        <f t="shared" si="347"/>
        <v>0.20091666457966847</v>
      </c>
      <c r="AM242" s="4">
        <f t="shared" si="411"/>
        <v>1001.6088066454577</v>
      </c>
      <c r="AN242" s="6">
        <f t="shared" si="348"/>
        <v>5.5032176132909155E-6</v>
      </c>
      <c r="AO242" s="8">
        <f t="shared" si="349"/>
        <v>27.407501276422764</v>
      </c>
      <c r="AP242" s="7">
        <f t="shared" si="350"/>
        <v>1.3772867202157335E-2</v>
      </c>
      <c r="AQ242" s="9">
        <f t="shared" si="351"/>
        <v>0.2012450877725509</v>
      </c>
      <c r="AR242" s="4">
        <f t="shared" si="412"/>
        <v>997.11335941846028</v>
      </c>
      <c r="AS242" s="6">
        <f t="shared" si="352"/>
        <v>5.4942267188369215E-6</v>
      </c>
      <c r="AT242" s="8">
        <f t="shared" si="353"/>
        <v>27.355803633312291</v>
      </c>
      <c r="AU242" s="7">
        <f t="shared" si="354"/>
        <v>1.3750365748635961E-2</v>
      </c>
      <c r="AV242" s="9">
        <f t="shared" si="355"/>
        <v>0.20162540548738972</v>
      </c>
      <c r="AW242" s="4">
        <f t="shared" si="413"/>
        <v>992.0164165027893</v>
      </c>
      <c r="AX242" s="6">
        <f t="shared" si="356"/>
        <v>5.4840328330055797E-6</v>
      </c>
      <c r="AY242" s="8">
        <f t="shared" si="357"/>
        <v>27.297188789782076</v>
      </c>
      <c r="AZ242" s="7">
        <f t="shared" si="358"/>
        <v>1.3724853576358793E-2</v>
      </c>
      <c r="BA242" s="9">
        <f t="shared" si="359"/>
        <v>0.20205835269251671</v>
      </c>
      <c r="BB242" s="4">
        <f t="shared" si="414"/>
        <v>986.31104081432636</v>
      </c>
      <c r="BC242" s="6">
        <f t="shared" si="360"/>
        <v>5.4726220816286533E-6</v>
      </c>
      <c r="BD242" s="8">
        <f t="shared" si="361"/>
        <v>27.231576969364752</v>
      </c>
      <c r="BE242" s="7">
        <f t="shared" si="362"/>
        <v>1.3696295962534532E-2</v>
      </c>
      <c r="BF242" s="9">
        <f t="shared" si="363"/>
        <v>0.20254519252428979</v>
      </c>
      <c r="BG242" s="4">
        <f t="shared" si="415"/>
        <v>979.9721319406807</v>
      </c>
      <c r="BH242" s="6">
        <f t="shared" si="364"/>
        <v>5.4599442638813617E-6</v>
      </c>
      <c r="BI242" s="8">
        <f t="shared" si="365"/>
        <v>27.158679517317829</v>
      </c>
      <c r="BJ242" s="7">
        <f t="shared" si="366"/>
        <v>1.3664567269882999E-2</v>
      </c>
      <c r="BK242" s="9">
        <f t="shared" si="367"/>
        <v>0.20308885034277688</v>
      </c>
      <c r="BL242" s="4">
        <f t="shared" si="416"/>
        <v>972.91656578682284</v>
      </c>
      <c r="BM242" s="6">
        <f t="shared" si="368"/>
        <v>5.4458331315736467E-6</v>
      </c>
      <c r="BN242" s="8">
        <f t="shared" si="369"/>
        <v>27.077540506548463</v>
      </c>
      <c r="BO242" s="7">
        <f t="shared" si="370"/>
        <v>1.3629251430131932E-2</v>
      </c>
      <c r="BP242" s="9">
        <f t="shared" si="371"/>
        <v>0.20369741478795295</v>
      </c>
      <c r="BQ242" s="4">
        <f t="shared" si="417"/>
        <v>964.89488077593262</v>
      </c>
      <c r="BR242" s="6">
        <f t="shared" si="372"/>
        <v>5.4297897615518662E-6</v>
      </c>
      <c r="BS242" s="8">
        <f t="shared" si="373"/>
        <v>26.985291128923222</v>
      </c>
      <c r="BT242" s="7">
        <f t="shared" si="374"/>
        <v>1.3589099791524837E-2</v>
      </c>
      <c r="BU242" s="9">
        <f t="shared" si="375"/>
        <v>0.20439375560741213</v>
      </c>
      <c r="BV242" s="4">
        <f t="shared" si="418"/>
        <v>955.23629015160918</v>
      </c>
      <c r="BW242" s="6">
        <f t="shared" si="376"/>
        <v>5.4104725803032185E-6</v>
      </c>
      <c r="BX242" s="8">
        <f t="shared" si="377"/>
        <v>26.874217336743506</v>
      </c>
      <c r="BY242" s="7">
        <f t="shared" si="378"/>
        <v>1.3540754806689951E-2</v>
      </c>
      <c r="BZ242" s="9">
        <f t="shared" si="379"/>
        <v>0.20523853516875509</v>
      </c>
      <c r="CA242" s="4">
        <f t="shared" si="419"/>
        <v>942.34738000875097</v>
      </c>
      <c r="CB242" s="6">
        <f t="shared" si="380"/>
        <v>5.384694760017503E-6</v>
      </c>
      <c r="CC242" s="8">
        <f t="shared" si="381"/>
        <v>26.725994870100635</v>
      </c>
      <c r="CD242" s="7">
        <f t="shared" si="382"/>
        <v>1.347624082223497E-2</v>
      </c>
      <c r="CE242" s="9">
        <f t="shared" si="383"/>
        <v>0.20637678884577407</v>
      </c>
      <c r="CF242" s="4">
        <f t="shared" si="420"/>
        <v>922.94534205258981</v>
      </c>
      <c r="CG242" s="6">
        <f t="shared" si="384"/>
        <v>5.3458906841051799E-6</v>
      </c>
      <c r="CH242" s="8">
        <f t="shared" si="385"/>
        <v>26.502871433604781</v>
      </c>
      <c r="CI242" s="7">
        <f t="shared" si="386"/>
        <v>1.3379126111896763E-2</v>
      </c>
      <c r="CJ242" s="9">
        <f t="shared" si="387"/>
        <v>0.20811424202912468</v>
      </c>
      <c r="CK242" s="4">
        <f t="shared" si="421"/>
        <v>891.31153415746621</v>
      </c>
      <c r="CL242" s="6">
        <f t="shared" si="388"/>
        <v>5.2826230683149331E-6</v>
      </c>
      <c r="CM242" s="8">
        <f t="shared" si="389"/>
        <v>26.139082642810862</v>
      </c>
      <c r="CN242" s="7">
        <f t="shared" si="390"/>
        <v>1.3220786658197585E-2</v>
      </c>
      <c r="CO242" s="9">
        <f t="shared" si="391"/>
        <v>0.21101065692972912</v>
      </c>
      <c r="CP242" s="4">
        <f t="shared" si="422"/>
        <v>839.34701595816205</v>
      </c>
      <c r="CQ242" s="6">
        <f t="shared" si="392"/>
        <v>5.1786940319163238E-6</v>
      </c>
      <c r="CR242" s="8">
        <f t="shared" si="393"/>
        <v>25.541490683518862</v>
      </c>
      <c r="CS242" s="7">
        <f t="shared" si="394"/>
        <v>1.2960684129577014E-2</v>
      </c>
      <c r="CT242" s="9">
        <f t="shared" si="395"/>
        <v>0.21594765428311757</v>
      </c>
      <c r="CU242" s="4">
        <f t="shared" si="423"/>
        <v>758.40910178314346</v>
      </c>
      <c r="CV242" s="6">
        <f t="shared" si="396"/>
        <v>5.0168182035662873E-6</v>
      </c>
      <c r="CW242" s="8">
        <f t="shared" si="397"/>
        <v>24.610704670506149</v>
      </c>
      <c r="CX242" s="7">
        <f t="shared" si="398"/>
        <v>1.2555558538737254E-2</v>
      </c>
      <c r="CY242" s="9">
        <f t="shared" si="399"/>
        <v>0.2241148749637393</v>
      </c>
      <c r="CZ242" s="5">
        <f t="shared" si="424"/>
        <v>643.03698553054562</v>
      </c>
      <c r="DA242" s="6">
        <f t="shared" si="400"/>
        <v>4.8960599586611433E-6</v>
      </c>
      <c r="DB242" s="8">
        <f t="shared" si="401"/>
        <v>34.846927419614175</v>
      </c>
      <c r="DC242" s="7">
        <f t="shared" si="402"/>
        <v>1.225333765860572E-2</v>
      </c>
      <c r="DD242" s="9">
        <f t="shared" si="403"/>
        <v>0.15828153035080614</v>
      </c>
    </row>
    <row r="243" spans="1:108" x14ac:dyDescent="0.25">
      <c r="B243">
        <v>224</v>
      </c>
      <c r="C243">
        <f t="shared" si="404"/>
        <v>0.21898568526133633</v>
      </c>
      <c r="D243" s="4">
        <f t="shared" si="321"/>
        <v>1016.3136239178128</v>
      </c>
      <c r="E243" s="6">
        <f t="shared" si="322"/>
        <v>5.5326272478356264E-6</v>
      </c>
      <c r="F243" s="8">
        <f t="shared" si="323"/>
        <v>27.576606675054848</v>
      </c>
      <c r="G243" s="7">
        <f t="shared" si="319"/>
        <v>1.384647050471801E-2</v>
      </c>
      <c r="H243" s="9">
        <f t="shared" si="324"/>
        <v>0.20001101168800819</v>
      </c>
      <c r="I243" s="4">
        <f t="shared" si="405"/>
        <v>1015.9889390527649</v>
      </c>
      <c r="J243" s="6">
        <f t="shared" si="325"/>
        <v>5.5319778781055303E-6</v>
      </c>
      <c r="K243" s="8">
        <f t="shared" si="326"/>
        <v>27.572872799106797</v>
      </c>
      <c r="L243" s="7">
        <f t="shared" si="327"/>
        <v>1.3844845331285632E-2</v>
      </c>
      <c r="M243" s="9">
        <f t="shared" si="328"/>
        <v>0.20003809687101862</v>
      </c>
      <c r="N243" s="4">
        <f t="shared" si="406"/>
        <v>1015.0826125108431</v>
      </c>
      <c r="O243" s="6">
        <f t="shared" si="329"/>
        <v>5.530165225021687E-6</v>
      </c>
      <c r="P243" s="8">
        <f t="shared" si="330"/>
        <v>27.562450043874694</v>
      </c>
      <c r="Q243" s="7">
        <f t="shared" si="320"/>
        <v>1.384647050471801E-2</v>
      </c>
      <c r="R243" s="9">
        <f t="shared" si="331"/>
        <v>0.20011374138438603</v>
      </c>
      <c r="S243" s="4">
        <f t="shared" si="407"/>
        <v>1013.5808837781764</v>
      </c>
      <c r="T243" s="6">
        <f t="shared" si="332"/>
        <v>5.5271617675563534E-6</v>
      </c>
      <c r="U243" s="8">
        <f t="shared" si="333"/>
        <v>27.545180163449025</v>
      </c>
      <c r="V243" s="7">
        <f t="shared" si="334"/>
        <v>1.3832792082498135E-2</v>
      </c>
      <c r="W243" s="9">
        <f t="shared" si="335"/>
        <v>0.20023920581644764</v>
      </c>
      <c r="X243" s="4">
        <f t="shared" si="408"/>
        <v>1011.4819813613692</v>
      </c>
      <c r="Y243" s="6">
        <f t="shared" si="336"/>
        <v>5.5229639627227392E-6</v>
      </c>
      <c r="Z243" s="8">
        <f t="shared" si="337"/>
        <v>27.521042785655744</v>
      </c>
      <c r="AA243" s="7">
        <f t="shared" si="338"/>
        <v>1.3822286263434338E-2</v>
      </c>
      <c r="AB243" s="9">
        <f t="shared" si="339"/>
        <v>0.20041482595546131</v>
      </c>
      <c r="AC243" s="4">
        <f t="shared" si="409"/>
        <v>1008.7844777020188</v>
      </c>
      <c r="AD243" s="6">
        <f t="shared" si="340"/>
        <v>5.5175689554040386E-6</v>
      </c>
      <c r="AE243" s="8">
        <f t="shared" si="341"/>
        <v>27.490021493573217</v>
      </c>
      <c r="AF243" s="7">
        <f t="shared" si="342"/>
        <v>1.3808784213438046E-2</v>
      </c>
      <c r="AG243" s="9">
        <f t="shared" si="343"/>
        <v>0.20064098535861372</v>
      </c>
      <c r="AH243" s="4">
        <f t="shared" si="410"/>
        <v>1005.4879910864965</v>
      </c>
      <c r="AI243" s="6">
        <f t="shared" si="344"/>
        <v>5.5109759821729935E-6</v>
      </c>
      <c r="AJ243" s="8">
        <f t="shared" si="345"/>
        <v>27.45211189749471</v>
      </c>
      <c r="AK243" s="7">
        <f t="shared" si="346"/>
        <v>1.3792284021884788E-2</v>
      </c>
      <c r="AL243" s="9">
        <f t="shared" si="347"/>
        <v>0.20091805761958001</v>
      </c>
      <c r="AM243" s="4">
        <f t="shared" si="411"/>
        <v>1001.592268566897</v>
      </c>
      <c r="AN243" s="6">
        <f t="shared" si="348"/>
        <v>5.5031845371337942E-6</v>
      </c>
      <c r="AO243" s="8">
        <f t="shared" si="349"/>
        <v>27.407311088519315</v>
      </c>
      <c r="AP243" s="7">
        <f t="shared" si="350"/>
        <v>1.3772784422672386E-2</v>
      </c>
      <c r="AQ243" s="9">
        <f t="shared" si="351"/>
        <v>0.2012464842751556</v>
      </c>
      <c r="AR243" s="4">
        <f t="shared" si="412"/>
        <v>997.09681802791317</v>
      </c>
      <c r="AS243" s="6">
        <f t="shared" si="352"/>
        <v>5.4941936360558271E-6</v>
      </c>
      <c r="AT243" s="8">
        <f t="shared" si="353"/>
        <v>27.355613407321002</v>
      </c>
      <c r="AU243" s="7">
        <f t="shared" si="354"/>
        <v>1.3750282952573238E-2</v>
      </c>
      <c r="AV243" s="9">
        <f t="shared" si="355"/>
        <v>0.20162680755401705</v>
      </c>
      <c r="AW243" s="4">
        <f t="shared" si="413"/>
        <v>991.99979843904191</v>
      </c>
      <c r="AX243" s="6">
        <f t="shared" si="356"/>
        <v>5.4839995968780845E-6</v>
      </c>
      <c r="AY243" s="8">
        <f t="shared" si="357"/>
        <v>27.296997682048982</v>
      </c>
      <c r="AZ243" s="7">
        <f t="shared" si="358"/>
        <v>1.3724770396517023E-2</v>
      </c>
      <c r="BA243" s="9">
        <f t="shared" si="359"/>
        <v>0.20205976731379433</v>
      </c>
      <c r="BB243" s="4">
        <f t="shared" si="414"/>
        <v>986.29408046481092</v>
      </c>
      <c r="BC243" s="6">
        <f t="shared" si="360"/>
        <v>5.4725881609296222E-6</v>
      </c>
      <c r="BD243" s="8">
        <f t="shared" si="361"/>
        <v>27.231381925345325</v>
      </c>
      <c r="BE243" s="7">
        <f t="shared" si="362"/>
        <v>1.3696211069419996E-2</v>
      </c>
      <c r="BF243" s="9">
        <f t="shared" si="363"/>
        <v>0.20254664324862595</v>
      </c>
      <c r="BG243" s="4">
        <f t="shared" si="415"/>
        <v>979.95397765325458</v>
      </c>
      <c r="BH243" s="6">
        <f t="shared" si="364"/>
        <v>5.4599079553065092E-6</v>
      </c>
      <c r="BI243" s="8">
        <f t="shared" si="365"/>
        <v>27.158470743012426</v>
      </c>
      <c r="BJ243" s="7">
        <f t="shared" si="366"/>
        <v>1.3664476400647059E-2</v>
      </c>
      <c r="BK243" s="9">
        <f t="shared" si="367"/>
        <v>0.2030904115401678</v>
      </c>
      <c r="BL243" s="4">
        <f t="shared" si="416"/>
        <v>972.89477999755377</v>
      </c>
      <c r="BM243" s="6">
        <f t="shared" si="368"/>
        <v>5.4457895599951082E-6</v>
      </c>
      <c r="BN243" s="8">
        <f t="shared" si="369"/>
        <v>27.077289969971865</v>
      </c>
      <c r="BO243" s="7">
        <f t="shared" si="370"/>
        <v>1.3629142383823543E-2</v>
      </c>
      <c r="BP243" s="9">
        <f t="shared" si="371"/>
        <v>0.20369929952800706</v>
      </c>
      <c r="BQ243" s="4">
        <f t="shared" si="417"/>
        <v>964.86330319494994</v>
      </c>
      <c r="BR243" s="6">
        <f t="shared" si="372"/>
        <v>5.4297266063899012E-6</v>
      </c>
      <c r="BS243" s="8">
        <f t="shared" si="373"/>
        <v>26.984927986741923</v>
      </c>
      <c r="BT243" s="7">
        <f t="shared" si="374"/>
        <v>1.3588941733508601E-2</v>
      </c>
      <c r="BU243" s="9">
        <f t="shared" si="375"/>
        <v>0.20439650617966831</v>
      </c>
      <c r="BV243" s="4">
        <f t="shared" si="418"/>
        <v>955.1814507895283</v>
      </c>
      <c r="BW243" s="6">
        <f t="shared" si="376"/>
        <v>5.410362901579057E-6</v>
      </c>
      <c r="BX243" s="8">
        <f t="shared" si="377"/>
        <v>26.873586684079577</v>
      </c>
      <c r="BY243" s="7">
        <f t="shared" si="378"/>
        <v>1.3540480314454878E-2</v>
      </c>
      <c r="BZ243" s="9">
        <f t="shared" si="379"/>
        <v>0.20524335157939899</v>
      </c>
      <c r="CA243" s="4">
        <f t="shared" si="419"/>
        <v>942.24461463157377</v>
      </c>
      <c r="CB243" s="6">
        <f t="shared" si="380"/>
        <v>5.3844892292631482E-6</v>
      </c>
      <c r="CC243" s="8">
        <f t="shared" si="381"/>
        <v>26.724813068263096</v>
      </c>
      <c r="CD243" s="7">
        <f t="shared" si="382"/>
        <v>1.3475726441742573E-2</v>
      </c>
      <c r="CE243" s="9">
        <f t="shared" si="383"/>
        <v>0.20638591506370721</v>
      </c>
      <c r="CF243" s="4">
        <f t="shared" si="420"/>
        <v>922.75901803269983</v>
      </c>
      <c r="CG243" s="6">
        <f t="shared" si="384"/>
        <v>5.3455180360653999E-6</v>
      </c>
      <c r="CH243" s="8">
        <f t="shared" si="385"/>
        <v>26.500728707376048</v>
      </c>
      <c r="CI243" s="7">
        <f t="shared" si="386"/>
        <v>1.3378193488052735E-2</v>
      </c>
      <c r="CJ243" s="9">
        <f t="shared" si="387"/>
        <v>0.20813106918319629</v>
      </c>
      <c r="CK243" s="4">
        <f t="shared" si="421"/>
        <v>891.00665202298001</v>
      </c>
      <c r="CL243" s="6">
        <f t="shared" si="388"/>
        <v>5.2820133040459604E-6</v>
      </c>
      <c r="CM243" s="8">
        <f t="shared" si="389"/>
        <v>26.135576498264271</v>
      </c>
      <c r="CN243" s="7">
        <f t="shared" si="390"/>
        <v>1.3219260605097141E-2</v>
      </c>
      <c r="CO243" s="9">
        <f t="shared" si="391"/>
        <v>0.21103896446922862</v>
      </c>
      <c r="CP243" s="4">
        <f t="shared" si="422"/>
        <v>838.91520708923861</v>
      </c>
      <c r="CQ243" s="6">
        <f t="shared" si="392"/>
        <v>5.1778304141784777E-6</v>
      </c>
      <c r="CR243" s="8">
        <f t="shared" si="393"/>
        <v>25.536524881526244</v>
      </c>
      <c r="CS243" s="7">
        <f t="shared" si="394"/>
        <v>1.2958522759038431E-2</v>
      </c>
      <c r="CT243" s="9">
        <f t="shared" si="395"/>
        <v>0.21598964720489983</v>
      </c>
      <c r="CU243" s="4">
        <f t="shared" si="423"/>
        <v>757.89594097085489</v>
      </c>
      <c r="CV243" s="6">
        <f t="shared" si="396"/>
        <v>5.01579188194171E-6</v>
      </c>
      <c r="CW243" s="8">
        <f t="shared" si="397"/>
        <v>24.60480332116483</v>
      </c>
      <c r="CX243" s="7">
        <f t="shared" si="398"/>
        <v>1.2552989970231463E-2</v>
      </c>
      <c r="CY243" s="9">
        <f t="shared" si="399"/>
        <v>0.22416862788964093</v>
      </c>
      <c r="CZ243" s="5">
        <f t="shared" si="424"/>
        <v>642.54217744075277</v>
      </c>
      <c r="DA243" s="6">
        <f t="shared" si="400"/>
        <v>4.9049667952520528E-6</v>
      </c>
      <c r="DB243" s="8">
        <f t="shared" si="401"/>
        <v>34.861276854218161</v>
      </c>
      <c r="DC243" s="7">
        <f t="shared" si="402"/>
        <v>1.2275628741055675E-2</v>
      </c>
      <c r="DD243" s="9">
        <f t="shared" si="403"/>
        <v>0.15821637925268989</v>
      </c>
    </row>
    <row r="244" spans="1:108" x14ac:dyDescent="0.25">
      <c r="B244">
        <v>225</v>
      </c>
      <c r="C244">
        <f t="shared" si="404"/>
        <v>0.21996329992768157</v>
      </c>
      <c r="D244" s="4">
        <f t="shared" si="321"/>
        <v>1016.2970471488026</v>
      </c>
      <c r="E244" s="6">
        <f t="shared" si="322"/>
        <v>5.5325940942976052E-6</v>
      </c>
      <c r="F244" s="8">
        <f t="shared" si="323"/>
        <v>27.576416042211228</v>
      </c>
      <c r="G244" s="7">
        <f t="shared" si="319"/>
        <v>1.3846387531572382E-2</v>
      </c>
      <c r="H244" s="9">
        <f t="shared" si="324"/>
        <v>0.20001239434294982</v>
      </c>
      <c r="I244" s="4">
        <f t="shared" si="405"/>
        <v>1015.972362886204</v>
      </c>
      <c r="J244" s="6">
        <f t="shared" si="325"/>
        <v>5.5319447257724083E-6</v>
      </c>
      <c r="K244" s="8">
        <f t="shared" si="326"/>
        <v>27.572682173191346</v>
      </c>
      <c r="L244" s="7">
        <f t="shared" si="327"/>
        <v>1.3844762361155498E-2</v>
      </c>
      <c r="M244" s="9">
        <f t="shared" si="328"/>
        <v>0.20003947985019713</v>
      </c>
      <c r="N244" s="4">
        <f t="shared" si="406"/>
        <v>1015.0660345707456</v>
      </c>
      <c r="O244" s="6">
        <f t="shared" si="329"/>
        <v>5.5301320691414909E-6</v>
      </c>
      <c r="P244" s="8">
        <f t="shared" si="330"/>
        <v>27.562259397563572</v>
      </c>
      <c r="Q244" s="7">
        <f t="shared" si="320"/>
        <v>1.3846387531572382E-2</v>
      </c>
      <c r="R244" s="9">
        <f t="shared" si="331"/>
        <v>0.20011512555779684</v>
      </c>
      <c r="S244" s="4">
        <f t="shared" si="407"/>
        <v>1013.5643057908798</v>
      </c>
      <c r="T244" s="6">
        <f t="shared" si="332"/>
        <v>5.5271286115817606E-6</v>
      </c>
      <c r="U244" s="8">
        <f t="shared" si="333"/>
        <v>27.544989516595116</v>
      </c>
      <c r="V244" s="7">
        <f t="shared" si="334"/>
        <v>1.3832709103254516E-2</v>
      </c>
      <c r="W244" s="9">
        <f t="shared" si="335"/>
        <v>0.2002405917300126</v>
      </c>
      <c r="X244" s="4">
        <f t="shared" si="408"/>
        <v>1011.4654076732631</v>
      </c>
      <c r="Y244" s="6">
        <f t="shared" si="336"/>
        <v>5.5229308153465277E-6</v>
      </c>
      <c r="Z244" s="8">
        <f t="shared" si="337"/>
        <v>27.520852188242525</v>
      </c>
      <c r="AA244" s="7">
        <f t="shared" si="338"/>
        <v>1.3822203305709831E-2</v>
      </c>
      <c r="AB244" s="9">
        <f t="shared" si="339"/>
        <v>0.20041621394109257</v>
      </c>
      <c r="AC244" s="4">
        <f t="shared" si="409"/>
        <v>1008.7679134226028</v>
      </c>
      <c r="AD244" s="6">
        <f t="shared" si="340"/>
        <v>5.5175358268452062E-6</v>
      </c>
      <c r="AE244" s="8">
        <f t="shared" si="341"/>
        <v>27.489831004359932</v>
      </c>
      <c r="AF244" s="7">
        <f t="shared" si="342"/>
        <v>1.3808701302807673E-2</v>
      </c>
      <c r="AG244" s="9">
        <f t="shared" si="343"/>
        <v>0.20064237568885793</v>
      </c>
      <c r="AH244" s="4">
        <f t="shared" si="410"/>
        <v>1005.4714401612493</v>
      </c>
      <c r="AI244" s="6">
        <f t="shared" si="344"/>
        <v>5.5109428803224991E-6</v>
      </c>
      <c r="AJ244" s="8">
        <f t="shared" si="345"/>
        <v>27.451921561854366</v>
      </c>
      <c r="AK244" s="7">
        <f t="shared" si="346"/>
        <v>1.3792201178097199E-2</v>
      </c>
      <c r="AL244" s="9">
        <f t="shared" si="347"/>
        <v>0.20091945066840786</v>
      </c>
      <c r="AM244" s="4">
        <f t="shared" si="411"/>
        <v>1001.5757303726198</v>
      </c>
      <c r="AN244" s="6">
        <f t="shared" si="348"/>
        <v>5.5031514607452397E-6</v>
      </c>
      <c r="AO244" s="8">
        <f t="shared" si="349"/>
        <v>27.407120899285125</v>
      </c>
      <c r="AP244" s="7">
        <f t="shared" si="350"/>
        <v>1.3772701642608231E-2</v>
      </c>
      <c r="AQ244" s="9">
        <f t="shared" si="351"/>
        <v>0.20124788080691347</v>
      </c>
      <c r="AR244" s="4">
        <f t="shared" si="412"/>
        <v>997.08027565755378</v>
      </c>
      <c r="AS244" s="6">
        <f t="shared" si="352"/>
        <v>5.4941605513151085E-6</v>
      </c>
      <c r="AT244" s="8">
        <f t="shared" si="353"/>
        <v>27.355423170061869</v>
      </c>
      <c r="AU244" s="7">
        <f t="shared" si="354"/>
        <v>1.3750200151606176E-2</v>
      </c>
      <c r="AV244" s="9">
        <f t="shared" si="355"/>
        <v>0.20162820972319564</v>
      </c>
      <c r="AW244" s="4">
        <f t="shared" si="413"/>
        <v>991.98317650309582</v>
      </c>
      <c r="AX244" s="6">
        <f t="shared" si="356"/>
        <v>5.4839663530061924E-6</v>
      </c>
      <c r="AY244" s="8">
        <f t="shared" si="357"/>
        <v>27.296806529785599</v>
      </c>
      <c r="AZ244" s="7">
        <f t="shared" si="358"/>
        <v>1.37246871972934E-2</v>
      </c>
      <c r="BA244" s="9">
        <f t="shared" si="359"/>
        <v>0.20206118228450962</v>
      </c>
      <c r="BB244" s="4">
        <f t="shared" si="414"/>
        <v>986.27710747523997</v>
      </c>
      <c r="BC244" s="6">
        <f t="shared" si="360"/>
        <v>5.4725542149504803E-6</v>
      </c>
      <c r="BD244" s="8">
        <f t="shared" si="361"/>
        <v>27.23118673596526</v>
      </c>
      <c r="BE244" s="7">
        <f t="shared" si="362"/>
        <v>1.369612611303709E-2</v>
      </c>
      <c r="BF244" s="9">
        <f t="shared" si="363"/>
        <v>0.20254809507494967</v>
      </c>
      <c r="BG244" s="4">
        <f t="shared" si="415"/>
        <v>979.93578708917164</v>
      </c>
      <c r="BH244" s="6">
        <f t="shared" si="364"/>
        <v>5.4598715741783441E-6</v>
      </c>
      <c r="BI244" s="8">
        <f t="shared" si="365"/>
        <v>27.158261551525474</v>
      </c>
      <c r="BJ244" s="7">
        <f t="shared" si="366"/>
        <v>1.3664385349832409E-2</v>
      </c>
      <c r="BK244" s="9">
        <f t="shared" si="367"/>
        <v>0.20309197588128347</v>
      </c>
      <c r="BL244" s="4">
        <f t="shared" si="416"/>
        <v>972.87290253433173</v>
      </c>
      <c r="BM244" s="6">
        <f t="shared" si="368"/>
        <v>5.4457458050686633E-6</v>
      </c>
      <c r="BN244" s="8">
        <f t="shared" si="369"/>
        <v>27.077038379144813</v>
      </c>
      <c r="BO244" s="7">
        <f t="shared" si="370"/>
        <v>1.3629032878651529E-2</v>
      </c>
      <c r="BP244" s="9">
        <f t="shared" si="371"/>
        <v>0.20370119223408961</v>
      </c>
      <c r="BQ244" s="4">
        <f t="shared" si="417"/>
        <v>964.8315249582829</v>
      </c>
      <c r="BR244" s="6">
        <f t="shared" si="372"/>
        <v>5.4296630499165667E-6</v>
      </c>
      <c r="BS244" s="8">
        <f t="shared" si="373"/>
        <v>26.984562537020253</v>
      </c>
      <c r="BT244" s="7">
        <f t="shared" si="374"/>
        <v>1.3588782671132992E-2</v>
      </c>
      <c r="BU244" s="9">
        <f t="shared" si="375"/>
        <v>0.20439927430482102</v>
      </c>
      <c r="BV244" s="4">
        <f t="shared" si="418"/>
        <v>955.12624236403155</v>
      </c>
      <c r="BW244" s="6">
        <f t="shared" si="376"/>
        <v>5.4102524847280635E-6</v>
      </c>
      <c r="BX244" s="8">
        <f t="shared" si="377"/>
        <v>26.872951787186363</v>
      </c>
      <c r="BY244" s="7">
        <f t="shared" si="378"/>
        <v>1.3540203974914542E-2</v>
      </c>
      <c r="BZ244" s="9">
        <f t="shared" si="379"/>
        <v>0.20524820063235391</v>
      </c>
      <c r="CA244" s="4">
        <f t="shared" si="419"/>
        <v>942.14130953432448</v>
      </c>
      <c r="CB244" s="6">
        <f t="shared" si="380"/>
        <v>5.3842826190686495E-6</v>
      </c>
      <c r="CC244" s="8">
        <f t="shared" si="381"/>
        <v>26.723625059644732</v>
      </c>
      <c r="CD244" s="7">
        <f t="shared" si="382"/>
        <v>1.3475209359742295E-2</v>
      </c>
      <c r="CE244" s="9">
        <f t="shared" si="383"/>
        <v>0.20639509002575887</v>
      </c>
      <c r="CF244" s="4">
        <f t="shared" si="420"/>
        <v>922.57214442567988</v>
      </c>
      <c r="CG244" s="6">
        <f t="shared" si="384"/>
        <v>5.34514428885136E-6</v>
      </c>
      <c r="CH244" s="8">
        <f t="shared" si="385"/>
        <v>26.498579660895317</v>
      </c>
      <c r="CI244" s="7">
        <f t="shared" si="386"/>
        <v>1.337725811331238E-2</v>
      </c>
      <c r="CJ244" s="9">
        <f t="shared" si="387"/>
        <v>0.20814794870456998</v>
      </c>
      <c r="CK244" s="4">
        <f t="shared" si="421"/>
        <v>890.70158267030297</v>
      </c>
      <c r="CL244" s="6">
        <f t="shared" si="388"/>
        <v>5.2814031653406067E-6</v>
      </c>
      <c r="CM244" s="8">
        <f t="shared" si="389"/>
        <v>26.132068200708481</v>
      </c>
      <c r="CN244" s="7">
        <f t="shared" si="390"/>
        <v>1.3217733614897182E-2</v>
      </c>
      <c r="CO244" s="9">
        <f t="shared" si="391"/>
        <v>0.21106729699452043</v>
      </c>
      <c r="CP244" s="4">
        <f t="shared" si="422"/>
        <v>838.48397402365015</v>
      </c>
      <c r="CQ244" s="6">
        <f t="shared" si="392"/>
        <v>5.1769679480473008E-6</v>
      </c>
      <c r="CR244" s="8">
        <f t="shared" si="393"/>
        <v>25.531565701271976</v>
      </c>
      <c r="CS244" s="7">
        <f t="shared" si="394"/>
        <v>1.2956364270618427E-2</v>
      </c>
      <c r="CT244" s="9">
        <f t="shared" si="395"/>
        <v>0.21603160043276207</v>
      </c>
      <c r="CU244" s="4">
        <f t="shared" si="423"/>
        <v>757.38413596520718</v>
      </c>
      <c r="CV244" s="6">
        <f t="shared" si="396"/>
        <v>5.0147682719304153E-6</v>
      </c>
      <c r="CW244" s="8">
        <f t="shared" si="397"/>
        <v>24.598917563599883</v>
      </c>
      <c r="CX244" s="7">
        <f t="shared" si="398"/>
        <v>1.2550428188062736E-2</v>
      </c>
      <c r="CY244" s="9">
        <f t="shared" si="399"/>
        <v>0.2242222644853982</v>
      </c>
      <c r="CZ244" s="5">
        <f t="shared" si="424"/>
        <v>642.0489136275711</v>
      </c>
      <c r="DA244" s="6">
        <f t="shared" si="400"/>
        <v>4.9138374462004596E-6</v>
      </c>
      <c r="DB244" s="8">
        <f t="shared" si="401"/>
        <v>34.875581504800437</v>
      </c>
      <c r="DC244" s="7">
        <f t="shared" si="402"/>
        <v>1.2297829261931684E-2</v>
      </c>
      <c r="DD244" s="9">
        <f t="shared" si="403"/>
        <v>0.15815148485024699</v>
      </c>
    </row>
    <row r="245" spans="1:108" x14ac:dyDescent="0.25">
      <c r="B245">
        <v>226</v>
      </c>
      <c r="C245">
        <f t="shared" si="404"/>
        <v>0.22094091459402682</v>
      </c>
      <c r="D245" s="4">
        <f t="shared" si="321"/>
        <v>1016.2804704105504</v>
      </c>
      <c r="E245" s="6">
        <f t="shared" si="322"/>
        <v>5.5325609408211014E-6</v>
      </c>
      <c r="F245" s="8">
        <f t="shared" si="323"/>
        <v>27.576225409721328</v>
      </c>
      <c r="G245" s="7">
        <f t="shared" si="319"/>
        <v>1.3846304558580713E-2</v>
      </c>
      <c r="H245" s="9">
        <f t="shared" si="324"/>
        <v>0.20001377701444231</v>
      </c>
      <c r="I245" s="4">
        <f t="shared" si="405"/>
        <v>1015.9557867779678</v>
      </c>
      <c r="J245" s="6">
        <f t="shared" si="325"/>
        <v>5.5319115735559364E-6</v>
      </c>
      <c r="K245" s="8">
        <f t="shared" si="326"/>
        <v>27.572491547946626</v>
      </c>
      <c r="L245" s="7">
        <f t="shared" si="327"/>
        <v>1.3844679391317304E-2</v>
      </c>
      <c r="M245" s="9">
        <f t="shared" si="328"/>
        <v>0.20004086284363223</v>
      </c>
      <c r="N245" s="4">
        <f t="shared" si="406"/>
        <v>1015.0494567475963</v>
      </c>
      <c r="O245" s="6">
        <f t="shared" si="329"/>
        <v>5.5300989134951936E-6</v>
      </c>
      <c r="P245" s="8">
        <f t="shared" si="330"/>
        <v>27.562068752597355</v>
      </c>
      <c r="Q245" s="7">
        <f t="shared" si="320"/>
        <v>1.3846304558580713E-2</v>
      </c>
      <c r="R245" s="9">
        <f t="shared" si="331"/>
        <v>0.20011650974059145</v>
      </c>
      <c r="S245" s="4">
        <f t="shared" si="407"/>
        <v>1013.5477279729188</v>
      </c>
      <c r="T245" s="6">
        <f t="shared" si="332"/>
        <v>5.5270954559458378E-6</v>
      </c>
      <c r="U245" s="8">
        <f t="shared" si="333"/>
        <v>27.544798871688563</v>
      </c>
      <c r="V245" s="7">
        <f t="shared" si="334"/>
        <v>1.3832626124858484E-2</v>
      </c>
      <c r="W245" s="9">
        <f t="shared" si="335"/>
        <v>0.20024197764860568</v>
      </c>
      <c r="X245" s="4">
        <f t="shared" si="408"/>
        <v>1011.4488341789577</v>
      </c>
      <c r="Y245" s="6">
        <f t="shared" si="336"/>
        <v>5.522897668357916E-6</v>
      </c>
      <c r="Z245" s="8">
        <f t="shared" si="337"/>
        <v>27.520661593058012</v>
      </c>
      <c r="AA245" s="7">
        <f t="shared" si="338"/>
        <v>1.3822120348955368E-2</v>
      </c>
      <c r="AB245" s="9">
        <f t="shared" si="339"/>
        <v>0.20041760192971875</v>
      </c>
      <c r="AC245" s="4">
        <f t="shared" si="409"/>
        <v>1008.7513493285986</v>
      </c>
      <c r="AD245" s="6">
        <f t="shared" si="340"/>
        <v>5.517502698657198E-6</v>
      </c>
      <c r="AE245" s="8">
        <f t="shared" si="341"/>
        <v>27.489640517278882</v>
      </c>
      <c r="AF245" s="7">
        <f t="shared" si="342"/>
        <v>1.3808618393105359E-2</v>
      </c>
      <c r="AG245" s="9">
        <f t="shared" si="343"/>
        <v>0.20064376602280776</v>
      </c>
      <c r="AH245" s="4">
        <f t="shared" si="410"/>
        <v>1005.4548893567878</v>
      </c>
      <c r="AI245" s="6">
        <f t="shared" si="344"/>
        <v>5.5109097787135759E-6</v>
      </c>
      <c r="AJ245" s="8">
        <f t="shared" si="345"/>
        <v>27.451731227603059</v>
      </c>
      <c r="AK245" s="7">
        <f t="shared" si="346"/>
        <v>1.3792118334914191E-2</v>
      </c>
      <c r="AL245" s="9">
        <f t="shared" si="347"/>
        <v>0.20092084372638655</v>
      </c>
      <c r="AM245" s="4">
        <f t="shared" si="411"/>
        <v>1001.5591920529234</v>
      </c>
      <c r="AN245" s="6">
        <f t="shared" si="348"/>
        <v>5.5031183841058474E-6</v>
      </c>
      <c r="AO245" s="8">
        <f t="shared" si="349"/>
        <v>27.40693070860862</v>
      </c>
      <c r="AP245" s="7">
        <f t="shared" si="350"/>
        <v>1.3772618861916308E-2</v>
      </c>
      <c r="AQ245" s="9">
        <f t="shared" si="351"/>
        <v>0.20124927736864462</v>
      </c>
      <c r="AR245" s="4">
        <f t="shared" si="412"/>
        <v>997.06373227622726</v>
      </c>
      <c r="AS245" s="6">
        <f t="shared" si="352"/>
        <v>5.4941274645524545E-6</v>
      </c>
      <c r="AT245" s="8">
        <f t="shared" si="353"/>
        <v>27.355232921176615</v>
      </c>
      <c r="AU245" s="7">
        <f t="shared" si="354"/>
        <v>1.3750117345578829E-2</v>
      </c>
      <c r="AV245" s="9">
        <f t="shared" si="355"/>
        <v>0.20162961199757021</v>
      </c>
      <c r="AW245" s="4">
        <f t="shared" si="413"/>
        <v>991.96655060530941</v>
      </c>
      <c r="AX245" s="6">
        <f t="shared" si="356"/>
        <v>5.4839331012106196E-6</v>
      </c>
      <c r="AY245" s="8">
        <f t="shared" si="357"/>
        <v>27.296615331961057</v>
      </c>
      <c r="AZ245" s="7">
        <f t="shared" si="358"/>
        <v>1.3724603978239231E-2</v>
      </c>
      <c r="BA245" s="9">
        <f t="shared" si="359"/>
        <v>0.20206259761230785</v>
      </c>
      <c r="BB245" s="4">
        <f t="shared" si="414"/>
        <v>986.26012161948802</v>
      </c>
      <c r="BC245" s="6">
        <f t="shared" si="360"/>
        <v>5.4725202432389763E-6</v>
      </c>
      <c r="BD245" s="8">
        <f t="shared" si="361"/>
        <v>27.230991398624113</v>
      </c>
      <c r="BE245" s="7">
        <f t="shared" si="362"/>
        <v>1.3696041092253966E-2</v>
      </c>
      <c r="BF245" s="9">
        <f t="shared" si="363"/>
        <v>0.2025495480226506</v>
      </c>
      <c r="BG245" s="4">
        <f t="shared" si="415"/>
        <v>979.91755976477089</v>
      </c>
      <c r="BH245" s="6">
        <f t="shared" si="364"/>
        <v>5.459835119529542E-6</v>
      </c>
      <c r="BI245" s="8">
        <f t="shared" si="365"/>
        <v>27.158051937294864</v>
      </c>
      <c r="BJ245" s="7">
        <f t="shared" si="366"/>
        <v>1.3664294115018136E-2</v>
      </c>
      <c r="BK245" s="9">
        <f t="shared" si="367"/>
        <v>0.20309354340786329</v>
      </c>
      <c r="BL245" s="4">
        <f t="shared" si="416"/>
        <v>972.85093257289429</v>
      </c>
      <c r="BM245" s="6">
        <f t="shared" si="368"/>
        <v>5.4457018651457893E-6</v>
      </c>
      <c r="BN245" s="8">
        <f t="shared" si="369"/>
        <v>27.076785724588284</v>
      </c>
      <c r="BO245" s="7">
        <f t="shared" si="370"/>
        <v>1.3628922910490148E-2</v>
      </c>
      <c r="BP245" s="9">
        <f t="shared" si="371"/>
        <v>0.20370309297795605</v>
      </c>
      <c r="BQ245" s="4">
        <f t="shared" si="417"/>
        <v>964.7995451149294</v>
      </c>
      <c r="BR245" s="6">
        <f t="shared" si="372"/>
        <v>5.4295990902298589E-6</v>
      </c>
      <c r="BS245" s="8">
        <f t="shared" si="373"/>
        <v>26.984194768821688</v>
      </c>
      <c r="BT245" s="7">
        <f t="shared" si="374"/>
        <v>1.3588622599637872E-2</v>
      </c>
      <c r="BU245" s="9">
        <f t="shared" si="375"/>
        <v>0.20440206006713646</v>
      </c>
      <c r="BV245" s="4">
        <f t="shared" si="418"/>
        <v>955.07066469279096</v>
      </c>
      <c r="BW245" s="6">
        <f t="shared" si="376"/>
        <v>5.4101413293855825E-6</v>
      </c>
      <c r="BX245" s="8">
        <f t="shared" si="377"/>
        <v>26.872312643967096</v>
      </c>
      <c r="BY245" s="7">
        <f t="shared" si="378"/>
        <v>1.3539925787156329E-2</v>
      </c>
      <c r="BZ245" s="9">
        <f t="shared" si="379"/>
        <v>0.20525308234824635</v>
      </c>
      <c r="CA245" s="4">
        <f t="shared" si="419"/>
        <v>942.03746684889711</v>
      </c>
      <c r="CB245" s="6">
        <f t="shared" si="380"/>
        <v>5.3840749336977945E-6</v>
      </c>
      <c r="CC245" s="8">
        <f t="shared" si="381"/>
        <v>26.722430868762316</v>
      </c>
      <c r="CD245" s="7">
        <f t="shared" si="382"/>
        <v>1.347468958690509E-2</v>
      </c>
      <c r="CE245" s="9">
        <f t="shared" si="383"/>
        <v>0.20640431355545549</v>
      </c>
      <c r="CF245" s="4">
        <f t="shared" si="420"/>
        <v>922.38472647588208</v>
      </c>
      <c r="CG245" s="6">
        <f t="shared" si="384"/>
        <v>5.3447694529517641E-6</v>
      </c>
      <c r="CH245" s="8">
        <f t="shared" si="385"/>
        <v>26.496424354472644</v>
      </c>
      <c r="CI245" s="7">
        <f t="shared" si="386"/>
        <v>1.3376320013925712E-2</v>
      </c>
      <c r="CJ245" s="9">
        <f t="shared" si="387"/>
        <v>0.20816488014425058</v>
      </c>
      <c r="CK245" s="4">
        <f t="shared" si="421"/>
        <v>890.39633199278569</v>
      </c>
      <c r="CL245" s="6">
        <f t="shared" si="388"/>
        <v>5.2807926639855716E-6</v>
      </c>
      <c r="CM245" s="8">
        <f t="shared" si="389"/>
        <v>26.128557817917034</v>
      </c>
      <c r="CN245" s="7">
        <f t="shared" si="390"/>
        <v>1.3216205717096209E-2</v>
      </c>
      <c r="CO245" s="9">
        <f t="shared" si="391"/>
        <v>0.21109565397512264</v>
      </c>
      <c r="CP245" s="4">
        <f t="shared" si="422"/>
        <v>838.05331746036074</v>
      </c>
      <c r="CQ245" s="6">
        <f t="shared" si="392"/>
        <v>5.1761066349207219E-6</v>
      </c>
      <c r="CR245" s="8">
        <f t="shared" si="393"/>
        <v>25.526613150794148</v>
      </c>
      <c r="CS245" s="7">
        <f t="shared" si="394"/>
        <v>1.2954208667815588E-2</v>
      </c>
      <c r="CT245" s="9">
        <f t="shared" si="395"/>
        <v>0.21607351384288148</v>
      </c>
      <c r="CU245" s="4">
        <f t="shared" si="423"/>
        <v>756.87367889653569</v>
      </c>
      <c r="CV245" s="6">
        <f t="shared" si="396"/>
        <v>5.0137473577930716E-6</v>
      </c>
      <c r="CW245" s="8">
        <f t="shared" si="397"/>
        <v>24.593047307310158</v>
      </c>
      <c r="CX245" s="7">
        <f t="shared" si="398"/>
        <v>1.2547873152840346E-2</v>
      </c>
      <c r="CY245" s="9">
        <f t="shared" si="399"/>
        <v>0.22427578539079654</v>
      </c>
      <c r="CZ245" s="5">
        <f t="shared" si="424"/>
        <v>641.55718307861696</v>
      </c>
      <c r="DA245" s="6">
        <f t="shared" si="400"/>
        <v>4.9226722144986497E-6</v>
      </c>
      <c r="DB245" s="8">
        <f t="shared" si="401"/>
        <v>34.889841690720104</v>
      </c>
      <c r="DC245" s="7">
        <f t="shared" si="402"/>
        <v>1.2319939979530591E-2</v>
      </c>
      <c r="DD245" s="9">
        <f t="shared" si="403"/>
        <v>0.15808684513082871</v>
      </c>
    </row>
    <row r="246" spans="1:108" x14ac:dyDescent="0.25">
      <c r="B246">
        <v>227</v>
      </c>
      <c r="C246">
        <f t="shared" si="404"/>
        <v>0.22191852926037209</v>
      </c>
      <c r="D246" s="4">
        <f t="shared" si="321"/>
        <v>1016.2638937044636</v>
      </c>
      <c r="E246" s="6">
        <f t="shared" si="322"/>
        <v>5.5325277874089281E-6</v>
      </c>
      <c r="F246" s="8">
        <f t="shared" si="323"/>
        <v>27.576034777601329</v>
      </c>
      <c r="G246" s="7">
        <f t="shared" si="319"/>
        <v>1.3846221585750045E-2</v>
      </c>
      <c r="H246" s="9">
        <f t="shared" si="324"/>
        <v>0.20001515970236858</v>
      </c>
      <c r="I246" s="4">
        <f t="shared" si="405"/>
        <v>1015.9392107290832</v>
      </c>
      <c r="J246" s="6">
        <f t="shared" si="325"/>
        <v>5.5318784214581668E-6</v>
      </c>
      <c r="K246" s="8">
        <f t="shared" si="326"/>
        <v>27.572300923384457</v>
      </c>
      <c r="L246" s="7">
        <f t="shared" si="327"/>
        <v>1.3844596421776184E-2</v>
      </c>
      <c r="M246" s="9">
        <f t="shared" si="328"/>
        <v>0.20004224585123836</v>
      </c>
      <c r="N246" s="4">
        <f t="shared" si="406"/>
        <v>1015.0328790416924</v>
      </c>
      <c r="O246" s="6">
        <f t="shared" si="329"/>
        <v>5.5300657580833856E-6</v>
      </c>
      <c r="P246" s="8">
        <f t="shared" si="330"/>
        <v>27.561878108979464</v>
      </c>
      <c r="Q246" s="7">
        <f t="shared" si="320"/>
        <v>1.3846221585750045E-2</v>
      </c>
      <c r="R246" s="9">
        <f t="shared" si="331"/>
        <v>0.20011789393274504</v>
      </c>
      <c r="S246" s="4">
        <f t="shared" si="407"/>
        <v>1013.5311503240832</v>
      </c>
      <c r="T246" s="6">
        <f t="shared" si="332"/>
        <v>5.5270623006481666E-6</v>
      </c>
      <c r="U246" s="8">
        <f t="shared" si="333"/>
        <v>27.544608228726958</v>
      </c>
      <c r="V246" s="7">
        <f t="shared" si="334"/>
        <v>1.3832543147308992E-2</v>
      </c>
      <c r="W246" s="9">
        <f t="shared" si="335"/>
        <v>0.20024336357224415</v>
      </c>
      <c r="X246" s="4">
        <f t="shared" si="408"/>
        <v>1011.432260878024</v>
      </c>
      <c r="Y246" s="6">
        <f t="shared" si="336"/>
        <v>5.5228645217560485E-6</v>
      </c>
      <c r="Z246" s="8">
        <f t="shared" si="337"/>
        <v>27.520471000097274</v>
      </c>
      <c r="AA246" s="7">
        <f t="shared" si="338"/>
        <v>1.3822037393168809E-2</v>
      </c>
      <c r="AB246" s="9">
        <f t="shared" si="339"/>
        <v>0.20041898992137541</v>
      </c>
      <c r="AC246" s="4">
        <f t="shared" si="409"/>
        <v>1008.7347854191258</v>
      </c>
      <c r="AD246" s="6">
        <f t="shared" si="340"/>
        <v>5.5174695708382522E-6</v>
      </c>
      <c r="AE246" s="8">
        <f t="shared" si="341"/>
        <v>27.489450032319944</v>
      </c>
      <c r="AF246" s="7">
        <f t="shared" si="342"/>
        <v>1.3808535484326695E-2</v>
      </c>
      <c r="AG246" s="9">
        <f t="shared" si="343"/>
        <v>0.20064515636053684</v>
      </c>
      <c r="AH246" s="4">
        <f t="shared" si="410"/>
        <v>1005.4383386702455</v>
      </c>
      <c r="AI246" s="6">
        <f t="shared" si="344"/>
        <v>5.5108766773404912E-6</v>
      </c>
      <c r="AJ246" s="8">
        <f t="shared" si="345"/>
        <v>27.451540894707822</v>
      </c>
      <c r="AK246" s="7">
        <f t="shared" si="346"/>
        <v>1.3792035492321412E-2</v>
      </c>
      <c r="AL246" s="9">
        <f t="shared" si="347"/>
        <v>0.2009222367937574</v>
      </c>
      <c r="AM246" s="4">
        <f t="shared" si="411"/>
        <v>1001.5426535978771</v>
      </c>
      <c r="AN246" s="6">
        <f t="shared" si="348"/>
        <v>5.5030853071957544E-6</v>
      </c>
      <c r="AO246" s="8">
        <f t="shared" si="349"/>
        <v>27.406740516375585</v>
      </c>
      <c r="AP246" s="7">
        <f t="shared" si="350"/>
        <v>1.3772536080546901E-2</v>
      </c>
      <c r="AQ246" s="9">
        <f t="shared" si="351"/>
        <v>0.20125067396118859</v>
      </c>
      <c r="AR246" s="4">
        <f t="shared" si="412"/>
        <v>997.04718785220086</v>
      </c>
      <c r="AS246" s="6">
        <f t="shared" si="352"/>
        <v>5.494094375704402E-6</v>
      </c>
      <c r="AT246" s="8">
        <f t="shared" si="353"/>
        <v>27.35504266030031</v>
      </c>
      <c r="AU246" s="7">
        <f t="shared" si="354"/>
        <v>1.3750034534332368E-2</v>
      </c>
      <c r="AV246" s="9">
        <f t="shared" si="355"/>
        <v>0.20163101437983458</v>
      </c>
      <c r="AW246" s="4">
        <f t="shared" si="413"/>
        <v>991.94992065482143</v>
      </c>
      <c r="AX246" s="6">
        <f t="shared" si="356"/>
        <v>5.4838998413096429E-6</v>
      </c>
      <c r="AY246" s="8">
        <f t="shared" si="357"/>
        <v>27.296424087530447</v>
      </c>
      <c r="AZ246" s="7">
        <f t="shared" si="358"/>
        <v>1.3724520738899723E-2</v>
      </c>
      <c r="BA246" s="9">
        <f t="shared" si="359"/>
        <v>0.20206401330493864</v>
      </c>
      <c r="BB246" s="4">
        <f t="shared" si="414"/>
        <v>986.24312266950244</v>
      </c>
      <c r="BC246" s="6">
        <f t="shared" si="360"/>
        <v>5.4724862453390051E-6</v>
      </c>
      <c r="BD246" s="8">
        <f t="shared" si="361"/>
        <v>27.230795910699278</v>
      </c>
      <c r="BE246" s="7">
        <f t="shared" si="362"/>
        <v>1.3695956005929138E-2</v>
      </c>
      <c r="BF246" s="9">
        <f t="shared" si="363"/>
        <v>0.20255100211128424</v>
      </c>
      <c r="BG246" s="4">
        <f t="shared" si="415"/>
        <v>979.89929519489237</v>
      </c>
      <c r="BH246" s="6">
        <f t="shared" si="364"/>
        <v>5.4597985903897851E-6</v>
      </c>
      <c r="BI246" s="8">
        <f t="shared" si="365"/>
        <v>27.15784189474126</v>
      </c>
      <c r="BJ246" s="7">
        <f t="shared" si="366"/>
        <v>1.366420269377583E-2</v>
      </c>
      <c r="BK246" s="9">
        <f t="shared" si="367"/>
        <v>0.20309511416177825</v>
      </c>
      <c r="BL246" s="4">
        <f t="shared" si="416"/>
        <v>972.82886929165943</v>
      </c>
      <c r="BM246" s="6">
        <f t="shared" si="368"/>
        <v>5.4456577385833194E-6</v>
      </c>
      <c r="BN246" s="8">
        <f t="shared" si="369"/>
        <v>27.076531996854083</v>
      </c>
      <c r="BO246" s="7">
        <f t="shared" si="370"/>
        <v>1.3628812475227054E-2</v>
      </c>
      <c r="BP246" s="9">
        <f t="shared" si="371"/>
        <v>0.20370500183113699</v>
      </c>
      <c r="BQ246" s="4">
        <f t="shared" si="417"/>
        <v>964.76736272648077</v>
      </c>
      <c r="BR246" s="6">
        <f t="shared" si="372"/>
        <v>5.4295347254529618E-6</v>
      </c>
      <c r="BS246" s="8">
        <f t="shared" si="373"/>
        <v>26.983824671354526</v>
      </c>
      <c r="BT246" s="7">
        <f t="shared" si="374"/>
        <v>1.3588461514326152E-2</v>
      </c>
      <c r="BU246" s="9">
        <f t="shared" si="375"/>
        <v>0.20440486354980189</v>
      </c>
      <c r="BV246" s="4">
        <f t="shared" si="418"/>
        <v>955.01471761608491</v>
      </c>
      <c r="BW246" s="6">
        <f t="shared" si="376"/>
        <v>5.4100294352321709E-6</v>
      </c>
      <c r="BX246" s="8">
        <f t="shared" si="377"/>
        <v>26.871669252584976</v>
      </c>
      <c r="BY246" s="7">
        <f t="shared" si="378"/>
        <v>1.3539645750380769E-2</v>
      </c>
      <c r="BZ246" s="9">
        <f t="shared" si="379"/>
        <v>0.2052579967457516</v>
      </c>
      <c r="CA246" s="4">
        <f t="shared" si="419"/>
        <v>941.9330887205407</v>
      </c>
      <c r="CB246" s="6">
        <f t="shared" si="380"/>
        <v>5.3838661774410821E-6</v>
      </c>
      <c r="CC246" s="8">
        <f t="shared" si="381"/>
        <v>26.72123052028622</v>
      </c>
      <c r="CD246" s="7">
        <f t="shared" si="382"/>
        <v>1.3474167133968762E-2</v>
      </c>
      <c r="CE246" s="9">
        <f t="shared" si="383"/>
        <v>0.20641358547513927</v>
      </c>
      <c r="CF246" s="4">
        <f t="shared" si="420"/>
        <v>922.19676939563226</v>
      </c>
      <c r="CG246" s="6">
        <f t="shared" si="384"/>
        <v>5.3443935387912652E-6</v>
      </c>
      <c r="CH246" s="8">
        <f t="shared" si="385"/>
        <v>26.494262848049772</v>
      </c>
      <c r="CI246" s="7">
        <f t="shared" si="386"/>
        <v>1.337537921598244E-2</v>
      </c>
      <c r="CJ246" s="9">
        <f t="shared" si="387"/>
        <v>0.20818186305591069</v>
      </c>
      <c r="CK246" s="4">
        <f t="shared" si="421"/>
        <v>890.09090580214047</v>
      </c>
      <c r="CL246" s="6">
        <f t="shared" si="388"/>
        <v>5.2801818116042818E-6</v>
      </c>
      <c r="CM246" s="8">
        <f t="shared" si="389"/>
        <v>26.125045416724614</v>
      </c>
      <c r="CN246" s="7">
        <f t="shared" si="390"/>
        <v>1.3214676940784089E-2</v>
      </c>
      <c r="CO246" s="9">
        <f t="shared" si="391"/>
        <v>0.21112403488757314</v>
      </c>
      <c r="CP246" s="4">
        <f t="shared" si="422"/>
        <v>837.62323804736343</v>
      </c>
      <c r="CQ246" s="6">
        <f t="shared" si="392"/>
        <v>5.1752464760947276E-6</v>
      </c>
      <c r="CR246" s="8">
        <f t="shared" si="393"/>
        <v>25.521667237544676</v>
      </c>
      <c r="CS246" s="7">
        <f t="shared" si="394"/>
        <v>1.2952055953873371E-2</v>
      </c>
      <c r="CT246" s="9">
        <f t="shared" si="395"/>
        <v>0.21611538731631208</v>
      </c>
      <c r="CU246" s="4">
        <f t="shared" si="423"/>
        <v>756.36456196583777</v>
      </c>
      <c r="CV246" s="6">
        <f t="shared" si="396"/>
        <v>5.0127291239316754E-6</v>
      </c>
      <c r="CW246" s="8">
        <f t="shared" si="397"/>
        <v>24.587192462607135</v>
      </c>
      <c r="CX246" s="7">
        <f t="shared" si="398"/>
        <v>1.254532482552727E-2</v>
      </c>
      <c r="CY246" s="9">
        <f t="shared" si="399"/>
        <v>0.22432919124004544</v>
      </c>
      <c r="CZ246" s="5">
        <f t="shared" si="424"/>
        <v>641.06697491101659</v>
      </c>
      <c r="DA246" s="6">
        <f t="shared" si="400"/>
        <v>4.931471399290613E-6</v>
      </c>
      <c r="DB246" s="8">
        <f t="shared" si="401"/>
        <v>34.904057727580515</v>
      </c>
      <c r="DC246" s="7">
        <f t="shared" si="402"/>
        <v>1.2341961642518126E-2</v>
      </c>
      <c r="DD246" s="9">
        <f t="shared" si="403"/>
        <v>0.15802245810640117</v>
      </c>
    </row>
    <row r="247" spans="1:108" x14ac:dyDescent="0.25">
      <c r="F247" s="3"/>
    </row>
    <row r="250" spans="1:108" ht="15.75" x14ac:dyDescent="0.25">
      <c r="B250" s="18"/>
      <c r="C250" t="s">
        <v>3</v>
      </c>
      <c r="D250" t="s">
        <v>4</v>
      </c>
      <c r="G250" s="17" t="s">
        <v>28</v>
      </c>
      <c r="H250" s="17" t="s">
        <v>24</v>
      </c>
      <c r="I250" s="17" t="s">
        <v>25</v>
      </c>
      <c r="J250" s="17" t="s">
        <v>26</v>
      </c>
      <c r="K250" s="17" t="s">
        <v>27</v>
      </c>
      <c r="L250" s="17" t="s">
        <v>42</v>
      </c>
      <c r="M250" s="17" t="s">
        <v>43</v>
      </c>
      <c r="N250" s="17" t="s">
        <v>44</v>
      </c>
      <c r="O250" s="17" t="s">
        <v>45</v>
      </c>
      <c r="P250" s="17" t="s">
        <v>46</v>
      </c>
      <c r="Q250" s="17" t="s">
        <v>47</v>
      </c>
      <c r="R250" s="17" t="s">
        <v>48</v>
      </c>
      <c r="S250" s="17" t="s">
        <v>49</v>
      </c>
      <c r="T250" s="17" t="s">
        <v>50</v>
      </c>
      <c r="U250" s="17" t="s">
        <v>51</v>
      </c>
      <c r="V250" s="17" t="s">
        <v>52</v>
      </c>
      <c r="W250" s="17" t="s">
        <v>53</v>
      </c>
      <c r="X250" s="17" t="s">
        <v>54</v>
      </c>
      <c r="Y250" s="17" t="s">
        <v>55</v>
      </c>
      <c r="Z250" s="17" t="s">
        <v>56</v>
      </c>
    </row>
    <row r="251" spans="1:108" ht="15.75" x14ac:dyDescent="0.25">
      <c r="A251" s="17" t="s">
        <v>0</v>
      </c>
      <c r="B251" s="19" t="s">
        <v>13</v>
      </c>
      <c r="C251">
        <v>25</v>
      </c>
      <c r="D251">
        <f>C251/1000</f>
        <v>2.5000000000000001E-2</v>
      </c>
      <c r="F251" t="s">
        <v>3</v>
      </c>
      <c r="G251">
        <f>$C$6*1</f>
        <v>0.625</v>
      </c>
      <c r="H251">
        <f>$C$6*2</f>
        <v>1.25</v>
      </c>
      <c r="I251">
        <f>$C$6*3</f>
        <v>1.875</v>
      </c>
      <c r="J251">
        <f>$C$6*4</f>
        <v>2.5</v>
      </c>
      <c r="K251">
        <f>$C$6*5</f>
        <v>3.125</v>
      </c>
      <c r="L251">
        <f>$C$6*6</f>
        <v>3.75</v>
      </c>
      <c r="M251">
        <f>$C$6*7</f>
        <v>4.375</v>
      </c>
      <c r="N251">
        <f>$C$6*8</f>
        <v>5</v>
      </c>
      <c r="O251">
        <f>$C$6*9</f>
        <v>5.625</v>
      </c>
      <c r="P251">
        <f>$C$6*10</f>
        <v>6.25</v>
      </c>
      <c r="Q251">
        <f>$C$6*11</f>
        <v>6.875</v>
      </c>
      <c r="R251">
        <f>$C$6*12</f>
        <v>7.5</v>
      </c>
      <c r="S251">
        <f>$C$6*13</f>
        <v>8.125</v>
      </c>
      <c r="T251">
        <f>$C$6*14</f>
        <v>8.75</v>
      </c>
      <c r="U251">
        <f>$C$6*15</f>
        <v>9.375</v>
      </c>
      <c r="V251">
        <f>$C$6*16</f>
        <v>10</v>
      </c>
      <c r="W251">
        <f>$C$6*17</f>
        <v>10.625</v>
      </c>
      <c r="X251">
        <f>$C$6*18</f>
        <v>11.25</v>
      </c>
      <c r="Y251">
        <f>$C$6*19</f>
        <v>11.875</v>
      </c>
      <c r="Z251">
        <f>$C$6*20</f>
        <v>12.5</v>
      </c>
    </row>
    <row r="252" spans="1:108" ht="15.75" x14ac:dyDescent="0.25">
      <c r="B252" s="19" t="s">
        <v>12</v>
      </c>
      <c r="C252">
        <f>C251/2</f>
        <v>12.5</v>
      </c>
      <c r="D252">
        <f>C252/1000</f>
        <v>1.2500000000000001E-2</v>
      </c>
      <c r="F252" t="s">
        <v>4</v>
      </c>
      <c r="G252">
        <f>G251/1000</f>
        <v>6.2500000000000001E-4</v>
      </c>
      <c r="H252">
        <f t="shared" ref="H252:Z252" si="425">H251/1000</f>
        <v>1.25E-3</v>
      </c>
      <c r="I252">
        <f t="shared" si="425"/>
        <v>1.8749999999999999E-3</v>
      </c>
      <c r="J252">
        <f t="shared" si="425"/>
        <v>2.5000000000000001E-3</v>
      </c>
      <c r="K252">
        <f t="shared" si="425"/>
        <v>3.1250000000000002E-3</v>
      </c>
      <c r="L252">
        <f t="shared" si="425"/>
        <v>3.7499999999999999E-3</v>
      </c>
      <c r="M252">
        <f t="shared" si="425"/>
        <v>4.3750000000000004E-3</v>
      </c>
      <c r="N252">
        <f t="shared" si="425"/>
        <v>5.0000000000000001E-3</v>
      </c>
      <c r="O252">
        <f t="shared" si="425"/>
        <v>5.6249999999999998E-3</v>
      </c>
      <c r="P252">
        <f t="shared" si="425"/>
        <v>6.2500000000000003E-3</v>
      </c>
      <c r="Q252">
        <f t="shared" si="425"/>
        <v>6.875E-3</v>
      </c>
      <c r="R252">
        <f t="shared" si="425"/>
        <v>7.4999999999999997E-3</v>
      </c>
      <c r="S252">
        <f t="shared" si="425"/>
        <v>8.1250000000000003E-3</v>
      </c>
      <c r="T252">
        <f t="shared" si="425"/>
        <v>8.7500000000000008E-3</v>
      </c>
      <c r="U252">
        <f t="shared" si="425"/>
        <v>9.3749999999999997E-3</v>
      </c>
      <c r="V252">
        <f t="shared" si="425"/>
        <v>0.01</v>
      </c>
      <c r="W252">
        <f t="shared" si="425"/>
        <v>1.0625000000000001E-2</v>
      </c>
      <c r="X252">
        <f t="shared" si="425"/>
        <v>1.125E-2</v>
      </c>
      <c r="Y252">
        <f t="shared" si="425"/>
        <v>1.1875E-2</v>
      </c>
      <c r="Z252">
        <f t="shared" si="425"/>
        <v>1.2500000000000001E-2</v>
      </c>
    </row>
    <row r="253" spans="1:108" ht="15.75" x14ac:dyDescent="0.25">
      <c r="B253" s="19" t="s">
        <v>1</v>
      </c>
      <c r="C253">
        <v>20</v>
      </c>
      <c r="F253" s="17"/>
      <c r="G253" s="17"/>
      <c r="S253" s="3"/>
      <c r="T253" s="3"/>
    </row>
    <row r="254" spans="1:108" ht="15.75" x14ac:dyDescent="0.25">
      <c r="B254" s="19" t="s">
        <v>2</v>
      </c>
      <c r="C254">
        <f>C252/C253</f>
        <v>0.625</v>
      </c>
      <c r="D254">
        <f>C254/1000</f>
        <v>6.2500000000000001E-4</v>
      </c>
      <c r="F254" s="19"/>
      <c r="G254" s="19"/>
      <c r="O254" s="19" t="s">
        <v>78</v>
      </c>
      <c r="P254">
        <v>5</v>
      </c>
      <c r="Q254" t="s">
        <v>79</v>
      </c>
      <c r="S254" s="3"/>
      <c r="T254" s="23" t="s">
        <v>91</v>
      </c>
      <c r="U254">
        <f>(G259*L261*U258)/U256</f>
        <v>80098.859409764482</v>
      </c>
    </row>
    <row r="255" spans="1:108" ht="15.75" x14ac:dyDescent="0.25">
      <c r="B255" s="19" t="s">
        <v>74</v>
      </c>
      <c r="C255">
        <f>0.7158*5.67*10^-8*(((( CZ246+273))^4-((H258+273))^4)/((CZ246+273)-( H258+273)))</f>
        <v>47.900789833984689</v>
      </c>
      <c r="D255" t="s">
        <v>7</v>
      </c>
      <c r="F255" s="25" t="s">
        <v>32</v>
      </c>
      <c r="G255" s="25"/>
      <c r="H255">
        <f>(C258*M256)/(D254^2)</f>
        <v>1.0670617150512044E-2</v>
      </c>
      <c r="K255" s="2" t="s">
        <v>29</v>
      </c>
      <c r="L255" s="2"/>
      <c r="O255" s="19" t="s">
        <v>80</v>
      </c>
      <c r="P255">
        <v>0.04</v>
      </c>
      <c r="Q255" t="s">
        <v>81</v>
      </c>
      <c r="S255" s="3"/>
      <c r="T255" s="23" t="s">
        <v>92</v>
      </c>
      <c r="U255" s="3">
        <f>(U256*U263)/U257</f>
        <v>6.1988499999999993</v>
      </c>
      <c r="V255" s="3"/>
      <c r="W255" s="3"/>
      <c r="X255" s="3"/>
      <c r="Y255" s="3"/>
    </row>
    <row r="256" spans="1:108" ht="15.75" x14ac:dyDescent="0.25">
      <c r="B256" s="19" t="s">
        <v>5</v>
      </c>
      <c r="C256">
        <f>((((0.62*(U254^0.5)*(U255^0.33)))/(((0.4/U255)^(0.667)+1))^0.25)*((1+(U254/282000)^0.5))+0.3)*(U257/U258)</f>
        <v>18938.628601714652</v>
      </c>
      <c r="D256" t="s">
        <v>7</v>
      </c>
      <c r="F256" s="25" t="s">
        <v>33</v>
      </c>
      <c r="G256" s="25"/>
      <c r="H256">
        <f>$C$8*$D$6/AE267</f>
        <v>0.20032960746747056</v>
      </c>
      <c r="K256" s="19" t="s">
        <v>30</v>
      </c>
      <c r="M256">
        <f>(0.1*(D254^2))/(AD267*(1+AG267+(AG267/(2*C253))))/6</f>
        <v>8.1729604400367995E-4</v>
      </c>
      <c r="N256" t="s">
        <v>31</v>
      </c>
      <c r="O256" s="19" t="s">
        <v>82</v>
      </c>
      <c r="P256">
        <v>1.39</v>
      </c>
      <c r="Q256" t="s">
        <v>81</v>
      </c>
      <c r="T256" s="24" t="s">
        <v>108</v>
      </c>
      <c r="U256" s="3">
        <v>8.8999999999999995E-4</v>
      </c>
      <c r="V256" s="3" t="s">
        <v>98</v>
      </c>
      <c r="W256" s="3"/>
      <c r="X256" s="3"/>
      <c r="Y256" s="3"/>
    </row>
    <row r="257" spans="2:108" ht="15.75" x14ac:dyDescent="0.25">
      <c r="B257" s="19" t="s">
        <v>6</v>
      </c>
      <c r="C257">
        <v>27.12</v>
      </c>
      <c r="D257" t="s">
        <v>8</v>
      </c>
      <c r="F257" s="19"/>
      <c r="G257" s="19"/>
      <c r="K257" s="19"/>
      <c r="O257" s="19" t="s">
        <v>83</v>
      </c>
      <c r="P257">
        <v>4.51</v>
      </c>
      <c r="Q257" t="s">
        <v>81</v>
      </c>
      <c r="T257" s="23" t="s">
        <v>95</v>
      </c>
      <c r="U257" s="3">
        <v>0.6</v>
      </c>
      <c r="V257" t="s">
        <v>8</v>
      </c>
      <c r="W257" s="3"/>
      <c r="X257" s="3"/>
      <c r="Y257" s="3"/>
    </row>
    <row r="258" spans="2:108" ht="15.75" x14ac:dyDescent="0.25">
      <c r="B258" s="19" t="s">
        <v>93</v>
      </c>
      <c r="C258">
        <f>5.1 * (10^(-6))</f>
        <v>5.0999999999999995E-6</v>
      </c>
      <c r="D258" t="s">
        <v>9</v>
      </c>
      <c r="F258" s="19" t="s">
        <v>77</v>
      </c>
      <c r="G258" s="19"/>
      <c r="H258">
        <v>60</v>
      </c>
      <c r="I258" s="1" t="s">
        <v>11</v>
      </c>
      <c r="K258" s="19"/>
      <c r="O258" s="19" t="s">
        <v>84</v>
      </c>
      <c r="P258">
        <v>30</v>
      </c>
      <c r="T258" s="23" t="s">
        <v>97</v>
      </c>
      <c r="U258" s="3">
        <f>4*(U259/U260)</f>
        <v>1.4999999999999998E-2</v>
      </c>
      <c r="V258" s="3" t="s">
        <v>81</v>
      </c>
      <c r="W258" s="3"/>
      <c r="X258" s="3"/>
      <c r="Y258" s="3"/>
    </row>
    <row r="259" spans="2:108" ht="47.25" x14ac:dyDescent="0.25">
      <c r="B259" s="19" t="s">
        <v>38</v>
      </c>
      <c r="C259">
        <v>7850</v>
      </c>
      <c r="D259" t="s">
        <v>39</v>
      </c>
      <c r="F259" s="20" t="s">
        <v>94</v>
      </c>
      <c r="G259">
        <v>991.31899999999996</v>
      </c>
      <c r="H259" t="s">
        <v>39</v>
      </c>
      <c r="K259" s="21" t="s">
        <v>73</v>
      </c>
      <c r="L259">
        <f>5.67*(10^(-8))</f>
        <v>5.6699999999999998E-8</v>
      </c>
      <c r="M259" t="s">
        <v>96</v>
      </c>
      <c r="O259" s="19" t="s">
        <v>85</v>
      </c>
      <c r="P259">
        <v>60</v>
      </c>
      <c r="T259" s="23" t="s">
        <v>99</v>
      </c>
      <c r="U259" s="3">
        <f>(PI()*((P255^2)-(D251^2)))/4</f>
        <v>7.6576320931251202E-4</v>
      </c>
      <c r="V259" s="3" t="s">
        <v>105</v>
      </c>
      <c r="W259" s="3"/>
      <c r="X259" s="3"/>
      <c r="Y259" s="3"/>
    </row>
    <row r="260" spans="2:108" ht="15.75" x14ac:dyDescent="0.25">
      <c r="B260" s="19" t="s">
        <v>22</v>
      </c>
      <c r="C260">
        <v>900</v>
      </c>
      <c r="D260" s="1" t="s">
        <v>11</v>
      </c>
      <c r="E260" s="1"/>
      <c r="F260" s="20" t="s">
        <v>40</v>
      </c>
      <c r="G260" s="1">
        <v>600</v>
      </c>
      <c r="H260" s="1" t="s">
        <v>41</v>
      </c>
      <c r="K260" s="22" t="s">
        <v>75</v>
      </c>
      <c r="L260">
        <v>0.71579999999999999</v>
      </c>
      <c r="O260" s="19" t="s">
        <v>86</v>
      </c>
      <c r="P260">
        <v>16.5</v>
      </c>
      <c r="Q260" t="s">
        <v>87</v>
      </c>
      <c r="T260" s="23" t="s">
        <v>100</v>
      </c>
      <c r="U260" s="3">
        <f>PI()*(P255+D251)</f>
        <v>0.20420352248333656</v>
      </c>
      <c r="V260" s="3" t="s">
        <v>81</v>
      </c>
      <c r="W260" s="3"/>
      <c r="X260" s="3"/>
      <c r="Y260" s="3"/>
    </row>
    <row r="261" spans="2:108" ht="15.75" x14ac:dyDescent="0.25">
      <c r="B261" s="19" t="s">
        <v>23</v>
      </c>
      <c r="C261">
        <v>1020</v>
      </c>
      <c r="D261" s="1" t="s">
        <v>11</v>
      </c>
      <c r="E261" s="1"/>
      <c r="F261" s="1"/>
      <c r="G261" s="1"/>
      <c r="H261" s="1"/>
      <c r="K261" s="17" t="s">
        <v>107</v>
      </c>
      <c r="L261">
        <f>U261-P254</f>
        <v>4.7941503441166358</v>
      </c>
      <c r="M261" t="s">
        <v>79</v>
      </c>
      <c r="O261" s="19" t="s">
        <v>88</v>
      </c>
      <c r="P261">
        <v>30</v>
      </c>
      <c r="Q261" s="1" t="s">
        <v>11</v>
      </c>
      <c r="T261" s="23" t="s">
        <v>101</v>
      </c>
      <c r="U261" s="3">
        <f>U262/(3600*U259)</f>
        <v>9.7941503441166358</v>
      </c>
      <c r="V261" s="3" t="s">
        <v>104</v>
      </c>
      <c r="W261" s="3"/>
      <c r="X261" s="3"/>
      <c r="Y261" s="3"/>
    </row>
    <row r="262" spans="2:108" ht="15.75" x14ac:dyDescent="0.25">
      <c r="B262" s="19" t="s">
        <v>10</v>
      </c>
      <c r="C262">
        <v>25</v>
      </c>
      <c r="D262" s="1" t="s">
        <v>11</v>
      </c>
      <c r="E262" s="1"/>
      <c r="F262" s="1"/>
      <c r="G262" s="1"/>
      <c r="H262" s="1"/>
      <c r="O262" s="19" t="s">
        <v>89</v>
      </c>
      <c r="P262">
        <v>60</v>
      </c>
      <c r="Q262" s="1" t="s">
        <v>11</v>
      </c>
      <c r="T262" s="19" t="s">
        <v>102</v>
      </c>
      <c r="U262">
        <v>27</v>
      </c>
      <c r="V262" t="s">
        <v>103</v>
      </c>
    </row>
    <row r="263" spans="2:108" ht="15.75" x14ac:dyDescent="0.25">
      <c r="B263" s="19" t="s">
        <v>76</v>
      </c>
      <c r="C263">
        <f>C255+C256</f>
        <v>18986.529391548636</v>
      </c>
      <c r="D263" t="s">
        <v>7</v>
      </c>
      <c r="O263" s="19" t="s">
        <v>90</v>
      </c>
      <c r="P263">
        <v>3</v>
      </c>
      <c r="T263" s="19" t="s">
        <v>106</v>
      </c>
      <c r="U263">
        <v>4179</v>
      </c>
      <c r="V263" t="s">
        <v>41</v>
      </c>
    </row>
    <row r="264" spans="2:108" ht="15.75" x14ac:dyDescent="0.25">
      <c r="B264" s="18"/>
    </row>
    <row r="265" spans="2:108" ht="31.5" x14ac:dyDescent="0.25">
      <c r="B265" s="10" t="s">
        <v>14</v>
      </c>
      <c r="C265" s="10" t="s">
        <v>15</v>
      </c>
      <c r="D265" s="15" t="s">
        <v>16</v>
      </c>
      <c r="E265" s="11" t="s">
        <v>34</v>
      </c>
      <c r="F265" s="12" t="s">
        <v>35</v>
      </c>
      <c r="G265" s="13" t="s">
        <v>36</v>
      </c>
      <c r="H265" s="14" t="s">
        <v>37</v>
      </c>
      <c r="I265" s="15" t="s">
        <v>17</v>
      </c>
      <c r="J265" s="11" t="s">
        <v>34</v>
      </c>
      <c r="K265" s="12" t="s">
        <v>35</v>
      </c>
      <c r="L265" s="13" t="s">
        <v>36</v>
      </c>
      <c r="M265" s="14" t="s">
        <v>37</v>
      </c>
      <c r="N265" s="15" t="s">
        <v>18</v>
      </c>
      <c r="O265" s="11" t="s">
        <v>34</v>
      </c>
      <c r="P265" s="12" t="s">
        <v>35</v>
      </c>
      <c r="Q265" s="13" t="s">
        <v>36</v>
      </c>
      <c r="R265" s="14" t="s">
        <v>37</v>
      </c>
      <c r="S265" s="15" t="s">
        <v>19</v>
      </c>
      <c r="T265" s="11" t="s">
        <v>34</v>
      </c>
      <c r="U265" s="12" t="s">
        <v>35</v>
      </c>
      <c r="V265" s="13" t="s">
        <v>36</v>
      </c>
      <c r="W265" s="14" t="s">
        <v>37</v>
      </c>
      <c r="X265" s="15" t="s">
        <v>20</v>
      </c>
      <c r="Y265" s="11" t="s">
        <v>34</v>
      </c>
      <c r="Z265" s="12" t="s">
        <v>35</v>
      </c>
      <c r="AA265" s="13" t="s">
        <v>36</v>
      </c>
      <c r="AB265" s="14" t="s">
        <v>37</v>
      </c>
      <c r="AC265" s="15" t="s">
        <v>21</v>
      </c>
      <c r="AD265" s="11" t="s">
        <v>34</v>
      </c>
      <c r="AE265" s="12" t="s">
        <v>35</v>
      </c>
      <c r="AF265" s="13" t="s">
        <v>36</v>
      </c>
      <c r="AG265" s="14" t="s">
        <v>37</v>
      </c>
      <c r="AH265" s="15" t="s">
        <v>57</v>
      </c>
      <c r="AI265" s="11" t="s">
        <v>34</v>
      </c>
      <c r="AJ265" s="12" t="s">
        <v>35</v>
      </c>
      <c r="AK265" s="13" t="s">
        <v>36</v>
      </c>
      <c r="AL265" s="14" t="s">
        <v>37</v>
      </c>
      <c r="AM265" s="15" t="s">
        <v>58</v>
      </c>
      <c r="AN265" s="11" t="s">
        <v>34</v>
      </c>
      <c r="AO265" s="12" t="s">
        <v>35</v>
      </c>
      <c r="AP265" s="13" t="s">
        <v>36</v>
      </c>
      <c r="AQ265" s="14" t="s">
        <v>37</v>
      </c>
      <c r="AR265" s="15" t="s">
        <v>59</v>
      </c>
      <c r="AS265" s="11" t="s">
        <v>34</v>
      </c>
      <c r="AT265" s="12" t="s">
        <v>35</v>
      </c>
      <c r="AU265" s="13" t="s">
        <v>36</v>
      </c>
      <c r="AV265" s="14" t="s">
        <v>37</v>
      </c>
      <c r="AW265" s="15" t="s">
        <v>60</v>
      </c>
      <c r="AX265" s="11" t="s">
        <v>34</v>
      </c>
      <c r="AY265" s="12" t="s">
        <v>35</v>
      </c>
      <c r="AZ265" s="13" t="s">
        <v>36</v>
      </c>
      <c r="BA265" s="14" t="s">
        <v>37</v>
      </c>
      <c r="BB265" s="15" t="s">
        <v>61</v>
      </c>
      <c r="BC265" s="11" t="s">
        <v>34</v>
      </c>
      <c r="BD265" s="12" t="s">
        <v>35</v>
      </c>
      <c r="BE265" s="13" t="s">
        <v>36</v>
      </c>
      <c r="BF265" s="14" t="s">
        <v>37</v>
      </c>
      <c r="BG265" s="15" t="s">
        <v>62</v>
      </c>
      <c r="BH265" s="11" t="s">
        <v>34</v>
      </c>
      <c r="BI265" s="12" t="s">
        <v>35</v>
      </c>
      <c r="BJ265" s="13" t="s">
        <v>36</v>
      </c>
      <c r="BK265" s="14" t="s">
        <v>37</v>
      </c>
      <c r="BL265" s="15" t="s">
        <v>63</v>
      </c>
      <c r="BM265" s="11" t="s">
        <v>34</v>
      </c>
      <c r="BN265" s="12" t="s">
        <v>35</v>
      </c>
      <c r="BO265" s="13" t="s">
        <v>36</v>
      </c>
      <c r="BP265" s="14" t="s">
        <v>37</v>
      </c>
      <c r="BQ265" s="15" t="s">
        <v>64</v>
      </c>
      <c r="BR265" s="11" t="s">
        <v>34</v>
      </c>
      <c r="BS265" s="12" t="s">
        <v>35</v>
      </c>
      <c r="BT265" s="13" t="s">
        <v>36</v>
      </c>
      <c r="BU265" s="14" t="s">
        <v>37</v>
      </c>
      <c r="BV265" s="15" t="s">
        <v>65</v>
      </c>
      <c r="BW265" s="11" t="s">
        <v>34</v>
      </c>
      <c r="BX265" s="12" t="s">
        <v>35</v>
      </c>
      <c r="BY265" s="13" t="s">
        <v>36</v>
      </c>
      <c r="BZ265" s="14" t="s">
        <v>37</v>
      </c>
      <c r="CA265" s="15" t="s">
        <v>66</v>
      </c>
      <c r="CB265" s="11" t="s">
        <v>34</v>
      </c>
      <c r="CC265" s="12" t="s">
        <v>35</v>
      </c>
      <c r="CD265" s="13" t="s">
        <v>36</v>
      </c>
      <c r="CE265" s="14" t="s">
        <v>37</v>
      </c>
      <c r="CF265" s="15" t="s">
        <v>67</v>
      </c>
      <c r="CG265" s="11" t="s">
        <v>34</v>
      </c>
      <c r="CH265" s="12" t="s">
        <v>35</v>
      </c>
      <c r="CI265" s="13" t="s">
        <v>36</v>
      </c>
      <c r="CJ265" s="14" t="s">
        <v>37</v>
      </c>
      <c r="CK265" s="15" t="s">
        <v>68</v>
      </c>
      <c r="CL265" s="11" t="s">
        <v>34</v>
      </c>
      <c r="CM265" s="12" t="s">
        <v>35</v>
      </c>
      <c r="CN265" s="13" t="s">
        <v>36</v>
      </c>
      <c r="CO265" s="14" t="s">
        <v>37</v>
      </c>
      <c r="CP265" s="15" t="s">
        <v>69</v>
      </c>
      <c r="CQ265" s="11" t="s">
        <v>34</v>
      </c>
      <c r="CR265" s="12" t="s">
        <v>35</v>
      </c>
      <c r="CS265" s="13" t="s">
        <v>36</v>
      </c>
      <c r="CT265" s="14" t="s">
        <v>37</v>
      </c>
      <c r="CU265" s="15" t="s">
        <v>70</v>
      </c>
      <c r="CV265" s="11" t="s">
        <v>34</v>
      </c>
      <c r="CW265" s="12" t="s">
        <v>35</v>
      </c>
      <c r="CX265" s="13" t="s">
        <v>36</v>
      </c>
      <c r="CY265" s="14" t="s">
        <v>37</v>
      </c>
      <c r="CZ265" s="15" t="s">
        <v>71</v>
      </c>
      <c r="DA265" s="11" t="s">
        <v>34</v>
      </c>
      <c r="DB265" s="12" t="s">
        <v>35</v>
      </c>
      <c r="DC265" s="13" t="s">
        <v>36</v>
      </c>
      <c r="DD265" s="14" t="s">
        <v>37</v>
      </c>
    </row>
    <row r="266" spans="2:108" ht="31.5" x14ac:dyDescent="0.25">
      <c r="B266" t="s">
        <v>72</v>
      </c>
      <c r="D266" s="16">
        <v>0</v>
      </c>
      <c r="E266" s="6"/>
      <c r="F266" s="8"/>
      <c r="G266" s="7"/>
      <c r="H266" s="9"/>
      <c r="I266" s="16">
        <v>1</v>
      </c>
      <c r="J266" s="6"/>
      <c r="K266" s="8"/>
      <c r="L266" s="7"/>
      <c r="M266" s="9"/>
      <c r="N266" s="16">
        <v>2</v>
      </c>
      <c r="O266" s="6"/>
      <c r="P266" s="8"/>
      <c r="Q266" s="7"/>
      <c r="R266" s="9"/>
      <c r="S266" s="16">
        <v>3</v>
      </c>
      <c r="T266" s="6"/>
      <c r="U266" s="8"/>
      <c r="V266" s="7"/>
      <c r="W266" s="9"/>
      <c r="X266" s="16">
        <v>4</v>
      </c>
      <c r="Y266" s="6"/>
      <c r="Z266" s="8"/>
      <c r="AA266" s="7"/>
      <c r="AB266" s="9"/>
      <c r="AC266" s="16">
        <v>5</v>
      </c>
      <c r="AD266" s="6"/>
      <c r="AE266" s="8"/>
      <c r="AF266" s="7"/>
      <c r="AG266" s="9"/>
      <c r="AH266" s="16">
        <v>6</v>
      </c>
      <c r="AI266" s="6"/>
      <c r="AJ266" s="8"/>
      <c r="AK266" s="7"/>
      <c r="AL266" s="9"/>
      <c r="AM266" s="16">
        <v>7</v>
      </c>
      <c r="AN266" s="6"/>
      <c r="AO266" s="8"/>
      <c r="AP266" s="7"/>
      <c r="AQ266" s="9"/>
      <c r="AR266" s="16">
        <v>8</v>
      </c>
      <c r="AS266" s="6"/>
      <c r="AT266" s="8"/>
      <c r="AU266" s="7"/>
      <c r="AV266" s="9"/>
      <c r="AW266" s="16">
        <v>9</v>
      </c>
      <c r="AX266" s="6"/>
      <c r="AY266" s="8"/>
      <c r="AZ266" s="7"/>
      <c r="BA266" s="9"/>
      <c r="BB266" s="16">
        <v>10</v>
      </c>
      <c r="BC266" s="6"/>
      <c r="BD266" s="8"/>
      <c r="BE266" s="7"/>
      <c r="BF266" s="9"/>
      <c r="BG266" s="16">
        <v>11</v>
      </c>
      <c r="BH266" s="6"/>
      <c r="BI266" s="8"/>
      <c r="BJ266" s="7"/>
      <c r="BK266" s="9"/>
      <c r="BL266" s="16">
        <v>12</v>
      </c>
      <c r="BM266" s="6"/>
      <c r="BN266" s="8"/>
      <c r="BO266" s="7"/>
      <c r="BP266" s="9"/>
      <c r="BQ266" s="16">
        <v>13</v>
      </c>
      <c r="BR266" s="6"/>
      <c r="BS266" s="8"/>
      <c r="BT266" s="7"/>
      <c r="BU266" s="9"/>
      <c r="BV266" s="16">
        <v>14</v>
      </c>
      <c r="BW266" s="6"/>
      <c r="BX266" s="8"/>
      <c r="BY266" s="7"/>
      <c r="BZ266" s="9"/>
      <c r="CA266" s="16">
        <v>15</v>
      </c>
      <c r="CB266" s="6"/>
      <c r="CC266" s="8"/>
      <c r="CD266" s="7"/>
      <c r="CE266" s="9"/>
      <c r="CF266" s="16">
        <v>16</v>
      </c>
      <c r="CG266" s="6"/>
      <c r="CH266" s="8"/>
      <c r="CI266" s="7"/>
      <c r="CJ266" s="9"/>
      <c r="CK266" s="16">
        <v>17</v>
      </c>
      <c r="CL266" s="6"/>
      <c r="CM266" s="8"/>
      <c r="CN266" s="7"/>
      <c r="CO266" s="9"/>
      <c r="CP266" s="16">
        <v>18</v>
      </c>
      <c r="CQ266" s="6"/>
      <c r="CR266" s="8"/>
      <c r="CS266" s="7"/>
      <c r="CT266" s="9"/>
      <c r="CU266" s="16">
        <v>19</v>
      </c>
      <c r="CV266" s="6"/>
      <c r="CW266" s="8"/>
      <c r="CX266" s="7"/>
      <c r="CY266" s="9"/>
      <c r="CZ266" s="16">
        <v>20</v>
      </c>
      <c r="DA266" s="6"/>
      <c r="DB266" s="8"/>
      <c r="DC266" s="7"/>
      <c r="DD266" s="9"/>
    </row>
    <row r="267" spans="2:108" x14ac:dyDescent="0.25">
      <c r="B267">
        <v>0</v>
      </c>
      <c r="C267">
        <f>$B267*0.27</f>
        <v>0</v>
      </c>
      <c r="D267" s="4">
        <f>C261</f>
        <v>1020</v>
      </c>
      <c r="E267" s="6">
        <f>IF($D267&gt;=650,((0.00002*$D267)+0.035)/10000,IF($D267&lt;650,((-0.0000000000003*($D267^4))+(0.0000000004*($D267^3))-(0.0000002*($D267^2))-(0.0001*$D267)+0.1409)/10000))</f>
        <v>5.5400000000000003E-6</v>
      </c>
      <c r="F267" s="8">
        <f>IF($D267&lt;650,(53.495-(0.029*D267)),IF(D267&lt;700,((0.00000000000000006*(D267^2))-(0.2008*D267) + 164.43),IF(D267&lt;1250,((0.0115*D267)+ 15.889))))</f>
        <v>27.619</v>
      </c>
      <c r="G267" s="7">
        <f t="shared" ref="G267:G330" si="426">($E267*$M$8)/($D$6^2)</f>
        <v>1.3864922243974894E-2</v>
      </c>
      <c r="H267" s="9">
        <f>($C$263*$D$6)/F267</f>
        <v>0.42965280675324591</v>
      </c>
      <c r="I267" s="4">
        <f>(($C$13-$C$12)*(1-((G$4/$D$4)^2)))+($C$12)</f>
        <v>1019.7</v>
      </c>
      <c r="J267" s="6">
        <f>IF($I267&gt;=650,((0.00002*$I267)+0.035)/10000,IF($I267&lt;650,((-0.0000000000003*($I267^4))+(0.0000000004*($I267^3))-(0.0000002*($I267^2))-(0.0001*$I267)+0.1409)/10000))</f>
        <v>5.5394000000000007E-6</v>
      </c>
      <c r="K267" s="8">
        <f>IF($I267&lt;650,(53.495-(0.029*I267)),IF(I267&lt;700,((0.00000000000000006*(I267^2))-(0.2008*I267) + 164.43),IF(I267&lt;1250,((0.0115*I267)+ 15.889))))</f>
        <v>27.615549999999999</v>
      </c>
      <c r="L267" s="7">
        <f>($J267*$M$8)/($D$6^2)</f>
        <v>1.386342062784739E-2</v>
      </c>
      <c r="M267" s="9">
        <f>($C$263*$D$6)/K267</f>
        <v>0.42970648311251808</v>
      </c>
      <c r="N267" s="4">
        <f>(($C$13-$C$12)*(1-((H$4/$D$4)^2)))+($C$12)</f>
        <v>1018.8</v>
      </c>
      <c r="O267" s="6">
        <f>IF($N267&gt;=650,((0.00002*$N267)+0.035)/10000,IF($N267&lt;650,((-0.0000000000003*($N267^4))+(0.0000000004*($N267^3))-(0.0000002*($N267^2))-(0.0001*$N267)+0.1409)/10000))</f>
        <v>5.537600000000001E-6</v>
      </c>
      <c r="P267" s="8">
        <f>IF($N267&lt;650,(53.495-(0.029*$N267)),IF($N267&lt;700,((0.00000000000000006*($N267^2))-(0.2008*$N267) + 164.43),IF($N267&lt;1250,((0.0115*$N267)+ 15.889))))</f>
        <v>27.605199999999996</v>
      </c>
      <c r="Q267" s="7">
        <f t="shared" ref="Q267:Q330" si="427">($E267*$M$8)/($D$6^2)</f>
        <v>1.3864922243974894E-2</v>
      </c>
      <c r="R267" s="9">
        <f>($C$263*$D$6)/P267</f>
        <v>0.42986759268970703</v>
      </c>
      <c r="S267" s="4">
        <f>(($C$13-$C$12)*(1-((I$4/$D$4)^2)))+($C$12)</f>
        <v>1017.3</v>
      </c>
      <c r="T267" s="6">
        <f>IF($S267&gt;=650,((0.00002*$S267)+0.035)/10000,IF($S267&lt;650,((-0.0000000000003*($S267^4))+(0.0000000004*($S267^3))-(0.0000002*($S267^2))-(0.0001*$S267)+0.1409)/10000))</f>
        <v>5.5346000000000003E-6</v>
      </c>
      <c r="U267" s="8">
        <f>IF($S267&lt;650,(53.495-(0.029*$S267)),IF($S267&lt;700,((0.00000000000000006*($S267^2))-(0.2008*$S267) + 164.43),IF($S267&lt;1250,((0.0115*$S267)+ 15.889))))</f>
        <v>27.587949999999999</v>
      </c>
      <c r="V267" s="7">
        <f>($T267*$M$8)/($D$6^2)</f>
        <v>1.3851407698827338E-2</v>
      </c>
      <c r="W267" s="9">
        <f>($C$263*$D$6)/U267</f>
        <v>0.43013637728493415</v>
      </c>
      <c r="X267" s="5">
        <f>(($C$13-$C$12)*(1-((J$4/$D$4)^2)))+($C$12)</f>
        <v>1015.2</v>
      </c>
      <c r="Y267" s="6">
        <f>IF($X267&gt;=650,((0.00002*$X267)+0.035)/10000,IF($X267&lt;650,((-0.0000000000003*($X267^4))+(0.0000000004*($X267^3))-(0.0000002*($X267^2))-(0.0001*$X267)+0.1409)/10000))</f>
        <v>5.5304000000000004E-6</v>
      </c>
      <c r="Z267" s="8">
        <f>IF($X267&lt;650,(53.495-(0.029*$X267)),IF($X267&lt;700,((0.00000000000000006*($X267^2))-(0.2008*$X267) + 164.43),IF($X267&lt;1250,((0.0115*$X267)+ 15.889))))</f>
        <v>27.563800000000001</v>
      </c>
      <c r="AA267" s="7">
        <f>($Y267*$M$8)/($D$6^2)</f>
        <v>1.3840896385934795E-2</v>
      </c>
      <c r="AB267" s="9">
        <f>($C$263*$D$6)/Z267</f>
        <v>0.43051324090720067</v>
      </c>
      <c r="AC267" s="4">
        <f>(($C$13-$C$12)*(1-((K$4/$D$4)^2)))+($C$12)</f>
        <v>1012.5</v>
      </c>
      <c r="AD267" s="6">
        <f>IF(AC267&gt;=650,((0.00002*AC267)+0.035)/10000,IF(AC267&lt;650,((-0.0000000000003*(AC267^4))+(0.0000000004*(AC267^3))-(0.0000002*(AC267^2))-(0.0001*AC267)+0.1409)/10000))</f>
        <v>5.5250000000000005E-6</v>
      </c>
      <c r="AE267" s="8">
        <f>IF(AC267&lt;650,(53.495-(0.029*AC267)),IF(AC267&lt;700,((0.00000000000000006*(AC267^2))-(0.2008*AC267) + 164.43),IF(AC267&lt;1250,((0.0115*AC267)+ 15.889))))</f>
        <v>27.53275</v>
      </c>
      <c r="AF267" s="7">
        <f>(AD267*$M$8)/($D$6^2)</f>
        <v>1.3827381840787238E-2</v>
      </c>
      <c r="AG267" s="9">
        <f>($C$263*$D$6)/AE267</f>
        <v>0.43099875129501769</v>
      </c>
      <c r="AH267" s="4">
        <f>(($C$13-$C$12)*(1-((L$4/$D$4)^2)))+($C$12)</f>
        <v>1009.2</v>
      </c>
      <c r="AI267" s="6">
        <f>IF(AH267&gt;=650,((0.00002*AH267)+0.035)/10000,IF(AH267&lt;650,((-0.0000000000003*(AH267^4))+(0.0000000004*(AH267^3))-(0.0000002*(AH267^2))-(0.0001*AH267)+0.1409)/10000))</f>
        <v>5.5184000000000012E-6</v>
      </c>
      <c r="AJ267" s="8">
        <f>IF(AH267&lt;650,(53.495-(0.029*AH267)),IF(AH267&lt;700,((0.00000000000000006*(AH267^2))-(0.2008*AH267) + 164.43),IF(AH267&lt;1250,((0.0115*AH267)+ 15.889))))</f>
        <v>27.494799999999998</v>
      </c>
      <c r="AK267" s="7">
        <f>(AI267*$M$8)/($D$6^2)</f>
        <v>1.381086406338467E-2</v>
      </c>
      <c r="AL267" s="9">
        <f>($C$263*$D$6)/AJ267</f>
        <v>0.43159364206024048</v>
      </c>
      <c r="AM267" s="4">
        <f>(($C$13-$C$12)*(1-((M$4/$D$4)^2)))+($C$12)</f>
        <v>1005.3</v>
      </c>
      <c r="AN267" s="6">
        <f>IF(AM267&gt;=650,((0.00002*AM267)+0.035)/10000,IF(AM267&lt;650,((-0.0000000000003*(AM267^4))+(0.0000000004*(AM267^3))-(0.0000002*(AM267^2))-(0.0001*AM267)+0.1409)/10000))</f>
        <v>5.5106000000000002E-6</v>
      </c>
      <c r="AO267" s="8">
        <f>IF(AM267&lt;650,(53.495-(0.029*AM267)),IF(AM267&lt;700,((0.00000000000000006*(AM267^2))-(0.2008*AM267) + 164.43),IF(AM267&lt;1250,((0.0115*AM267)+ 15.889))))</f>
        <v>27.449950000000001</v>
      </c>
      <c r="AP267" s="7">
        <f>(AN267*$M$8)/($D$6^2)</f>
        <v>1.3791343053727085E-2</v>
      </c>
      <c r="AQ267" s="9">
        <f>($C$263*$D$6)/AO267</f>
        <v>0.43229881547026128</v>
      </c>
      <c r="AR267" s="4">
        <f>(($C$13-$C$12)*(1-((N$4/$D$4)^2)))+($C$12)</f>
        <v>1000.8</v>
      </c>
      <c r="AS267" s="6">
        <f>IF(AR267&gt;=650,((0.00002*AR267)+0.035)/10000,IF(AR267&lt;650,((-0.0000000000003*(AR267^4))+(0.0000000004*(AR267^3))-(0.0000002*(AR267^2))-(0.0001*AR267)+0.1409)/10000))</f>
        <v>5.5016E-6</v>
      </c>
      <c r="AT267" s="8">
        <f>IF(AR267&lt;650,(53.495-(0.029*AR267)),IF(AR267&lt;700,((0.00000000000000006*(AR267^2))-(0.2008*AR267) + 164.43),IF(AR267&lt;1250,((0.0115*AR267)+ 15.889))))</f>
        <v>27.398199999999999</v>
      </c>
      <c r="AU267" s="7">
        <f>(AS267*$M$8)/($D$6^2)</f>
        <v>1.3768818811814489E-2</v>
      </c>
      <c r="AV267" s="9">
        <f>($C$263*$D$6)/AT267</f>
        <v>0.43311534588833933</v>
      </c>
      <c r="AW267" s="4">
        <f>(($C$13-$C$12)*(1-((O$4/$D$4)^2)))+($C$12)</f>
        <v>995.7</v>
      </c>
      <c r="AX267" s="6">
        <f>IF(AW267&gt;=650,((0.00002*AW267)+0.035)/10000,IF(AW267&lt;650,((-0.0000000000003*(AW267^4))+(0.0000000004*(AW267^3))-(0.0000002*(AW267^2))-(0.0001*AW267)+0.1409)/10000))</f>
        <v>5.4914000000000005E-6</v>
      </c>
      <c r="AY267" s="8">
        <f>IF(AW267&lt;650,(53.495-(0.029*AW267)),IF(AW267&lt;700,((0.00000000000000006*(AW267^2))-(0.2008*AW267) + 164.43),IF(AW267&lt;1250,((0.0115*AW267)+ 15.889))))</f>
        <v>27.339549999999999</v>
      </c>
      <c r="AZ267" s="7">
        <f>(AX267*$M$8)/($D$6^2)</f>
        <v>1.3743291337646884E-2</v>
      </c>
      <c r="BA267" s="9">
        <f>($C$263*$D$6)/AY267</f>
        <v>0.43404448389669542</v>
      </c>
      <c r="BB267" s="4">
        <f>(($C$13-$C$12)*(1-((P$4/$D$4)^2)))+($C$12)</f>
        <v>990</v>
      </c>
      <c r="BC267" s="6">
        <f>IF(BB267&gt;=650,((0.00002*BB267)+0.035)/10000,IF(BB267&lt;650,((-0.0000000000003*(BB267^4))+(0.0000000004*(BB267^3))-(0.0000002*(BB267^2))-(0.0001*BB267)+0.1409)/10000))</f>
        <v>5.48E-6</v>
      </c>
      <c r="BD267" s="8">
        <f>IF(BB267&lt;650,(53.495-(0.029*BB267)),IF(BB267&lt;700,((0.00000000000000006*(BB267^2))-(0.2008*BB267) + 164.43),IF(BB267&lt;1250,((0.0115*BB267)+ 15.889))))</f>
        <v>27.274000000000001</v>
      </c>
      <c r="BE267" s="7">
        <f>(BC267*$M$8)/($D$6^2)</f>
        <v>1.3714760631224263E-2</v>
      </c>
      <c r="BF267" s="9">
        <f>($C$263*$D$6)/BD267</f>
        <v>0.43508766113213676</v>
      </c>
      <c r="BG267" s="4">
        <f>(($C$13-$C$12)*(1-((Q$4/$D$4)^2)))+($C$12)</f>
        <v>983.7</v>
      </c>
      <c r="BH267" s="6">
        <f>IF(BG267&gt;=650,((0.00002*BG267)+0.035)/10000,IF(BG267&lt;650,((-0.0000000000003*(BG267^4))+(0.0000000004*(BG267^3))-(0.0000002*(BG267^2))-(0.0001*BG267)+0.1409)/10000))</f>
        <v>5.4674000000000004E-6</v>
      </c>
      <c r="BI267" s="8">
        <f>IF(BG267&lt;650,(53.495-(0.029*BG267)),IF(BG267&lt;700,((0.00000000000000006*(BG267^2))-(0.2008*BG267) + 164.43),IF(BG267&lt;1250,((0.0115*BG267)+ 15.889))))</f>
        <v>27.201549999999997</v>
      </c>
      <c r="BJ267" s="7">
        <f>(BH267*$M$8)/($D$6^2)</f>
        <v>1.3683226692546633E-2</v>
      </c>
      <c r="BK267" s="9">
        <f>($C$263*$D$6)/BI267</f>
        <v>0.43624649586945963</v>
      </c>
      <c r="BL267" s="4">
        <f>(($C$13-$C$12)*(1-((R$4/$D$4)^2)))+($C$12)</f>
        <v>976.8</v>
      </c>
      <c r="BM267" s="6">
        <f>IF(BL267&gt;=650,((0.00002*BL267)+0.035)/10000,IF(BL267&lt;650,((-0.0000000000003*(BL267^4))+(0.0000000004*(BL267^3))-(0.0000002*(BL267^2))-(0.0001*BL267)+0.1409)/10000))</f>
        <v>5.4535999999999998E-6</v>
      </c>
      <c r="BN267" s="8">
        <f>IF(BL267&lt;650,(53.495-(0.029*BL267)),IF(BL267&lt;700,((0.00000000000000006*(BL267^2))-(0.2008*BL267) + 164.43),IF(BL267&lt;1250,((0.0115*BL267)+ 15.889))))</f>
        <v>27.122199999999999</v>
      </c>
      <c r="BO267" s="7">
        <f>(BM267*$M$8)/($D$6^2)</f>
        <v>1.3648689521613985E-2</v>
      </c>
      <c r="BP267" s="9">
        <f>($C$263*$D$6)/BN267</f>
        <v>0.43752279939377703</v>
      </c>
      <c r="BQ267" s="4">
        <f>(($C$13-$C$12)*(1-((S$4/$D$4)^2)))+($C$12)</f>
        <v>969.3</v>
      </c>
      <c r="BR267" s="6">
        <f>IF(BQ267&gt;=650,((0.00002*BQ267)+0.035)/10000,IF(BQ267&lt;650,((-0.0000000000003*(BQ267^4))+(0.0000000004*(BQ267^3))-(0.0000002*(BQ267^2))-(0.0001*BQ267)+0.1409)/10000))</f>
        <v>5.4386000000000007E-6</v>
      </c>
      <c r="BS267" s="8">
        <f>IF(BQ267&lt;650,(53.495-(0.029*BQ267)),IF(BQ267&lt;700,((0.00000000000000006*(BQ267^2))-(0.2008*BQ267) + 164.43),IF(BQ267&lt;1250,((0.0115*BQ267)+ 15.889))))</f>
        <v>27.03595</v>
      </c>
      <c r="BT267" s="7">
        <f>(BR267*$M$8)/($D$6^2)</f>
        <v>1.3611149118426329E-2</v>
      </c>
      <c r="BU267" s="9">
        <f>($C$263*$D$6)/BS267</f>
        <v>0.4389185832093157</v>
      </c>
      <c r="BV267" s="4">
        <f>(($C$13-$C$12)*(1-((T$4/$D$4)^2)))+($C$12)</f>
        <v>961.2</v>
      </c>
      <c r="BW267" s="6">
        <f>IF(BV267&gt;=650,((0.00002*BV267)+0.035)/10000,IF(BV267&lt;650,((-0.0000000000003*(BV267^4))+(0.0000000004*(BV267^3))-(0.0000002*(BV267^2))-(0.0001*BV267)+0.1409)/10000))</f>
        <v>5.4224000000000008E-6</v>
      </c>
      <c r="BX267" s="8">
        <f>IF(BV267&lt;650,(53.495-(0.029*BV267)),IF(BV267&lt;700,((0.00000000000000006*(BV267^2))-(0.2008*BV267) + 164.43),IF(BV267&lt;1250,((0.0115*BV267)+ 15.889))))</f>
        <v>26.942799999999998</v>
      </c>
      <c r="BY267" s="7">
        <f>(BW267*$M$8)/($D$6^2)</f>
        <v>1.3570605482983659E-2</v>
      </c>
      <c r="BZ267" s="9">
        <f>($C$263*$D$6)/BX267</f>
        <v>0.44043606713919486</v>
      </c>
      <c r="CA267" s="4">
        <f>(($C$13-$C$12)*(1-((U$4/$D$4)^2)))+($C$12)</f>
        <v>952.5</v>
      </c>
      <c r="CB267" s="6">
        <f>IF(CA267&gt;=650,((0.00002*CA267)+0.035)/10000,IF(CA267&lt;650,((-0.0000000000003*(CA267^4))+(0.0000000004*(CA267^3))-(0.0000002*(CA267^2))-(0.0001*CA267)+0.1409)/10000))</f>
        <v>5.4049999999999999E-6</v>
      </c>
      <c r="CC267" s="8">
        <f>IF(CA267&lt;650,(53.495-(0.029*CA267)),IF(CA267&lt;700,((0.00000000000000006*(CA267^2))-(0.2008*CA267) + 164.43),IF(CA267&lt;1250,((0.0115*CA267)+ 15.889))))</f>
        <v>26.842749999999999</v>
      </c>
      <c r="CD267" s="7">
        <f>(CB267*$M$8)/($D$6^2)</f>
        <v>1.3527058615285973E-2</v>
      </c>
      <c r="CE267" s="9">
        <f>($C$263*$D$6)/CC267</f>
        <v>0.44207768837834793</v>
      </c>
      <c r="CF267" s="4">
        <f>(($C$13-$C$12)*(1-((V$4/$D$4)^2)))+($C$12)</f>
        <v>943.2</v>
      </c>
      <c r="CG267" s="6">
        <f>IF(CF267&gt;=650,((0.00002*CF267)+0.035)/10000,IF(CF267&lt;650,((-0.0000000000003*(CF267^4))+(0.0000000004*(CF267^3))-(0.0000002*(CF267^2))-(0.0001*CF267)+0.1409)/10000))</f>
        <v>5.3864000000000006E-6</v>
      </c>
      <c r="CH267" s="8">
        <f>IF(CF267&lt;650,(53.495-(0.029*CF267)),IF(CF267&lt;700,((0.00000000000000006*(CF267^2))-(0.2008*CF267) + 164.43),IF(CF267&lt;1250,((0.0115*CF267)+ 15.889))))</f>
        <v>26.735799999999998</v>
      </c>
      <c r="CI267" s="7">
        <f>(CG267*$M$8)/($D$6^2)</f>
        <v>1.348050851533328E-2</v>
      </c>
      <c r="CJ267" s="9">
        <f>($C$263*$D$6)/CH267</f>
        <v>0.44384611157017556</v>
      </c>
      <c r="CK267" s="4">
        <f>(($C$13-$C$12)*(1-((W$4/$D$4)^2)))+($C$12)</f>
        <v>933.3</v>
      </c>
      <c r="CL267" s="6">
        <f>IF(CK267&gt;=650,((0.00002*CK267)+0.035)/10000,IF(CK267&lt;650,((-0.0000000000003*(CK267^4))+(0.0000000004*(CK267^3))-(0.0000002*(CK267^2))-(0.0001*CK267)+0.1409)/10000))</f>
        <v>5.3666000000000004E-6</v>
      </c>
      <c r="CM267" s="8">
        <f>IF(CK267&lt;650,(53.495-(0.029*CK267)),IF(CK267&lt;700,((0.00000000000000006*(CK267^2))-(0.2008*CK267) + 164.43),IF(CK267&lt;1250,((0.0115*CK267)+ 15.889))))</f>
        <v>26.621949999999998</v>
      </c>
      <c r="CN267" s="7">
        <f>(CL267*$M$8)/($D$6^2)</f>
        <v>1.3430955183125572E-2</v>
      </c>
      <c r="CO267" s="9">
        <f>($C$263*$D$6)/CM267</f>
        <v>0.44574423998684914</v>
      </c>
      <c r="CP267" s="4">
        <f>(($C$13-$C$12)*(1-((X$4/$D$4)^2)))+($C$12)</f>
        <v>922.80000000000007</v>
      </c>
      <c r="CQ267" s="6">
        <f>IF(CP267&gt;=650,((0.00002*CP267)+0.035)/10000,IF(CP267&lt;650,((-0.0000000000003*(CP267^4))+(0.0000000004*(CP267^3))-(0.0000002*(CP267^2))-(0.0001*CP267)+0.1409)/10000))</f>
        <v>5.3456000000000001E-6</v>
      </c>
      <c r="CR267" s="8">
        <f>IF(CP267&lt;650,(53.495-(0.029*CP267)),IF(CP267&lt;700,((0.00000000000000006*(CP267^2))-(0.2008*CP267) + 164.43),IF(CP267&lt;1250,((0.0115*CP267)+ 15.889))))</f>
        <v>26.501200000000001</v>
      </c>
      <c r="CS267" s="7">
        <f>(CQ267*$M$8)/($D$6^2)</f>
        <v>1.3378398618662852E-2</v>
      </c>
      <c r="CT267" s="9">
        <f>($C$263*$D$6)/CR267</f>
        <v>0.44777522790356278</v>
      </c>
      <c r="CU267" s="4">
        <f>(($C$13-$C$12)*(1-((Y$4/$D$4)^2)))+($C$12)</f>
        <v>911.7</v>
      </c>
      <c r="CV267" s="6">
        <f>IF(CU267&gt;=650,((0.00002*CU267)+0.035)/10000,IF(CU267&lt;650,((-0.0000000000003*(CU267^4))+(0.0000000004*(CU267^3))-(0.0000002*(CU267^2))-(0.0001*CU267)+0.1409)/10000))</f>
        <v>5.3234000000000006E-6</v>
      </c>
      <c r="CW267" s="8">
        <f>IF(CU267&lt;650,(53.495-(0.029*CU267)),IF(CU267&lt;700,((0.00000000000000006*(CU267^2))-(0.2008*CU267) + 164.43),IF(CU267&lt;1250,((0.0115*CU267)+ 15.889))))</f>
        <v>26.373550000000002</v>
      </c>
      <c r="CX267" s="7">
        <f>(CV267*$M$8)/($D$6^2)</f>
        <v>1.3322838821945118E-2</v>
      </c>
      <c r="CY267" s="9">
        <f>($C$263*$D$6)/CW267</f>
        <v>0.44994249426860994</v>
      </c>
      <c r="CZ267" s="4">
        <f>(($C$13-$C$12)*(1-((Z$4/$D$4)^2)))+($C$12)</f>
        <v>900</v>
      </c>
      <c r="DA267" s="6">
        <f>IF(CZ267&gt;=650,((0.00002*CZ267)+0.035)/10000,IF(CZ267&lt;650,((-0.0000000000003*(CZ267^4))+(0.0000000004*(CZ267^3))-(0.0000002*(CZ267^2))-(0.0001*CZ267)+0.1409)/10000))</f>
        <v>5.3000000000000009E-6</v>
      </c>
      <c r="DB267" s="8">
        <f>IF(CZ267&lt;650,(53.495-(0.029*CZ267)),IF(CZ267&lt;700,((0.00000000000000006*(CZ267^2))-(0.2008*CZ267) + 164.43),IF(CZ267&lt;1250,((0.0115*CZ267)+ 15.889))))</f>
        <v>26.238999999999997</v>
      </c>
      <c r="DC267" s="7">
        <f>(DA267*$M$8)/($D$6^2)</f>
        <v>1.3264275792972373E-2</v>
      </c>
      <c r="DD267" s="9">
        <f>($C$263*$D$6)/DB267</f>
        <v>0.4522497377841343</v>
      </c>
    </row>
    <row r="268" spans="2:108" x14ac:dyDescent="0.25">
      <c r="B268">
        <v>1</v>
      </c>
      <c r="C268">
        <f>$B268*$M$8</f>
        <v>9.7761466634525146E-4</v>
      </c>
      <c r="D268" s="4">
        <f t="shared" ref="D268" si="428">D267+(4*$H$7*(I267-D267))</f>
        <v>1019.9846835154995</v>
      </c>
      <c r="E268" s="6">
        <f t="shared" ref="E268:E333" si="429">IF($D268&gt;=650,((0.00002*$D268)+0.035)/10000,IF($D268&lt;650,((-0.0000000000003*($D268^4))+(0.0000000004*($D268^3))-(0.0000002*($D268^2))-(0.0001*$D268)+0.1409)/10000))</f>
        <v>5.5399693670309996E-6</v>
      </c>
      <c r="F268" s="8">
        <f t="shared" ref="F268" si="430">IF($D268&lt;650,(53.495-(0.029*D268)),IF(D268&lt;700,((0.00000000000000006*(D268^2))-(0.2008*D268) + 164.43),IF(D268&lt;1250,((0.0115*D268)+ 15.889))))</f>
        <v>27.618823860428243</v>
      </c>
      <c r="G268" s="7">
        <f t="shared" si="426"/>
        <v>1.3864845579041087E-2</v>
      </c>
      <c r="H268" s="9">
        <f>($C$263*$D$6)/F268</f>
        <v>0.42965554687215063</v>
      </c>
      <c r="I268" s="4">
        <f>I267+(G268*(D267+N267-(2*I267))+((G268/(2*$I$18))*(N267-D267)))</f>
        <v>1019.6833621853052</v>
      </c>
      <c r="J268" s="6">
        <f t="shared" ref="J268:J333" si="431">IF($I268&gt;=650,((0.00002*$I268)+0.035)/10000,IF($I268&lt;650,((-0.0000000000003*($I268^4))+(0.0000000004*($I268^3))-(0.0000002*($I268^2))-(0.0001*$I268)+0.1409)/10000))</f>
        <v>5.5393667243706106E-6</v>
      </c>
      <c r="K268" s="8">
        <f t="shared" ref="K268" si="432">IF($I268&lt;650,(53.495-(0.029*I268)),IF(I268&lt;700,((0.00000000000000006*(I268^2))-(0.2008*I268) + 164.43),IF(I268&lt;1250,((0.0115*I268)+ 15.889))))</f>
        <v>27.615358665131009</v>
      </c>
      <c r="L268" s="7">
        <f t="shared" ref="L268:L333" si="433">($J268*$M$8)/($D$6^2)</f>
        <v>1.3863337349144482E-2</v>
      </c>
      <c r="M268" s="9">
        <f>($C$263*$D$6)/K268</f>
        <v>0.42970946036277391</v>
      </c>
      <c r="N268" s="4">
        <f>N267+(L268*(I267+S267-(2*N267))+((L268/(2*N$18))*(S267-I267)))</f>
        <v>1018.7833639951809</v>
      </c>
      <c r="O268" s="6">
        <f t="shared" ref="O268:O333" si="434">IF($N268&gt;=650,((0.00002*$N268)+0.035)/10000,IF($N268&lt;650,((-0.0000000000003*($N268^4))+(0.0000000004*($N268^3))-(0.0000002*($N268^2))-(0.0001*$N268)+0.1409)/10000))</f>
        <v>5.5375667279903622E-6</v>
      </c>
      <c r="P268" s="8">
        <f t="shared" ref="P268:P333" si="435">IF($N268&lt;650,(53.495-(0.029*$N268)),IF($N268&lt;700,((0.00000000000000006*($N268^2))-(0.2008*$N268) + 164.43),IF($N268&lt;1250,((0.0115*$N268)+ 15.889))))</f>
        <v>27.605008685944579</v>
      </c>
      <c r="Q268" s="7">
        <f t="shared" si="427"/>
        <v>1.3864845579041087E-2</v>
      </c>
      <c r="R268" s="9">
        <f>($C$263*$D$6)/P268</f>
        <v>0.42987057184879318</v>
      </c>
      <c r="S268" s="4">
        <f>S267+(Q268*(N267+X267-(2*S267))+((Q268/(2*S$18))*(X267-N267)))</f>
        <v>1017.2833621853051</v>
      </c>
      <c r="T268" s="6">
        <f t="shared" ref="T268:T333" si="436">IF($S268&gt;=650,((0.00002*$S268)+0.035)/10000,IF($S268&lt;650,((-0.0000000000003*($S268^4))+(0.0000000004*($S268^3))-(0.0000002*($S268^2))-(0.0001*$S268)+0.1409)/10000))</f>
        <v>5.5345667243706111E-6</v>
      </c>
      <c r="U268" s="8">
        <f t="shared" ref="U268:U333" si="437">IF($S268&lt;650,(53.495-(0.029*$S268)),IF($S268&lt;700,((0.00000000000000006*($S268^2))-(0.2008*$S268) + 164.43),IF($S268&lt;1250,((0.0115*$S268)+ 15.889))))</f>
        <v>27.587758665131009</v>
      </c>
      <c r="V268" s="7">
        <f t="shared" ref="V268:V333" si="438">($T268*$M$8)/($D$6^2)</f>
        <v>1.3851324420124432E-2</v>
      </c>
      <c r="W268" s="9">
        <f>($C$263*$D$6)/U268</f>
        <v>0.43013936049529183</v>
      </c>
      <c r="X268" s="4">
        <f>X267+(V268*(S267+AC267-(2*X267))+((V268/(2*X$18))*(AC267-S267)))</f>
        <v>1015.1833784106959</v>
      </c>
      <c r="Y268" s="6">
        <f t="shared" ref="Y268:Y333" si="439">IF($X268&gt;=650,((0.00002*$X268)+0.035)/10000,IF($X268&lt;650,((-0.0000000000003*($X268^4))+(0.0000000004*($X268^3))-(0.0000002*($X268^2))-(0.0001*$X268)+0.1409)/10000))</f>
        <v>5.5303667568213921E-6</v>
      </c>
      <c r="Z268" s="8">
        <f t="shared" ref="Z268:Z333" si="440">IF($X268&lt;650,(53.495-(0.029*$X268)),IF($X268&lt;700,((0.00000000000000006*($X268^2))-(0.2008*$X268) + 164.43),IF($X268&lt;1250,((0.0115*$X268)+ 15.889))))</f>
        <v>27.563608851723004</v>
      </c>
      <c r="AA268" s="7">
        <f t="shared" ref="AA268:AA333" si="441">($Y268*$M$8)/($D$6^2)</f>
        <v>1.3840813188446247E-2</v>
      </c>
      <c r="AB268" s="9">
        <f>($C$263*$D$6)/Z268</f>
        <v>0.43051622643295917</v>
      </c>
      <c r="AC268" s="4">
        <f>AC267+(AA268*(X267+AH267-(2*AC267))+((AA268/(2*AC$18))*(AH267-X267)))</f>
        <v>1012.4833910241739</v>
      </c>
      <c r="AD268" s="6">
        <f t="shared" ref="AD268" si="442">IF(AC268&gt;=650,((0.00002*AC268)+0.035)/10000,IF(AC268&lt;650,((-0.0000000000003*(AC268^4))+(0.0000000004*(AC268^3))-(0.0000002*(AC268^2))-(0.0001*AC268)+0.1409)/10000))</f>
        <v>5.5249667820483483E-6</v>
      </c>
      <c r="AE268" s="8">
        <f t="shared" ref="AE268" si="443">IF(AC268&lt;650,(53.495-(0.029*AC268)),IF(AC268&lt;700,((0.00000000000000006*(AC268^2))-(0.2008*AC268) + 164.43),IF(AC268&lt;1250,((0.0115*AC268)+ 15.889))))</f>
        <v>27.532558996778</v>
      </c>
      <c r="AF268" s="7">
        <f t="shared" ref="AF268" si="444">(AD268*$M$8)/($D$6^2)</f>
        <v>1.3827298706434031E-2</v>
      </c>
      <c r="AG268" s="9">
        <f>($C$263*$D$6)/AE268</f>
        <v>0.43100174128770907</v>
      </c>
      <c r="AH268" s="4">
        <f>AH267+(AF268*(AC267+AM267-(2*AH267))+((AF268/(2*AH$18))*(AM267-AC267)))</f>
        <v>1009.1834072415523</v>
      </c>
      <c r="AI268" s="6">
        <f t="shared" ref="AI268" si="445">IF(AH268&gt;=650,((0.00002*AH268)+0.035)/10000,IF(AH268&lt;650,((-0.0000000000003*(AH268^4))+(0.0000000004*(AH268^3))-(0.0000002*(AH268^2))-(0.0001*AH268)+0.1409)/10000))</f>
        <v>5.5183668144831057E-6</v>
      </c>
      <c r="AJ268" s="8">
        <f t="shared" ref="AJ268" si="446">IF(AH268&lt;650,(53.495-(0.029*AH268)),IF(AH268&lt;700,((0.00000000000000006*(AH268^2))-(0.2008*AH268) + 164.43),IF(AH268&lt;1250,((0.0115*AH268)+ 15.889))))</f>
        <v>27.494609183277852</v>
      </c>
      <c r="AK268" s="7">
        <f t="shared" ref="AK268" si="447">(AI268*$M$8)/($D$6^2)</f>
        <v>1.3810781010205719E-2</v>
      </c>
      <c r="AL268" s="9">
        <f>($C$263*$D$6)/AJ268</f>
        <v>0.43159663738501586</v>
      </c>
      <c r="AM268" s="4">
        <f>AM267+(AK268*(AH267+AR267-(2*AM267))+((AK268/(2*AM$18))*(AR267-AH267)))</f>
        <v>1005.2834270627877</v>
      </c>
      <c r="AN268" s="6">
        <f t="shared" ref="AN268" si="448">IF(AM268&gt;=650,((0.00002*AM268)+0.035)/10000,IF(AM268&lt;650,((-0.0000000000003*(AM268^4))+(0.0000000004*(AM268^3))-(0.0000002*(AM268^2))-(0.0001*AM268)+0.1409)/10000))</f>
        <v>5.5105668541255757E-6</v>
      </c>
      <c r="AO268" s="8">
        <f t="shared" ref="AO268" si="449">IF(AM268&lt;650,(53.495-(0.029*AM268)),IF(AM268&lt;700,((0.00000000000000006*(AM268^2))-(0.2008*AM268) + 164.43),IF(AM268&lt;1250,((0.0115*AM268)+ 15.889))))</f>
        <v>27.449759411222058</v>
      </c>
      <c r="AP268" s="7">
        <f t="shared" ref="AP268" si="450">(AN268*$M$8)/($D$6^2)</f>
        <v>1.3791260099761091E-2</v>
      </c>
      <c r="AQ268" s="9">
        <f>($C$263*$D$6)/AO268</f>
        <v>0.4323018170012296</v>
      </c>
      <c r="AR268" s="4">
        <f>AR267+(AP268*(AM267+AW267-(2*AR267))+((AP268/(2*AR$18))*(AW267-AM267)))</f>
        <v>1000.7834504878803</v>
      </c>
      <c r="AS268" s="6">
        <f t="shared" ref="AS268" si="451">IF(AR268&gt;=650,((0.00002*AR268)+0.035)/10000,IF(AR268&lt;650,((-0.0000000000003*(AR268^4))+(0.0000000004*(AR268^3))-(0.0000002*(AR268^2))-(0.0001*AR268)+0.1409)/10000))</f>
        <v>5.5015669009757614E-6</v>
      </c>
      <c r="AT268" s="8">
        <f t="shared" ref="AT268" si="452">IF(AR268&lt;650,(53.495-(0.029*AR268)),IF(AR268&lt;700,((0.00000000000000006*(AR268^2))-(0.2008*AR268) + 164.43),IF(AR268&lt;1250,((0.0115*AR268)+ 15.889))))</f>
        <v>27.39800968061062</v>
      </c>
      <c r="AU268" s="7">
        <f t="shared" ref="AU268" si="453">(AS268*$M$8)/($D$6^2)</f>
        <v>1.3768735975100154E-2</v>
      </c>
      <c r="AV268" s="9">
        <f>($C$263*$D$6)/AT268</f>
        <v>0.43311835451010133</v>
      </c>
      <c r="AW268" s="4">
        <f>AW267+(AU268*(AR267+BB267-(2*AW267))+((AU268/(2*AW$18))*(BB267-AR267)))</f>
        <v>995.68347751682995</v>
      </c>
      <c r="AX268" s="6">
        <f t="shared" ref="AX268" si="454">IF(AW268&gt;=650,((0.00002*AW268)+0.035)/10000,IF(AW268&lt;650,((-0.0000000000003*(AW268^4))+(0.0000000004*(AW268^3))-(0.0000002*(AW268^2))-(0.0001*AW268)+0.1409)/10000))</f>
        <v>5.4913669550336604E-6</v>
      </c>
      <c r="AY268" s="8">
        <f t="shared" ref="AY268" si="455">IF(AW268&lt;650,(53.495-(0.029*AW268)),IF(AW268&lt;700,((0.00000000000000006*(AW268^2))-(0.2008*AW268) + 164.43),IF(AW268&lt;1250,((0.0115*AW268)+ 15.889))))</f>
        <v>27.339359991443544</v>
      </c>
      <c r="AZ268" s="7">
        <f t="shared" ref="AZ268" si="456">(AX268*$M$8)/($D$6^2)</f>
        <v>1.3743208636222902E-2</v>
      </c>
      <c r="BA268" s="9">
        <f>($C$263*$D$6)/AY268</f>
        <v>0.43404750050593016</v>
      </c>
      <c r="BB268" s="4">
        <f>BB267+(AZ268*(AW267+BG267-(2*BB267))+((AZ268/(2*BB$18))*(BG267-AW267)))</f>
        <v>989.98350814963658</v>
      </c>
      <c r="BC268" s="6">
        <f t="shared" ref="BC268" si="457">IF(BB268&gt;=650,((0.00002*BB268)+0.035)/10000,IF(BB268&lt;650,((-0.0000000000003*(BB268^4))+(0.0000000004*(BB268^3))-(0.0000002*(BB268^2))-(0.0001*BB268)+0.1409)/10000))</f>
        <v>5.4799670162992735E-6</v>
      </c>
      <c r="BD268" s="8">
        <f t="shared" ref="BD268" si="458">IF(BB268&lt;650,(53.495-(0.029*BB268)),IF(BB268&lt;700,((0.00000000000000006*(BB268^2))-(0.2008*BB268) + 164.43),IF(BB268&lt;1250,((0.0115*BB268)+ 15.889))))</f>
        <v>27.273810343720818</v>
      </c>
      <c r="BE268" s="7">
        <f t="shared" ref="BE268" si="459">(BC268*$M$8)/($D$6^2)</f>
        <v>1.3714678083129338E-2</v>
      </c>
      <c r="BF268" s="9">
        <f>($C$263*$D$6)/BD268</f>
        <v>0.43509068663924005</v>
      </c>
      <c r="BG268" s="4">
        <f>BG267+(BE268*(BB267+BL267-(2*BG267))+((BE268/(2*BG$18))*(BL267-BB267)))</f>
        <v>983.68354238630025</v>
      </c>
      <c r="BH268" s="6">
        <f t="shared" ref="BH268" si="460">IF(BG268&gt;=650,((0.00002*BG268)+0.035)/10000,IF(BG268&lt;650,((-0.0000000000003*(BG268^4))+(0.0000000004*(BG268^3))-(0.0000002*(BG268^2))-(0.0001*BG268)+0.1409)/10000))</f>
        <v>5.4673670847726008E-6</v>
      </c>
      <c r="BI268" s="8">
        <f t="shared" ref="BI268" si="461">IF(BG268&lt;650,(53.495-(0.029*BG268)),IF(BG268&lt;700,((0.00000000000000006*(BG268^2))-(0.2008*BG268) + 164.43),IF(BG268&lt;1250,((0.0115*BG268)+ 15.889))))</f>
        <v>27.20136073744245</v>
      </c>
      <c r="BJ268" s="7">
        <f t="shared" ref="BJ268" si="462">(BH268*$M$8)/($D$6^2)</f>
        <v>1.3683144315819459E-2</v>
      </c>
      <c r="BK268" s="9">
        <f>($C$263*$D$6)/BI268</f>
        <v>0.43624953120024057</v>
      </c>
      <c r="BL268" s="4">
        <f>BL267+(BJ268*(BG267+BQ267-(2*BL267))+((BJ268/(2*BL$18))*(BQ267-BG267)))</f>
        <v>976.78358022682096</v>
      </c>
      <c r="BM268" s="6">
        <f t="shared" ref="BM268" si="463">IF(BL268&gt;=650,((0.00002*BL268)+0.035)/10000,IF(BL268&lt;650,((-0.0000000000003*(BL268^4))+(0.0000000004*(BL268^3))-(0.0000002*(BL268^2))-(0.0001*BL268)+0.1409)/10000))</f>
        <v>5.453567160453643E-6</v>
      </c>
      <c r="BN268" s="8">
        <f t="shared" ref="BN268" si="464">IF(BL268&lt;650,(53.495-(0.029*BL268)),IF(BL268&lt;700,((0.00000000000000006*(BL268^2))-(0.2008*BL268) + 164.43),IF(BL268&lt;1250,((0.0115*BL268)+ 15.889))))</f>
        <v>27.122011172608438</v>
      </c>
      <c r="BO268" s="7">
        <f t="shared" ref="BO268" si="465">(BM268*$M$8)/($D$6^2)</f>
        <v>1.3648607334293269E-2</v>
      </c>
      <c r="BP268" s="9">
        <f>($C$263*$D$6)/BN268</f>
        <v>0.43752584549122281</v>
      </c>
      <c r="BQ268" s="4">
        <f>BQ267+(BO268*(BL267+BV267-(2*BQ267))+((BO268/(2*BQ$18))*(BV267-BL267)))</f>
        <v>969.28362167119883</v>
      </c>
      <c r="BR268" s="6">
        <f t="shared" ref="BR268" si="466">IF(BQ268&gt;=650,((0.00002*BQ268)+0.035)/10000,IF(BQ268&lt;650,((-0.0000000000003*(BQ268^4))+(0.0000000004*(BQ268^3))-(0.0000002*(BQ268^2))-(0.0001*BQ268)+0.1409)/10000))</f>
        <v>5.4385672433423984E-6</v>
      </c>
      <c r="BS268" s="8">
        <f t="shared" ref="BS268" si="467">IF(BQ268&lt;650,(53.495-(0.029*BQ268)),IF(BQ268&lt;700,((0.00000000000000006*(BQ268^2))-(0.2008*BQ268) + 164.43),IF(BQ268&lt;1250,((0.0115*BQ268)+ 15.889))))</f>
        <v>27.035761649218784</v>
      </c>
      <c r="BT268" s="7">
        <f t="shared" ref="BT268" si="468">(BR268*$M$8)/($D$6^2)</f>
        <v>1.3611067138550766E-2</v>
      </c>
      <c r="BU268" s="9">
        <f>($C$263*$D$6)/BS268</f>
        <v>0.43892164103543169</v>
      </c>
      <c r="BV268" s="4">
        <f>BV267+(BT268*(BQ267+CA267-(2*BV267))+((BT268/(2*BV$18))*(CA267-BQ267)))</f>
        <v>961.18366671943375</v>
      </c>
      <c r="BW268" s="6">
        <f t="shared" ref="BW268" si="469">IF(BV268&gt;=650,((0.00002*BV268)+0.035)/10000,IF(BV268&lt;650,((-0.0000000000003*(BV268^4))+(0.0000000004*(BV268^3))-(0.0000002*(BV268^2))-(0.0001*BV268)+0.1409)/10000))</f>
        <v>5.422367333438868E-6</v>
      </c>
      <c r="BX268" s="8">
        <f t="shared" ref="BX268" si="470">IF(BV268&lt;650,(53.495-(0.029*BV268)),IF(BV268&lt;700,((0.00000000000000006*(BV268^2))-(0.2008*BV268) + 164.43),IF(BV268&lt;1250,((0.0115*BV268)+ 15.889))))</f>
        <v>26.942612167273488</v>
      </c>
      <c r="BY268" s="7">
        <f t="shared" ref="BY268" si="471">(BW268*$M$8)/($D$6^2)</f>
        <v>1.3570523728591946E-2</v>
      </c>
      <c r="BZ268" s="9">
        <f>($C$263*$D$6)/BX268</f>
        <v>0.44043913767693005</v>
      </c>
      <c r="CA268" s="4">
        <f>CA267+(BY268*(BV267+CF267-(2*CA267))+((BY268/(2*CA$18))*(CF267-BV267)))</f>
        <v>952.4837153715257</v>
      </c>
      <c r="CB268" s="6">
        <f t="shared" ref="CB268" si="472">IF(CA268&gt;=650,((0.00002*CA268)+0.035)/10000,IF(CA268&lt;650,((-0.0000000000003*(CA268^4))+(0.0000000004*(CA268^3))-(0.0000002*(CA268^2))-(0.0001*CA268)+0.1409)/10000))</f>
        <v>5.4049674307430518E-6</v>
      </c>
      <c r="CC268" s="8">
        <f t="shared" ref="CC268" si="473">IF(CA268&lt;650,(53.495-(0.029*CA268)),IF(CA268&lt;700,((0.00000000000000006*(CA268^2))-(0.2008*CA268) + 164.43),IF(CA268&lt;1250,((0.0115*CA268)+ 15.889))))</f>
        <v>26.842562726772545</v>
      </c>
      <c r="CD268" s="7">
        <f t="shared" ref="CD268" si="474">(CB268*$M$8)/($D$6^2)</f>
        <v>1.3526977104416818E-2</v>
      </c>
      <c r="CE268" s="9">
        <f>($C$263*$D$6)/CC268</f>
        <v>0.44208077263361562</v>
      </c>
      <c r="CF268" s="4">
        <f>CF267+(CD268*(CA267+CK267-(2*CF267))+((CD268/(2*CF$18))*(CK267-CA267)))</f>
        <v>943.18376762747471</v>
      </c>
      <c r="CG268" s="6">
        <f t="shared" ref="CG268" si="475">IF(CF268&gt;=650,((0.00002*CF268)+0.035)/10000,IF(CF268&lt;650,((-0.0000000000003*(CF268^4))+(0.0000000004*(CF268^3))-(0.0000002*(CF268^2))-(0.0001*CF268)+0.1409)/10000))</f>
        <v>5.3863675352549504E-6</v>
      </c>
      <c r="CH268" s="8">
        <f t="shared" ref="CH268" si="476">IF(CF268&lt;650,(53.495-(0.029*CF268)),IF(CF268&lt;700,((0.00000000000000006*(CF268^2))-(0.2008*CF268) + 164.43),IF(CF268&lt;1250,((0.0115*CF268)+ 15.889))))</f>
        <v>26.73561332771596</v>
      </c>
      <c r="CI268" s="7">
        <f t="shared" ref="CI268" si="477">(CG268*$M$8)/($D$6^2)</f>
        <v>1.3480427266025377E-2</v>
      </c>
      <c r="CJ268" s="9">
        <f>($C$263*$D$6)/CH268</f>
        <v>0.44384921057397969</v>
      </c>
      <c r="CK268" s="4">
        <f>CK267+(CI268*(CF267+CP267-(2*CK267))+((CI268/(2*CK$18))*(CP267-CF267)))</f>
        <v>933.28382348728076</v>
      </c>
      <c r="CL268" s="6">
        <f t="shared" ref="CL268" si="478">IF(CK268&gt;=650,((0.00002*CK268)+0.035)/10000,IF(CK268&lt;650,((-0.0000000000003*(CK268^4))+(0.0000000004*(CK268^3))-(0.0000002*(CK268^2))-(0.0001*CK268)+0.1409)/10000))</f>
        <v>5.3665676469745624E-6</v>
      </c>
      <c r="CM268" s="8">
        <f t="shared" ref="CM268" si="479">IF(CK268&lt;650,(53.495-(0.029*CK268)),IF(CK268&lt;700,((0.00000000000000006*(CK268^2))-(0.2008*CK268) + 164.43),IF(CK268&lt;1250,((0.0115*CK268)+ 15.889))))</f>
        <v>26.621763970103729</v>
      </c>
      <c r="CN268" s="7">
        <f t="shared" ref="CN268" si="480">(CL268*$M$8)/($D$6^2)</f>
        <v>1.3430874213417619E-2</v>
      </c>
      <c r="CO268" s="9">
        <f>($C$263*$D$6)/CM268</f>
        <v>0.44574735479752892</v>
      </c>
      <c r="CP268" s="4">
        <f>CP267+(CN268*(CK267+CU267-(2*CP267))+((CN268/(2*CP$18))*(CU267-CK267)))</f>
        <v>922.78388295094396</v>
      </c>
      <c r="CQ268" s="6">
        <f t="shared" ref="CQ268" si="481">IF(CP268&gt;=650,((0.00002*CP268)+0.035)/10000,IF(CP268&lt;650,((-0.0000000000003*(CP268^4))+(0.0000000004*(CP268^3))-(0.0000002*(CP268^2))-(0.0001*CP268)+0.1409)/10000))</f>
        <v>5.3455677659018885E-6</v>
      </c>
      <c r="CR268" s="8">
        <f t="shared" ref="CR268" si="482">IF(CP268&lt;650,(53.495-(0.029*CP268)),IF(CP268&lt;700,((0.00000000000000006*(CP268^2))-(0.2008*CP268) + 164.43),IF(CP268&lt;1250,((0.0115*CP268)+ 15.889))))</f>
        <v>26.501014653935854</v>
      </c>
      <c r="CS268" s="7">
        <f t="shared" ref="CS268" si="483">(CQ268*$M$8)/($D$6^2)</f>
        <v>1.3378317946593551E-2</v>
      </c>
      <c r="CT268" s="9">
        <f>($C$263*$D$6)/CR268</f>
        <v>0.44777835960916718</v>
      </c>
      <c r="CU268" s="4">
        <f>CU267+(CS268*(CP267+CZ267-(2*CU267))+((CS268/(2*CU$18))*(CZ267-CP267)))</f>
        <v>911.6839460184641</v>
      </c>
      <c r="CV268" s="6">
        <f t="shared" ref="CV268" si="484">IF(CU268&gt;=650,((0.00002*CU268)+0.035)/10000,IF(CU268&lt;650,((-0.0000000000003*(CU268^4))+(0.0000000004*(CU268^3))-(0.0000002*(CU268^2))-(0.0001*CU268)+0.1409)/10000))</f>
        <v>5.3233678920369287E-6</v>
      </c>
      <c r="CW268" s="8">
        <f t="shared" ref="CW268" si="485">IF(CU268&lt;650,(53.495-(0.029*CU268)),IF(CU268&lt;700,((0.00000000000000006*(CU268^2))-(0.2008*CU268) + 164.43),IF(CU268&lt;1250,((0.0115*CU268)+ 15.889))))</f>
        <v>26.373365379212338</v>
      </c>
      <c r="CX268" s="7">
        <f t="shared" ref="CX268" si="486">(CV268*$M$8)/($D$6^2)</f>
        <v>1.3322758465553168E-2</v>
      </c>
      <c r="CY268" s="9">
        <f>($C$263*$D$6)/CW268</f>
        <v>0.44994564398941733</v>
      </c>
      <c r="CZ268" s="5">
        <f>CZ267+((2*$CX268)*(CU267-CZ267))+((2*$CX268*$CY268)*($C$14-CZ267))+((($CX268*$CY268)/$C$5)*($C$14-CZ267))+(((CZ267-$C$14)*$CX268*($D$6^2))/($CW268*($D$4/(2*$C$8))))</f>
        <v>889.80288613370305</v>
      </c>
      <c r="DA268" s="6">
        <f t="shared" ref="DA268" si="487">IF(CZ268&gt;=650,((0.00002*CZ268)+0.035)/10000,IF(CZ268&lt;650,((-0.0000000000003*(CZ268^4))+(0.0000000004*(CZ268^3))-(0.0000002*(CZ268^2))-(0.0001*CZ268)+0.1409)/10000))</f>
        <v>5.279605772267407E-6</v>
      </c>
      <c r="DB268" s="8">
        <f t="shared" ref="DB268" si="488">IF(CZ268&lt;650,(53.495-(0.029*CZ268)),IF(CZ268&lt;700,((0.00000000000000006*(CZ268^2))-(0.2008*CZ268) + 164.43),IF(CZ268&lt;1250,((0.0115*CZ268)+ 15.889))))</f>
        <v>26.121733190537583</v>
      </c>
      <c r="DC268" s="7">
        <f t="shared" ref="DC268" si="489">(DA268*$M$8)/($D$6^2)</f>
        <v>1.3213235290853541E-2</v>
      </c>
      <c r="DD268" s="9">
        <f>($C$263*$D$6)/DB268</f>
        <v>0.45427999678124287</v>
      </c>
    </row>
    <row r="269" spans="2:108" x14ac:dyDescent="0.25">
      <c r="B269">
        <v>2</v>
      </c>
      <c r="C269">
        <f t="shared" ref="C269:C334" si="490">$B269*$M$8</f>
        <v>1.9552293326905029E-3</v>
      </c>
      <c r="D269" s="4">
        <f t="shared" ref="D269:D332" si="491">D268+(4*$H$7*(I268-D268))</f>
        <v>1019.9692995705541</v>
      </c>
      <c r="E269" s="6">
        <f t="shared" si="429"/>
        <v>5.539938599141109E-6</v>
      </c>
      <c r="F269" s="8">
        <f t="shared" ref="F269:F332" si="492">IF($D269&lt;650,(53.495-(0.029*D269)),IF(D269&lt;700,((0.00000000000000006*(D269^2))-(0.2008*D269) + 164.43),IF(D269&lt;1250,((0.0115*D269)+ 15.889))))</f>
        <v>27.618646945061371</v>
      </c>
      <c r="G269" s="7">
        <f t="shared" si="426"/>
        <v>1.3864768576441639E-2</v>
      </c>
      <c r="H269" s="9">
        <f t="shared" ref="H269:H332" si="493">($C$263*$D$6)/F269</f>
        <v>0.42965829909490988</v>
      </c>
      <c r="I269" s="4">
        <f t="shared" ref="I269:I332" si="494">I268+(G269*(D268+N268-(2*I268))+((G269/(2*$I$18))*(N268-D268)))</f>
        <v>1019.6667336606224</v>
      </c>
      <c r="J269" s="6">
        <f t="shared" si="431"/>
        <v>5.5393334673212457E-6</v>
      </c>
      <c r="K269" s="8">
        <f t="shared" ref="K269:K332" si="495">IF($I269&lt;650,(53.495-(0.029*I269)),IF(I269&lt;700,((0.00000000000000006*(I269^2))-(0.2008*I269) + 164.43),IF(I269&lt;1250,((0.0115*I269)+ 15.889))))</f>
        <v>27.615167437097156</v>
      </c>
      <c r="L269" s="7">
        <f t="shared" si="433"/>
        <v>1.386325411694168E-2</v>
      </c>
      <c r="M269" s="9">
        <f t="shared" ref="M269:M332" si="496">($C$263*$D$6)/K269</f>
        <v>0.42971243599185238</v>
      </c>
      <c r="N269" s="4">
        <f t="shared" ref="N269:N332" si="497">N268+(L269*(I268+S268-(2*N268))+((L269/(2*N$18))*(S268-I268)))</f>
        <v>1018.7667280400591</v>
      </c>
      <c r="O269" s="6">
        <f t="shared" si="434"/>
        <v>5.5375334560801185E-6</v>
      </c>
      <c r="P269" s="8">
        <f t="shared" si="435"/>
        <v>27.60481737246068</v>
      </c>
      <c r="Q269" s="7">
        <f t="shared" si="427"/>
        <v>1.3864768576441639E-2</v>
      </c>
      <c r="R269" s="9">
        <f t="shared" ref="R269:R332" si="498">($C$263*$D$6)/P269</f>
        <v>0.42987355104027325</v>
      </c>
      <c r="S269" s="4">
        <f t="shared" ref="S269:S332" si="499">S268+(Q269*(N268+X268-(2*S268))+((Q269/(2*S$18))*(X268-N268)))</f>
        <v>1017.2667247463795</v>
      </c>
      <c r="T269" s="6">
        <f t="shared" si="436"/>
        <v>5.5345334494927595E-6</v>
      </c>
      <c r="U269" s="8">
        <f t="shared" si="437"/>
        <v>27.587567334583362</v>
      </c>
      <c r="V269" s="7">
        <f t="shared" si="438"/>
        <v>1.3851241143302393E-2</v>
      </c>
      <c r="W269" s="9">
        <f t="shared" ref="W269:W332" si="500">($C$263*$D$6)/U269</f>
        <v>0.43014234367965204</v>
      </c>
      <c r="X269" s="4">
        <f t="shared" ref="X269:X332" si="501">X268+(V269*(S268+AC268-(2*X268))+((V269/(2*X$18))*(AC268-S268)))</f>
        <v>1015.1667569212262</v>
      </c>
      <c r="Y269" s="6">
        <f t="shared" si="439"/>
        <v>5.5303335138424532E-6</v>
      </c>
      <c r="Z269" s="8">
        <f t="shared" si="440"/>
        <v>27.563417704594102</v>
      </c>
      <c r="AA269" s="7">
        <f t="shared" si="441"/>
        <v>1.3840729991457412E-2</v>
      </c>
      <c r="AB269" s="9">
        <f t="shared" ref="AB269:AB332" si="502">($C$263*$D$6)/Z269</f>
        <v>0.43051921198219367</v>
      </c>
      <c r="AC269" s="4">
        <f t="shared" ref="AC269:AC332" si="503">AC268+(AA269*(X268+AH268-(2*AC268))+((AA269/(2*AC$18))*(AH268-X268)))</f>
        <v>1012.4667822379688</v>
      </c>
      <c r="AD269" s="6">
        <f t="shared" ref="AD269:AD332" si="504">IF(AC269&gt;=650,((0.00002*AC269)+0.035)/10000,IF(AC269&lt;650,((-0.0000000000003*(AC269^4))+(0.0000000004*(AC269^3))-(0.0000002*(AC269^2))-(0.0001*AC269)+0.1409)/10000))</f>
        <v>5.5249335644759381E-6</v>
      </c>
      <c r="AE269" s="8">
        <f t="shared" ref="AE269:AE332" si="505">IF(AC269&lt;650,(53.495-(0.029*AC269)),IF(AC269&lt;700,((0.00000000000000006*(AC269^2))-(0.2008*AC269) + 164.43),IF(AC269&lt;1250,((0.0115*AC269)+ 15.889))))</f>
        <v>27.532367995736642</v>
      </c>
      <c r="AF269" s="7">
        <f t="shared" ref="AF269:AF332" si="506">(AD269*$M$8)/($D$6^2)</f>
        <v>1.3827215573029952E-2</v>
      </c>
      <c r="AG269" s="9">
        <f t="shared" ref="AG269:AG332" si="507">($C$263*$D$6)/AE269</f>
        <v>0.43100473128774924</v>
      </c>
      <c r="AH269" s="4">
        <f t="shared" ref="AH269:AH332" si="508">AH268+(AF269*(AC268+AM268-(2*AH268))+((AF269/(2*AH$18))*(AM268-AC268)))</f>
        <v>1009.1668146742221</v>
      </c>
      <c r="AI269" s="6">
        <f t="shared" ref="AI269:AI332" si="509">IF(AH269&gt;=650,((0.00002*AH269)+0.035)/10000,IF(AH269&lt;650,((-0.0000000000003*(AH269^4))+(0.0000000004*(AH269^3))-(0.0000002*(AH269^2))-(0.0001*AH269)+0.1409)/10000))</f>
        <v>5.5183336293484449E-6</v>
      </c>
      <c r="AJ269" s="8">
        <f t="shared" ref="AJ269:AJ332" si="510">IF(AH269&lt;650,(53.495-(0.029*AH269)),IF(AH269&lt;700,((0.00000000000000006*(AH269^2))-(0.2008*AH269) + 164.43),IF(AH269&lt;1250,((0.0115*AH269)+ 15.889))))</f>
        <v>27.494418368753553</v>
      </c>
      <c r="AK269" s="7">
        <f t="shared" ref="AK269:AK332" si="511">(AI269*$M$8)/($D$6^2)</f>
        <v>1.3810697957983387E-2</v>
      </c>
      <c r="AL269" s="9">
        <f t="shared" ref="AL269:AL332" si="512">($C$263*$D$6)/AJ269</f>
        <v>0.43159963271686641</v>
      </c>
      <c r="AM269" s="4">
        <f t="shared" ref="AM269:AM332" si="513">AM268+(AK269*(AH268+AR268-(2*AM268))+((AK269/(2*AM$18))*(AR268-AH268)))</f>
        <v>1005.2668543176715</v>
      </c>
      <c r="AN269" s="6">
        <f t="shared" ref="AN269:AN332" si="514">IF(AM269&gt;=650,((0.00002*AM269)+0.035)/10000,IF(AM269&lt;650,((-0.0000000000003*(AM269^4))+(0.0000000004*(AM269^3))-(0.0000002*(AM269^2))-(0.0001*AM269)+0.1409)/10000))</f>
        <v>5.5105337086353432E-6</v>
      </c>
      <c r="AO269" s="8">
        <f t="shared" ref="AO269:AO332" si="515">IF(AM269&lt;650,(53.495-(0.029*AM269)),IF(AM269&lt;700,((0.00000000000000006*(AM269^2))-(0.2008*AM269) + 164.43),IF(AM269&lt;1250,((0.0115*AM269)+ 15.889))))</f>
        <v>27.44956882465322</v>
      </c>
      <c r="AP269" s="7">
        <f t="shared" ref="AP269:AP332" si="516">(AN269*$M$8)/($D$6^2)</f>
        <v>1.3791177146756614E-2</v>
      </c>
      <c r="AQ269" s="9">
        <f t="shared" ref="AQ269:AQ332" si="517">($C$263*$D$6)/AO269</f>
        <v>0.43230481853908731</v>
      </c>
      <c r="AR269" s="4">
        <f t="shared" ref="AR269:AR332" si="518">AR268+(AP269*(AM268+AW268-(2*AR268))+((AP269/(2*AR$18))*(AW268-AM268)))</f>
        <v>1000.7669011684944</v>
      </c>
      <c r="AS269" s="6">
        <f t="shared" ref="AS269:AS332" si="519">IF(AR269&gt;=650,((0.00002*AR269)+0.035)/10000,IF(AR269&lt;650,((-0.0000000000003*(AR269^4))+(0.0000000004*(AR269^3))-(0.0000002*(AR269^2))-(0.0001*AR269)+0.1409)/10000))</f>
        <v>5.5015338023369897E-6</v>
      </c>
      <c r="AT269" s="8">
        <f t="shared" ref="AT269:AT332" si="520">IF(AR269&lt;650,(53.495-(0.029*AR269)),IF(AR269&lt;700,((0.00000000000000006*(AR269^2))-(0.2008*AR269) + 164.43),IF(AR269&lt;1250,((0.0115*AR269)+ 15.889))))</f>
        <v>27.397819363437684</v>
      </c>
      <c r="AU269" s="7">
        <f t="shared" ref="AU269:AU332" si="521">(AS269*$M$8)/($D$6^2)</f>
        <v>1.3768653139350525E-2</v>
      </c>
      <c r="AV269" s="9">
        <f t="shared" ref="AV269:AV332" si="522">($C$263*$D$6)/AT269</f>
        <v>0.43312136313862332</v>
      </c>
      <c r="AW269" s="4">
        <f t="shared" ref="AW269:AW332" si="523">AW268+(AU269*(AR268+BB268-(2*AW268))+((AU269/(2*AW$18))*(BB268-AR268)))</f>
        <v>995.66695522678992</v>
      </c>
      <c r="AX269" s="6">
        <f t="shared" ref="AX269:AX332" si="524">IF(AW269&gt;=650,((0.00002*AW269)+0.035)/10000,IF(AW269&lt;650,((-0.0000000000003*(AW269^4))+(0.0000000004*(AW269^3))-(0.0000002*(AW269^2))-(0.0001*AW269)+0.1409)/10000))</f>
        <v>5.49133391045358E-6</v>
      </c>
      <c r="AY269" s="8">
        <f t="shared" ref="AY269:AY332" si="525">IF(AW269&lt;650,(53.495-(0.029*AW269)),IF(AW269&lt;700,((0.00000000000000006*(AW269^2))-(0.2008*AW269) + 164.43),IF(AW269&lt;1250,((0.0115*AW269)+ 15.889))))</f>
        <v>27.339169985108086</v>
      </c>
      <c r="AZ269" s="7">
        <f t="shared" ref="AZ269:AZ332" si="526">(AX269*$M$8)/($D$6^2)</f>
        <v>1.3743125935765611E-2</v>
      </c>
      <c r="BA269" s="9">
        <f t="shared" ref="BA269:BA332" si="527">($C$263*$D$6)/AY269</f>
        <v>0.4340505171218344</v>
      </c>
      <c r="BB269" s="4">
        <f t="shared" ref="BB269:BB332" si="528">BB268+(AZ269*(AW268+BG268-(2*BB268))+((AZ269/(2*BB$18))*(BG268-AW268)))</f>
        <v>989.9670164926174</v>
      </c>
      <c r="BC269" s="6">
        <f t="shared" ref="BC269:BC332" si="529">IF(BB269&gt;=650,((0.00002*BB269)+0.035)/10000,IF(BB269&lt;650,((-0.0000000000003*(BB269^4))+(0.0000000004*(BB269^3))-(0.0000002*(BB269^2))-(0.0001*BB269)+0.1409)/10000))</f>
        <v>5.4799340329852353E-6</v>
      </c>
      <c r="BD269" s="8">
        <f t="shared" ref="BD269:BD332" si="530">IF(BB269&lt;650,(53.495-(0.029*BB269)),IF(BB269&lt;700,((0.00000000000000006*(BB269^2))-(0.2008*BB269) + 164.43),IF(BB269&lt;1250,((0.0115*BB269)+ 15.889))))</f>
        <v>27.273620689665101</v>
      </c>
      <c r="BE269" s="7">
        <f t="shared" ref="BE269:BE332" si="531">(BC269*$M$8)/($D$6^2)</f>
        <v>1.3714595536002173E-2</v>
      </c>
      <c r="BF269" s="9">
        <f t="shared" ref="BF269:BF332" si="532">($C$263*$D$6)/BD269</f>
        <v>0.43509371215295034</v>
      </c>
      <c r="BG269" s="4">
        <f t="shared" ref="BG269:BG332" si="533">BG268+(BE269*(BB268+BL268-(2*BG268))+((BE269/(2*BG$18))*(BL268-BB268)))</f>
        <v>983.66708496601473</v>
      </c>
      <c r="BH269" s="6">
        <f t="shared" ref="BH269:BH332" si="534">IF(BG269&gt;=650,((0.00002*BG269)+0.035)/10000,IF(BG269&lt;650,((-0.0000000000003*(BG269^4))+(0.0000000004*(BG269^3))-(0.0000002*(BG269^2))-(0.0001*BG269)+0.1409)/10000))</f>
        <v>5.4673341699320292E-6</v>
      </c>
      <c r="BI269" s="8">
        <f t="shared" ref="BI269:BI332" si="535">IF(BG269&lt;650,(53.495-(0.029*BG269)),IF(BG269&lt;700,((0.00000000000000006*(BG269^2))-(0.2008*BG269) + 164.43),IF(BG269&lt;1250,((0.0115*BG269)+ 15.889))))</f>
        <v>27.20117147710917</v>
      </c>
      <c r="BJ269" s="7">
        <f t="shared" ref="BJ269:BJ332" si="536">(BH269*$M$8)/($D$6^2)</f>
        <v>1.3683061940060397E-2</v>
      </c>
      <c r="BK269" s="9">
        <f t="shared" ref="BK269:BK332" si="537">($C$263*$D$6)/BI269</f>
        <v>0.43625256653758759</v>
      </c>
      <c r="BL269" s="4">
        <f t="shared" ref="BL269:BL332" si="538">BL268+(BJ269*(BG268+BQ268-(2*BL268))+((BJ269/(2*BL$18))*(BQ268-BG268)))</f>
        <v>976.76716064700724</v>
      </c>
      <c r="BM269" s="6">
        <f t="shared" ref="BM269:BM332" si="539">IF(BL269&gt;=650,((0.00002*BL269)+0.035)/10000,IF(BL269&lt;650,((-0.0000000000003*(BL269^4))+(0.0000000004*(BL269^3))-(0.0000002*(BL269^2))-(0.0001*BL269)+0.1409)/10000))</f>
        <v>5.4535343212940151E-6</v>
      </c>
      <c r="BN269" s="8">
        <f t="shared" ref="BN269:BN332" si="540">IF(BL269&lt;650,(53.495-(0.029*BL269)),IF(BL269&lt;700,((0.00000000000000006*(BL269^2))-(0.2008*BL269) + 164.43),IF(BL269&lt;1250,((0.0115*BL269)+ 15.889))))</f>
        <v>27.121822347440585</v>
      </c>
      <c r="BO269" s="7">
        <f t="shared" ref="BO269:BO332" si="541">(BM269*$M$8)/($D$6^2)</f>
        <v>1.3648525147940418E-2</v>
      </c>
      <c r="BP269" s="9">
        <f t="shared" ref="BP269:BP332" si="542">($C$263*$D$6)/BN269</f>
        <v>0.43752889159521086</v>
      </c>
      <c r="BQ269" s="4">
        <f t="shared" ref="BQ269:BQ332" si="543">BQ268+(BO269*(BL268+BV268-(2*BQ268))+((BO269/(2*BQ$18))*(BV268-BL268)))</f>
        <v>969.26724353561235</v>
      </c>
      <c r="BR269" s="6">
        <f t="shared" ref="BR269:BR332" si="544">IF(BQ269&gt;=650,((0.00002*BQ269)+0.035)/10000,IF(BQ269&lt;650,((-0.0000000000003*(BQ269^4))+(0.0000000004*(BQ269^3))-(0.0000002*(BQ269^2))-(0.0001*BQ269)+0.1409)/10000))</f>
        <v>5.4385344870712253E-6</v>
      </c>
      <c r="BS269" s="8">
        <f t="shared" ref="BS269:BS332" si="545">IF(BQ269&lt;650,(53.495-(0.029*BQ269)),IF(BQ269&lt;700,((0.00000000000000006*(BQ269^2))-(0.2008*BQ269) + 164.43),IF(BQ269&lt;1250,((0.0115*BQ269)+ 15.889))))</f>
        <v>27.035573300659543</v>
      </c>
      <c r="BT269" s="7">
        <f t="shared" ref="BT269:BT332" si="546">(BR269*$M$8)/($D$6^2)</f>
        <v>1.3610985159642312E-2</v>
      </c>
      <c r="BU269" s="9">
        <f t="shared" ref="BU269:BU332" si="547">($C$263*$D$6)/BS269</f>
        <v>0.43892469886808017</v>
      </c>
      <c r="BV269" s="4">
        <f t="shared" ref="BV269:BV332" si="548">BV268+(BT269*(BQ268+CA268-(2*BV268))+((BT269/(2*BV$18))*(CA268-BQ268)))</f>
        <v>961.16733363184255</v>
      </c>
      <c r="BW269" s="6">
        <f t="shared" ref="BW269:BW332" si="549">IF(BV269&gt;=650,((0.00002*BV269)+0.035)/10000,IF(BV269&lt;650,((-0.0000000000003*(BV269^4))+(0.0000000004*(BV269^3))-(0.0000002*(BV269^2))-(0.0001*BV269)+0.1409)/10000))</f>
        <v>5.4223346672636858E-6</v>
      </c>
      <c r="BX269" s="8">
        <f t="shared" ref="BX269:BX332" si="550">IF(BV269&lt;650,(53.495-(0.029*BV269)),IF(BV269&lt;700,((0.00000000000000006*(BV269^2))-(0.2008*BV269) + 164.43),IF(BV269&lt;1250,((0.0115*BV269)+ 15.889))))</f>
        <v>26.942424336766187</v>
      </c>
      <c r="BY269" s="7">
        <f t="shared" ref="BY269:BY332" si="551">(BW269*$M$8)/($D$6^2)</f>
        <v>1.357044197516615E-2</v>
      </c>
      <c r="BZ269" s="9">
        <f t="shared" ref="BZ269:BZ332" si="552">($C$263*$D$6)/BX269</f>
        <v>0.44044220822119995</v>
      </c>
      <c r="CA269" s="4">
        <f t="shared" ref="CA269:CA332" si="553">CA268+(BY269*(BV268+CF268-(2*CA268))+((BY269/(2*CA$18))*(CF268-BV268)))</f>
        <v>952.46743093570694</v>
      </c>
      <c r="CB269" s="6">
        <f t="shared" ref="CB269:CB332" si="554">IF(CA269&gt;=650,((0.00002*CA269)+0.035)/10000,IF(CA269&lt;650,((-0.0000000000003*(CA269^4))+(0.0000000004*(CA269^3))-(0.0000002*(CA269^2))-(0.0001*CA269)+0.1409)/10000))</f>
        <v>5.4049348618714146E-6</v>
      </c>
      <c r="CC269" s="8">
        <f t="shared" ref="CC269:CC332" si="555">IF(CA269&lt;650,(53.495-(0.029*CA269)),IF(CA269&lt;700,((0.00000000000000006*(CA269^2))-(0.2008*CA269) + 164.43),IF(CA269&lt;1250,((0.0115*CA269)+ 15.889))))</f>
        <v>26.842375455760632</v>
      </c>
      <c r="CD269" s="7">
        <f t="shared" ref="CD269:CD332" si="556">(CB269*$M$8)/($D$6^2)</f>
        <v>1.3526895594511975E-2</v>
      </c>
      <c r="CE269" s="9">
        <f t="shared" ref="CE269:CE332" si="557">($C$263*$D$6)/CC269</f>
        <v>0.4420838568954305</v>
      </c>
      <c r="CF269" s="4">
        <f t="shared" ref="CF269:CF332" si="558">CF268+(CD269*(CA268+CK268-(2*CF268))+((CD269/(2*CF$18))*(CK268-CA268)))</f>
        <v>943.16753544721246</v>
      </c>
      <c r="CG269" s="6">
        <f t="shared" ref="CG269:CG332" si="559">IF(CF269&gt;=650,((0.00002*CF269)+0.035)/10000,IF(CF269&lt;650,((-0.0000000000003*(CF269^4))+(0.0000000004*(CF269^3))-(0.0000002*(CF269^2))-(0.0001*CF269)+0.1409)/10000))</f>
        <v>5.3863350708944252E-6</v>
      </c>
      <c r="CH269" s="8">
        <f t="shared" ref="CH269:CH332" si="560">IF(CF269&lt;650,(53.495-(0.029*CF269)),IF(CF269&lt;700,((0.00000000000000006*(CF269^2))-(0.2008*CF269) + 164.43),IF(CF269&lt;1250,((0.0115*CF269)+ 15.889))))</f>
        <v>26.735426657642943</v>
      </c>
      <c r="CI269" s="7">
        <f t="shared" ref="CI269:CI332" si="561">(CG269*$M$8)/($D$6^2)</f>
        <v>1.348034601767982E-2</v>
      </c>
      <c r="CJ269" s="9">
        <f t="shared" ref="CJ269:CJ332" si="562">($C$263*$D$6)/CH269</f>
        <v>0.44385230958435296</v>
      </c>
      <c r="CK269" s="4">
        <f t="shared" ref="CK269:CK332" si="563">CK268+(CI269*(CF268+CP268-(2*CK268))+((CI269/(2*CK$18))*(CP268-CF268)))</f>
        <v>933.26764716636433</v>
      </c>
      <c r="CL269" s="6">
        <f t="shared" ref="CL269:CL332" si="564">IF(CK269&gt;=650,((0.00002*CK269)+0.035)/10000,IF(CK269&lt;650,((-0.0000000000003*(CK269^4))+(0.0000000004*(CK269^3))-(0.0000002*(CK269^2))-(0.0001*CK269)+0.1409)/10000))</f>
        <v>5.3665352943327295E-6</v>
      </c>
      <c r="CM269" s="8">
        <f t="shared" ref="CM269:CM332" si="565">IF(CK269&lt;650,(53.495-(0.029*CK269)),IF(CK269&lt;700,((0.00000000000000006*(CK269^2))-(0.2008*CK269) + 164.43),IF(CK269&lt;1250,((0.0115*CK269)+ 15.889))))</f>
        <v>26.62157794241319</v>
      </c>
      <c r="CN269" s="7">
        <f t="shared" ref="CN269:CN332" si="566">(CL269*$M$8)/($D$6^2)</f>
        <v>1.3430793244669713E-2</v>
      </c>
      <c r="CO269" s="9">
        <f t="shared" ref="CO269:CO332" si="567">($C$263*$D$6)/CM269</f>
        <v>0.44575046961480819</v>
      </c>
      <c r="CP269" s="4">
        <f t="shared" ref="CP269:CP332" si="568">CP268+(CN269*(CK268+CU268-(2*CP268))+((CN269/(2*CP$18))*(CU268-CK268)))</f>
        <v>922.76776609316664</v>
      </c>
      <c r="CQ269" s="6">
        <f t="shared" ref="CQ269:CQ332" si="569">IF(CP269&gt;=650,((0.00002*CP269)+0.035)/10000,IF(CP269&lt;650,((-0.0000000000003*(CP269^4))+(0.0000000004*(CP269^3))-(0.0000002*(CP269^2))-(0.0001*CP269)+0.1409)/10000))</f>
        <v>5.3455355321863342E-6</v>
      </c>
      <c r="CR269" s="8">
        <f t="shared" ref="CR269:CR332" si="570">IF(CP269&lt;650,(53.495-(0.029*CP269)),IF(CP269&lt;700,((0.00000000000000006*(CP269^2))-(0.2008*CP269) + 164.43),IF(CP269&lt;1250,((0.0115*CP269)+ 15.889))))</f>
        <v>26.500829310071417</v>
      </c>
      <c r="CS269" s="7">
        <f t="shared" ref="CS269:CS332" si="571">(CQ269*$M$8)/($D$6^2)</f>
        <v>1.3378237275481673E-2</v>
      </c>
      <c r="CT269" s="9">
        <f t="shared" ref="CT269:CT332" si="572">($C$263*$D$6)/CR269</f>
        <v>0.44778149132140949</v>
      </c>
      <c r="CU269" s="4">
        <f t="shared" ref="CU269:CU332" si="573">CU268+(CS269*(CP268+CZ268-(2*CU268))+((CS269/(2*CU$18))*(CZ268-CP268)))</f>
        <v>911.52810234485435</v>
      </c>
      <c r="CV269" s="6">
        <f t="shared" ref="CV269:CV332" si="574">IF(CU269&gt;=650,((0.00002*CU269)+0.035)/10000,IF(CU269&lt;650,((-0.0000000000003*(CU269^4))+(0.0000000004*(CU269^3))-(0.0000002*(CU269^2))-(0.0001*CU269)+0.1409)/10000))</f>
        <v>5.3230562046897091E-6</v>
      </c>
      <c r="CW269" s="8">
        <f t="shared" ref="CW269:CW332" si="575">IF(CU269&lt;650,(53.495-(0.029*CU269)),IF(CU269&lt;700,((0.00000000000000006*(CU269^2))-(0.2008*CU269) + 164.43),IF(CU269&lt;1250,((0.0115*CU269)+ 15.889))))</f>
        <v>26.371573176965825</v>
      </c>
      <c r="CX269" s="7">
        <f t="shared" ref="CX269:CX332" si="576">(CV269*$M$8)/($D$6^2)</f>
        <v>1.3321978407640961E-2</v>
      </c>
      <c r="CY269" s="9">
        <f t="shared" ref="CY269:CY332" si="577">($C$263*$D$6)/CW269</f>
        <v>0.4499762221270413</v>
      </c>
      <c r="CZ269" s="5">
        <f t="shared" ref="CZ269:CZ332" si="578">CZ268+((2*$CX269)*(CU268-CZ268))+((2*$CX269*$CY269)*($C$14-CZ268))+((($CX269*$CY269)/$C$5)*($C$14-CZ268))+(((CZ268-$C$14)*$CX269*($D$6^2))/($CW269*($D$4/(2*$C$8))))</f>
        <v>879.99938874548661</v>
      </c>
      <c r="DA269" s="6">
        <f t="shared" ref="DA269:DA332" si="579">IF(CZ269&gt;=650,((0.00002*CZ269)+0.035)/10000,IF(CZ269&lt;650,((-0.0000000000003*(CZ269^4))+(0.0000000004*(CZ269^3))-(0.0000002*(CZ269^2))-(0.0001*CZ269)+0.1409)/10000))</f>
        <v>5.2599987774909731E-6</v>
      </c>
      <c r="DB269" s="8">
        <f t="shared" ref="DB269:DB332" si="580">IF(CZ269&lt;650,(53.495-(0.029*CZ269)),IF(CZ269&lt;700,((0.00000000000000006*(CZ269^2))-(0.2008*CZ269) + 164.43),IF(CZ269&lt;1250,((0.0115*CZ269)+ 15.889))))</f>
        <v>26.008992970573097</v>
      </c>
      <c r="DC269" s="7">
        <f t="shared" ref="DC269:DC332" si="581">(DA269*$M$8)/($D$6^2)</f>
        <v>1.3164164991573166E-2</v>
      </c>
      <c r="DD269" s="9">
        <f t="shared" ref="DD269:DD332" si="582">($C$263*$D$6)/DB269</f>
        <v>0.4562491474830993</v>
      </c>
    </row>
    <row r="270" spans="2:108" x14ac:dyDescent="0.25">
      <c r="B270">
        <v>3</v>
      </c>
      <c r="C270">
        <f t="shared" si="490"/>
        <v>2.9328439990357544E-3</v>
      </c>
      <c r="D270" s="4">
        <f t="shared" si="491"/>
        <v>1019.9538520836545</v>
      </c>
      <c r="E270" s="6">
        <f t="shared" si="429"/>
        <v>5.5399077041673094E-6</v>
      </c>
      <c r="F270" s="8">
        <f t="shared" si="492"/>
        <v>27.618469298962026</v>
      </c>
      <c r="G270" s="7">
        <f t="shared" si="426"/>
        <v>1.386469125579011E-2</v>
      </c>
      <c r="H270" s="9">
        <f t="shared" si="493"/>
        <v>0.42966106272094795</v>
      </c>
      <c r="I270" s="4">
        <f t="shared" si="494"/>
        <v>1019.6501137019989</v>
      </c>
      <c r="J270" s="6">
        <f t="shared" si="431"/>
        <v>5.539300227403998E-6</v>
      </c>
      <c r="K270" s="8">
        <f t="shared" si="495"/>
        <v>27.614976307572988</v>
      </c>
      <c r="L270" s="7">
        <f t="shared" si="433"/>
        <v>1.3863170927615321E-2</v>
      </c>
      <c r="M270" s="9">
        <f t="shared" si="496"/>
        <v>0.42971541012923731</v>
      </c>
      <c r="N270" s="4">
        <f t="shared" si="497"/>
        <v>1018.750092236309</v>
      </c>
      <c r="O270" s="6">
        <f t="shared" si="434"/>
        <v>5.5375001844726187E-6</v>
      </c>
      <c r="P270" s="8">
        <f t="shared" si="435"/>
        <v>27.604626060717553</v>
      </c>
      <c r="Q270" s="7">
        <f t="shared" si="427"/>
        <v>1.386469125579011E-2</v>
      </c>
      <c r="R270" s="9">
        <f t="shared" si="498"/>
        <v>0.42987653024593947</v>
      </c>
      <c r="S270" s="4">
        <f t="shared" si="499"/>
        <v>1017.2500876753708</v>
      </c>
      <c r="T270" s="6">
        <f t="shared" si="436"/>
        <v>5.5345001753507424E-6</v>
      </c>
      <c r="U270" s="8">
        <f t="shared" si="437"/>
        <v>27.587376008266762</v>
      </c>
      <c r="V270" s="7">
        <f t="shared" si="438"/>
        <v>1.3851157868321924E-2</v>
      </c>
      <c r="W270" s="9">
        <f t="shared" si="500"/>
        <v>0.43014532683942064</v>
      </c>
      <c r="X270" s="4">
        <f t="shared" si="501"/>
        <v>1015.1501355363322</v>
      </c>
      <c r="Y270" s="6">
        <f t="shared" si="439"/>
        <v>5.5303002710726645E-6</v>
      </c>
      <c r="Z270" s="8">
        <f t="shared" si="440"/>
        <v>27.563226558667822</v>
      </c>
      <c r="AA270" s="7">
        <f t="shared" si="441"/>
        <v>1.3840646794992017E-2</v>
      </c>
      <c r="AB270" s="9">
        <f t="shared" si="502"/>
        <v>0.43052219755405263</v>
      </c>
      <c r="AC270" s="4">
        <f t="shared" si="503"/>
        <v>1012.4501736402873</v>
      </c>
      <c r="AD270" s="6">
        <f t="shared" si="504"/>
        <v>5.5249003472805753E-6</v>
      </c>
      <c r="AE270" s="8">
        <f t="shared" si="505"/>
        <v>27.532176996863303</v>
      </c>
      <c r="AF270" s="7">
        <f t="shared" si="506"/>
        <v>1.3827132440569507E-2</v>
      </c>
      <c r="AG270" s="9">
        <f t="shared" si="507"/>
        <v>0.43100772129533527</v>
      </c>
      <c r="AH270" s="4">
        <f t="shared" si="508"/>
        <v>1009.1502222980029</v>
      </c>
      <c r="AI270" s="6">
        <f t="shared" si="509"/>
        <v>5.5183004445960059E-6</v>
      </c>
      <c r="AJ270" s="8">
        <f t="shared" si="510"/>
        <v>27.494227556427035</v>
      </c>
      <c r="AK270" s="7">
        <f t="shared" si="511"/>
        <v>1.3810614906717636E-2</v>
      </c>
      <c r="AL270" s="9">
        <f t="shared" si="512"/>
        <v>0.43160262805579253</v>
      </c>
      <c r="AM270" s="4">
        <f t="shared" si="513"/>
        <v>1005.2502817646459</v>
      </c>
      <c r="AN270" s="6">
        <f t="shared" si="514"/>
        <v>5.5105005635292927E-6</v>
      </c>
      <c r="AO270" s="8">
        <f t="shared" si="515"/>
        <v>27.449378240293427</v>
      </c>
      <c r="AP270" s="7">
        <f t="shared" si="516"/>
        <v>1.3791094194713624E-2</v>
      </c>
      <c r="AQ270" s="9">
        <f t="shared" si="517"/>
        <v>0.43230782008383473</v>
      </c>
      <c r="AR270" s="4">
        <f t="shared" si="518"/>
        <v>1000.7503520418377</v>
      </c>
      <c r="AS270" s="6">
        <f t="shared" si="519"/>
        <v>5.5015007040836756E-6</v>
      </c>
      <c r="AT270" s="8">
        <f t="shared" si="520"/>
        <v>27.397629048481132</v>
      </c>
      <c r="AU270" s="7">
        <f t="shared" si="521"/>
        <v>1.3768570304565575E-2</v>
      </c>
      <c r="AV270" s="9">
        <f t="shared" si="522"/>
        <v>0.43312437177390561</v>
      </c>
      <c r="AW270" s="4">
        <f t="shared" si="523"/>
        <v>995.65043312987564</v>
      </c>
      <c r="AX270" s="6">
        <f t="shared" si="524"/>
        <v>5.4913008662597518E-6</v>
      </c>
      <c r="AY270" s="8">
        <f t="shared" si="525"/>
        <v>27.338979980993571</v>
      </c>
      <c r="AZ270" s="7">
        <f t="shared" si="526"/>
        <v>1.3743043236274989E-2</v>
      </c>
      <c r="BA270" s="9">
        <f t="shared" si="527"/>
        <v>0.43405353374440842</v>
      </c>
      <c r="BB270" s="4">
        <f t="shared" si="528"/>
        <v>989.95052502893839</v>
      </c>
      <c r="BC270" s="6">
        <f t="shared" si="529"/>
        <v>5.479901050057877E-6</v>
      </c>
      <c r="BD270" s="8">
        <f t="shared" si="530"/>
        <v>27.27343103783279</v>
      </c>
      <c r="BE270" s="7">
        <f t="shared" si="531"/>
        <v>1.3714512989842749E-2</v>
      </c>
      <c r="BF270" s="9">
        <f t="shared" si="532"/>
        <v>0.43509673767326801</v>
      </c>
      <c r="BG270" s="4">
        <f t="shared" si="533"/>
        <v>983.65062773913951</v>
      </c>
      <c r="BH270" s="6">
        <f t="shared" si="534"/>
        <v>5.4673012554782798E-6</v>
      </c>
      <c r="BI270" s="8">
        <f t="shared" si="535"/>
        <v>27.200982219000103</v>
      </c>
      <c r="BJ270" s="7">
        <f t="shared" si="536"/>
        <v>1.3682979565269435E-2</v>
      </c>
      <c r="BK270" s="9">
        <f t="shared" si="537"/>
        <v>0.43625560188150109</v>
      </c>
      <c r="BL270" s="4">
        <f t="shared" si="538"/>
        <v>976.75074126055495</v>
      </c>
      <c r="BM270" s="6">
        <f t="shared" si="539"/>
        <v>5.4535014825211104E-6</v>
      </c>
      <c r="BN270" s="8">
        <f t="shared" si="540"/>
        <v>27.121633524496382</v>
      </c>
      <c r="BO270" s="7">
        <f t="shared" si="541"/>
        <v>1.3648442962555416E-2</v>
      </c>
      <c r="BP270" s="9">
        <f t="shared" si="542"/>
        <v>0.43753193770574139</v>
      </c>
      <c r="BQ270" s="4">
        <f t="shared" si="543"/>
        <v>969.25086559323677</v>
      </c>
      <c r="BR270" s="6">
        <f t="shared" si="544"/>
        <v>5.4385017311864736E-6</v>
      </c>
      <c r="BS270" s="8">
        <f t="shared" si="545"/>
        <v>27.035384954322222</v>
      </c>
      <c r="BT270" s="7">
        <f t="shared" si="546"/>
        <v>1.3610903181700959E-2</v>
      </c>
      <c r="BU270" s="9">
        <f t="shared" si="547"/>
        <v>0.43892775670726136</v>
      </c>
      <c r="BV270" s="4">
        <f t="shared" si="548"/>
        <v>961.15100073722283</v>
      </c>
      <c r="BW270" s="6">
        <f t="shared" si="549"/>
        <v>5.4223020014744466E-6</v>
      </c>
      <c r="BX270" s="8">
        <f t="shared" si="550"/>
        <v>26.942236508478061</v>
      </c>
      <c r="BY270" s="7">
        <f t="shared" si="551"/>
        <v>1.3570360222706255E-2</v>
      </c>
      <c r="BZ270" s="9">
        <f t="shared" si="552"/>
        <v>0.44044527877200457</v>
      </c>
      <c r="CA270" s="4">
        <f t="shared" si="553"/>
        <v>952.45114669254019</v>
      </c>
      <c r="CB270" s="6">
        <f t="shared" si="554"/>
        <v>5.4049022933850801E-6</v>
      </c>
      <c r="CC270" s="8">
        <f t="shared" si="555"/>
        <v>26.842188186964211</v>
      </c>
      <c r="CD270" s="7">
        <f t="shared" si="556"/>
        <v>1.352681408557143E-2</v>
      </c>
      <c r="CE270" s="9">
        <f t="shared" si="557"/>
        <v>0.44208694116379271</v>
      </c>
      <c r="CF270" s="4">
        <f t="shared" si="558"/>
        <v>943.15130345920977</v>
      </c>
      <c r="CG270" s="6">
        <f t="shared" si="559"/>
        <v>5.38630260691842E-6</v>
      </c>
      <c r="CH270" s="8">
        <f t="shared" si="560"/>
        <v>26.735239989780911</v>
      </c>
      <c r="CI270" s="7">
        <f t="shared" si="561"/>
        <v>1.34802647702966E-2</v>
      </c>
      <c r="CJ270" s="9">
        <f t="shared" si="562"/>
        <v>0.44385540860129535</v>
      </c>
      <c r="CK270" s="4">
        <f t="shared" si="563"/>
        <v>933.25147103724714</v>
      </c>
      <c r="CL270" s="6">
        <f t="shared" si="564"/>
        <v>5.3665029420744949E-6</v>
      </c>
      <c r="CM270" s="8">
        <f t="shared" si="565"/>
        <v>26.621391916928342</v>
      </c>
      <c r="CN270" s="7">
        <f t="shared" si="566"/>
        <v>1.3430712276881838E-2</v>
      </c>
      <c r="CO270" s="9">
        <f t="shared" si="567"/>
        <v>0.44575358443868707</v>
      </c>
      <c r="CP270" s="4">
        <f t="shared" si="568"/>
        <v>922.74971979681175</v>
      </c>
      <c r="CQ270" s="6">
        <f t="shared" si="569"/>
        <v>5.3454994395936245E-6</v>
      </c>
      <c r="CR270" s="8">
        <f t="shared" si="570"/>
        <v>26.500621777663333</v>
      </c>
      <c r="CS270" s="7">
        <f t="shared" si="571"/>
        <v>1.3378146946782847E-2</v>
      </c>
      <c r="CT270" s="9">
        <f t="shared" si="572"/>
        <v>0.44778499800030813</v>
      </c>
      <c r="CU270" s="4">
        <f t="shared" si="573"/>
        <v>911.24161556935655</v>
      </c>
      <c r="CV270" s="6">
        <f t="shared" si="574"/>
        <v>5.3224832311387136E-6</v>
      </c>
      <c r="CW270" s="8">
        <f t="shared" si="575"/>
        <v>26.368278579047598</v>
      </c>
      <c r="CX270" s="7">
        <f t="shared" si="576"/>
        <v>1.3320544430432945E-2</v>
      </c>
      <c r="CY270" s="9">
        <f t="shared" si="577"/>
        <v>0.45003244463395342</v>
      </c>
      <c r="CZ270" s="5">
        <f t="shared" si="578"/>
        <v>870.5704174502913</v>
      </c>
      <c r="DA270" s="6">
        <f t="shared" si="579"/>
        <v>5.2411408349005834E-6</v>
      </c>
      <c r="DB270" s="8">
        <f t="shared" si="580"/>
        <v>25.900559800678352</v>
      </c>
      <c r="DC270" s="7">
        <f t="shared" si="581"/>
        <v>1.3116969340364304E-2</v>
      </c>
      <c r="DD270" s="9">
        <f t="shared" si="582"/>
        <v>0.45815924292907001</v>
      </c>
    </row>
    <row r="271" spans="2:108" x14ac:dyDescent="0.25">
      <c r="B271">
        <v>4</v>
      </c>
      <c r="C271">
        <f t="shared" si="490"/>
        <v>3.9104586653810058E-3</v>
      </c>
      <c r="D271" s="4">
        <f t="shared" si="491"/>
        <v>1019.9383447362717</v>
      </c>
      <c r="E271" s="6">
        <f t="shared" si="429"/>
        <v>5.5398766894725433E-6</v>
      </c>
      <c r="F271" s="8">
        <f t="shared" si="492"/>
        <v>27.618290964467121</v>
      </c>
      <c r="G271" s="7">
        <f t="shared" si="426"/>
        <v>1.3864613635513693E-2</v>
      </c>
      <c r="H271" s="9">
        <f t="shared" si="493"/>
        <v>0.42966383709205946</v>
      </c>
      <c r="I271" s="4">
        <f t="shared" si="494"/>
        <v>1019.6335016348246</v>
      </c>
      <c r="J271" s="6">
        <f t="shared" si="431"/>
        <v>5.5392670032696499E-6</v>
      </c>
      <c r="K271" s="8">
        <f t="shared" si="495"/>
        <v>27.614785268800482</v>
      </c>
      <c r="L271" s="7">
        <f t="shared" si="433"/>
        <v>1.386308777778872E-2</v>
      </c>
      <c r="M271" s="9">
        <f t="shared" si="496"/>
        <v>0.42971838289558983</v>
      </c>
      <c r="N271" s="4">
        <f t="shared" si="497"/>
        <v>1018.7334566751254</v>
      </c>
      <c r="O271" s="6">
        <f t="shared" si="434"/>
        <v>5.537466913350252E-6</v>
      </c>
      <c r="P271" s="8">
        <f t="shared" si="435"/>
        <v>27.604434751763939</v>
      </c>
      <c r="Q271" s="7">
        <f t="shared" si="427"/>
        <v>1.3864613635513693E-2</v>
      </c>
      <c r="R271" s="9">
        <f t="shared" si="498"/>
        <v>0.42987950944945963</v>
      </c>
      <c r="S271" s="4">
        <f t="shared" si="499"/>
        <v>1017.2334509658739</v>
      </c>
      <c r="T271" s="6">
        <f t="shared" si="436"/>
        <v>5.5344669019317483E-6</v>
      </c>
      <c r="U271" s="8">
        <f t="shared" si="437"/>
        <v>27.587184686107548</v>
      </c>
      <c r="V271" s="7">
        <f t="shared" si="438"/>
        <v>1.3851074595150958E-2</v>
      </c>
      <c r="W271" s="9">
        <f t="shared" si="500"/>
        <v>0.43014830997574438</v>
      </c>
      <c r="X271" s="4">
        <f t="shared" si="501"/>
        <v>1015.1335142605113</v>
      </c>
      <c r="Y271" s="6">
        <f t="shared" si="439"/>
        <v>5.5302670285210231E-6</v>
      </c>
      <c r="Z271" s="8">
        <f t="shared" si="440"/>
        <v>27.563035413995877</v>
      </c>
      <c r="AA271" s="7">
        <f t="shared" si="441"/>
        <v>1.3840563599072575E-2</v>
      </c>
      <c r="AB271" s="9">
        <f t="shared" si="502"/>
        <v>0.43052518314772836</v>
      </c>
      <c r="AC271" s="4">
        <f t="shared" si="503"/>
        <v>1012.4335652301214</v>
      </c>
      <c r="AD271" s="6">
        <f t="shared" si="504"/>
        <v>5.5248671304602432E-6</v>
      </c>
      <c r="AE271" s="8">
        <f t="shared" si="505"/>
        <v>27.531986000146397</v>
      </c>
      <c r="AF271" s="7">
        <f t="shared" si="506"/>
        <v>1.3827049309047648E-2</v>
      </c>
      <c r="AG271" s="9">
        <f t="shared" si="507"/>
        <v>0.43101071131064789</v>
      </c>
      <c r="AH271" s="4">
        <f t="shared" si="508"/>
        <v>1009.1336301128744</v>
      </c>
      <c r="AI271" s="6">
        <f t="shared" si="509"/>
        <v>5.5182672602257499E-6</v>
      </c>
      <c r="AJ271" s="8">
        <f t="shared" si="510"/>
        <v>27.494036746298054</v>
      </c>
      <c r="AK271" s="7">
        <f t="shared" si="511"/>
        <v>1.3810531856408374E-2</v>
      </c>
      <c r="AL271" s="9">
        <f t="shared" si="512"/>
        <v>0.43160562340179748</v>
      </c>
      <c r="AM271" s="4">
        <f t="shared" si="513"/>
        <v>1005.2337094037056</v>
      </c>
      <c r="AN271" s="6">
        <f t="shared" si="514"/>
        <v>5.5104674188074115E-6</v>
      </c>
      <c r="AO271" s="8">
        <f t="shared" si="515"/>
        <v>27.449187658142613</v>
      </c>
      <c r="AP271" s="7">
        <f t="shared" si="516"/>
        <v>1.3791011243632093E-2</v>
      </c>
      <c r="AQ271" s="9">
        <f t="shared" si="517"/>
        <v>0.4323108216354723</v>
      </c>
      <c r="AR271" s="4">
        <f t="shared" si="518"/>
        <v>1000.7338031079053</v>
      </c>
      <c r="AS271" s="6">
        <f t="shared" si="519"/>
        <v>5.5014676062158106E-6</v>
      </c>
      <c r="AT271" s="8">
        <f t="shared" si="520"/>
        <v>27.397438735740909</v>
      </c>
      <c r="AU271" s="7">
        <f t="shared" si="521"/>
        <v>1.3768487470745289E-2</v>
      </c>
      <c r="AV271" s="9">
        <f t="shared" si="522"/>
        <v>0.43312738041594862</v>
      </c>
      <c r="AW271" s="4">
        <f t="shared" si="523"/>
        <v>995.63391122608277</v>
      </c>
      <c r="AX271" s="6">
        <f t="shared" si="524"/>
        <v>5.4912678224521655E-6</v>
      </c>
      <c r="AY271" s="8">
        <f t="shared" si="525"/>
        <v>27.33878997909995</v>
      </c>
      <c r="AZ271" s="7">
        <f t="shared" si="526"/>
        <v>1.3742960537751012E-2</v>
      </c>
      <c r="BA271" s="9">
        <f t="shared" si="527"/>
        <v>0.43405655037365232</v>
      </c>
      <c r="BB271" s="4">
        <f t="shared" si="528"/>
        <v>989.93403375859555</v>
      </c>
      <c r="BC271" s="6">
        <f t="shared" si="529"/>
        <v>5.4798680675171917E-6</v>
      </c>
      <c r="BD271" s="8">
        <f t="shared" si="530"/>
        <v>27.273241388223848</v>
      </c>
      <c r="BE271" s="7">
        <f t="shared" si="531"/>
        <v>1.371443044465105E-2</v>
      </c>
      <c r="BF271" s="9">
        <f t="shared" si="532"/>
        <v>0.43509976320019295</v>
      </c>
      <c r="BG271" s="4">
        <f t="shared" si="533"/>
        <v>983.63417070567073</v>
      </c>
      <c r="BH271" s="6">
        <f t="shared" si="534"/>
        <v>5.4672683414113425E-6</v>
      </c>
      <c r="BI271" s="8">
        <f t="shared" si="535"/>
        <v>27.200792963115212</v>
      </c>
      <c r="BJ271" s="7">
        <f t="shared" si="536"/>
        <v>1.3682897191446542E-2</v>
      </c>
      <c r="BK271" s="9">
        <f t="shared" si="537"/>
        <v>0.43625863723198088</v>
      </c>
      <c r="BL271" s="4">
        <f t="shared" si="538"/>
        <v>976.7343220674602</v>
      </c>
      <c r="BM271" s="6">
        <f t="shared" si="539"/>
        <v>5.4534686441349202E-6</v>
      </c>
      <c r="BN271" s="8">
        <f t="shared" si="540"/>
        <v>27.121444703775794</v>
      </c>
      <c r="BO271" s="7">
        <f t="shared" si="541"/>
        <v>1.3648360778138243E-2</v>
      </c>
      <c r="BP271" s="9">
        <f t="shared" si="542"/>
        <v>0.43753498382281447</v>
      </c>
      <c r="BQ271" s="4">
        <f t="shared" si="543"/>
        <v>969.23448784406844</v>
      </c>
      <c r="BR271" s="6">
        <f t="shared" si="544"/>
        <v>5.4384689756881375E-6</v>
      </c>
      <c r="BS271" s="8">
        <f t="shared" si="545"/>
        <v>27.035196610206786</v>
      </c>
      <c r="BT271" s="7">
        <f t="shared" si="546"/>
        <v>1.3610821204726682E-2</v>
      </c>
      <c r="BU271" s="9">
        <f t="shared" si="547"/>
        <v>0.43893081455297522</v>
      </c>
      <c r="BV271" s="4">
        <f t="shared" si="548"/>
        <v>961.13466803557083</v>
      </c>
      <c r="BW271" s="6">
        <f t="shared" si="549"/>
        <v>5.4222693360711418E-6</v>
      </c>
      <c r="BX271" s="8">
        <f t="shared" si="550"/>
        <v>26.942048682409066</v>
      </c>
      <c r="BY271" s="7">
        <f t="shared" si="551"/>
        <v>1.3570278471212231E-2</v>
      </c>
      <c r="BZ271" s="9">
        <f t="shared" si="552"/>
        <v>0.4404483493293439</v>
      </c>
      <c r="CA271" s="4">
        <f t="shared" si="553"/>
        <v>952.43486264202181</v>
      </c>
      <c r="CB271" s="6">
        <f t="shared" si="554"/>
        <v>5.4048697252840439E-6</v>
      </c>
      <c r="CC271" s="8">
        <f t="shared" si="555"/>
        <v>26.842000920383249</v>
      </c>
      <c r="CD271" s="7">
        <f t="shared" si="556"/>
        <v>1.3526732577595164E-2</v>
      </c>
      <c r="CE271" s="9">
        <f t="shared" si="557"/>
        <v>0.44209002543870218</v>
      </c>
      <c r="CF271" s="4">
        <f t="shared" si="558"/>
        <v>943.13507166346301</v>
      </c>
      <c r="CG271" s="6">
        <f t="shared" si="559"/>
        <v>5.386270143326927E-6</v>
      </c>
      <c r="CH271" s="8">
        <f t="shared" si="560"/>
        <v>26.735053324129822</v>
      </c>
      <c r="CI271" s="7">
        <f t="shared" si="561"/>
        <v>1.3480183523875696E-2</v>
      </c>
      <c r="CJ271" s="9">
        <f t="shared" si="562"/>
        <v>0.443858507624807</v>
      </c>
      <c r="CK271" s="4">
        <f t="shared" si="563"/>
        <v>933.23526832310927</v>
      </c>
      <c r="CL271" s="6">
        <f t="shared" si="564"/>
        <v>5.3664705366462184E-6</v>
      </c>
      <c r="CM271" s="8">
        <f t="shared" si="565"/>
        <v>26.621205585715757</v>
      </c>
      <c r="CN271" s="7">
        <f t="shared" si="566"/>
        <v>1.343063117602564E-2</v>
      </c>
      <c r="CO271" s="9">
        <f t="shared" si="567"/>
        <v>0.44575670442533211</v>
      </c>
      <c r="CP271" s="4">
        <f t="shared" si="568"/>
        <v>922.72799255625944</v>
      </c>
      <c r="CQ271" s="6">
        <f t="shared" si="569"/>
        <v>5.3454559851125196E-6</v>
      </c>
      <c r="CR271" s="8">
        <f t="shared" si="570"/>
        <v>26.500371914396982</v>
      </c>
      <c r="CS271" s="7">
        <f t="shared" si="571"/>
        <v>1.3378038193533448E-2</v>
      </c>
      <c r="CT271" s="9">
        <f t="shared" si="572"/>
        <v>0.44778922001736454</v>
      </c>
      <c r="CU271" s="4">
        <f t="shared" si="573"/>
        <v>910.83310067228285</v>
      </c>
      <c r="CV271" s="6">
        <f t="shared" si="574"/>
        <v>5.3216662013445661E-6</v>
      </c>
      <c r="CW271" s="8">
        <f t="shared" si="575"/>
        <v>26.363580657731251</v>
      </c>
      <c r="CX271" s="7">
        <f t="shared" si="576"/>
        <v>1.331849965524037E-2</v>
      </c>
      <c r="CY271" s="9">
        <f t="shared" si="577"/>
        <v>0.4501126392418916</v>
      </c>
      <c r="CZ271" s="5">
        <f t="shared" si="578"/>
        <v>861.49784130717148</v>
      </c>
      <c r="DA271" s="6">
        <f t="shared" si="579"/>
        <v>5.2229956826143437E-6</v>
      </c>
      <c r="DB271" s="8">
        <f t="shared" si="580"/>
        <v>25.796225175032472</v>
      </c>
      <c r="DC271" s="7">
        <f t="shared" si="581"/>
        <v>1.3071557584849179E-2</v>
      </c>
      <c r="DD271" s="9">
        <f t="shared" si="582"/>
        <v>0.46001229983072361</v>
      </c>
    </row>
    <row r="272" spans="2:108" x14ac:dyDescent="0.25">
      <c r="B272">
        <v>5</v>
      </c>
      <c r="C272">
        <f t="shared" si="490"/>
        <v>4.8880733317262573E-3</v>
      </c>
      <c r="D272" s="4">
        <f t="shared" si="491"/>
        <v>1019.9227809874769</v>
      </c>
      <c r="E272" s="6">
        <f t="shared" si="429"/>
        <v>5.5398455619749539E-6</v>
      </c>
      <c r="F272" s="8">
        <f t="shared" si="492"/>
        <v>27.618111981355984</v>
      </c>
      <c r="G272" s="7">
        <f t="shared" si="426"/>
        <v>1.3864535732926378E-2</v>
      </c>
      <c r="H272" s="9">
        <f t="shared" si="493"/>
        <v>0.42966662158979624</v>
      </c>
      <c r="I272" s="4">
        <f t="shared" si="494"/>
        <v>1019.6168968306035</v>
      </c>
      <c r="J272" s="6">
        <f t="shared" si="431"/>
        <v>5.5392337936612078E-6</v>
      </c>
      <c r="K272" s="8">
        <f t="shared" si="495"/>
        <v>27.61459431355194</v>
      </c>
      <c r="L272" s="7">
        <f t="shared" si="433"/>
        <v>1.3863004664316014E-2</v>
      </c>
      <c r="M272" s="9">
        <f t="shared" si="496"/>
        <v>0.4297213544033251</v>
      </c>
      <c r="N272" s="4">
        <f t="shared" si="497"/>
        <v>1018.7168214380513</v>
      </c>
      <c r="O272" s="6">
        <f t="shared" si="434"/>
        <v>5.5374336428761027E-6</v>
      </c>
      <c r="P272" s="8">
        <f t="shared" si="435"/>
        <v>27.604243446537588</v>
      </c>
      <c r="Q272" s="7">
        <f t="shared" si="427"/>
        <v>1.3864535732926378E-2</v>
      </c>
      <c r="R272" s="9">
        <f t="shared" si="498"/>
        <v>0.42988248863622919</v>
      </c>
      <c r="S272" s="4">
        <f t="shared" si="499"/>
        <v>1017.2168146127671</v>
      </c>
      <c r="T272" s="6">
        <f t="shared" si="436"/>
        <v>5.5344336292255342E-6</v>
      </c>
      <c r="U272" s="8">
        <f t="shared" si="437"/>
        <v>27.586993368046819</v>
      </c>
      <c r="V272" s="7">
        <f t="shared" si="438"/>
        <v>1.3850991323763863E-2</v>
      </c>
      <c r="W272" s="9">
        <f t="shared" si="500"/>
        <v>0.43015129308953981</v>
      </c>
      <c r="X272" s="4">
        <f t="shared" si="501"/>
        <v>1015.1168930980431</v>
      </c>
      <c r="Y272" s="6">
        <f t="shared" si="439"/>
        <v>5.5302337861960868E-6</v>
      </c>
      <c r="Z272" s="8">
        <f t="shared" si="440"/>
        <v>27.562844270627494</v>
      </c>
      <c r="AA272" s="7">
        <f t="shared" si="441"/>
        <v>1.3840480403720509E-2</v>
      </c>
      <c r="AB272" s="9">
        <f t="shared" si="502"/>
        <v>0.43052816876245203</v>
      </c>
      <c r="AC272" s="4">
        <f t="shared" si="503"/>
        <v>1012.4169570065468</v>
      </c>
      <c r="AD272" s="6">
        <f t="shared" si="504"/>
        <v>5.5248339140130943E-6</v>
      </c>
      <c r="AE272" s="8">
        <f t="shared" si="505"/>
        <v>27.531795005575287</v>
      </c>
      <c r="AF272" s="7">
        <f t="shared" si="506"/>
        <v>1.3826966178459752E-2</v>
      </c>
      <c r="AG272" s="9">
        <f t="shared" si="507"/>
        <v>0.43101370133385325</v>
      </c>
      <c r="AH272" s="4">
        <f t="shared" si="508"/>
        <v>1009.1170381188039</v>
      </c>
      <c r="AI272" s="6">
        <f t="shared" si="509"/>
        <v>5.5182340762376083E-6</v>
      </c>
      <c r="AJ272" s="8">
        <f t="shared" si="510"/>
        <v>27.493845938366242</v>
      </c>
      <c r="AK272" s="7">
        <f t="shared" si="511"/>
        <v>1.3810448807055427E-2</v>
      </c>
      <c r="AL272" s="9">
        <f t="shared" si="512"/>
        <v>0.43160861875488643</v>
      </c>
      <c r="AM272" s="4">
        <f t="shared" si="513"/>
        <v>1005.217137234845</v>
      </c>
      <c r="AN272" s="6">
        <f t="shared" si="514"/>
        <v>5.5104342744696902E-6</v>
      </c>
      <c r="AO272" s="8">
        <f t="shared" si="515"/>
        <v>27.448997078200719</v>
      </c>
      <c r="AP272" s="7">
        <f t="shared" si="516"/>
        <v>1.3790928293511997E-2</v>
      </c>
      <c r="AQ272" s="9">
        <f t="shared" si="517"/>
        <v>0.43231382319400036</v>
      </c>
      <c r="AR272" s="4">
        <f t="shared" si="518"/>
        <v>1000.7172543666926</v>
      </c>
      <c r="AS272" s="6">
        <f t="shared" si="519"/>
        <v>5.5014345087333855E-6</v>
      </c>
      <c r="AT272" s="8">
        <f t="shared" si="520"/>
        <v>27.397248425216965</v>
      </c>
      <c r="AU272" s="7">
        <f t="shared" si="521"/>
        <v>1.3768404637889642E-2</v>
      </c>
      <c r="AV272" s="9">
        <f t="shared" si="522"/>
        <v>0.43313038906475237</v>
      </c>
      <c r="AW272" s="4">
        <f t="shared" si="523"/>
        <v>995.61738951540701</v>
      </c>
      <c r="AX272" s="6">
        <f t="shared" si="524"/>
        <v>5.4912347790308143E-6</v>
      </c>
      <c r="AY272" s="8">
        <f t="shared" si="525"/>
        <v>27.33859997942718</v>
      </c>
      <c r="AZ272" s="7">
        <f t="shared" si="526"/>
        <v>1.3742877840193663E-2</v>
      </c>
      <c r="BA272" s="9">
        <f t="shared" si="527"/>
        <v>0.43405956700956627</v>
      </c>
      <c r="BB272" s="4">
        <f t="shared" si="528"/>
        <v>989.91754268158468</v>
      </c>
      <c r="BC272" s="6">
        <f t="shared" si="529"/>
        <v>5.4798350853631702E-6</v>
      </c>
      <c r="BD272" s="8">
        <f t="shared" si="530"/>
        <v>27.273051740838223</v>
      </c>
      <c r="BE272" s="7">
        <f t="shared" si="531"/>
        <v>1.3714347900427054E-2</v>
      </c>
      <c r="BF272" s="9">
        <f t="shared" si="532"/>
        <v>0.43510278873372554</v>
      </c>
      <c r="BG272" s="4">
        <f t="shared" si="533"/>
        <v>983.6177138656044</v>
      </c>
      <c r="BH272" s="6">
        <f t="shared" si="534"/>
        <v>5.4672354277312095E-6</v>
      </c>
      <c r="BI272" s="8">
        <f t="shared" si="535"/>
        <v>27.200603709454448</v>
      </c>
      <c r="BJ272" s="7">
        <f t="shared" si="536"/>
        <v>1.3682814818591705E-2</v>
      </c>
      <c r="BK272" s="9">
        <f t="shared" si="537"/>
        <v>0.43626167258902732</v>
      </c>
      <c r="BL272" s="4">
        <f t="shared" si="538"/>
        <v>976.71790306771925</v>
      </c>
      <c r="BM272" s="6">
        <f t="shared" si="539"/>
        <v>5.4534358061354387E-6</v>
      </c>
      <c r="BN272" s="8">
        <f t="shared" si="540"/>
        <v>27.121255885278771</v>
      </c>
      <c r="BO272" s="7">
        <f t="shared" si="541"/>
        <v>1.3648278594688881E-2</v>
      </c>
      <c r="BP272" s="9">
        <f t="shared" si="542"/>
        <v>0.43753802994643015</v>
      </c>
      <c r="BQ272" s="4">
        <f t="shared" si="543"/>
        <v>969.21811028810362</v>
      </c>
      <c r="BR272" s="6">
        <f t="shared" si="544"/>
        <v>5.4384362205762077E-6</v>
      </c>
      <c r="BS272" s="8">
        <f t="shared" si="545"/>
        <v>27.035008268313192</v>
      </c>
      <c r="BT272" s="7">
        <f t="shared" si="546"/>
        <v>1.361073922871946E-2</v>
      </c>
      <c r="BU272" s="9">
        <f t="shared" si="547"/>
        <v>0.4389338724052218</v>
      </c>
      <c r="BV272" s="4">
        <f t="shared" si="548"/>
        <v>961.1183355268829</v>
      </c>
      <c r="BW272" s="6">
        <f t="shared" si="549"/>
        <v>5.4222366710537664E-6</v>
      </c>
      <c r="BX272" s="8">
        <f t="shared" si="550"/>
        <v>26.941860858559153</v>
      </c>
      <c r="BY272" s="7">
        <f t="shared" si="551"/>
        <v>1.3570196720684068E-2</v>
      </c>
      <c r="BZ272" s="9">
        <f t="shared" si="552"/>
        <v>0.44045141989321823</v>
      </c>
      <c r="CA272" s="4">
        <f t="shared" si="553"/>
        <v>952.41857878414828</v>
      </c>
      <c r="CB272" s="6">
        <f t="shared" si="554"/>
        <v>5.4048371575682968E-6</v>
      </c>
      <c r="CC272" s="8">
        <f t="shared" si="555"/>
        <v>26.841813656017706</v>
      </c>
      <c r="CD272" s="7">
        <f t="shared" si="556"/>
        <v>1.3526651070583161E-2</v>
      </c>
      <c r="CE272" s="9">
        <f t="shared" si="557"/>
        <v>0.44209310972015903</v>
      </c>
      <c r="CF272" s="4">
        <f t="shared" si="558"/>
        <v>943.11883968644918</v>
      </c>
      <c r="CG272" s="6">
        <f t="shared" si="559"/>
        <v>5.3862376793728988E-6</v>
      </c>
      <c r="CH272" s="8">
        <f t="shared" si="560"/>
        <v>26.734866656394164</v>
      </c>
      <c r="CI272" s="7">
        <f t="shared" si="561"/>
        <v>1.3480102276547475E-2</v>
      </c>
      <c r="CJ272" s="9">
        <f t="shared" si="562"/>
        <v>0.44386160672620278</v>
      </c>
      <c r="CK272" s="4">
        <f t="shared" si="563"/>
        <v>933.21898866462493</v>
      </c>
      <c r="CL272" s="6">
        <f t="shared" si="564"/>
        <v>5.3664379773292502E-6</v>
      </c>
      <c r="CM272" s="8">
        <f t="shared" si="565"/>
        <v>26.621018369643188</v>
      </c>
      <c r="CN272" s="7">
        <f t="shared" si="566"/>
        <v>1.3430549690033204E-2</v>
      </c>
      <c r="CO272" s="9">
        <f t="shared" si="567"/>
        <v>0.44575983927233026</v>
      </c>
      <c r="CP272" s="4">
        <f t="shared" si="568"/>
        <v>922.70099851388659</v>
      </c>
      <c r="CQ272" s="6">
        <f t="shared" si="569"/>
        <v>5.3454019970277742E-6</v>
      </c>
      <c r="CR272" s="8">
        <f t="shared" si="570"/>
        <v>26.500061482909693</v>
      </c>
      <c r="CS272" s="7">
        <f t="shared" si="571"/>
        <v>1.3377903077902202E-2</v>
      </c>
      <c r="CT272" s="9">
        <f t="shared" si="572"/>
        <v>0.44779446558532865</v>
      </c>
      <c r="CU272" s="4">
        <f t="shared" si="573"/>
        <v>910.31067098521248</v>
      </c>
      <c r="CV272" s="6">
        <f t="shared" si="574"/>
        <v>5.3206213419704259E-6</v>
      </c>
      <c r="CW272" s="8">
        <f t="shared" si="575"/>
        <v>26.35757271632994</v>
      </c>
      <c r="CX272" s="7">
        <f t="shared" si="576"/>
        <v>1.3315884692428394E-2</v>
      </c>
      <c r="CY272" s="9">
        <f t="shared" si="577"/>
        <v>0.45021523785329104</v>
      </c>
      <c r="CZ272" s="5">
        <f t="shared" si="578"/>
        <v>852.76444315429194</v>
      </c>
      <c r="DA272" s="6">
        <f t="shared" si="579"/>
        <v>5.2055288863085846E-6</v>
      </c>
      <c r="DB272" s="8">
        <f t="shared" si="580"/>
        <v>25.695791096274355</v>
      </c>
      <c r="DC272" s="7">
        <f t="shared" si="581"/>
        <v>1.3027843546468187E-2</v>
      </c>
      <c r="DD272" s="9">
        <f t="shared" si="582"/>
        <v>0.46181029512800015</v>
      </c>
    </row>
    <row r="273" spans="2:108" x14ac:dyDescent="0.25">
      <c r="B273">
        <v>6</v>
      </c>
      <c r="C273">
        <f t="shared" si="490"/>
        <v>5.8656879980715088E-3</v>
      </c>
      <c r="D273" s="4">
        <f t="shared" si="491"/>
        <v>1019.9071640876512</v>
      </c>
      <c r="E273" s="6">
        <f t="shared" si="429"/>
        <v>5.539814328175303E-6</v>
      </c>
      <c r="F273" s="8">
        <f t="shared" si="492"/>
        <v>27.61793238700799</v>
      </c>
      <c r="G273" s="7">
        <f t="shared" si="426"/>
        <v>1.3864457564297579E-2</v>
      </c>
      <c r="H273" s="9">
        <f t="shared" si="493"/>
        <v>0.42966941563301703</v>
      </c>
      <c r="I273" s="4">
        <f t="shared" si="494"/>
        <v>1019.6002987039327</v>
      </c>
      <c r="J273" s="6">
        <f t="shared" si="431"/>
        <v>5.5392005974078656E-6</v>
      </c>
      <c r="K273" s="8">
        <f t="shared" si="495"/>
        <v>27.614403435095227</v>
      </c>
      <c r="L273" s="7">
        <f t="shared" si="433"/>
        <v>1.3862921584267029E-2</v>
      </c>
      <c r="M273" s="9">
        <f t="shared" si="496"/>
        <v>0.42972432475715283</v>
      </c>
      <c r="N273" s="4">
        <f t="shared" si="497"/>
        <v>1018.7001865977479</v>
      </c>
      <c r="O273" s="6">
        <f t="shared" si="434"/>
        <v>5.5374003731954962E-6</v>
      </c>
      <c r="P273" s="8">
        <f t="shared" si="435"/>
        <v>27.6040521458741</v>
      </c>
      <c r="Q273" s="7">
        <f t="shared" si="427"/>
        <v>1.3864457564297579E-2</v>
      </c>
      <c r="R273" s="9">
        <f t="shared" si="498"/>
        <v>0.4298854677932335</v>
      </c>
      <c r="S273" s="4">
        <f t="shared" si="499"/>
        <v>1017.2001786120624</v>
      </c>
      <c r="T273" s="6">
        <f t="shared" si="436"/>
        <v>5.534400357224126E-6</v>
      </c>
      <c r="U273" s="8">
        <f t="shared" si="437"/>
        <v>27.586802054038717</v>
      </c>
      <c r="V273" s="7">
        <f t="shared" si="438"/>
        <v>1.3850908054140682E-2</v>
      </c>
      <c r="W273" s="9">
        <f t="shared" si="500"/>
        <v>0.43015427618152019</v>
      </c>
      <c r="X273" s="4">
        <f t="shared" si="501"/>
        <v>1015.100272053012</v>
      </c>
      <c r="Y273" s="6">
        <f t="shared" si="439"/>
        <v>5.5302005441060242E-6</v>
      </c>
      <c r="Z273" s="8">
        <f t="shared" si="440"/>
        <v>27.562653128609636</v>
      </c>
      <c r="AA273" s="7">
        <f t="shared" si="441"/>
        <v>1.3840397208956259E-2</v>
      </c>
      <c r="AB273" s="9">
        <f t="shared" si="502"/>
        <v>0.43053115439749007</v>
      </c>
      <c r="AC273" s="4">
        <f t="shared" si="503"/>
        <v>1012.4003489687174</v>
      </c>
      <c r="AD273" s="6">
        <f t="shared" si="504"/>
        <v>5.5248006979374346E-6</v>
      </c>
      <c r="AE273" s="8">
        <f t="shared" si="505"/>
        <v>27.53160401314025</v>
      </c>
      <c r="AF273" s="7">
        <f t="shared" si="506"/>
        <v>1.3826883048801581E-2</v>
      </c>
      <c r="AG273" s="9">
        <f t="shared" si="507"/>
        <v>0.43101669136510284</v>
      </c>
      <c r="AH273" s="4">
        <f t="shared" si="508"/>
        <v>1009.1004463157478</v>
      </c>
      <c r="AI273" s="6">
        <f t="shared" si="509"/>
        <v>5.5182008926314963E-6</v>
      </c>
      <c r="AJ273" s="8">
        <f t="shared" si="510"/>
        <v>27.493655132631098</v>
      </c>
      <c r="AK273" s="7">
        <f t="shared" si="511"/>
        <v>1.3810365758658582E-2</v>
      </c>
      <c r="AL273" s="9">
        <f t="shared" si="512"/>
        <v>0.43161161411506677</v>
      </c>
      <c r="AM273" s="4">
        <f t="shared" si="513"/>
        <v>1005.2005652580583</v>
      </c>
      <c r="AN273" s="6">
        <f t="shared" si="514"/>
        <v>5.5104011305161169E-6</v>
      </c>
      <c r="AO273" s="8">
        <f t="shared" si="515"/>
        <v>27.448806500467668</v>
      </c>
      <c r="AP273" s="7">
        <f t="shared" si="516"/>
        <v>1.3790845344353304E-2</v>
      </c>
      <c r="AQ273" s="9">
        <f t="shared" si="517"/>
        <v>0.43231682475941957</v>
      </c>
      <c r="AR273" s="4">
        <f t="shared" si="518"/>
        <v>1000.7007058181948</v>
      </c>
      <c r="AS273" s="6">
        <f t="shared" si="519"/>
        <v>5.5014014116363908E-6</v>
      </c>
      <c r="AT273" s="8">
        <f t="shared" si="520"/>
        <v>27.397058116909239</v>
      </c>
      <c r="AU273" s="7">
        <f t="shared" si="521"/>
        <v>1.3768321805998606E-2</v>
      </c>
      <c r="AV273" s="9">
        <f t="shared" si="522"/>
        <v>0.43313339772031734</v>
      </c>
      <c r="AW273" s="4">
        <f t="shared" si="523"/>
        <v>995.60086799784403</v>
      </c>
      <c r="AX273" s="6">
        <f t="shared" si="524"/>
        <v>5.4912017359956882E-6</v>
      </c>
      <c r="AY273" s="8">
        <f t="shared" si="525"/>
        <v>27.338409981975204</v>
      </c>
      <c r="AZ273" s="7">
        <f t="shared" si="526"/>
        <v>1.3742795143602918E-2</v>
      </c>
      <c r="BA273" s="9">
        <f t="shared" si="527"/>
        <v>0.4340625836521505</v>
      </c>
      <c r="BB273" s="4">
        <f t="shared" si="528"/>
        <v>989.9010517979018</v>
      </c>
      <c r="BC273" s="6">
        <f t="shared" si="529"/>
        <v>5.4798021035958048E-6</v>
      </c>
      <c r="BD273" s="8">
        <f t="shared" si="530"/>
        <v>27.272862095675869</v>
      </c>
      <c r="BE273" s="7">
        <f t="shared" si="531"/>
        <v>1.3714265357170737E-2</v>
      </c>
      <c r="BF273" s="9">
        <f t="shared" si="532"/>
        <v>0.4351058142738658</v>
      </c>
      <c r="BG273" s="4">
        <f t="shared" si="533"/>
        <v>983.60125721893667</v>
      </c>
      <c r="BH273" s="6">
        <f t="shared" si="534"/>
        <v>5.4672025144378741E-6</v>
      </c>
      <c r="BI273" s="8">
        <f t="shared" si="535"/>
        <v>27.200414458017772</v>
      </c>
      <c r="BJ273" s="7">
        <f t="shared" si="536"/>
        <v>1.36827324467049E-2</v>
      </c>
      <c r="BK273" s="9">
        <f t="shared" si="537"/>
        <v>0.43626470795264033</v>
      </c>
      <c r="BL273" s="4">
        <f t="shared" si="538"/>
        <v>976.70148426132835</v>
      </c>
      <c r="BM273" s="6">
        <f t="shared" si="539"/>
        <v>5.4534029685226565E-6</v>
      </c>
      <c r="BN273" s="8">
        <f t="shared" si="540"/>
        <v>27.121067069005274</v>
      </c>
      <c r="BO273" s="7">
        <f t="shared" si="541"/>
        <v>1.364819641220731E-2</v>
      </c>
      <c r="BP273" s="9">
        <f t="shared" si="542"/>
        <v>0.4375410760765886</v>
      </c>
      <c r="BQ273" s="4">
        <f t="shared" si="543"/>
        <v>969.20173292533866</v>
      </c>
      <c r="BR273" s="6">
        <f t="shared" si="544"/>
        <v>5.4384034658506774E-6</v>
      </c>
      <c r="BS273" s="8">
        <f t="shared" si="545"/>
        <v>27.034819928641394</v>
      </c>
      <c r="BT273" s="7">
        <f t="shared" si="546"/>
        <v>1.3610657253679281E-2</v>
      </c>
      <c r="BU273" s="9">
        <f t="shared" si="547"/>
        <v>0.43893693026400127</v>
      </c>
      <c r="BV273" s="4">
        <f t="shared" si="548"/>
        <v>961.10200321115542</v>
      </c>
      <c r="BW273" s="6">
        <f t="shared" si="549"/>
        <v>5.422204006422311E-6</v>
      </c>
      <c r="BX273" s="8">
        <f t="shared" si="550"/>
        <v>26.941673036928286</v>
      </c>
      <c r="BY273" s="7">
        <f t="shared" si="551"/>
        <v>1.3570114971121748E-2</v>
      </c>
      <c r="BZ273" s="9">
        <f t="shared" si="552"/>
        <v>0.44045449046362745</v>
      </c>
      <c r="CA273" s="4">
        <f t="shared" si="553"/>
        <v>952.40229511367818</v>
      </c>
      <c r="CB273" s="6">
        <f t="shared" si="554"/>
        <v>5.4048045902273566E-6</v>
      </c>
      <c r="CC273" s="8">
        <f t="shared" si="555"/>
        <v>26.841626393807296</v>
      </c>
      <c r="CD273" s="7">
        <f t="shared" si="556"/>
        <v>1.3526569564509185E-2</v>
      </c>
      <c r="CE273" s="9">
        <f t="shared" si="557"/>
        <v>0.44209619400915545</v>
      </c>
      <c r="CF273" s="4">
        <f t="shared" si="558"/>
        <v>943.10260646228096</v>
      </c>
      <c r="CG273" s="6">
        <f t="shared" si="559"/>
        <v>5.3862052129245619E-6</v>
      </c>
      <c r="CH273" s="8">
        <f t="shared" si="560"/>
        <v>26.734679974316229</v>
      </c>
      <c r="CI273" s="7">
        <f t="shared" si="561"/>
        <v>1.3480021022976766E-2</v>
      </c>
      <c r="CJ273" s="9">
        <f t="shared" si="562"/>
        <v>0.4438647061089947</v>
      </c>
      <c r="CK273" s="4">
        <f t="shared" si="563"/>
        <v>933.20256105004705</v>
      </c>
      <c r="CL273" s="6">
        <f t="shared" si="564"/>
        <v>5.3664051221000944E-6</v>
      </c>
      <c r="CM273" s="8">
        <f t="shared" si="565"/>
        <v>26.62082945207554</v>
      </c>
      <c r="CN273" s="7">
        <f t="shared" si="566"/>
        <v>1.343046746346325E-2</v>
      </c>
      <c r="CO273" s="9">
        <f t="shared" si="567"/>
        <v>0.44576300265477636</v>
      </c>
      <c r="CP273" s="4">
        <f t="shared" si="568"/>
        <v>922.66730577500618</v>
      </c>
      <c r="CQ273" s="6">
        <f t="shared" si="569"/>
        <v>5.345334611550013E-6</v>
      </c>
      <c r="CR273" s="8">
        <f t="shared" si="570"/>
        <v>26.49967401641257</v>
      </c>
      <c r="CS273" s="7">
        <f t="shared" si="571"/>
        <v>1.3377734432701927E-2</v>
      </c>
      <c r="CT273" s="9">
        <f t="shared" si="572"/>
        <v>0.44780101303768238</v>
      </c>
      <c r="CU273" s="4">
        <f t="shared" si="573"/>
        <v>909.68196648330104</v>
      </c>
      <c r="CV273" s="6">
        <f t="shared" si="574"/>
        <v>5.3193639329666021E-6</v>
      </c>
      <c r="CW273" s="8">
        <f t="shared" si="575"/>
        <v>26.35034261455796</v>
      </c>
      <c r="CX273" s="7">
        <f t="shared" si="576"/>
        <v>1.331273778303004E-2</v>
      </c>
      <c r="CY273" s="9">
        <f t="shared" si="577"/>
        <v>0.45033876952939067</v>
      </c>
      <c r="CZ273" s="5">
        <f t="shared" si="578"/>
        <v>844.35387568157978</v>
      </c>
      <c r="DA273" s="6">
        <f t="shared" si="579"/>
        <v>5.1887077513631601E-6</v>
      </c>
      <c r="DB273" s="8">
        <f t="shared" si="580"/>
        <v>25.599069570338166</v>
      </c>
      <c r="DC273" s="7">
        <f t="shared" si="581"/>
        <v>1.2985745400606504E-2</v>
      </c>
      <c r="DD273" s="9">
        <f t="shared" si="582"/>
        <v>0.46355516309341943</v>
      </c>
    </row>
    <row r="274" spans="2:108" x14ac:dyDescent="0.25">
      <c r="B274">
        <v>7</v>
      </c>
      <c r="C274">
        <f t="shared" si="490"/>
        <v>6.8433026644167602E-3</v>
      </c>
      <c r="D274" s="4">
        <f t="shared" si="491"/>
        <v>1019.8914970913395</v>
      </c>
      <c r="E274" s="6">
        <f t="shared" si="429"/>
        <v>5.5397829941826794E-6</v>
      </c>
      <c r="F274" s="8">
        <f t="shared" si="492"/>
        <v>27.617752216550404</v>
      </c>
      <c r="G274" s="7">
        <f t="shared" si="426"/>
        <v>1.3864379144916476E-2</v>
      </c>
      <c r="H274" s="9">
        <f t="shared" si="493"/>
        <v>0.42967221867558975</v>
      </c>
      <c r="I274" s="4">
        <f t="shared" si="494"/>
        <v>1019.5837067096762</v>
      </c>
      <c r="J274" s="6">
        <f t="shared" si="431"/>
        <v>5.539167413419353E-6</v>
      </c>
      <c r="K274" s="8">
        <f t="shared" si="495"/>
        <v>27.614212627161276</v>
      </c>
      <c r="L274" s="7">
        <f t="shared" si="433"/>
        <v>1.3862838534913153E-2</v>
      </c>
      <c r="M274" s="9">
        <f t="shared" si="496"/>
        <v>0.42972729405458249</v>
      </c>
      <c r="N274" s="4">
        <f t="shared" si="497"/>
        <v>1018.6835522187081</v>
      </c>
      <c r="O274" s="6">
        <f t="shared" si="434"/>
        <v>5.5373671044374169E-6</v>
      </c>
      <c r="P274" s="8">
        <f t="shared" si="435"/>
        <v>27.60386085051514</v>
      </c>
      <c r="Q274" s="7">
        <f t="shared" si="427"/>
        <v>1.3864379144916476E-2</v>
      </c>
      <c r="R274" s="9">
        <f t="shared" si="498"/>
        <v>0.4298884469089202</v>
      </c>
      <c r="S274" s="4">
        <f t="shared" si="499"/>
        <v>1017.1835429607698</v>
      </c>
      <c r="T274" s="6">
        <f t="shared" si="436"/>
        <v>5.5343670859215403E-6</v>
      </c>
      <c r="U274" s="8">
        <f t="shared" si="437"/>
        <v>27.586610744048855</v>
      </c>
      <c r="V274" s="7">
        <f t="shared" si="438"/>
        <v>1.385082478626644E-2</v>
      </c>
      <c r="W274" s="9">
        <f t="shared" si="500"/>
        <v>0.43015725925221993</v>
      </c>
      <c r="X274" s="4">
        <f t="shared" si="501"/>
        <v>1015.0836511293277</v>
      </c>
      <c r="Y274" s="6">
        <f t="shared" si="439"/>
        <v>5.5301673022586561E-6</v>
      </c>
      <c r="Z274" s="8">
        <f t="shared" si="440"/>
        <v>27.56246198798727</v>
      </c>
      <c r="AA274" s="7">
        <f t="shared" si="441"/>
        <v>1.3840314014799399E-2</v>
      </c>
      <c r="AB274" s="9">
        <f t="shared" si="502"/>
        <v>0.43053414005214008</v>
      </c>
      <c r="AC274" s="4">
        <f t="shared" si="503"/>
        <v>1012.3837411158606</v>
      </c>
      <c r="AD274" s="6">
        <f t="shared" si="504"/>
        <v>5.5247674822317215E-6</v>
      </c>
      <c r="AE274" s="8">
        <f t="shared" si="505"/>
        <v>27.531413022832396</v>
      </c>
      <c r="AF274" s="7">
        <f t="shared" si="506"/>
        <v>1.3826799920069271E-2</v>
      </c>
      <c r="AG274" s="9">
        <f t="shared" si="507"/>
        <v>0.4310196814045355</v>
      </c>
      <c r="AH274" s="4">
        <f t="shared" si="508"/>
        <v>1009.0838547036532</v>
      </c>
      <c r="AI274" s="6">
        <f t="shared" si="509"/>
        <v>5.5181677094073064E-6</v>
      </c>
      <c r="AJ274" s="8">
        <f t="shared" si="510"/>
        <v>27.49346432909201</v>
      </c>
      <c r="AK274" s="7">
        <f t="shared" si="511"/>
        <v>1.3810282711217573E-2</v>
      </c>
      <c r="AL274" s="9">
        <f t="shared" si="512"/>
        <v>0.43161460948234748</v>
      </c>
      <c r="AM274" s="4">
        <f t="shared" si="513"/>
        <v>1005.183993473339</v>
      </c>
      <c r="AN274" s="6">
        <f t="shared" si="514"/>
        <v>5.5103679869466782E-6</v>
      </c>
      <c r="AO274" s="8">
        <f t="shared" si="515"/>
        <v>27.448615924943397</v>
      </c>
      <c r="AP274" s="7">
        <f t="shared" si="516"/>
        <v>1.3790762396155985E-2</v>
      </c>
      <c r="AQ274" s="9">
        <f t="shared" si="517"/>
        <v>0.43231982633173038</v>
      </c>
      <c r="AR274" s="4">
        <f t="shared" si="518"/>
        <v>1000.6841574624073</v>
      </c>
      <c r="AS274" s="6">
        <f t="shared" si="519"/>
        <v>5.5013683149248147E-6</v>
      </c>
      <c r="AT274" s="8">
        <f t="shared" si="520"/>
        <v>27.396867810817682</v>
      </c>
      <c r="AU274" s="7">
        <f t="shared" si="521"/>
        <v>1.3768238975072155E-2</v>
      </c>
      <c r="AV274" s="9">
        <f t="shared" si="522"/>
        <v>0.43313640638264372</v>
      </c>
      <c r="AW274" s="4">
        <f t="shared" si="523"/>
        <v>995.58434667338952</v>
      </c>
      <c r="AX274" s="6">
        <f t="shared" si="524"/>
        <v>5.4911686933467794E-6</v>
      </c>
      <c r="AY274" s="8">
        <f t="shared" si="525"/>
        <v>27.338219986743979</v>
      </c>
      <c r="AZ274" s="7">
        <f t="shared" si="526"/>
        <v>1.3742712447978757E-2</v>
      </c>
      <c r="BA274" s="9">
        <f t="shared" si="527"/>
        <v>0.43406560030140517</v>
      </c>
      <c r="BB274" s="4">
        <f t="shared" si="528"/>
        <v>989.88456110754282</v>
      </c>
      <c r="BC274" s="6">
        <f t="shared" si="529"/>
        <v>5.4797691222150863E-6</v>
      </c>
      <c r="BD274" s="8">
        <f t="shared" si="530"/>
        <v>27.272672452736742</v>
      </c>
      <c r="BE274" s="7">
        <f t="shared" si="531"/>
        <v>1.3714182814882082E-2</v>
      </c>
      <c r="BF274" s="9">
        <f t="shared" si="532"/>
        <v>0.43510883982061382</v>
      </c>
      <c r="BG274" s="4">
        <f t="shared" si="533"/>
        <v>983.58480076566366</v>
      </c>
      <c r="BH274" s="6">
        <f t="shared" si="534"/>
        <v>5.4671696015313278E-6</v>
      </c>
      <c r="BI274" s="8">
        <f t="shared" si="535"/>
        <v>27.200225208805129</v>
      </c>
      <c r="BJ274" s="7">
        <f t="shared" si="536"/>
        <v>1.3682650075786113E-2</v>
      </c>
      <c r="BK274" s="9">
        <f t="shared" si="537"/>
        <v>0.43626774332282015</v>
      </c>
      <c r="BL274" s="4">
        <f t="shared" si="538"/>
        <v>976.68506564828363</v>
      </c>
      <c r="BM274" s="6">
        <f t="shared" si="539"/>
        <v>5.4533701312965678E-6</v>
      </c>
      <c r="BN274" s="8">
        <f t="shared" si="540"/>
        <v>27.120878254955262</v>
      </c>
      <c r="BO274" s="7">
        <f t="shared" si="541"/>
        <v>1.3648114230693514E-2</v>
      </c>
      <c r="BP274" s="9">
        <f t="shared" si="542"/>
        <v>0.43754412221328981</v>
      </c>
      <c r="BQ274" s="4">
        <f t="shared" si="543"/>
        <v>969.18535575576971</v>
      </c>
      <c r="BR274" s="6">
        <f t="shared" si="544"/>
        <v>5.4383707115115398E-6</v>
      </c>
      <c r="BS274" s="8">
        <f t="shared" si="545"/>
        <v>27.034631591191349</v>
      </c>
      <c r="BT274" s="7">
        <f t="shared" si="546"/>
        <v>1.3610575279606121E-2</v>
      </c>
      <c r="BU274" s="9">
        <f t="shared" si="547"/>
        <v>0.43893998812931362</v>
      </c>
      <c r="BV274" s="4">
        <f t="shared" si="548"/>
        <v>961.08567108831096</v>
      </c>
      <c r="BW274" s="6">
        <f t="shared" si="549"/>
        <v>5.4221713421766224E-6</v>
      </c>
      <c r="BX274" s="8">
        <f t="shared" si="550"/>
        <v>26.941485217515577</v>
      </c>
      <c r="BY274" s="7">
        <f t="shared" si="551"/>
        <v>1.3570033222524884E-2</v>
      </c>
      <c r="BZ274" s="9">
        <f t="shared" si="552"/>
        <v>0.44045756104058548</v>
      </c>
      <c r="CA274" s="4">
        <f t="shared" si="553"/>
        <v>952.38601161056636</v>
      </c>
      <c r="CB274" s="6">
        <f t="shared" si="554"/>
        <v>5.4047720232211325E-6</v>
      </c>
      <c r="CC274" s="8">
        <f t="shared" si="555"/>
        <v>26.841439133521511</v>
      </c>
      <c r="CD274" s="7">
        <f t="shared" si="556"/>
        <v>1.3526488059272901E-2</v>
      </c>
      <c r="CE274" s="9">
        <f t="shared" si="557"/>
        <v>0.44209927830948759</v>
      </c>
      <c r="CF274" s="4">
        <f t="shared" si="558"/>
        <v>943.08636996330063</v>
      </c>
      <c r="CG274" s="6">
        <f t="shared" si="559"/>
        <v>5.386172739926602E-6</v>
      </c>
      <c r="CH274" s="8">
        <f t="shared" si="560"/>
        <v>26.734493254577956</v>
      </c>
      <c r="CI274" s="7">
        <f t="shared" si="561"/>
        <v>1.3479939753014357E-2</v>
      </c>
      <c r="CJ274" s="9">
        <f t="shared" si="562"/>
        <v>0.443867806160339</v>
      </c>
      <c r="CK274" s="4">
        <f t="shared" si="563"/>
        <v>933.18589649989235</v>
      </c>
      <c r="CL274" s="6">
        <f t="shared" si="564"/>
        <v>5.3663717929997853E-6</v>
      </c>
      <c r="CM274" s="8">
        <f t="shared" si="565"/>
        <v>26.620637809748761</v>
      </c>
      <c r="CN274" s="7">
        <f t="shared" si="566"/>
        <v>1.3430384050939017E-2</v>
      </c>
      <c r="CO274" s="9">
        <f t="shared" si="567"/>
        <v>0.44576621170858011</v>
      </c>
      <c r="CP274" s="4">
        <f t="shared" si="568"/>
        <v>922.62562546631261</v>
      </c>
      <c r="CQ274" s="6">
        <f t="shared" si="569"/>
        <v>5.3452512509326259E-6</v>
      </c>
      <c r="CR274" s="8">
        <f t="shared" si="570"/>
        <v>26.499194692862595</v>
      </c>
      <c r="CS274" s="7">
        <f t="shared" si="571"/>
        <v>1.3377525806622815E-2</v>
      </c>
      <c r="CT274" s="9">
        <f t="shared" si="572"/>
        <v>0.4478091129657647</v>
      </c>
      <c r="CU274" s="4">
        <f t="shared" si="573"/>
        <v>908.95418050228932</v>
      </c>
      <c r="CV274" s="6">
        <f t="shared" si="574"/>
        <v>5.3179083610045796E-6</v>
      </c>
      <c r="CW274" s="8">
        <f t="shared" si="575"/>
        <v>26.341973075776327</v>
      </c>
      <c r="CX274" s="7">
        <f t="shared" si="576"/>
        <v>1.3309094932475174E-2</v>
      </c>
      <c r="CY274" s="9">
        <f t="shared" si="577"/>
        <v>0.45048185401989588</v>
      </c>
      <c r="CZ274" s="5">
        <f t="shared" si="578"/>
        <v>836.25061923292674</v>
      </c>
      <c r="DA274" s="6">
        <f t="shared" si="579"/>
        <v>5.1725012384658542E-6</v>
      </c>
      <c r="DB274" s="8">
        <f t="shared" si="580"/>
        <v>25.505882121178658</v>
      </c>
      <c r="DC274" s="7">
        <f t="shared" si="581"/>
        <v>1.2945185465377781E-2</v>
      </c>
      <c r="DD274" s="9">
        <f t="shared" si="582"/>
        <v>0.46524879293880816</v>
      </c>
    </row>
    <row r="275" spans="2:108" x14ac:dyDescent="0.25">
      <c r="B275">
        <v>8</v>
      </c>
      <c r="C275">
        <f t="shared" si="490"/>
        <v>7.8209173307620117E-3</v>
      </c>
      <c r="D275" s="4">
        <f t="shared" si="491"/>
        <v>1019.8757828693056</v>
      </c>
      <c r="E275" s="6">
        <f t="shared" si="429"/>
        <v>5.5397515657386113E-6</v>
      </c>
      <c r="F275" s="8">
        <f t="shared" si="492"/>
        <v>27.617571502997013</v>
      </c>
      <c r="G275" s="7">
        <f t="shared" si="426"/>
        <v>1.386430048915235E-2</v>
      </c>
      <c r="H275" s="9">
        <f t="shared" si="493"/>
        <v>0.42967503020423636</v>
      </c>
      <c r="I275" s="4">
        <f t="shared" si="494"/>
        <v>1019.5671203403216</v>
      </c>
      <c r="J275" s="6">
        <f t="shared" si="431"/>
        <v>5.5391342406806432E-6</v>
      </c>
      <c r="K275" s="8">
        <f t="shared" si="495"/>
        <v>27.614021883913697</v>
      </c>
      <c r="L275" s="7">
        <f t="shared" si="433"/>
        <v>1.3862755513714086E-2</v>
      </c>
      <c r="M275" s="9">
        <f t="shared" si="496"/>
        <v>0.42973026238639545</v>
      </c>
      <c r="N275" s="4">
        <f t="shared" si="497"/>
        <v>1018.6669183579188</v>
      </c>
      <c r="O275" s="6">
        <f t="shared" si="434"/>
        <v>5.5373338367158384E-6</v>
      </c>
      <c r="P275" s="8">
        <f t="shared" si="435"/>
        <v>27.603669561116064</v>
      </c>
      <c r="Q275" s="7">
        <f t="shared" si="427"/>
        <v>1.386430048915235E-2</v>
      </c>
      <c r="R275" s="9">
        <f t="shared" si="498"/>
        <v>0.42989142597308039</v>
      </c>
      <c r="S275" s="4">
        <f t="shared" si="499"/>
        <v>1017.1669076567736</v>
      </c>
      <c r="T275" s="6">
        <f t="shared" si="436"/>
        <v>5.5343338153135479E-6</v>
      </c>
      <c r="U275" s="8">
        <f t="shared" si="437"/>
        <v>27.586419438052893</v>
      </c>
      <c r="V275" s="7">
        <f t="shared" si="438"/>
        <v>1.3850741520130551E-2</v>
      </c>
      <c r="W275" s="9">
        <f t="shared" si="500"/>
        <v>0.43016024230201683</v>
      </c>
      <c r="X275" s="4">
        <f t="shared" si="501"/>
        <v>1015.0670303307434</v>
      </c>
      <c r="Y275" s="6">
        <f t="shared" si="439"/>
        <v>5.5301340606614871E-6</v>
      </c>
      <c r="Z275" s="8">
        <f t="shared" si="440"/>
        <v>27.56227084880355</v>
      </c>
      <c r="AA275" s="7">
        <f t="shared" si="441"/>
        <v>1.384023082126871E-2</v>
      </c>
      <c r="AB275" s="9">
        <f t="shared" si="502"/>
        <v>0.43053712572572789</v>
      </c>
      <c r="AC275" s="4">
        <f t="shared" si="503"/>
        <v>1012.3671334472735</v>
      </c>
      <c r="AD275" s="6">
        <f t="shared" si="504"/>
        <v>5.5247342668945475E-6</v>
      </c>
      <c r="AE275" s="8">
        <f t="shared" si="505"/>
        <v>27.531222034643644</v>
      </c>
      <c r="AF275" s="7">
        <f t="shared" si="506"/>
        <v>1.3826716792259303E-2</v>
      </c>
      <c r="AG275" s="9">
        <f t="shared" si="507"/>
        <v>0.43102267145227707</v>
      </c>
      <c r="AH275" s="4">
        <f t="shared" si="508"/>
        <v>1009.0672632824583</v>
      </c>
      <c r="AI275" s="6">
        <f t="shared" si="509"/>
        <v>5.5181345265649166E-6</v>
      </c>
      <c r="AJ275" s="8">
        <f t="shared" si="510"/>
        <v>27.493273527748268</v>
      </c>
      <c r="AK275" s="7">
        <f t="shared" si="511"/>
        <v>1.3810199664732091E-2</v>
      </c>
      <c r="AL275" s="9">
        <f t="shared" si="512"/>
        <v>0.43161760485673911</v>
      </c>
      <c r="AM275" s="4">
        <f t="shared" si="513"/>
        <v>1005.1674218806802</v>
      </c>
      <c r="AN275" s="6">
        <f t="shared" si="514"/>
        <v>5.5103348437613605E-6</v>
      </c>
      <c r="AO275" s="8">
        <f t="shared" si="515"/>
        <v>27.448425351627822</v>
      </c>
      <c r="AP275" s="7">
        <f t="shared" si="516"/>
        <v>1.3790679448920002E-2</v>
      </c>
      <c r="AQ275" s="9">
        <f t="shared" si="517"/>
        <v>0.43232282791093346</v>
      </c>
      <c r="AR275" s="4">
        <f t="shared" si="518"/>
        <v>1000.6676092993251</v>
      </c>
      <c r="AS275" s="6">
        <f t="shared" si="519"/>
        <v>5.5013352185986505E-6</v>
      </c>
      <c r="AT275" s="8">
        <f t="shared" si="520"/>
        <v>27.39667750694224</v>
      </c>
      <c r="AU275" s="7">
        <f t="shared" si="521"/>
        <v>1.3768156145110275E-2</v>
      </c>
      <c r="AV275" s="9">
        <f t="shared" si="522"/>
        <v>0.43313941505173176</v>
      </c>
      <c r="AW275" s="4">
        <f t="shared" si="523"/>
        <v>995.56782554203915</v>
      </c>
      <c r="AX275" s="6">
        <f t="shared" si="524"/>
        <v>5.4911356510840787E-6</v>
      </c>
      <c r="AY275" s="8">
        <f t="shared" si="525"/>
        <v>27.33802999373345</v>
      </c>
      <c r="AZ275" s="7">
        <f t="shared" si="526"/>
        <v>1.3742629753321156E-2</v>
      </c>
      <c r="BA275" s="9">
        <f t="shared" si="527"/>
        <v>0.43406861695733057</v>
      </c>
      <c r="BB275" s="4">
        <f t="shared" si="528"/>
        <v>989.86807061050354</v>
      </c>
      <c r="BC275" s="6">
        <f t="shared" si="529"/>
        <v>5.4797361412210078E-6</v>
      </c>
      <c r="BD275" s="8">
        <f t="shared" si="530"/>
        <v>27.27248281202079</v>
      </c>
      <c r="BE275" s="7">
        <f t="shared" si="531"/>
        <v>1.3714100273561066E-2</v>
      </c>
      <c r="BF275" s="9">
        <f t="shared" si="532"/>
        <v>0.4351118653739699</v>
      </c>
      <c r="BG275" s="4">
        <f t="shared" si="533"/>
        <v>983.5683445057814</v>
      </c>
      <c r="BH275" s="6">
        <f t="shared" si="534"/>
        <v>5.467136689011563E-6</v>
      </c>
      <c r="BI275" s="8">
        <f t="shared" si="535"/>
        <v>27.200035961816486</v>
      </c>
      <c r="BJ275" s="7">
        <f t="shared" si="536"/>
        <v>1.3682567705835319E-2</v>
      </c>
      <c r="BK275" s="9">
        <f t="shared" si="537"/>
        <v>0.43627077869956682</v>
      </c>
      <c r="BL275" s="4">
        <f t="shared" si="538"/>
        <v>976.66864722858134</v>
      </c>
      <c r="BM275" s="6">
        <f t="shared" si="539"/>
        <v>5.4533372944571631E-6</v>
      </c>
      <c r="BN275" s="8">
        <f t="shared" si="540"/>
        <v>27.120689443128683</v>
      </c>
      <c r="BO275" s="7">
        <f t="shared" si="541"/>
        <v>1.364803205014747E-2</v>
      </c>
      <c r="BP275" s="9">
        <f t="shared" si="542"/>
        <v>0.43754716835653396</v>
      </c>
      <c r="BQ275" s="4">
        <f t="shared" si="543"/>
        <v>969.16897877939209</v>
      </c>
      <c r="BR275" s="6">
        <f t="shared" si="544"/>
        <v>5.4383379575587847E-6</v>
      </c>
      <c r="BS275" s="8">
        <f t="shared" si="545"/>
        <v>27.034443255963009</v>
      </c>
      <c r="BT275" s="7">
        <f t="shared" si="546"/>
        <v>1.361049330649996E-2</v>
      </c>
      <c r="BU275" s="9">
        <f t="shared" si="547"/>
        <v>0.43894304600115919</v>
      </c>
      <c r="BV275" s="4">
        <f t="shared" si="548"/>
        <v>961.06933915799141</v>
      </c>
      <c r="BW275" s="6">
        <f t="shared" si="549"/>
        <v>5.4221386783159832E-6</v>
      </c>
      <c r="BX275" s="8">
        <f t="shared" si="550"/>
        <v>26.941297400316898</v>
      </c>
      <c r="BY275" s="7">
        <f t="shared" si="551"/>
        <v>1.356995147489168E-2</v>
      </c>
      <c r="BZ275" s="9">
        <f t="shared" si="552"/>
        <v>0.44046063162415916</v>
      </c>
      <c r="CA275" s="4">
        <f t="shared" si="553"/>
        <v>952.36972822687858</v>
      </c>
      <c r="CB275" s="6">
        <f t="shared" si="554"/>
        <v>5.4047394564537573E-6</v>
      </c>
      <c r="CC275" s="8">
        <f t="shared" si="555"/>
        <v>26.841251874609103</v>
      </c>
      <c r="CD275" s="7">
        <f t="shared" si="556"/>
        <v>1.3526406554634381E-2</v>
      </c>
      <c r="CE275" s="9">
        <f t="shared" si="557"/>
        <v>0.44210236263023461</v>
      </c>
      <c r="CF275" s="4">
        <f t="shared" si="558"/>
        <v>943.07012697529444</v>
      </c>
      <c r="CG275" s="6">
        <f t="shared" si="559"/>
        <v>5.3861402539505897E-6</v>
      </c>
      <c r="CH275" s="8">
        <f t="shared" si="560"/>
        <v>26.734306460215883</v>
      </c>
      <c r="CI275" s="7">
        <f t="shared" si="561"/>
        <v>1.3479858450571862E-2</v>
      </c>
      <c r="CJ275" s="9">
        <f t="shared" si="562"/>
        <v>0.44387090749396885</v>
      </c>
      <c r="CK275" s="4">
        <f t="shared" si="563"/>
        <v>933.16889052381646</v>
      </c>
      <c r="CL275" s="6">
        <f t="shared" si="564"/>
        <v>5.3663377810476341E-6</v>
      </c>
      <c r="CM275" s="8">
        <f t="shared" si="565"/>
        <v>26.620442241023888</v>
      </c>
      <c r="CN275" s="7">
        <f t="shared" si="566"/>
        <v>1.3430298929445887E-2</v>
      </c>
      <c r="CO275" s="9">
        <f t="shared" si="567"/>
        <v>0.44576948655761628</v>
      </c>
      <c r="CP275" s="4">
        <f t="shared" si="568"/>
        <v>922.57480149292132</v>
      </c>
      <c r="CQ275" s="6">
        <f t="shared" si="569"/>
        <v>5.3451496029858439E-6</v>
      </c>
      <c r="CR275" s="8">
        <f t="shared" si="570"/>
        <v>26.498610217168594</v>
      </c>
      <c r="CS275" s="7">
        <f t="shared" si="571"/>
        <v>1.3377271412962456E-2</v>
      </c>
      <c r="CT275" s="9">
        <f t="shared" si="572"/>
        <v>0.4478189902212108</v>
      </c>
      <c r="CU275" s="4">
        <f t="shared" si="573"/>
        <v>908.13408496824172</v>
      </c>
      <c r="CV275" s="6">
        <f t="shared" si="574"/>
        <v>5.3162681699364842E-6</v>
      </c>
      <c r="CW275" s="8">
        <f t="shared" si="575"/>
        <v>26.332541977134781</v>
      </c>
      <c r="CX275" s="7">
        <f t="shared" si="576"/>
        <v>1.3304990036875099E-2</v>
      </c>
      <c r="CY275" s="9">
        <f t="shared" si="577"/>
        <v>0.45064319578497031</v>
      </c>
      <c r="CZ275" s="5">
        <f t="shared" si="578"/>
        <v>828.43994132067587</v>
      </c>
      <c r="DA275" s="6">
        <f t="shared" si="579"/>
        <v>5.1568798826413524E-6</v>
      </c>
      <c r="DB275" s="8">
        <f t="shared" si="580"/>
        <v>25.416059325187774</v>
      </c>
      <c r="DC275" s="7">
        <f t="shared" si="581"/>
        <v>1.2906089998978468E-2</v>
      </c>
      <c r="DD275" s="9">
        <f t="shared" si="582"/>
        <v>0.46689302688076045</v>
      </c>
    </row>
    <row r="276" spans="2:108" x14ac:dyDescent="0.25">
      <c r="B276">
        <v>9</v>
      </c>
      <c r="C276">
        <f t="shared" si="490"/>
        <v>8.7985319971072631E-3</v>
      </c>
      <c r="D276" s="4">
        <f t="shared" si="491"/>
        <v>1019.8600241198353</v>
      </c>
      <c r="E276" s="6">
        <f t="shared" si="429"/>
        <v>5.5397200482396717E-6</v>
      </c>
      <c r="F276" s="8">
        <f t="shared" si="492"/>
        <v>27.617390277378107</v>
      </c>
      <c r="G276" s="7">
        <f t="shared" si="426"/>
        <v>1.3864221610511172E-2</v>
      </c>
      <c r="H276" s="9">
        <f t="shared" si="493"/>
        <v>0.42967784973651274</v>
      </c>
      <c r="I276" s="4">
        <f t="shared" si="494"/>
        <v>1019.5505391235066</v>
      </c>
      <c r="J276" s="6">
        <f t="shared" si="431"/>
        <v>5.5391010782470134E-6</v>
      </c>
      <c r="K276" s="8">
        <f t="shared" si="495"/>
        <v>27.613831199920327</v>
      </c>
      <c r="L276" s="7">
        <f t="shared" si="433"/>
        <v>1.3862672518305476E-2</v>
      </c>
      <c r="M276" s="9">
        <f t="shared" si="496"/>
        <v>0.42973322983708745</v>
      </c>
      <c r="N276" s="4">
        <f t="shared" si="497"/>
        <v>1018.6502850654757</v>
      </c>
      <c r="O276" s="6">
        <f t="shared" si="434"/>
        <v>5.5373005701309518E-6</v>
      </c>
      <c r="P276" s="8">
        <f t="shared" si="435"/>
        <v>27.603478278252972</v>
      </c>
      <c r="Q276" s="7">
        <f t="shared" si="427"/>
        <v>1.3864221610511172E-2</v>
      </c>
      <c r="R276" s="9">
        <f t="shared" si="498"/>
        <v>0.42989440497673892</v>
      </c>
      <c r="S276" s="4">
        <f t="shared" si="499"/>
        <v>1017.1502726987192</v>
      </c>
      <c r="T276" s="6">
        <f t="shared" si="436"/>
        <v>5.5343005453974383E-6</v>
      </c>
      <c r="U276" s="8">
        <f t="shared" si="437"/>
        <v>27.58622813603527</v>
      </c>
      <c r="V276" s="7">
        <f t="shared" si="438"/>
        <v>1.3850658255726234E-2</v>
      </c>
      <c r="W276" s="9">
        <f t="shared" si="500"/>
        <v>0.43016322533115176</v>
      </c>
      <c r="X276" s="4">
        <f t="shared" si="501"/>
        <v>1015.0504096608714</v>
      </c>
      <c r="Y276" s="6">
        <f t="shared" si="439"/>
        <v>5.5301008193217432E-6</v>
      </c>
      <c r="Z276" s="8">
        <f t="shared" si="440"/>
        <v>27.562079711100019</v>
      </c>
      <c r="AA276" s="7">
        <f t="shared" si="441"/>
        <v>1.3840147628382277E-2</v>
      </c>
      <c r="AB276" s="9">
        <f t="shared" si="502"/>
        <v>0.43054011141760451</v>
      </c>
      <c r="AC276" s="4">
        <f t="shared" si="503"/>
        <v>1012.3505259623182</v>
      </c>
      <c r="AD276" s="6">
        <f t="shared" si="504"/>
        <v>5.5247010519246367E-6</v>
      </c>
      <c r="AE276" s="8">
        <f t="shared" si="505"/>
        <v>27.531031048566661</v>
      </c>
      <c r="AF276" s="7">
        <f t="shared" si="506"/>
        <v>1.3826633665368482E-2</v>
      </c>
      <c r="AG276" s="9">
        <f t="shared" si="507"/>
        <v>0.4310256615084419</v>
      </c>
      <c r="AH276" s="4">
        <f t="shared" si="508"/>
        <v>1009.0506720520943</v>
      </c>
      <c r="AI276" s="6">
        <f t="shared" si="509"/>
        <v>5.5181013441041888E-6</v>
      </c>
      <c r="AJ276" s="8">
        <f t="shared" si="510"/>
        <v>27.493082728599084</v>
      </c>
      <c r="AK276" s="7">
        <f t="shared" si="511"/>
        <v>1.3810116619201791E-2</v>
      </c>
      <c r="AL276" s="9">
        <f t="shared" si="512"/>
        <v>0.43162060023825355</v>
      </c>
      <c r="AM276" s="4">
        <f t="shared" si="513"/>
        <v>1005.1508504800744</v>
      </c>
      <c r="AN276" s="6">
        <f t="shared" si="514"/>
        <v>5.5103017009601493E-6</v>
      </c>
      <c r="AO276" s="8">
        <f t="shared" si="515"/>
        <v>27.448234780520856</v>
      </c>
      <c r="AP276" s="7">
        <f t="shared" si="516"/>
        <v>1.379059650264532E-2</v>
      </c>
      <c r="AQ276" s="9">
        <f t="shared" si="517"/>
        <v>0.43232582949702963</v>
      </c>
      <c r="AR276" s="4">
        <f t="shared" si="518"/>
        <v>1000.6510613289438</v>
      </c>
      <c r="AS276" s="6">
        <f t="shared" si="519"/>
        <v>5.501302122657888E-6</v>
      </c>
      <c r="AT276" s="8">
        <f t="shared" si="520"/>
        <v>27.396487205282853</v>
      </c>
      <c r="AU276" s="7">
        <f t="shared" si="521"/>
        <v>1.3768073316112933E-2</v>
      </c>
      <c r="AV276" s="9">
        <f t="shared" si="522"/>
        <v>0.43314242372758177</v>
      </c>
      <c r="AW276" s="4">
        <f t="shared" si="523"/>
        <v>995.55130460378848</v>
      </c>
      <c r="AX276" s="6">
        <f t="shared" si="524"/>
        <v>5.4911026092075776E-6</v>
      </c>
      <c r="AY276" s="8">
        <f t="shared" si="525"/>
        <v>27.337840002943565</v>
      </c>
      <c r="AZ276" s="7">
        <f t="shared" si="526"/>
        <v>1.3742547059630093E-2</v>
      </c>
      <c r="BA276" s="9">
        <f t="shared" si="527"/>
        <v>0.43407163361992684</v>
      </c>
      <c r="BB276" s="4">
        <f t="shared" si="528"/>
        <v>989.85158030677997</v>
      </c>
      <c r="BC276" s="6">
        <f t="shared" si="529"/>
        <v>5.47970316061356E-6</v>
      </c>
      <c r="BD276" s="8">
        <f t="shared" si="530"/>
        <v>27.27229317352797</v>
      </c>
      <c r="BE276" s="7">
        <f t="shared" si="531"/>
        <v>1.3714017733207667E-2</v>
      </c>
      <c r="BF276" s="9">
        <f t="shared" si="532"/>
        <v>0.43511489093393413</v>
      </c>
      <c r="BG276" s="4">
        <f t="shared" si="533"/>
        <v>983.5518884392859</v>
      </c>
      <c r="BH276" s="6">
        <f t="shared" si="534"/>
        <v>5.4671037768785721E-6</v>
      </c>
      <c r="BI276" s="8">
        <f t="shared" si="535"/>
        <v>27.199846717051788</v>
      </c>
      <c r="BJ276" s="7">
        <f t="shared" si="536"/>
        <v>1.3682485336852504E-2</v>
      </c>
      <c r="BK276" s="9">
        <f t="shared" si="537"/>
        <v>0.43627381408288046</v>
      </c>
      <c r="BL276" s="4">
        <f t="shared" si="538"/>
        <v>976.65222900221761</v>
      </c>
      <c r="BM276" s="6">
        <f t="shared" si="539"/>
        <v>5.4533044580044357E-6</v>
      </c>
      <c r="BN276" s="8">
        <f t="shared" si="540"/>
        <v>27.120500633525502</v>
      </c>
      <c r="BO276" s="7">
        <f t="shared" si="541"/>
        <v>1.3647949870569161E-2</v>
      </c>
      <c r="BP276" s="9">
        <f t="shared" si="542"/>
        <v>0.43755021450632103</v>
      </c>
      <c r="BQ276" s="4">
        <f t="shared" si="543"/>
        <v>969.15260199619604</v>
      </c>
      <c r="BR276" s="6">
        <f t="shared" si="544"/>
        <v>5.4383052039923927E-6</v>
      </c>
      <c r="BS276" s="8">
        <f t="shared" si="545"/>
        <v>27.034254922956254</v>
      </c>
      <c r="BT276" s="7">
        <f t="shared" si="546"/>
        <v>1.361041133436075E-2</v>
      </c>
      <c r="BU276" s="9">
        <f t="shared" si="547"/>
        <v>0.43894610387953914</v>
      </c>
      <c r="BV276" s="4">
        <f t="shared" si="548"/>
        <v>961.05300741917279</v>
      </c>
      <c r="BW276" s="6">
        <f t="shared" si="549"/>
        <v>5.4221060148383459E-6</v>
      </c>
      <c r="BX276" s="8">
        <f t="shared" si="550"/>
        <v>26.941109585320486</v>
      </c>
      <c r="BY276" s="7">
        <f t="shared" si="551"/>
        <v>1.3569869728217011E-2</v>
      </c>
      <c r="BZ276" s="9">
        <f t="shared" si="552"/>
        <v>0.44046370221454023</v>
      </c>
      <c r="CA276" s="4">
        <f t="shared" si="553"/>
        <v>952.35344487090731</v>
      </c>
      <c r="CB276" s="6">
        <f t="shared" si="554"/>
        <v>5.4047068897418154E-6</v>
      </c>
      <c r="CC276" s="8">
        <f t="shared" si="555"/>
        <v>26.841064616015434</v>
      </c>
      <c r="CD276" s="7">
        <f t="shared" si="556"/>
        <v>1.3526325050134595E-2</v>
      </c>
      <c r="CE276" s="9">
        <f t="shared" si="557"/>
        <v>0.44210544698876764</v>
      </c>
      <c r="CF276" s="4">
        <f t="shared" si="558"/>
        <v>943.05387291289389</v>
      </c>
      <c r="CG276" s="6">
        <f t="shared" si="559"/>
        <v>5.3861077458257881E-6</v>
      </c>
      <c r="CH276" s="8">
        <f t="shared" si="560"/>
        <v>26.734119538498277</v>
      </c>
      <c r="CI276" s="7">
        <f t="shared" si="561"/>
        <v>1.3479777092697733E-2</v>
      </c>
      <c r="CJ276" s="9">
        <f t="shared" si="562"/>
        <v>0.44387401098545676</v>
      </c>
      <c r="CK276" s="4">
        <f t="shared" si="563"/>
        <v>933.15142536610711</v>
      </c>
      <c r="CL276" s="6">
        <f t="shared" si="564"/>
        <v>5.3663028507322148E-6</v>
      </c>
      <c r="CM276" s="8">
        <f t="shared" si="565"/>
        <v>26.620241391710231</v>
      </c>
      <c r="CN276" s="7">
        <f t="shared" si="566"/>
        <v>1.3430211509570933E-2</v>
      </c>
      <c r="CO276" s="9">
        <f t="shared" si="567"/>
        <v>0.44577284988156618</v>
      </c>
      <c r="CP276" s="4">
        <f t="shared" si="568"/>
        <v>922.51380095170032</v>
      </c>
      <c r="CQ276" s="6">
        <f t="shared" si="569"/>
        <v>5.3450276019034014E-6</v>
      </c>
      <c r="CR276" s="8">
        <f t="shared" si="570"/>
        <v>26.497908710944554</v>
      </c>
      <c r="CS276" s="7">
        <f t="shared" si="571"/>
        <v>1.337696608164084E-2</v>
      </c>
      <c r="CT276" s="9">
        <f t="shared" si="572"/>
        <v>0.44783084579110916</v>
      </c>
      <c r="CU276" s="4">
        <f t="shared" si="573"/>
        <v>907.22805422291799</v>
      </c>
      <c r="CV276" s="6">
        <f t="shared" si="574"/>
        <v>5.3144561084458368E-6</v>
      </c>
      <c r="CW276" s="8">
        <f t="shared" si="575"/>
        <v>26.322122623563558</v>
      </c>
      <c r="CX276" s="7">
        <f t="shared" si="576"/>
        <v>1.3300455002277787E-2</v>
      </c>
      <c r="CY276" s="9">
        <f t="shared" si="577"/>
        <v>0.45082157846552001</v>
      </c>
      <c r="CZ276" s="5">
        <f t="shared" si="578"/>
        <v>820.90785782748878</v>
      </c>
      <c r="DA276" s="6">
        <f t="shared" si="579"/>
        <v>5.1418157156549775E-6</v>
      </c>
      <c r="DB276" s="8">
        <f t="shared" si="580"/>
        <v>25.329440365016119</v>
      </c>
      <c r="DC276" s="7">
        <f t="shared" si="581"/>
        <v>1.2868389005488156E-2</v>
      </c>
      <c r="DD276" s="9">
        <f t="shared" si="582"/>
        <v>0.46848965862299452</v>
      </c>
    </row>
    <row r="277" spans="2:108" x14ac:dyDescent="0.25">
      <c r="B277">
        <v>10</v>
      </c>
      <c r="C277">
        <f t="shared" si="490"/>
        <v>9.7761466634525146E-3</v>
      </c>
      <c r="D277" s="4">
        <f t="shared" si="491"/>
        <v>1019.8442233793372</v>
      </c>
      <c r="E277" s="6">
        <f t="shared" si="429"/>
        <v>5.5396884467586759E-6</v>
      </c>
      <c r="F277" s="8">
        <f t="shared" si="492"/>
        <v>27.617208568862377</v>
      </c>
      <c r="G277" s="7">
        <f t="shared" si="426"/>
        <v>1.3864142521688645E-2</v>
      </c>
      <c r="H277" s="9">
        <f t="shared" si="493"/>
        <v>0.42968067681891403</v>
      </c>
      <c r="I277" s="4">
        <f t="shared" si="494"/>
        <v>1019.5339626197059</v>
      </c>
      <c r="J277" s="6">
        <f t="shared" si="431"/>
        <v>5.5390679252394126E-6</v>
      </c>
      <c r="K277" s="8">
        <f t="shared" si="495"/>
        <v>27.613640570126616</v>
      </c>
      <c r="L277" s="7">
        <f t="shared" si="433"/>
        <v>1.3862589546487329E-2</v>
      </c>
      <c r="M277" s="9">
        <f t="shared" si="496"/>
        <v>0.42973619648528244</v>
      </c>
      <c r="N277" s="4">
        <f t="shared" si="497"/>
        <v>1018.6336523851525</v>
      </c>
      <c r="O277" s="6">
        <f t="shared" si="434"/>
        <v>5.5372673047703056E-6</v>
      </c>
      <c r="P277" s="8">
        <f t="shared" si="435"/>
        <v>27.603287002429255</v>
      </c>
      <c r="Q277" s="7">
        <f t="shared" si="427"/>
        <v>1.3864142521688645E-2</v>
      </c>
      <c r="R277" s="9">
        <f t="shared" si="498"/>
        <v>0.42989738391205251</v>
      </c>
      <c r="S277" s="4">
        <f t="shared" si="499"/>
        <v>1017.1336380859118</v>
      </c>
      <c r="T277" s="6">
        <f t="shared" si="436"/>
        <v>5.534267276171824E-6</v>
      </c>
      <c r="U277" s="8">
        <f t="shared" si="437"/>
        <v>27.586036837987983</v>
      </c>
      <c r="V277" s="7">
        <f t="shared" si="438"/>
        <v>1.3850574993050013E-2</v>
      </c>
      <c r="W277" s="9">
        <f t="shared" si="500"/>
        <v>0.43016620833974789</v>
      </c>
      <c r="X277" s="4">
        <f t="shared" si="501"/>
        <v>1015.0337891231979</v>
      </c>
      <c r="Y277" s="6">
        <f t="shared" si="439"/>
        <v>5.5300675782463965E-6</v>
      </c>
      <c r="Z277" s="8">
        <f t="shared" si="440"/>
        <v>27.561888574916775</v>
      </c>
      <c r="AA277" s="7">
        <f t="shared" si="441"/>
        <v>1.3840064436157552E-2</v>
      </c>
      <c r="AB277" s="9">
        <f t="shared" si="502"/>
        <v>0.43054309712714345</v>
      </c>
      <c r="AC277" s="4">
        <f t="shared" si="503"/>
        <v>1012.3339186604184</v>
      </c>
      <c r="AD277" s="6">
        <f t="shared" si="504"/>
        <v>5.5246678373208374E-6</v>
      </c>
      <c r="AE277" s="8">
        <f t="shared" si="505"/>
        <v>27.530840064594813</v>
      </c>
      <c r="AF277" s="7">
        <f t="shared" si="506"/>
        <v>1.3826550539393925E-2</v>
      </c>
      <c r="AG277" s="9">
        <f t="shared" si="507"/>
        <v>0.43102865157313336</v>
      </c>
      <c r="AH277" s="4">
        <f t="shared" si="508"/>
        <v>1009.0340810124864</v>
      </c>
      <c r="AI277" s="6">
        <f t="shared" si="509"/>
        <v>5.518068162024974E-6</v>
      </c>
      <c r="AJ277" s="8">
        <f t="shared" si="510"/>
        <v>27.492891931643591</v>
      </c>
      <c r="AK277" s="7">
        <f t="shared" si="511"/>
        <v>1.3810033574626302E-2</v>
      </c>
      <c r="AL277" s="9">
        <f t="shared" si="512"/>
        <v>0.43162359562690378</v>
      </c>
      <c r="AM277" s="4">
        <f t="shared" si="513"/>
        <v>1005.1342792715132</v>
      </c>
      <c r="AN277" s="6">
        <f t="shared" si="514"/>
        <v>5.510268558543027E-6</v>
      </c>
      <c r="AO277" s="8">
        <f t="shared" si="515"/>
        <v>27.448044211622403</v>
      </c>
      <c r="AP277" s="7">
        <f t="shared" si="516"/>
        <v>1.3790513557331891E-2</v>
      </c>
      <c r="AQ277" s="9">
        <f t="shared" si="517"/>
        <v>0.43232883109001985</v>
      </c>
      <c r="AR277" s="4">
        <f t="shared" si="518"/>
        <v>1000.6345135512584</v>
      </c>
      <c r="AS277" s="6">
        <f t="shared" si="519"/>
        <v>5.501269027102517E-6</v>
      </c>
      <c r="AT277" s="8">
        <f t="shared" si="520"/>
        <v>27.396296905839471</v>
      </c>
      <c r="AU277" s="7">
        <f t="shared" si="521"/>
        <v>1.376799048808011E-2</v>
      </c>
      <c r="AV277" s="9">
        <f t="shared" si="522"/>
        <v>0.43314543241019404</v>
      </c>
      <c r="AW277" s="4">
        <f t="shared" si="523"/>
        <v>995.53478385863332</v>
      </c>
      <c r="AX277" s="6">
        <f t="shared" si="524"/>
        <v>5.4910695677172676E-6</v>
      </c>
      <c r="AY277" s="8">
        <f t="shared" si="525"/>
        <v>27.337650014374283</v>
      </c>
      <c r="AZ277" s="7">
        <f t="shared" si="526"/>
        <v>1.374246436690555E-2</v>
      </c>
      <c r="BA277" s="9">
        <f t="shared" si="527"/>
        <v>0.43407465028919406</v>
      </c>
      <c r="BB277" s="4">
        <f t="shared" si="528"/>
        <v>989.83509019636801</v>
      </c>
      <c r="BC277" s="6">
        <f t="shared" si="529"/>
        <v>5.4796701803927362E-6</v>
      </c>
      <c r="BD277" s="8">
        <f t="shared" si="530"/>
        <v>27.272103537258232</v>
      </c>
      <c r="BE277" s="7">
        <f t="shared" si="531"/>
        <v>1.3713935193821872E-2</v>
      </c>
      <c r="BF277" s="9">
        <f t="shared" si="532"/>
        <v>0.43511791650050663</v>
      </c>
      <c r="BG277" s="4">
        <f t="shared" si="533"/>
        <v>983.53543256617331</v>
      </c>
      <c r="BH277" s="6">
        <f t="shared" si="534"/>
        <v>5.4670708651323474E-6</v>
      </c>
      <c r="BI277" s="8">
        <f t="shared" si="535"/>
        <v>27.199657474510992</v>
      </c>
      <c r="BJ277" s="7">
        <f t="shared" si="536"/>
        <v>1.3682402968837644E-2</v>
      </c>
      <c r="BK277" s="9">
        <f t="shared" si="537"/>
        <v>0.4362768494727613</v>
      </c>
      <c r="BL277" s="4">
        <f t="shared" si="538"/>
        <v>976.63581096918858</v>
      </c>
      <c r="BM277" s="6">
        <f t="shared" si="539"/>
        <v>5.4532716219383781E-6</v>
      </c>
      <c r="BN277" s="8">
        <f t="shared" si="540"/>
        <v>27.120311826145667</v>
      </c>
      <c r="BO277" s="7">
        <f t="shared" si="541"/>
        <v>1.3647867691958568E-2</v>
      </c>
      <c r="BP277" s="9">
        <f t="shared" si="542"/>
        <v>0.43755326066265127</v>
      </c>
      <c r="BQ277" s="4">
        <f t="shared" si="543"/>
        <v>969.13622540615745</v>
      </c>
      <c r="BR277" s="6">
        <f t="shared" si="544"/>
        <v>5.4382724508123155E-6</v>
      </c>
      <c r="BS277" s="8">
        <f t="shared" si="545"/>
        <v>27.034066592170809</v>
      </c>
      <c r="BT277" s="7">
        <f t="shared" si="546"/>
        <v>1.3610329363188362E-2</v>
      </c>
      <c r="BU277" s="9">
        <f t="shared" si="547"/>
        <v>0.43894916176445742</v>
      </c>
      <c r="BV277" s="4">
        <f t="shared" si="548"/>
        <v>961.03667586956612</v>
      </c>
      <c r="BW277" s="6">
        <f t="shared" si="549"/>
        <v>5.4220733517391334E-6</v>
      </c>
      <c r="BX277" s="8">
        <f t="shared" si="550"/>
        <v>26.940921772500012</v>
      </c>
      <c r="BY277" s="7">
        <f t="shared" si="551"/>
        <v>1.3569787982489425E-2</v>
      </c>
      <c r="BZ277" s="9">
        <f t="shared" si="552"/>
        <v>0.44046677281215857</v>
      </c>
      <c r="CA277" s="4">
        <f t="shared" si="553"/>
        <v>952.33716138912553</v>
      </c>
      <c r="CB277" s="6">
        <f t="shared" si="554"/>
        <v>5.4046743227782513E-6</v>
      </c>
      <c r="CC277" s="8">
        <f t="shared" si="555"/>
        <v>26.840877355974943</v>
      </c>
      <c r="CD277" s="7">
        <f t="shared" si="556"/>
        <v>1.3526243545005074E-2</v>
      </c>
      <c r="CE277" s="9">
        <f t="shared" si="557"/>
        <v>0.44210853141416873</v>
      </c>
      <c r="CF277" s="4">
        <f t="shared" si="558"/>
        <v>943.03760167109101</v>
      </c>
      <c r="CG277" s="6">
        <f t="shared" si="559"/>
        <v>5.3860752033421826E-6</v>
      </c>
      <c r="CH277" s="8">
        <f t="shared" si="560"/>
        <v>26.733932419217545</v>
      </c>
      <c r="CI277" s="7">
        <f t="shared" si="561"/>
        <v>1.3479695648834049E-2</v>
      </c>
      <c r="CJ277" s="9">
        <f t="shared" si="562"/>
        <v>0.44387711780058475</v>
      </c>
      <c r="CK277" s="4">
        <f t="shared" si="563"/>
        <v>933.13337205513528</v>
      </c>
      <c r="CL277" s="6">
        <f t="shared" si="564"/>
        <v>5.3662667441102704E-6</v>
      </c>
      <c r="CM277" s="8">
        <f t="shared" si="565"/>
        <v>26.620033778634053</v>
      </c>
      <c r="CN277" s="7">
        <f t="shared" si="566"/>
        <v>1.3430121145761229E-2</v>
      </c>
      <c r="CO277" s="9">
        <f t="shared" si="567"/>
        <v>0.44577632652150623</v>
      </c>
      <c r="CP277" s="4">
        <f t="shared" si="568"/>
        <v>922.44170516105794</v>
      </c>
      <c r="CQ277" s="6">
        <f t="shared" si="569"/>
        <v>5.3448834103221165E-6</v>
      </c>
      <c r="CR277" s="8">
        <f t="shared" si="570"/>
        <v>26.497079609352166</v>
      </c>
      <c r="CS277" s="7">
        <f t="shared" si="571"/>
        <v>1.3376605214300993E-2</v>
      </c>
      <c r="CT277" s="9">
        <f t="shared" si="572"/>
        <v>0.44784485855299988</v>
      </c>
      <c r="CU277" s="4">
        <f t="shared" si="573"/>
        <v>906.24208752288587</v>
      </c>
      <c r="CV277" s="6">
        <f t="shared" si="574"/>
        <v>5.3124841750457722E-6</v>
      </c>
      <c r="CW277" s="8">
        <f t="shared" si="575"/>
        <v>26.310784006513188</v>
      </c>
      <c r="CX277" s="7">
        <f t="shared" si="576"/>
        <v>1.3295519857284608E-2</v>
      </c>
      <c r="CY277" s="9">
        <f t="shared" si="577"/>
        <v>0.45101585976230685</v>
      </c>
      <c r="CZ277" s="5">
        <f t="shared" si="578"/>
        <v>813.64109586438133</v>
      </c>
      <c r="DA277" s="6">
        <f t="shared" si="579"/>
        <v>5.1272821917287629E-6</v>
      </c>
      <c r="DB277" s="8">
        <f t="shared" si="580"/>
        <v>25.245872602440386</v>
      </c>
      <c r="DC277" s="7">
        <f t="shared" si="581"/>
        <v>1.283201604895965E-2</v>
      </c>
      <c r="DD277" s="9">
        <f t="shared" si="582"/>
        <v>0.47004043221587116</v>
      </c>
    </row>
    <row r="278" spans="2:108" x14ac:dyDescent="0.25">
      <c r="B278">
        <v>11</v>
      </c>
      <c r="C278">
        <f t="shared" si="490"/>
        <v>1.0753761329797766E-2</v>
      </c>
      <c r="D278" s="4">
        <f t="shared" si="491"/>
        <v>1019.8283830322838</v>
      </c>
      <c r="E278" s="6">
        <f t="shared" si="429"/>
        <v>5.5396567660645682E-6</v>
      </c>
      <c r="F278" s="8">
        <f t="shared" si="492"/>
        <v>27.617026404871261</v>
      </c>
      <c r="G278" s="7">
        <f t="shared" si="426"/>
        <v>1.3864063234619974E-2</v>
      </c>
      <c r="H278" s="9">
        <f t="shared" si="493"/>
        <v>0.42968351102509711</v>
      </c>
      <c r="I278" s="4">
        <f t="shared" si="494"/>
        <v>1019.5173904200674</v>
      </c>
      <c r="J278" s="6">
        <f t="shared" si="431"/>
        <v>5.5390347808401349E-6</v>
      </c>
      <c r="K278" s="8">
        <f t="shared" si="495"/>
        <v>27.613449989830777</v>
      </c>
      <c r="L278" s="7">
        <f t="shared" si="433"/>
        <v>1.3862506596213174E-2</v>
      </c>
      <c r="M278" s="9">
        <f t="shared" si="496"/>
        <v>0.42973916240411875</v>
      </c>
      <c r="N278" s="4">
        <f t="shared" si="497"/>
        <v>1018.6170203549293</v>
      </c>
      <c r="O278" s="6">
        <f t="shared" si="434"/>
        <v>5.5372340407098593E-6</v>
      </c>
      <c r="P278" s="8">
        <f t="shared" si="435"/>
        <v>27.603095734081684</v>
      </c>
      <c r="Q278" s="7">
        <f t="shared" si="427"/>
        <v>1.3864063234619974E-2</v>
      </c>
      <c r="R278" s="9">
        <f t="shared" si="498"/>
        <v>0.42990036277221511</v>
      </c>
      <c r="S278" s="4">
        <f t="shared" si="499"/>
        <v>1017.1170038182238</v>
      </c>
      <c r="T278" s="6">
        <f t="shared" si="436"/>
        <v>5.5342340076364484E-6</v>
      </c>
      <c r="U278" s="8">
        <f t="shared" si="437"/>
        <v>27.585845543909571</v>
      </c>
      <c r="V278" s="7">
        <f t="shared" si="438"/>
        <v>1.3850491732101247E-2</v>
      </c>
      <c r="W278" s="9">
        <f t="shared" si="500"/>
        <v>0.43016919132782622</v>
      </c>
      <c r="X278" s="4">
        <f t="shared" si="501"/>
        <v>1015.0171687210948</v>
      </c>
      <c r="Y278" s="6">
        <f t="shared" si="439"/>
        <v>5.5300343374421901E-6</v>
      </c>
      <c r="Z278" s="8">
        <f t="shared" si="440"/>
        <v>27.56169744029259</v>
      </c>
      <c r="AA278" s="7">
        <f t="shared" si="441"/>
        <v>1.3839981244611405E-2</v>
      </c>
      <c r="AB278" s="9">
        <f t="shared" si="502"/>
        <v>0.43054608285373897</v>
      </c>
      <c r="AC278" s="4">
        <f t="shared" si="503"/>
        <v>1012.3173115410559</v>
      </c>
      <c r="AD278" s="6">
        <f t="shared" si="504"/>
        <v>5.5246346230821126E-6</v>
      </c>
      <c r="AE278" s="8">
        <f t="shared" si="505"/>
        <v>27.530649082722142</v>
      </c>
      <c r="AF278" s="7">
        <f t="shared" si="506"/>
        <v>1.3826467414333039E-2</v>
      </c>
      <c r="AG278" s="9">
        <f t="shared" si="507"/>
        <v>0.4310316416464442</v>
      </c>
      <c r="AH278" s="4">
        <f t="shared" si="508"/>
        <v>1009.0174901635537</v>
      </c>
      <c r="AI278" s="6">
        <f t="shared" si="509"/>
        <v>5.5180349803271078E-6</v>
      </c>
      <c r="AJ278" s="8">
        <f t="shared" si="510"/>
        <v>27.492701136880868</v>
      </c>
      <c r="AK278" s="7">
        <f t="shared" si="511"/>
        <v>1.3809950531005213E-2</v>
      </c>
      <c r="AL278" s="9">
        <f t="shared" si="512"/>
        <v>0.43162659102270368</v>
      </c>
      <c r="AM278" s="4">
        <f t="shared" si="513"/>
        <v>1005.1177082549874</v>
      </c>
      <c r="AN278" s="6">
        <f t="shared" si="514"/>
        <v>5.5102354165099756E-6</v>
      </c>
      <c r="AO278" s="8">
        <f t="shared" si="515"/>
        <v>27.447853644932355</v>
      </c>
      <c r="AP278" s="7">
        <f t="shared" si="516"/>
        <v>1.379043061297968E-2</v>
      </c>
      <c r="AQ278" s="9">
        <f t="shared" si="517"/>
        <v>0.43233183268990516</v>
      </c>
      <c r="AR278" s="4">
        <f t="shared" si="518"/>
        <v>1000.6179659662639</v>
      </c>
      <c r="AS278" s="6">
        <f t="shared" si="519"/>
        <v>5.5012359319325282E-6</v>
      </c>
      <c r="AT278" s="8">
        <f t="shared" si="520"/>
        <v>27.396106608612033</v>
      </c>
      <c r="AU278" s="7">
        <f t="shared" si="521"/>
        <v>1.3767907661011781E-2</v>
      </c>
      <c r="AV278" s="9">
        <f t="shared" si="522"/>
        <v>0.43314844109956885</v>
      </c>
      <c r="AW278" s="4">
        <f t="shared" si="523"/>
        <v>995.51826330656922</v>
      </c>
      <c r="AX278" s="6">
        <f t="shared" si="524"/>
        <v>5.4910365266131394E-6</v>
      </c>
      <c r="AY278" s="8">
        <f t="shared" si="525"/>
        <v>27.337460028025546</v>
      </c>
      <c r="AZ278" s="7">
        <f t="shared" si="526"/>
        <v>1.37423816751475E-2</v>
      </c>
      <c r="BA278" s="9">
        <f t="shared" si="527"/>
        <v>0.43407766696513261</v>
      </c>
      <c r="BB278" s="4">
        <f t="shared" si="528"/>
        <v>989.81860027926359</v>
      </c>
      <c r="BC278" s="6">
        <f t="shared" si="529"/>
        <v>5.4796372005585279E-6</v>
      </c>
      <c r="BD278" s="8">
        <f t="shared" si="530"/>
        <v>27.27191390321153</v>
      </c>
      <c r="BE278" s="7">
        <f t="shared" si="531"/>
        <v>1.3713852655403655E-2</v>
      </c>
      <c r="BF278" s="9">
        <f t="shared" si="532"/>
        <v>0.43512094207368757</v>
      </c>
      <c r="BG278" s="4">
        <f t="shared" si="533"/>
        <v>983.51897688643965</v>
      </c>
      <c r="BH278" s="6">
        <f t="shared" si="534"/>
        <v>5.4670379537728797E-6</v>
      </c>
      <c r="BI278" s="8">
        <f t="shared" si="535"/>
        <v>27.199468234194057</v>
      </c>
      <c r="BJ278" s="7">
        <f t="shared" si="536"/>
        <v>1.3682320601790719E-2</v>
      </c>
      <c r="BK278" s="9">
        <f t="shared" si="537"/>
        <v>0.43627988486920927</v>
      </c>
      <c r="BL278" s="4">
        <f t="shared" si="538"/>
        <v>976.61939312948994</v>
      </c>
      <c r="BM278" s="6">
        <f t="shared" si="539"/>
        <v>5.4532387862589808E-6</v>
      </c>
      <c r="BN278" s="8">
        <f t="shared" si="540"/>
        <v>27.120123020989134</v>
      </c>
      <c r="BO278" s="7">
        <f t="shared" si="541"/>
        <v>1.3647785514315667E-2</v>
      </c>
      <c r="BP278" s="9">
        <f t="shared" si="542"/>
        <v>0.43755630682552477</v>
      </c>
      <c r="BQ278" s="4">
        <f t="shared" si="543"/>
        <v>969.11984900922039</v>
      </c>
      <c r="BR278" s="6">
        <f t="shared" si="544"/>
        <v>5.4382396980184413E-6</v>
      </c>
      <c r="BS278" s="8">
        <f t="shared" si="545"/>
        <v>27.033878263606034</v>
      </c>
      <c r="BT278" s="7">
        <f t="shared" si="546"/>
        <v>1.3610247392982526E-2</v>
      </c>
      <c r="BU278" s="9">
        <f t="shared" si="547"/>
        <v>0.43895221965592374</v>
      </c>
      <c r="BV278" s="4">
        <f t="shared" si="548"/>
        <v>961.02034450478027</v>
      </c>
      <c r="BW278" s="6">
        <f t="shared" si="549"/>
        <v>5.4220406890095609E-6</v>
      </c>
      <c r="BX278" s="8">
        <f t="shared" si="550"/>
        <v>26.940733961804973</v>
      </c>
      <c r="BY278" s="7">
        <f t="shared" si="551"/>
        <v>1.3569706237686935E-2</v>
      </c>
      <c r="BZ278" s="9">
        <f t="shared" si="552"/>
        <v>0.44046984341783918</v>
      </c>
      <c r="CA278" s="4">
        <f t="shared" si="553"/>
        <v>952.32087754654128</v>
      </c>
      <c r="CB278" s="6">
        <f t="shared" si="554"/>
        <v>5.4046417550930828E-6</v>
      </c>
      <c r="CC278" s="8">
        <f t="shared" si="555"/>
        <v>26.840690091785223</v>
      </c>
      <c r="CD278" s="7">
        <f t="shared" si="556"/>
        <v>1.3526162038069601E-2</v>
      </c>
      <c r="CE278" s="9">
        <f t="shared" si="557"/>
        <v>0.442111615950953</v>
      </c>
      <c r="CF278" s="4">
        <f t="shared" si="558"/>
        <v>943.02130550912602</v>
      </c>
      <c r="CG278" s="6">
        <f t="shared" si="559"/>
        <v>5.386042611018253E-6</v>
      </c>
      <c r="CH278" s="8">
        <f t="shared" si="560"/>
        <v>26.733745013354948</v>
      </c>
      <c r="CI278" s="7">
        <f t="shared" si="561"/>
        <v>1.3479614080235305E-2</v>
      </c>
      <c r="CJ278" s="9">
        <f t="shared" si="562"/>
        <v>0.4438802294175358</v>
      </c>
      <c r="CK278" s="4">
        <f t="shared" si="563"/>
        <v>933.11459227108469</v>
      </c>
      <c r="CL278" s="6">
        <f t="shared" si="564"/>
        <v>5.3662291845421701E-6</v>
      </c>
      <c r="CM278" s="8">
        <f t="shared" si="565"/>
        <v>26.619817811117471</v>
      </c>
      <c r="CN278" s="7">
        <f t="shared" si="566"/>
        <v>1.3430027145672561E-2</v>
      </c>
      <c r="CO278" s="9">
        <f t="shared" si="567"/>
        <v>0.44577994312049546</v>
      </c>
      <c r="CP278" s="4">
        <f t="shared" si="568"/>
        <v>922.35770126967964</v>
      </c>
      <c r="CQ278" s="6">
        <f t="shared" si="569"/>
        <v>5.3447154025393597E-6</v>
      </c>
      <c r="CR278" s="8">
        <f t="shared" si="570"/>
        <v>26.496113564601316</v>
      </c>
      <c r="CS278" s="7">
        <f t="shared" si="571"/>
        <v>1.3376184742307435E-2</v>
      </c>
      <c r="CT278" s="9">
        <f t="shared" si="572"/>
        <v>0.44786118691654442</v>
      </c>
      <c r="CU278" s="4">
        <f t="shared" si="573"/>
        <v>905.18183028600197</v>
      </c>
      <c r="CV278" s="6">
        <f t="shared" si="574"/>
        <v>5.3103636605720038E-6</v>
      </c>
      <c r="CW278" s="8">
        <f t="shared" si="575"/>
        <v>26.298591048289023</v>
      </c>
      <c r="CX278" s="7">
        <f t="shared" si="576"/>
        <v>1.329021285939724E-2</v>
      </c>
      <c r="CY278" s="9">
        <f t="shared" si="577"/>
        <v>0.45122496668846956</v>
      </c>
      <c r="CZ278" s="5">
        <f t="shared" si="578"/>
        <v>806.62705824856948</v>
      </c>
      <c r="DA278" s="6">
        <f t="shared" si="579"/>
        <v>5.1132541164971395E-6</v>
      </c>
      <c r="DB278" s="8">
        <f t="shared" si="580"/>
        <v>25.165211169858548</v>
      </c>
      <c r="DC278" s="7">
        <f t="shared" si="581"/>
        <v>1.2796908075616856E-2</v>
      </c>
      <c r="DD278" s="9">
        <f t="shared" si="582"/>
        <v>0.4715470412555493</v>
      </c>
    </row>
    <row r="279" spans="2:108" x14ac:dyDescent="0.25">
      <c r="B279">
        <v>12</v>
      </c>
      <c r="C279">
        <f t="shared" si="490"/>
        <v>1.1731375996143018E-2</v>
      </c>
      <c r="D279" s="4">
        <f t="shared" si="491"/>
        <v>1019.8125053205345</v>
      </c>
      <c r="E279" s="6">
        <f t="shared" si="429"/>
        <v>5.5396250106410694E-6</v>
      </c>
      <c r="F279" s="8">
        <f t="shared" si="492"/>
        <v>27.616843811186143</v>
      </c>
      <c r="G279" s="7">
        <f t="shared" si="426"/>
        <v>1.3863983760526539E-2</v>
      </c>
      <c r="H279" s="9">
        <f t="shared" si="493"/>
        <v>0.42968635195421445</v>
      </c>
      <c r="I279" s="4">
        <f t="shared" si="494"/>
        <v>1019.5008221443878</v>
      </c>
      <c r="J279" s="6">
        <f t="shared" si="431"/>
        <v>5.5390016442887758E-6</v>
      </c>
      <c r="K279" s="8">
        <f t="shared" si="495"/>
        <v>27.613259454660458</v>
      </c>
      <c r="L279" s="7">
        <f t="shared" si="433"/>
        <v>1.3862423665579958E-2</v>
      </c>
      <c r="M279" s="9">
        <f t="shared" si="496"/>
        <v>0.42974212766161163</v>
      </c>
      <c r="N279" s="4">
        <f t="shared" si="497"/>
        <v>1018.6003890074819</v>
      </c>
      <c r="O279" s="6">
        <f t="shared" si="434"/>
        <v>5.5372007780149639E-6</v>
      </c>
      <c r="P279" s="8">
        <f t="shared" si="435"/>
        <v>27.60290447358604</v>
      </c>
      <c r="Q279" s="7">
        <f t="shared" si="427"/>
        <v>1.3863983760526539E-2</v>
      </c>
      <c r="R279" s="9">
        <f t="shared" si="498"/>
        <v>0.42990334155137</v>
      </c>
      <c r="S279" s="4">
        <f t="shared" si="499"/>
        <v>1017.1003698960109</v>
      </c>
      <c r="T279" s="6">
        <f t="shared" si="436"/>
        <v>5.5342007397920221E-6</v>
      </c>
      <c r="U279" s="8">
        <f t="shared" si="437"/>
        <v>27.585654253804123</v>
      </c>
      <c r="V279" s="7">
        <f t="shared" si="438"/>
        <v>1.385040847288172E-2</v>
      </c>
      <c r="W279" s="9">
        <f t="shared" si="500"/>
        <v>0.43017217429532129</v>
      </c>
      <c r="X279" s="4">
        <f t="shared" si="501"/>
        <v>1015.0005484578309</v>
      </c>
      <c r="Y279" s="6">
        <f t="shared" si="439"/>
        <v>5.5300010969156623E-6</v>
      </c>
      <c r="Z279" s="8">
        <f t="shared" si="440"/>
        <v>27.561506307265056</v>
      </c>
      <c r="AA279" s="7">
        <f t="shared" si="441"/>
        <v>1.3839898053760203E-2</v>
      </c>
      <c r="AB279" s="9">
        <f t="shared" si="502"/>
        <v>0.43054906859680364</v>
      </c>
      <c r="AC279" s="4">
        <f t="shared" si="503"/>
        <v>1012.3007046037679</v>
      </c>
      <c r="AD279" s="6">
        <f t="shared" si="504"/>
        <v>5.5246014092075366E-6</v>
      </c>
      <c r="AE279" s="8">
        <f t="shared" si="505"/>
        <v>27.530458102943328</v>
      </c>
      <c r="AF279" s="7">
        <f t="shared" si="506"/>
        <v>1.3826384290183506E-2</v>
      </c>
      <c r="AG279" s="9">
        <f t="shared" si="507"/>
        <v>0.43103463172845724</v>
      </c>
      <c r="AH279" s="4">
        <f t="shared" si="508"/>
        <v>1009.0008995052115</v>
      </c>
      <c r="AI279" s="6">
        <f t="shared" si="509"/>
        <v>5.5180017990104234E-6</v>
      </c>
      <c r="AJ279" s="8">
        <f t="shared" si="510"/>
        <v>27.492510344309931</v>
      </c>
      <c r="AK279" s="7">
        <f t="shared" si="511"/>
        <v>1.3809867488338104E-2</v>
      </c>
      <c r="AL279" s="9">
        <f t="shared" si="512"/>
        <v>0.43162958642566812</v>
      </c>
      <c r="AM279" s="4">
        <f t="shared" si="513"/>
        <v>1005.101137430487</v>
      </c>
      <c r="AN279" s="6">
        <f t="shared" si="514"/>
        <v>5.510202274860974E-6</v>
      </c>
      <c r="AO279" s="8">
        <f t="shared" si="515"/>
        <v>27.447663080450599</v>
      </c>
      <c r="AP279" s="7">
        <f t="shared" si="516"/>
        <v>1.3790347669588624E-2</v>
      </c>
      <c r="AQ279" s="9">
        <f t="shared" si="517"/>
        <v>0.43233483429668684</v>
      </c>
      <c r="AR279" s="4">
        <f t="shared" si="518"/>
        <v>1000.6014185739556</v>
      </c>
      <c r="AS279" s="6">
        <f t="shared" si="519"/>
        <v>5.5012028371479114E-6</v>
      </c>
      <c r="AT279" s="8">
        <f t="shared" si="520"/>
        <v>27.395916313600488</v>
      </c>
      <c r="AU279" s="7">
        <f t="shared" si="521"/>
        <v>1.376782483490792E-2</v>
      </c>
      <c r="AV279" s="9">
        <f t="shared" si="522"/>
        <v>0.43315144979570652</v>
      </c>
      <c r="AW279" s="4">
        <f t="shared" si="523"/>
        <v>995.50174294759188</v>
      </c>
      <c r="AX279" s="6">
        <f t="shared" si="524"/>
        <v>5.4910034858951845E-6</v>
      </c>
      <c r="AY279" s="8">
        <f t="shared" si="525"/>
        <v>27.337270043897306</v>
      </c>
      <c r="AZ279" s="7">
        <f t="shared" si="526"/>
        <v>1.3742298984355925E-2</v>
      </c>
      <c r="BA279" s="9">
        <f t="shared" si="527"/>
        <v>0.43408068364774266</v>
      </c>
      <c r="BB279" s="4">
        <f t="shared" si="528"/>
        <v>989.8021105554626</v>
      </c>
      <c r="BC279" s="6">
        <f t="shared" si="529"/>
        <v>5.4796042211109257E-6</v>
      </c>
      <c r="BD279" s="8">
        <f t="shared" si="530"/>
        <v>27.271724271387818</v>
      </c>
      <c r="BE279" s="7">
        <f t="shared" si="531"/>
        <v>1.3713770117952995E-2</v>
      </c>
      <c r="BF279" s="9">
        <f t="shared" si="532"/>
        <v>0.43512396765347705</v>
      </c>
      <c r="BG279" s="4">
        <f t="shared" si="533"/>
        <v>983.50252140008104</v>
      </c>
      <c r="BH279" s="6">
        <f t="shared" si="534"/>
        <v>5.4670050428001622E-6</v>
      </c>
      <c r="BI279" s="8">
        <f t="shared" si="535"/>
        <v>27.199278996100929</v>
      </c>
      <c r="BJ279" s="7">
        <f t="shared" si="536"/>
        <v>1.3682238235711712E-2</v>
      </c>
      <c r="BK279" s="9">
        <f t="shared" si="537"/>
        <v>0.43628292027222471</v>
      </c>
      <c r="BL279" s="4">
        <f t="shared" si="538"/>
        <v>976.60297548311689</v>
      </c>
      <c r="BM279" s="6">
        <f t="shared" si="539"/>
        <v>5.4532059509662345E-6</v>
      </c>
      <c r="BN279" s="8">
        <f t="shared" si="540"/>
        <v>27.119934218055846</v>
      </c>
      <c r="BO279" s="7">
        <f t="shared" si="541"/>
        <v>1.3647703337640435E-2</v>
      </c>
      <c r="BP279" s="9">
        <f t="shared" si="542"/>
        <v>0.43755935299494181</v>
      </c>
      <c r="BQ279" s="4">
        <f t="shared" si="543"/>
        <v>969.10347280526832</v>
      </c>
      <c r="BR279" s="6">
        <f t="shared" si="544"/>
        <v>5.4382069456105371E-6</v>
      </c>
      <c r="BS279" s="8">
        <f t="shared" si="545"/>
        <v>27.033689937260583</v>
      </c>
      <c r="BT279" s="7">
        <f t="shared" si="546"/>
        <v>1.3610165423742653E-2</v>
      </c>
      <c r="BU279" s="9">
        <f t="shared" si="547"/>
        <v>0.43895527755395941</v>
      </c>
      <c r="BV279" s="4">
        <f t="shared" si="548"/>
        <v>961.00401331723049</v>
      </c>
      <c r="BW279" s="6">
        <f t="shared" si="549"/>
        <v>5.4220080266344616E-6</v>
      </c>
      <c r="BX279" s="8">
        <f t="shared" si="550"/>
        <v>26.940546153148148</v>
      </c>
      <c r="BY279" s="7">
        <f t="shared" si="551"/>
        <v>1.3569624493771582E-2</v>
      </c>
      <c r="BZ279" s="9">
        <f t="shared" si="552"/>
        <v>0.44047291403300765</v>
      </c>
      <c r="CA279" s="4">
        <f t="shared" si="553"/>
        <v>952.30459300594612</v>
      </c>
      <c r="CB279" s="6">
        <f t="shared" si="554"/>
        <v>5.4046091860118923E-6</v>
      </c>
      <c r="CC279" s="8">
        <f t="shared" si="555"/>
        <v>26.840502819568378</v>
      </c>
      <c r="CD279" s="7">
        <f t="shared" si="556"/>
        <v>1.3526080527640313E-2</v>
      </c>
      <c r="CE279" s="9">
        <f t="shared" si="557"/>
        <v>0.44211470066300063</v>
      </c>
      <c r="CF279" s="4">
        <f t="shared" si="558"/>
        <v>943.00497496331491</v>
      </c>
      <c r="CG279" s="6">
        <f t="shared" si="559"/>
        <v>5.3860099499266305E-6</v>
      </c>
      <c r="CH279" s="8">
        <f t="shared" si="560"/>
        <v>26.733557212078118</v>
      </c>
      <c r="CI279" s="7">
        <f t="shared" si="561"/>
        <v>1.3479532339532101E-2</v>
      </c>
      <c r="CJ279" s="9">
        <f t="shared" si="562"/>
        <v>0.44388334764356102</v>
      </c>
      <c r="CK279" s="4">
        <f t="shared" si="563"/>
        <v>933.09494004532326</v>
      </c>
      <c r="CL279" s="6">
        <f t="shared" si="564"/>
        <v>5.3661898800906462E-6</v>
      </c>
      <c r="CM279" s="8">
        <f t="shared" si="565"/>
        <v>26.619591810521214</v>
      </c>
      <c r="CN279" s="7">
        <f t="shared" si="566"/>
        <v>1.342992877867541E-2</v>
      </c>
      <c r="CO279" s="9">
        <f t="shared" si="567"/>
        <v>0.44578372779659653</v>
      </c>
      <c r="CP279" s="4">
        <f t="shared" si="568"/>
        <v>922.26107440890678</v>
      </c>
      <c r="CQ279" s="6">
        <f t="shared" si="569"/>
        <v>5.3445221488178134E-6</v>
      </c>
      <c r="CR279" s="8">
        <f t="shared" si="570"/>
        <v>26.495002355702425</v>
      </c>
      <c r="CS279" s="7">
        <f t="shared" si="571"/>
        <v>1.3375701087465813E-2</v>
      </c>
      <c r="CT279" s="9">
        <f t="shared" si="572"/>
        <v>0.44787997035840599</v>
      </c>
      <c r="CU279" s="4">
        <f t="shared" si="573"/>
        <v>904.05259415468811</v>
      </c>
      <c r="CV279" s="6">
        <f t="shared" si="574"/>
        <v>5.3081051883093769E-6</v>
      </c>
      <c r="CW279" s="8">
        <f t="shared" si="575"/>
        <v>26.285604832778912</v>
      </c>
      <c r="CX279" s="7">
        <f t="shared" si="576"/>
        <v>1.3284560595442097E-2</v>
      </c>
      <c r="CY279" s="9">
        <f t="shared" si="577"/>
        <v>0.45144789116360479</v>
      </c>
      <c r="CZ279" s="5">
        <f t="shared" si="578"/>
        <v>799.85378956064596</v>
      </c>
      <c r="DA279" s="6">
        <f t="shared" si="579"/>
        <v>5.0997075791212927E-6</v>
      </c>
      <c r="DB279" s="8">
        <f t="shared" si="580"/>
        <v>25.087318579947429</v>
      </c>
      <c r="DC279" s="7">
        <f t="shared" si="581"/>
        <v>1.2763005243957792E-2</v>
      </c>
      <c r="DD279" s="9">
        <f t="shared" si="582"/>
        <v>0.4730111283875108</v>
      </c>
    </row>
    <row r="280" spans="2:108" x14ac:dyDescent="0.25">
      <c r="B280">
        <v>13</v>
      </c>
      <c r="C280">
        <f t="shared" si="490"/>
        <v>1.2708990662488269E-2</v>
      </c>
      <c r="D280" s="4">
        <f t="shared" si="491"/>
        <v>1019.7965923520793</v>
      </c>
      <c r="E280" s="6">
        <f t="shared" si="429"/>
        <v>5.5395931847041589E-6</v>
      </c>
      <c r="F280" s="8">
        <f t="shared" si="492"/>
        <v>27.616660812048913</v>
      </c>
      <c r="G280" s="7">
        <f t="shared" si="426"/>
        <v>1.3863904109959642E-2</v>
      </c>
      <c r="H280" s="9">
        <f t="shared" si="493"/>
        <v>0.42968919922935112</v>
      </c>
      <c r="I280" s="4">
        <f t="shared" si="494"/>
        <v>1019.48425743922</v>
      </c>
      <c r="J280" s="6">
        <f t="shared" si="431"/>
        <v>5.5389685148784398E-6</v>
      </c>
      <c r="K280" s="8">
        <f t="shared" si="495"/>
        <v>27.613068960551029</v>
      </c>
      <c r="L280" s="7">
        <f t="shared" si="433"/>
        <v>1.3862340752818531E-2</v>
      </c>
      <c r="M280" s="9">
        <f t="shared" si="496"/>
        <v>0.42974509232099117</v>
      </c>
      <c r="N280" s="4">
        <f t="shared" si="497"/>
        <v>1018.5837583706349</v>
      </c>
      <c r="O280" s="6">
        <f t="shared" si="434"/>
        <v>5.5371675167412703E-6</v>
      </c>
      <c r="P280" s="8">
        <f t="shared" si="435"/>
        <v>27.602713221262299</v>
      </c>
      <c r="Q280" s="7">
        <f t="shared" si="427"/>
        <v>1.3863904109959642E-2</v>
      </c>
      <c r="R280" s="9">
        <f t="shared" si="498"/>
        <v>0.42990632024452952</v>
      </c>
      <c r="S280" s="4">
        <f t="shared" si="499"/>
        <v>1017.0837363200366</v>
      </c>
      <c r="T280" s="6">
        <f t="shared" si="436"/>
        <v>5.5341674726400741E-6</v>
      </c>
      <c r="U280" s="8">
        <f t="shared" si="437"/>
        <v>27.585462967680421</v>
      </c>
      <c r="V280" s="7">
        <f t="shared" si="438"/>
        <v>1.385032521539525E-2</v>
      </c>
      <c r="W280" s="9">
        <f t="shared" si="500"/>
        <v>0.43017515724209443</v>
      </c>
      <c r="X280" s="4">
        <f t="shared" si="501"/>
        <v>1014.9839283365816</v>
      </c>
      <c r="Y280" s="6">
        <f t="shared" si="439"/>
        <v>5.529967856673164E-6</v>
      </c>
      <c r="Z280" s="8">
        <f t="shared" si="440"/>
        <v>27.561315175870689</v>
      </c>
      <c r="AA280" s="7">
        <f t="shared" si="441"/>
        <v>1.3839814863619841E-2</v>
      </c>
      <c r="AB280" s="9">
        <f t="shared" si="502"/>
        <v>0.43055205435576682</v>
      </c>
      <c r="AC280" s="4">
        <f t="shared" si="503"/>
        <v>1012.2840978481437</v>
      </c>
      <c r="AD280" s="6">
        <f t="shared" si="504"/>
        <v>5.5245681956962877E-6</v>
      </c>
      <c r="AE280" s="8">
        <f t="shared" si="505"/>
        <v>27.530267125253651</v>
      </c>
      <c r="AF280" s="7">
        <f t="shared" si="506"/>
        <v>1.3826301166943267E-2</v>
      </c>
      <c r="AG280" s="9">
        <f t="shared" si="507"/>
        <v>0.43103762181924582</v>
      </c>
      <c r="AH280" s="4">
        <f t="shared" si="508"/>
        <v>1008.984309037371</v>
      </c>
      <c r="AI280" s="6">
        <f t="shared" si="509"/>
        <v>5.517968618074742E-6</v>
      </c>
      <c r="AJ280" s="8">
        <f t="shared" si="510"/>
        <v>27.492319553929764</v>
      </c>
      <c r="AK280" s="7">
        <f t="shared" si="511"/>
        <v>1.3809784446624529E-2</v>
      </c>
      <c r="AL280" s="9">
        <f t="shared" si="512"/>
        <v>0.43163258183581255</v>
      </c>
      <c r="AM280" s="4">
        <f t="shared" si="513"/>
        <v>1005.0845667980012</v>
      </c>
      <c r="AN280" s="6">
        <f t="shared" si="514"/>
        <v>5.5101691335960028E-6</v>
      </c>
      <c r="AO280" s="8">
        <f t="shared" si="515"/>
        <v>27.447472518177015</v>
      </c>
      <c r="AP280" s="7">
        <f t="shared" si="516"/>
        <v>1.379026472715868E-2</v>
      </c>
      <c r="AQ280" s="9">
        <f t="shared" si="517"/>
        <v>0.43233783591036612</v>
      </c>
      <c r="AR280" s="4">
        <f t="shared" si="518"/>
        <v>1000.5848713743285</v>
      </c>
      <c r="AS280" s="6">
        <f t="shared" si="519"/>
        <v>5.5011697427486574E-6</v>
      </c>
      <c r="AT280" s="8">
        <f t="shared" si="520"/>
        <v>27.395726020804776</v>
      </c>
      <c r="AU280" s="7">
        <f t="shared" si="521"/>
        <v>1.3767742009768503E-2</v>
      </c>
      <c r="AV280" s="9">
        <f t="shared" si="522"/>
        <v>0.43315445849860729</v>
      </c>
      <c r="AW280" s="4">
        <f t="shared" si="523"/>
        <v>995.48522278169696</v>
      </c>
      <c r="AX280" s="6">
        <f t="shared" si="524"/>
        <v>5.4909704455633945E-6</v>
      </c>
      <c r="AY280" s="8">
        <f t="shared" si="525"/>
        <v>27.337080061989514</v>
      </c>
      <c r="AZ280" s="7">
        <f t="shared" si="526"/>
        <v>1.3742216294530801E-2</v>
      </c>
      <c r="BA280" s="9">
        <f t="shared" si="527"/>
        <v>0.43408370033702431</v>
      </c>
      <c r="BB280" s="4">
        <f t="shared" si="528"/>
        <v>989.78562102496107</v>
      </c>
      <c r="BC280" s="6">
        <f t="shared" si="529"/>
        <v>5.4795712420499229E-6</v>
      </c>
      <c r="BD280" s="8">
        <f t="shared" si="530"/>
        <v>27.271534641787049</v>
      </c>
      <c r="BE280" s="7">
        <f t="shared" si="531"/>
        <v>1.3713687581469876E-2</v>
      </c>
      <c r="BF280" s="9">
        <f t="shared" si="532"/>
        <v>0.4351269932398753</v>
      </c>
      <c r="BG280" s="4">
        <f t="shared" si="533"/>
        <v>983.48606610709362</v>
      </c>
      <c r="BH280" s="6">
        <f t="shared" si="534"/>
        <v>5.4669721322141872E-6</v>
      </c>
      <c r="BI280" s="8">
        <f t="shared" si="535"/>
        <v>27.199089760231576</v>
      </c>
      <c r="BJ280" s="7">
        <f t="shared" si="536"/>
        <v>1.3682155870600603E-2</v>
      </c>
      <c r="BK280" s="9">
        <f t="shared" si="537"/>
        <v>0.43628595568180756</v>
      </c>
      <c r="BL280" s="4">
        <f t="shared" si="538"/>
        <v>976.58655803006286</v>
      </c>
      <c r="BM280" s="6">
        <f t="shared" si="539"/>
        <v>5.4531731160601258E-6</v>
      </c>
      <c r="BN280" s="8">
        <f t="shared" si="540"/>
        <v>27.119745417345722</v>
      </c>
      <c r="BO280" s="7">
        <f t="shared" si="541"/>
        <v>1.3647621161932837E-2</v>
      </c>
      <c r="BP280" s="9">
        <f t="shared" si="542"/>
        <v>0.43756239917090306</v>
      </c>
      <c r="BQ280" s="4">
        <f t="shared" si="543"/>
        <v>969.08709679408014</v>
      </c>
      <c r="BR280" s="6">
        <f t="shared" si="544"/>
        <v>5.4381741935881608E-6</v>
      </c>
      <c r="BS280" s="8">
        <f t="shared" si="545"/>
        <v>27.033501613131921</v>
      </c>
      <c r="BT280" s="7">
        <f t="shared" si="546"/>
        <v>1.3610083455467638E-2</v>
      </c>
      <c r="BU280" s="9">
        <f t="shared" si="547"/>
        <v>0.43895833545860491</v>
      </c>
      <c r="BV280" s="4">
        <f t="shared" si="548"/>
        <v>960.98768229478367</v>
      </c>
      <c r="BW280" s="6">
        <f t="shared" si="549"/>
        <v>5.4219753645895679E-6</v>
      </c>
      <c r="BX280" s="8">
        <f t="shared" si="550"/>
        <v>26.940358346390013</v>
      </c>
      <c r="BY280" s="7">
        <f t="shared" si="551"/>
        <v>1.3569542750682633E-2</v>
      </c>
      <c r="BZ280" s="9">
        <f t="shared" si="552"/>
        <v>0.44047598465994464</v>
      </c>
      <c r="CA280" s="4">
        <f t="shared" si="553"/>
        <v>952.28830730649122</v>
      </c>
      <c r="CB280" s="6">
        <f t="shared" si="554"/>
        <v>5.4045766146129825E-6</v>
      </c>
      <c r="CC280" s="8">
        <f t="shared" si="555"/>
        <v>26.840315534024647</v>
      </c>
      <c r="CD280" s="7">
        <f t="shared" si="556"/>
        <v>1.3525999011410482E-2</v>
      </c>
      <c r="CE280" s="9">
        <f t="shared" si="557"/>
        <v>0.44211778563761656</v>
      </c>
      <c r="CF280" s="4">
        <f t="shared" si="558"/>
        <v>942.98859878566986</v>
      </c>
      <c r="CG280" s="6">
        <f t="shared" si="559"/>
        <v>5.3859771975713398E-6</v>
      </c>
      <c r="CH280" s="8">
        <f t="shared" si="560"/>
        <v>26.733368886035201</v>
      </c>
      <c r="CI280" s="7">
        <f t="shared" si="561"/>
        <v>1.3479450370423904E-2</v>
      </c>
      <c r="CJ280" s="9">
        <f t="shared" si="562"/>
        <v>0.44388647462672332</v>
      </c>
      <c r="CK280" s="4">
        <f t="shared" si="563"/>
        <v>933.07426330388557</v>
      </c>
      <c r="CL280" s="6">
        <f t="shared" si="564"/>
        <v>5.3661485266077718E-6</v>
      </c>
      <c r="CM280" s="8">
        <f t="shared" si="565"/>
        <v>26.619354027994682</v>
      </c>
      <c r="CN280" s="7">
        <f t="shared" si="566"/>
        <v>1.3429825283580721E-2</v>
      </c>
      <c r="CO280" s="9">
        <f t="shared" si="567"/>
        <v>0.44578770984593441</v>
      </c>
      <c r="CP280" s="4">
        <f t="shared" si="568"/>
        <v>922.15120035552434</v>
      </c>
      <c r="CQ280" s="6">
        <f t="shared" si="569"/>
        <v>5.3443024007110495E-6</v>
      </c>
      <c r="CR280" s="8">
        <f t="shared" si="570"/>
        <v>26.49373880408853</v>
      </c>
      <c r="CS280" s="7">
        <f t="shared" si="571"/>
        <v>1.3375151125297302E-2</v>
      </c>
      <c r="CT280" s="9">
        <f t="shared" si="572"/>
        <v>0.44790133085658113</v>
      </c>
      <c r="CU280" s="4">
        <f t="shared" si="573"/>
        <v>902.85937594149584</v>
      </c>
      <c r="CV280" s="6">
        <f t="shared" si="574"/>
        <v>5.3057187518829918E-6</v>
      </c>
      <c r="CW280" s="8">
        <f t="shared" si="575"/>
        <v>26.271882823327203</v>
      </c>
      <c r="CX280" s="7">
        <f t="shared" si="576"/>
        <v>1.3278588076400217E-2</v>
      </c>
      <c r="CY280" s="9">
        <f t="shared" si="577"/>
        <v>0.45168368592072822</v>
      </c>
      <c r="CZ280" s="5">
        <f t="shared" si="578"/>
        <v>793.30994373737053</v>
      </c>
      <c r="DA280" s="6">
        <f t="shared" si="579"/>
        <v>5.0866198874747412E-6</v>
      </c>
      <c r="DB280" s="8">
        <f t="shared" si="580"/>
        <v>25.01206435297976</v>
      </c>
      <c r="DC280" s="7">
        <f t="shared" si="581"/>
        <v>1.2730250762543973E-2</v>
      </c>
      <c r="DD280" s="9">
        <f t="shared" si="582"/>
        <v>0.474434285081479</v>
      </c>
    </row>
    <row r="281" spans="2:108" x14ac:dyDescent="0.25">
      <c r="B281">
        <v>14</v>
      </c>
      <c r="C281">
        <f t="shared" si="490"/>
        <v>1.368660532883352E-2</v>
      </c>
      <c r="D281" s="4">
        <f t="shared" si="491"/>
        <v>1019.78064610924</v>
      </c>
      <c r="E281" s="6">
        <f t="shared" si="429"/>
        <v>5.5395612922184804E-6</v>
      </c>
      <c r="F281" s="8">
        <f t="shared" si="492"/>
        <v>27.616477430256261</v>
      </c>
      <c r="G281" s="7">
        <f t="shared" si="426"/>
        <v>1.3863824292841574E-2</v>
      </c>
      <c r="H281" s="9">
        <f t="shared" si="493"/>
        <v>0.42969205249605891</v>
      </c>
      <c r="I281" s="4">
        <f t="shared" si="494"/>
        <v>1019.467695976102</v>
      </c>
      <c r="J281" s="6">
        <f t="shared" si="431"/>
        <v>5.5389353919522046E-6</v>
      </c>
      <c r="K281" s="8">
        <f t="shared" si="495"/>
        <v>27.61287850372517</v>
      </c>
      <c r="L281" s="7">
        <f t="shared" si="433"/>
        <v>1.3862257856284824E-2</v>
      </c>
      <c r="M281" s="9">
        <f t="shared" si="496"/>
        <v>0.42974805644101949</v>
      </c>
      <c r="N281" s="4">
        <f t="shared" si="497"/>
        <v>1018.5671284677816</v>
      </c>
      <c r="O281" s="6">
        <f t="shared" si="434"/>
        <v>5.5371342569355636E-6</v>
      </c>
      <c r="P281" s="8">
        <f t="shared" si="435"/>
        <v>27.602521977379489</v>
      </c>
      <c r="Q281" s="7">
        <f t="shared" si="427"/>
        <v>1.3863824292841574E-2</v>
      </c>
      <c r="R281" s="9">
        <f t="shared" si="498"/>
        <v>0.42990929884749901</v>
      </c>
      <c r="S281" s="4">
        <f t="shared" si="499"/>
        <v>1017.0671030914041</v>
      </c>
      <c r="T281" s="6">
        <f t="shared" si="436"/>
        <v>5.5341342061828082E-6</v>
      </c>
      <c r="U281" s="8">
        <f t="shared" si="437"/>
        <v>27.585271685551145</v>
      </c>
      <c r="V281" s="7">
        <f t="shared" si="438"/>
        <v>1.3850241959647357E-2</v>
      </c>
      <c r="W281" s="9">
        <f t="shared" si="500"/>
        <v>0.4301781401679462</v>
      </c>
      <c r="X281" s="4">
        <f t="shared" si="501"/>
        <v>1014.9673083604371</v>
      </c>
      <c r="Y281" s="6">
        <f t="shared" si="439"/>
        <v>5.5299346167208746E-6</v>
      </c>
      <c r="Z281" s="8">
        <f t="shared" si="440"/>
        <v>27.561124046145025</v>
      </c>
      <c r="AA281" s="7">
        <f t="shared" si="441"/>
        <v>1.3839731674205782E-2</v>
      </c>
      <c r="AB281" s="9">
        <f t="shared" si="502"/>
        <v>0.43055504013007329</v>
      </c>
      <c r="AC281" s="4">
        <f t="shared" si="503"/>
        <v>1012.267491273822</v>
      </c>
      <c r="AD281" s="6">
        <f t="shared" si="504"/>
        <v>5.5245349825476443E-6</v>
      </c>
      <c r="AE281" s="8">
        <f t="shared" si="505"/>
        <v>27.530076149648952</v>
      </c>
      <c r="AF281" s="7">
        <f t="shared" si="506"/>
        <v>1.382621804461052E-2</v>
      </c>
      <c r="AG281" s="9">
        <f t="shared" si="507"/>
        <v>0.43104061191887455</v>
      </c>
      <c r="AH281" s="4">
        <f t="shared" si="508"/>
        <v>1008.9677187599407</v>
      </c>
      <c r="AI281" s="6">
        <f t="shared" si="509"/>
        <v>5.5179354375198816E-6</v>
      </c>
      <c r="AJ281" s="8">
        <f t="shared" si="510"/>
        <v>27.492128765739317</v>
      </c>
      <c r="AK281" s="7">
        <f t="shared" si="511"/>
        <v>1.3809701405864032E-2</v>
      </c>
      <c r="AL281" s="9">
        <f t="shared" si="512"/>
        <v>0.43163557725315282</v>
      </c>
      <c r="AM281" s="4">
        <f t="shared" si="513"/>
        <v>1005.0679963575183</v>
      </c>
      <c r="AN281" s="6">
        <f t="shared" si="514"/>
        <v>5.5101359927150374E-6</v>
      </c>
      <c r="AO281" s="8">
        <f t="shared" si="515"/>
        <v>27.447281958111461</v>
      </c>
      <c r="AP281" s="7">
        <f t="shared" si="516"/>
        <v>1.3790181785689784E-2</v>
      </c>
      <c r="AQ281" s="9">
        <f t="shared" si="517"/>
        <v>0.43234083753094477</v>
      </c>
      <c r="AR281" s="4">
        <f t="shared" si="518"/>
        <v>1000.5683243673776</v>
      </c>
      <c r="AS281" s="6">
        <f t="shared" si="519"/>
        <v>5.5011366487347559E-6</v>
      </c>
      <c r="AT281" s="8">
        <f t="shared" si="520"/>
        <v>27.395535730224843</v>
      </c>
      <c r="AU281" s="7">
        <f t="shared" si="521"/>
        <v>1.3767659185593506E-2</v>
      </c>
      <c r="AV281" s="9">
        <f t="shared" si="522"/>
        <v>0.43315746720827153</v>
      </c>
      <c r="AW281" s="4">
        <f t="shared" si="523"/>
        <v>995.46870280888015</v>
      </c>
      <c r="AX281" s="6">
        <f t="shared" si="524"/>
        <v>5.4909374056177609E-6</v>
      </c>
      <c r="AY281" s="8">
        <f t="shared" si="525"/>
        <v>27.336890082302119</v>
      </c>
      <c r="AZ281" s="7">
        <f t="shared" si="526"/>
        <v>1.374213360567211E-2</v>
      </c>
      <c r="BA281" s="9">
        <f t="shared" si="527"/>
        <v>0.43408671703297785</v>
      </c>
      <c r="BB281" s="4">
        <f t="shared" si="528"/>
        <v>989.76913168775479</v>
      </c>
      <c r="BC281" s="6">
        <f t="shared" si="529"/>
        <v>5.4795382633755102E-6</v>
      </c>
      <c r="BD281" s="8">
        <f t="shared" si="530"/>
        <v>27.271345014409178</v>
      </c>
      <c r="BE281" s="7">
        <f t="shared" si="531"/>
        <v>1.3713605045954272E-2</v>
      </c>
      <c r="BF281" s="9">
        <f t="shared" si="532"/>
        <v>0.43513001883288238</v>
      </c>
      <c r="BG281" s="4">
        <f t="shared" si="533"/>
        <v>983.4696110074733</v>
      </c>
      <c r="BH281" s="6">
        <f t="shared" si="534"/>
        <v>5.4669392220149471E-6</v>
      </c>
      <c r="BI281" s="8">
        <f t="shared" si="535"/>
        <v>27.198900526585945</v>
      </c>
      <c r="BJ281" s="7">
        <f t="shared" si="536"/>
        <v>1.3682073506457372E-2</v>
      </c>
      <c r="BK281" s="9">
        <f t="shared" si="537"/>
        <v>0.43628899109795793</v>
      </c>
      <c r="BL281" s="4">
        <f t="shared" si="538"/>
        <v>976.5701407703184</v>
      </c>
      <c r="BM281" s="6">
        <f t="shared" si="539"/>
        <v>5.4531402815406377E-6</v>
      </c>
      <c r="BN281" s="8">
        <f t="shared" si="540"/>
        <v>27.11955661885866</v>
      </c>
      <c r="BO281" s="7">
        <f t="shared" si="541"/>
        <v>1.3647538987192835E-2</v>
      </c>
      <c r="BP281" s="9">
        <f t="shared" si="542"/>
        <v>0.43756544535340969</v>
      </c>
      <c r="BQ281" s="4">
        <f t="shared" si="543"/>
        <v>969.07072097526884</v>
      </c>
      <c r="BR281" s="6">
        <f t="shared" si="544"/>
        <v>5.4381414419505374E-6</v>
      </c>
      <c r="BS281" s="8">
        <f t="shared" si="545"/>
        <v>27.033313291215592</v>
      </c>
      <c r="BT281" s="7">
        <f t="shared" si="546"/>
        <v>1.3610001488155542E-2</v>
      </c>
      <c r="BU281" s="9">
        <f t="shared" si="547"/>
        <v>0.43896139336993201</v>
      </c>
      <c r="BV281" s="4">
        <f t="shared" si="548"/>
        <v>960.97135141913827</v>
      </c>
      <c r="BW281" s="6">
        <f t="shared" si="549"/>
        <v>5.421942702838277E-6</v>
      </c>
      <c r="BX281" s="8">
        <f t="shared" si="550"/>
        <v>26.940170541320089</v>
      </c>
      <c r="BY281" s="7">
        <f t="shared" si="551"/>
        <v>1.356946100832848E-2</v>
      </c>
      <c r="BZ281" s="9">
        <f t="shared" si="552"/>
        <v>0.44047905530209114</v>
      </c>
      <c r="CA281" s="4">
        <f t="shared" si="553"/>
        <v>952.27201984196745</v>
      </c>
      <c r="CB281" s="6">
        <f t="shared" si="554"/>
        <v>5.4045440396839349E-6</v>
      </c>
      <c r="CC281" s="8">
        <f t="shared" si="555"/>
        <v>26.840128228182625</v>
      </c>
      <c r="CD281" s="7">
        <f t="shared" si="556"/>
        <v>1.3525917486345797E-2</v>
      </c>
      <c r="CE281" s="9">
        <f t="shared" si="557"/>
        <v>0.44212087098964648</v>
      </c>
      <c r="CF281" s="4">
        <f t="shared" si="558"/>
        <v>942.9721639054311</v>
      </c>
      <c r="CG281" s="6">
        <f t="shared" si="559"/>
        <v>5.3859443278108629E-6</v>
      </c>
      <c r="CH281" s="8">
        <f t="shared" si="560"/>
        <v>26.733179884912456</v>
      </c>
      <c r="CI281" s="7">
        <f t="shared" si="561"/>
        <v>1.3479368107486506E-2</v>
      </c>
      <c r="CJ281" s="9">
        <f t="shared" si="562"/>
        <v>0.44388961286326817</v>
      </c>
      <c r="CK281" s="4">
        <f t="shared" si="563"/>
        <v>933.05240526669513</v>
      </c>
      <c r="CL281" s="6">
        <f t="shared" si="564"/>
        <v>5.3661048105333915E-6</v>
      </c>
      <c r="CM281" s="8">
        <f t="shared" si="565"/>
        <v>26.619102660566995</v>
      </c>
      <c r="CN281" s="7">
        <f t="shared" si="566"/>
        <v>1.342971587564352E-2</v>
      </c>
      <c r="CO281" s="9">
        <f t="shared" si="567"/>
        <v>0.44579191947355962</v>
      </c>
      <c r="CP281" s="4">
        <f t="shared" si="568"/>
        <v>922.0275386736846</v>
      </c>
      <c r="CQ281" s="6">
        <f t="shared" si="569"/>
        <v>5.3440550773473697E-6</v>
      </c>
      <c r="CR281" s="8">
        <f t="shared" si="570"/>
        <v>26.492316694747373</v>
      </c>
      <c r="CS281" s="7">
        <f t="shared" si="571"/>
        <v>1.3374532150711283E-2</v>
      </c>
      <c r="CT281" s="9">
        <f t="shared" si="572"/>
        <v>0.44792537423013229</v>
      </c>
      <c r="CU281" s="4">
        <f t="shared" si="573"/>
        <v>901.60687551876151</v>
      </c>
      <c r="CV281" s="6">
        <f t="shared" si="574"/>
        <v>5.3032137510375235E-6</v>
      </c>
      <c r="CW281" s="8">
        <f t="shared" si="575"/>
        <v>26.257479068465756</v>
      </c>
      <c r="CX281" s="7">
        <f t="shared" si="576"/>
        <v>1.3272318826951929E-2</v>
      </c>
      <c r="CY281" s="9">
        <f t="shared" si="577"/>
        <v>0.45193146070024731</v>
      </c>
      <c r="CZ281" s="5">
        <f t="shared" si="578"/>
        <v>786.98475315388578</v>
      </c>
      <c r="DA281" s="6">
        <f t="shared" si="579"/>
        <v>5.0739695063077721E-6</v>
      </c>
      <c r="DB281" s="8">
        <f t="shared" si="580"/>
        <v>24.939324661269687</v>
      </c>
      <c r="DC281" s="7">
        <f t="shared" si="581"/>
        <v>1.2698590735244935E-2</v>
      </c>
      <c r="DD281" s="9">
        <f t="shared" si="582"/>
        <v>0.47581805164702318</v>
      </c>
    </row>
    <row r="282" spans="2:108" x14ac:dyDescent="0.25">
      <c r="B282">
        <v>15</v>
      </c>
      <c r="C282">
        <f t="shared" si="490"/>
        <v>1.4664219995178772E-2</v>
      </c>
      <c r="D282" s="4">
        <f t="shared" si="491"/>
        <v>1019.7646684563612</v>
      </c>
      <c r="E282" s="6">
        <f t="shared" si="429"/>
        <v>5.5395293369127227E-6</v>
      </c>
      <c r="F282" s="8">
        <f t="shared" si="492"/>
        <v>27.616293687248152</v>
      </c>
      <c r="G282" s="7">
        <f t="shared" si="426"/>
        <v>1.3863744318504099E-2</v>
      </c>
      <c r="H282" s="9">
        <f t="shared" si="493"/>
        <v>0.42969491142098126</v>
      </c>
      <c r="I282" s="4">
        <f t="shared" si="494"/>
        <v>1019.4511374499018</v>
      </c>
      <c r="J282" s="6">
        <f t="shared" si="431"/>
        <v>5.538902274899804E-6</v>
      </c>
      <c r="K282" s="8">
        <f t="shared" si="495"/>
        <v>27.61268808067387</v>
      </c>
      <c r="L282" s="7">
        <f t="shared" si="433"/>
        <v>1.3862174974451523E-2</v>
      </c>
      <c r="M282" s="9">
        <f t="shared" si="496"/>
        <v>0.42975102007628596</v>
      </c>
      <c r="N282" s="4">
        <f t="shared" si="497"/>
        <v>1018.5504993182723</v>
      </c>
      <c r="O282" s="6">
        <f t="shared" si="434"/>
        <v>5.5371009986365447E-6</v>
      </c>
      <c r="P282" s="8">
        <f t="shared" si="435"/>
        <v>27.602330742160131</v>
      </c>
      <c r="Q282" s="7">
        <f t="shared" si="427"/>
        <v>1.3863744318504099E-2</v>
      </c>
      <c r="R282" s="9">
        <f t="shared" si="498"/>
        <v>0.42991227735680815</v>
      </c>
      <c r="S282" s="4">
        <f t="shared" si="499"/>
        <v>1017.0504702114952</v>
      </c>
      <c r="T282" s="6">
        <f t="shared" si="436"/>
        <v>5.534100940422991E-6</v>
      </c>
      <c r="U282" s="8">
        <f t="shared" si="437"/>
        <v>27.585080407432194</v>
      </c>
      <c r="V282" s="7">
        <f t="shared" si="438"/>
        <v>1.3850158705644964E-2</v>
      </c>
      <c r="W282" s="9">
        <f t="shared" si="500"/>
        <v>0.4301811230726269</v>
      </c>
      <c r="X282" s="4">
        <f t="shared" si="501"/>
        <v>1014.9506885324096</v>
      </c>
      <c r="Y282" s="6">
        <f t="shared" si="439"/>
        <v>5.5299013770648196E-6</v>
      </c>
      <c r="Z282" s="8">
        <f t="shared" si="440"/>
        <v>27.56093291812271</v>
      </c>
      <c r="AA282" s="7">
        <f t="shared" si="441"/>
        <v>1.3839648485533106E-2</v>
      </c>
      <c r="AB282" s="9">
        <f t="shared" si="502"/>
        <v>0.43055802591918146</v>
      </c>
      <c r="AC282" s="4">
        <f t="shared" si="503"/>
        <v>1012.2508848804888</v>
      </c>
      <c r="AD282" s="6">
        <f t="shared" si="504"/>
        <v>5.524501769760978E-6</v>
      </c>
      <c r="AE282" s="8">
        <f t="shared" si="505"/>
        <v>27.529885176125621</v>
      </c>
      <c r="AF282" s="7">
        <f t="shared" si="506"/>
        <v>1.3826134923183691E-2</v>
      </c>
      <c r="AG282" s="9">
        <f t="shared" si="507"/>
        <v>0.43104360202739955</v>
      </c>
      <c r="AH282" s="4">
        <f t="shared" si="508"/>
        <v>1008.9511286728269</v>
      </c>
      <c r="AI282" s="6">
        <f t="shared" si="509"/>
        <v>5.517902257345654E-6</v>
      </c>
      <c r="AJ282" s="8">
        <f t="shared" si="510"/>
        <v>27.491937979737507</v>
      </c>
      <c r="AK282" s="7">
        <f t="shared" si="511"/>
        <v>1.3809618366056143E-2</v>
      </c>
      <c r="AL282" s="9">
        <f t="shared" si="512"/>
        <v>0.43163857267770545</v>
      </c>
      <c r="AM282" s="4">
        <f t="shared" si="513"/>
        <v>1005.0514261090253</v>
      </c>
      <c r="AN282" s="6">
        <f t="shared" si="514"/>
        <v>5.5101028522180514E-6</v>
      </c>
      <c r="AO282" s="8">
        <f t="shared" si="515"/>
        <v>27.44709140025379</v>
      </c>
      <c r="AP282" s="7">
        <f t="shared" si="516"/>
        <v>1.3790098845181871E-2</v>
      </c>
      <c r="AQ282" s="9">
        <f t="shared" si="517"/>
        <v>0.43234383915842439</v>
      </c>
      <c r="AR282" s="4">
        <f t="shared" si="518"/>
        <v>1000.5517775530978</v>
      </c>
      <c r="AS282" s="6">
        <f t="shared" si="519"/>
        <v>5.5011035551061959E-6</v>
      </c>
      <c r="AT282" s="8">
        <f t="shared" si="520"/>
        <v>27.395345441860627</v>
      </c>
      <c r="AU282" s="7">
        <f t="shared" si="521"/>
        <v>1.37675763623829E-2</v>
      </c>
      <c r="AV282" s="9">
        <f t="shared" si="522"/>
        <v>0.43316047592469958</v>
      </c>
      <c r="AW282" s="4">
        <f t="shared" si="523"/>
        <v>995.45218302913702</v>
      </c>
      <c r="AX282" s="6">
        <f t="shared" si="524"/>
        <v>5.4909043660582744E-6</v>
      </c>
      <c r="AY282" s="8">
        <f t="shared" si="525"/>
        <v>27.336700104835074</v>
      </c>
      <c r="AZ282" s="7">
        <f t="shared" si="526"/>
        <v>1.3742050917779827E-2</v>
      </c>
      <c r="BA282" s="9">
        <f t="shared" si="527"/>
        <v>0.43408973373560339</v>
      </c>
      <c r="BB282" s="4">
        <f t="shared" si="528"/>
        <v>989.75264254383967</v>
      </c>
      <c r="BC282" s="6">
        <f t="shared" si="529"/>
        <v>5.47950528508768E-6</v>
      </c>
      <c r="BD282" s="8">
        <f t="shared" si="530"/>
        <v>27.271155389254154</v>
      </c>
      <c r="BE282" s="7">
        <f t="shared" si="531"/>
        <v>1.3713522511406168E-2</v>
      </c>
      <c r="BF282" s="9">
        <f t="shared" si="532"/>
        <v>0.43513304443249851</v>
      </c>
      <c r="BG282" s="4">
        <f t="shared" si="533"/>
        <v>983.453156101216</v>
      </c>
      <c r="BH282" s="6">
        <f t="shared" si="534"/>
        <v>5.4669063122024326E-6</v>
      </c>
      <c r="BI282" s="8">
        <f t="shared" si="535"/>
        <v>27.198711295163982</v>
      </c>
      <c r="BJ282" s="7">
        <f t="shared" si="536"/>
        <v>1.3681991143281997E-2</v>
      </c>
      <c r="BK282" s="9">
        <f t="shared" si="537"/>
        <v>0.43629202652067617</v>
      </c>
      <c r="BL282" s="4">
        <f t="shared" si="538"/>
        <v>976.55372370386863</v>
      </c>
      <c r="BM282" s="6">
        <f t="shared" si="539"/>
        <v>5.453107447407737E-6</v>
      </c>
      <c r="BN282" s="8">
        <f t="shared" si="540"/>
        <v>27.119367822594491</v>
      </c>
      <c r="BO282" s="7">
        <f t="shared" si="541"/>
        <v>1.364745681342034E-2</v>
      </c>
      <c r="BP282" s="9">
        <f t="shared" si="542"/>
        <v>0.43756849154246363</v>
      </c>
      <c r="BQ282" s="4">
        <f t="shared" si="543"/>
        <v>969.05434534819847</v>
      </c>
      <c r="BR282" s="6">
        <f t="shared" si="544"/>
        <v>5.4381086906963971E-6</v>
      </c>
      <c r="BS282" s="8">
        <f t="shared" si="545"/>
        <v>27.033124971504282</v>
      </c>
      <c r="BT282" s="7">
        <f t="shared" si="546"/>
        <v>1.3609919521803189E-2</v>
      </c>
      <c r="BU282" s="9">
        <f t="shared" si="547"/>
        <v>0.43896445128805883</v>
      </c>
      <c r="BV282" s="4">
        <f t="shared" si="548"/>
        <v>960.9550206639409</v>
      </c>
      <c r="BW282" s="6">
        <f t="shared" si="549"/>
        <v>5.4219100413278822E-6</v>
      </c>
      <c r="BX282" s="8">
        <f t="shared" si="550"/>
        <v>26.939982737635319</v>
      </c>
      <c r="BY282" s="7">
        <f t="shared" si="551"/>
        <v>1.3569379266577218E-2</v>
      </c>
      <c r="BZ282" s="9">
        <f t="shared" si="552"/>
        <v>0.44048212596440212</v>
      </c>
      <c r="CA282" s="4">
        <f t="shared" si="553"/>
        <v>952.25572983911422</v>
      </c>
      <c r="CB282" s="6">
        <f t="shared" si="554"/>
        <v>5.4045114596782284E-6</v>
      </c>
      <c r="CC282" s="8">
        <f t="shared" si="555"/>
        <v>26.839940893149812</v>
      </c>
      <c r="CD282" s="7">
        <f t="shared" si="556"/>
        <v>1.3525835948575793E-2</v>
      </c>
      <c r="CE282" s="9">
        <f t="shared" si="557"/>
        <v>0.44212395686558797</v>
      </c>
      <c r="CF282" s="4">
        <f t="shared" si="558"/>
        <v>942.95565541087274</v>
      </c>
      <c r="CG282" s="6">
        <f t="shared" si="559"/>
        <v>5.3859113108217466E-6</v>
      </c>
      <c r="CH282" s="8">
        <f t="shared" si="560"/>
        <v>26.732990037225036</v>
      </c>
      <c r="CI282" s="7">
        <f t="shared" si="561"/>
        <v>1.3479285476080941E-2</v>
      </c>
      <c r="CJ282" s="9">
        <f t="shared" si="562"/>
        <v>0.4438927652011232</v>
      </c>
      <c r="CK282" s="4">
        <f t="shared" si="563"/>
        <v>933.02920571337143</v>
      </c>
      <c r="CL282" s="6">
        <f t="shared" si="564"/>
        <v>5.366058411426743E-6</v>
      </c>
      <c r="CM282" s="8">
        <f t="shared" si="565"/>
        <v>26.618835865703772</v>
      </c>
      <c r="CN282" s="7">
        <f t="shared" si="566"/>
        <v>1.3429599752898778E-2</v>
      </c>
      <c r="CO282" s="9">
        <f t="shared" si="567"/>
        <v>0.44579638755002932</v>
      </c>
      <c r="CP282" s="4">
        <f t="shared" si="568"/>
        <v>921.88962630653918</v>
      </c>
      <c r="CQ282" s="6">
        <f t="shared" si="569"/>
        <v>5.3437792526130792E-6</v>
      </c>
      <c r="CR282" s="8">
        <f t="shared" si="570"/>
        <v>26.490730702525198</v>
      </c>
      <c r="CS282" s="7">
        <f t="shared" si="571"/>
        <v>1.3373841845928993E-2</v>
      </c>
      <c r="CT282" s="9">
        <f t="shared" si="572"/>
        <v>0.44795219138997666</v>
      </c>
      <c r="CU282" s="4">
        <f t="shared" si="573"/>
        <v>900.29951271068512</v>
      </c>
      <c r="CV282" s="6">
        <f t="shared" si="574"/>
        <v>5.3005990254213708E-6</v>
      </c>
      <c r="CW282" s="8">
        <f t="shared" si="575"/>
        <v>26.242444396172878</v>
      </c>
      <c r="CX282" s="7">
        <f t="shared" si="576"/>
        <v>1.3265774970028232E-2</v>
      </c>
      <c r="CY282" s="9">
        <f t="shared" si="577"/>
        <v>0.45219037870757522</v>
      </c>
      <c r="CZ282" s="5">
        <f t="shared" si="578"/>
        <v>780.86799914737298</v>
      </c>
      <c r="DA282" s="6">
        <f t="shared" si="579"/>
        <v>5.061735998294746E-6</v>
      </c>
      <c r="DB282" s="8">
        <f t="shared" si="580"/>
        <v>24.86898199019479</v>
      </c>
      <c r="DC282" s="7">
        <f t="shared" si="581"/>
        <v>1.2667974013697706E-2</v>
      </c>
      <c r="DD282" s="9">
        <f t="shared" si="582"/>
        <v>0.47716391746138187</v>
      </c>
    </row>
    <row r="283" spans="2:108" x14ac:dyDescent="0.25">
      <c r="B283">
        <v>16</v>
      </c>
      <c r="C283">
        <f t="shared" si="490"/>
        <v>1.5641834661524023E-2</v>
      </c>
      <c r="D283" s="4">
        <f t="shared" si="491"/>
        <v>1019.7486611470249</v>
      </c>
      <c r="E283" s="6">
        <f t="shared" si="429"/>
        <v>5.5394973222940503E-6</v>
      </c>
      <c r="F283" s="8">
        <f t="shared" si="492"/>
        <v>27.616109603190786</v>
      </c>
      <c r="G283" s="7">
        <f t="shared" si="426"/>
        <v>1.3863664195724575E-2</v>
      </c>
      <c r="H283" s="9">
        <f t="shared" si="493"/>
        <v>0.42969777569056378</v>
      </c>
      <c r="I283" s="4">
        <f t="shared" si="494"/>
        <v>1019.4345815772679</v>
      </c>
      <c r="J283" s="6">
        <f t="shared" si="431"/>
        <v>5.5388691631545357E-6</v>
      </c>
      <c r="K283" s="8">
        <f t="shared" si="495"/>
        <v>27.612497688138582</v>
      </c>
      <c r="L283" s="7">
        <f t="shared" si="433"/>
        <v>1.3862092105900347E-2</v>
      </c>
      <c r="M283" s="9">
        <f t="shared" si="496"/>
        <v>0.42975398327748487</v>
      </c>
      <c r="N283" s="4">
        <f t="shared" si="497"/>
        <v>1018.5338709377737</v>
      </c>
      <c r="O283" s="6">
        <f t="shared" si="434"/>
        <v>5.537067741875548E-6</v>
      </c>
      <c r="P283" s="8">
        <f t="shared" si="435"/>
        <v>27.602139515784398</v>
      </c>
      <c r="Q283" s="7">
        <f t="shared" si="427"/>
        <v>1.3863664195724575E-2</v>
      </c>
      <c r="R283" s="9">
        <f t="shared" si="498"/>
        <v>0.42991525576964584</v>
      </c>
      <c r="S283" s="4">
        <f t="shared" si="499"/>
        <v>1017.033837681915</v>
      </c>
      <c r="T283" s="6">
        <f t="shared" si="436"/>
        <v>5.5340676753638301E-6</v>
      </c>
      <c r="U283" s="8">
        <f t="shared" si="437"/>
        <v>27.584889133342021</v>
      </c>
      <c r="V283" s="7">
        <f t="shared" si="438"/>
        <v>1.38500754533961E-2</v>
      </c>
      <c r="W283" s="9">
        <f t="shared" si="500"/>
        <v>0.43018410595584711</v>
      </c>
      <c r="X283" s="4">
        <f t="shared" si="501"/>
        <v>1014.9340688554397</v>
      </c>
      <c r="Y283" s="6">
        <f t="shared" si="439"/>
        <v>5.5298681377108802E-6</v>
      </c>
      <c r="Z283" s="8">
        <f t="shared" si="440"/>
        <v>27.560741791837557</v>
      </c>
      <c r="AA283" s="7">
        <f t="shared" si="441"/>
        <v>1.3839565297616534E-2</v>
      </c>
      <c r="AB283" s="9">
        <f t="shared" si="502"/>
        <v>0.43056101172256284</v>
      </c>
      <c r="AC283" s="4">
        <f t="shared" si="503"/>
        <v>1012.2342786678748</v>
      </c>
      <c r="AD283" s="6">
        <f t="shared" si="504"/>
        <v>5.5244685573357499E-6</v>
      </c>
      <c r="AE283" s="8">
        <f t="shared" si="505"/>
        <v>27.52969420468056</v>
      </c>
      <c r="AF283" s="7">
        <f t="shared" si="506"/>
        <v>1.3826051802661431E-2</v>
      </c>
      <c r="AG283" s="9">
        <f t="shared" si="507"/>
        <v>0.43104659214486879</v>
      </c>
      <c r="AH283" s="4">
        <f t="shared" si="508"/>
        <v>1008.9345387759344</v>
      </c>
      <c r="AI283" s="6">
        <f t="shared" si="509"/>
        <v>5.5178690775518696E-6</v>
      </c>
      <c r="AJ283" s="8">
        <f t="shared" si="510"/>
        <v>27.491747195923246</v>
      </c>
      <c r="AK283" s="7">
        <f t="shared" si="511"/>
        <v>1.3809535327200388E-2</v>
      </c>
      <c r="AL283" s="9">
        <f t="shared" si="512"/>
        <v>0.4316415681094869</v>
      </c>
      <c r="AM283" s="4">
        <f t="shared" si="513"/>
        <v>1005.0348560525089</v>
      </c>
      <c r="AN283" s="6">
        <f t="shared" si="514"/>
        <v>5.5100697121050179E-6</v>
      </c>
      <c r="AO283" s="8">
        <f t="shared" si="515"/>
        <v>27.446900844603853</v>
      </c>
      <c r="AP283" s="7">
        <f t="shared" si="516"/>
        <v>1.3790015905634874E-2</v>
      </c>
      <c r="AQ283" s="9">
        <f t="shared" si="517"/>
        <v>0.43234684079280689</v>
      </c>
      <c r="AR283" s="4">
        <f t="shared" si="518"/>
        <v>1000.5352309314841</v>
      </c>
      <c r="AS283" s="6">
        <f t="shared" si="519"/>
        <v>5.5010704618629682E-6</v>
      </c>
      <c r="AT283" s="8">
        <f t="shared" si="520"/>
        <v>27.395155155712068</v>
      </c>
      <c r="AU283" s="7">
        <f t="shared" si="521"/>
        <v>1.3767493540136662E-2</v>
      </c>
      <c r="AV283" s="9">
        <f t="shared" si="522"/>
        <v>0.43316348464789178</v>
      </c>
      <c r="AW283" s="4">
        <f t="shared" si="523"/>
        <v>995.43566344246324</v>
      </c>
      <c r="AX283" s="6">
        <f t="shared" si="524"/>
        <v>5.4908713268849273E-6</v>
      </c>
      <c r="AY283" s="8">
        <f t="shared" si="525"/>
        <v>27.336510129588326</v>
      </c>
      <c r="AZ283" s="7">
        <f t="shared" si="526"/>
        <v>1.3741968230853928E-2</v>
      </c>
      <c r="BA283" s="9">
        <f t="shared" si="527"/>
        <v>0.4340927504449012</v>
      </c>
      <c r="BB283" s="4">
        <f t="shared" si="528"/>
        <v>989.73615359321161</v>
      </c>
      <c r="BC283" s="6">
        <f t="shared" si="529"/>
        <v>5.4794723071864237E-6</v>
      </c>
      <c r="BD283" s="8">
        <f t="shared" si="530"/>
        <v>27.270965766321932</v>
      </c>
      <c r="BE283" s="7">
        <f t="shared" si="531"/>
        <v>1.3713439977825537E-2</v>
      </c>
      <c r="BF283" s="9">
        <f t="shared" si="532"/>
        <v>0.43513607003872379</v>
      </c>
      <c r="BG283" s="4">
        <f t="shared" si="533"/>
        <v>983.4367013883176</v>
      </c>
      <c r="BH283" s="6">
        <f t="shared" si="534"/>
        <v>5.4668734027766352E-6</v>
      </c>
      <c r="BI283" s="8">
        <f t="shared" si="535"/>
        <v>27.198522065965651</v>
      </c>
      <c r="BJ283" s="7">
        <f t="shared" si="536"/>
        <v>1.3681908781074456E-2</v>
      </c>
      <c r="BK283" s="9">
        <f t="shared" si="537"/>
        <v>0.4362950619499622</v>
      </c>
      <c r="BL283" s="4">
        <f t="shared" si="538"/>
        <v>976.53730683069</v>
      </c>
      <c r="BM283" s="6">
        <f t="shared" si="539"/>
        <v>5.4530746136613808E-6</v>
      </c>
      <c r="BN283" s="8">
        <f t="shared" si="540"/>
        <v>27.119179028552935</v>
      </c>
      <c r="BO283" s="7">
        <f t="shared" si="541"/>
        <v>1.3647374640615249E-2</v>
      </c>
      <c r="BP283" s="9">
        <f t="shared" si="542"/>
        <v>0.43757153773806895</v>
      </c>
      <c r="BQ283" s="4">
        <f t="shared" si="543"/>
        <v>969.03796991187664</v>
      </c>
      <c r="BR283" s="6">
        <f t="shared" si="544"/>
        <v>5.4380759398237545E-6</v>
      </c>
      <c r="BS283" s="8">
        <f t="shared" si="545"/>
        <v>27.032936653986582</v>
      </c>
      <c r="BT283" s="7">
        <f t="shared" si="546"/>
        <v>1.3609837556405604E-2</v>
      </c>
      <c r="BU283" s="9">
        <f t="shared" si="547"/>
        <v>0.43896750921317013</v>
      </c>
      <c r="BV283" s="4">
        <f t="shared" si="548"/>
        <v>960.93868999264805</v>
      </c>
      <c r="BW283" s="6">
        <f t="shared" si="549"/>
        <v>5.4218773799852966E-6</v>
      </c>
      <c r="BX283" s="8">
        <f t="shared" si="550"/>
        <v>26.939794934915454</v>
      </c>
      <c r="BY283" s="7">
        <f t="shared" si="551"/>
        <v>1.3569297525245931E-2</v>
      </c>
      <c r="BZ283" s="9">
        <f t="shared" si="552"/>
        <v>0.44048519665374875</v>
      </c>
      <c r="CA283" s="4">
        <f t="shared" si="553"/>
        <v>952.23943633623833</v>
      </c>
      <c r="CB283" s="6">
        <f t="shared" si="554"/>
        <v>5.4044788726724774E-6</v>
      </c>
      <c r="CC283" s="8">
        <f t="shared" si="555"/>
        <v>26.83975351786674</v>
      </c>
      <c r="CD283" s="7">
        <f t="shared" si="556"/>
        <v>1.3525754393286821E-2</v>
      </c>
      <c r="CE283" s="9">
        <f t="shared" si="557"/>
        <v>0.44212704344764303</v>
      </c>
      <c r="CF283" s="4">
        <f t="shared" si="558"/>
        <v>942.93905654897389</v>
      </c>
      <c r="CG283" s="6">
        <f t="shared" si="559"/>
        <v>5.3858781130979484E-6</v>
      </c>
      <c r="CH283" s="8">
        <f t="shared" si="560"/>
        <v>26.732799150313198</v>
      </c>
      <c r="CI283" s="7">
        <f t="shared" si="561"/>
        <v>1.3479202392351855E-2</v>
      </c>
      <c r="CJ283" s="9">
        <f t="shared" si="562"/>
        <v>0.4438959348399874</v>
      </c>
      <c r="CK283" s="4">
        <f t="shared" si="563"/>
        <v>933.00450212572935</v>
      </c>
      <c r="CL283" s="6">
        <f t="shared" si="564"/>
        <v>5.3660090042514595E-6</v>
      </c>
      <c r="CM283" s="8">
        <f t="shared" si="565"/>
        <v>26.618551774445887</v>
      </c>
      <c r="CN283" s="7">
        <f t="shared" si="566"/>
        <v>1.3429476101880078E-2</v>
      </c>
      <c r="CO283" s="9">
        <f t="shared" si="567"/>
        <v>0.44580114539176213</v>
      </c>
      <c r="CP283" s="4">
        <f t="shared" si="568"/>
        <v>921.73707158989578</v>
      </c>
      <c r="CQ283" s="6">
        <f t="shared" si="569"/>
        <v>5.3434741431797926E-6</v>
      </c>
      <c r="CR283" s="8">
        <f t="shared" si="570"/>
        <v>26.488976323283801</v>
      </c>
      <c r="CS283" s="7">
        <f t="shared" si="571"/>
        <v>1.3373078250519529E-2</v>
      </c>
      <c r="CT283" s="9">
        <f t="shared" si="572"/>
        <v>0.44798185950610625</v>
      </c>
      <c r="CU283" s="4">
        <f t="shared" si="573"/>
        <v>898.94144324291108</v>
      </c>
      <c r="CV283" s="6">
        <f t="shared" si="574"/>
        <v>5.2978828864858222E-6</v>
      </c>
      <c r="CW283" s="8">
        <f t="shared" si="575"/>
        <v>26.226826597293474</v>
      </c>
      <c r="CX283" s="7">
        <f t="shared" si="576"/>
        <v>1.3258977306644621E-2</v>
      </c>
      <c r="CY283" s="9">
        <f t="shared" si="577"/>
        <v>0.45245965331324117</v>
      </c>
      <c r="CZ283" s="5">
        <f t="shared" si="578"/>
        <v>774.94998393293156</v>
      </c>
      <c r="DA283" s="6">
        <f t="shared" si="579"/>
        <v>5.0498999678658635E-6</v>
      </c>
      <c r="DB283" s="8">
        <f t="shared" si="580"/>
        <v>24.800924815228711</v>
      </c>
      <c r="DC283" s="7">
        <f t="shared" si="581"/>
        <v>1.263835205673493E-2</v>
      </c>
      <c r="DD283" s="9">
        <f t="shared" si="582"/>
        <v>0.4784733213832158</v>
      </c>
    </row>
    <row r="284" spans="2:108" x14ac:dyDescent="0.25">
      <c r="B284">
        <v>17</v>
      </c>
      <c r="C284">
        <f t="shared" si="490"/>
        <v>1.6619449327869275E-2</v>
      </c>
      <c r="D284" s="4">
        <f t="shared" si="491"/>
        <v>1019.7326258308178</v>
      </c>
      <c r="E284" s="6">
        <f t="shared" si="429"/>
        <v>5.5394652516616364E-6</v>
      </c>
      <c r="F284" s="8">
        <f t="shared" si="492"/>
        <v>27.615925197054402</v>
      </c>
      <c r="G284" s="7">
        <f t="shared" si="426"/>
        <v>1.386358393275982E-2</v>
      </c>
      <c r="H284" s="9">
        <f t="shared" si="493"/>
        <v>0.42970064500984467</v>
      </c>
      <c r="I284" s="4">
        <f t="shared" si="494"/>
        <v>1019.4180280951816</v>
      </c>
      <c r="J284" s="6">
        <f t="shared" si="431"/>
        <v>5.5388360561903636E-6</v>
      </c>
      <c r="K284" s="8">
        <f t="shared" si="495"/>
        <v>27.612307323094587</v>
      </c>
      <c r="L284" s="7">
        <f t="shared" si="433"/>
        <v>1.3862009249314793E-2</v>
      </c>
      <c r="M284" s="9">
        <f t="shared" si="496"/>
        <v>0.42975694609167409</v>
      </c>
      <c r="N284" s="4">
        <f t="shared" si="497"/>
        <v>1018.5172433386017</v>
      </c>
      <c r="O284" s="6">
        <f t="shared" si="434"/>
        <v>5.5370344866772042E-6</v>
      </c>
      <c r="P284" s="8">
        <f t="shared" si="435"/>
        <v>27.601948298393921</v>
      </c>
      <c r="Q284" s="7">
        <f t="shared" si="427"/>
        <v>1.386358393275982E-2</v>
      </c>
      <c r="R284" s="9">
        <f t="shared" si="498"/>
        <v>0.42991823408380131</v>
      </c>
      <c r="S284" s="4">
        <f t="shared" si="499"/>
        <v>1017.0172055044427</v>
      </c>
      <c r="T284" s="6">
        <f t="shared" si="436"/>
        <v>5.5340344110088857E-6</v>
      </c>
      <c r="U284" s="8">
        <f t="shared" si="437"/>
        <v>27.584697863301088</v>
      </c>
      <c r="V284" s="7">
        <f t="shared" si="438"/>
        <v>1.3849992202909674E-2</v>
      </c>
      <c r="W284" s="9">
        <f t="shared" si="500"/>
        <v>0.43018708881728579</v>
      </c>
      <c r="X284" s="4">
        <f t="shared" si="501"/>
        <v>1014.9174493324018</v>
      </c>
      <c r="Y284" s="6">
        <f t="shared" si="439"/>
        <v>5.5298348986648041E-6</v>
      </c>
      <c r="Z284" s="8">
        <f t="shared" si="440"/>
        <v>27.560550667322619</v>
      </c>
      <c r="AA284" s="7">
        <f t="shared" si="441"/>
        <v>1.3839482110470451E-2</v>
      </c>
      <c r="AB284" s="9">
        <f t="shared" si="502"/>
        <v>0.43056399753970093</v>
      </c>
      <c r="AC284" s="4">
        <f t="shared" si="503"/>
        <v>1012.2176726357533</v>
      </c>
      <c r="AD284" s="6">
        <f t="shared" si="504"/>
        <v>5.5244353452715069E-6</v>
      </c>
      <c r="AE284" s="8">
        <f t="shared" si="505"/>
        <v>27.529503235311161</v>
      </c>
      <c r="AF284" s="7">
        <f t="shared" si="506"/>
        <v>1.3825968683042608E-2</v>
      </c>
      <c r="AG284" s="9">
        <f t="shared" si="507"/>
        <v>0.43104958227132256</v>
      </c>
      <c r="AH284" s="4">
        <f t="shared" si="508"/>
        <v>1008.9179490691666</v>
      </c>
      <c r="AI284" s="6">
        <f t="shared" si="509"/>
        <v>5.5178358981383335E-6</v>
      </c>
      <c r="AJ284" s="8">
        <f t="shared" si="510"/>
        <v>27.491556414295417</v>
      </c>
      <c r="AK284" s="7">
        <f t="shared" si="511"/>
        <v>1.3809452289296276E-2</v>
      </c>
      <c r="AL284" s="9">
        <f t="shared" si="512"/>
        <v>0.4316445635485141</v>
      </c>
      <c r="AM284" s="4">
        <f t="shared" si="513"/>
        <v>1005.0182861879542</v>
      </c>
      <c r="AN284" s="6">
        <f t="shared" si="514"/>
        <v>5.5100365723759089E-6</v>
      </c>
      <c r="AO284" s="8">
        <f t="shared" si="515"/>
        <v>27.446710291161473</v>
      </c>
      <c r="AP284" s="7">
        <f t="shared" si="516"/>
        <v>1.3789932967048722E-2</v>
      </c>
      <c r="AQ284" s="9">
        <f t="shared" si="517"/>
        <v>0.43234984243409436</v>
      </c>
      <c r="AR284" s="4">
        <f t="shared" si="518"/>
        <v>1000.518684502531</v>
      </c>
      <c r="AS284" s="6">
        <f t="shared" si="519"/>
        <v>5.5010373690050626E-6</v>
      </c>
      <c r="AT284" s="8">
        <f t="shared" si="520"/>
        <v>27.394964871779106</v>
      </c>
      <c r="AU284" s="7">
        <f t="shared" si="521"/>
        <v>1.3767410718854768E-2</v>
      </c>
      <c r="AV284" s="9">
        <f t="shared" si="522"/>
        <v>0.43316649337784857</v>
      </c>
      <c r="AW284" s="4">
        <f t="shared" si="523"/>
        <v>995.41914404885449</v>
      </c>
      <c r="AX284" s="6">
        <f t="shared" si="524"/>
        <v>5.4908382880977095E-6</v>
      </c>
      <c r="AY284" s="8">
        <f t="shared" si="525"/>
        <v>27.336320156561825</v>
      </c>
      <c r="AZ284" s="7">
        <f t="shared" si="526"/>
        <v>1.3741885544894396E-2</v>
      </c>
      <c r="BA284" s="9">
        <f t="shared" si="527"/>
        <v>0.43409576716087145</v>
      </c>
      <c r="BB284" s="4">
        <f t="shared" si="528"/>
        <v>989.71966483586652</v>
      </c>
      <c r="BC284" s="6">
        <f t="shared" si="529"/>
        <v>5.4794393296717338E-6</v>
      </c>
      <c r="BD284" s="8">
        <f t="shared" si="530"/>
        <v>27.270776145612466</v>
      </c>
      <c r="BE284" s="7">
        <f t="shared" si="531"/>
        <v>1.3713357445212364E-2</v>
      </c>
      <c r="BF284" s="9">
        <f t="shared" si="532"/>
        <v>0.43513909565155834</v>
      </c>
      <c r="BG284" s="4">
        <f t="shared" si="533"/>
        <v>983.42024686877357</v>
      </c>
      <c r="BH284" s="6">
        <f t="shared" si="534"/>
        <v>5.4668404937375473E-6</v>
      </c>
      <c r="BI284" s="8">
        <f t="shared" si="535"/>
        <v>27.198332838990893</v>
      </c>
      <c r="BJ284" s="7">
        <f t="shared" si="536"/>
        <v>1.3681826419834731E-2</v>
      </c>
      <c r="BK284" s="9">
        <f t="shared" si="537"/>
        <v>0.43629809738581643</v>
      </c>
      <c r="BL284" s="4">
        <f t="shared" si="538"/>
        <v>976.52089015074546</v>
      </c>
      <c r="BM284" s="6">
        <f t="shared" si="539"/>
        <v>5.4530417803014917E-6</v>
      </c>
      <c r="BN284" s="8">
        <f t="shared" si="540"/>
        <v>27.118990236733573</v>
      </c>
      <c r="BO284" s="7">
        <f t="shared" si="541"/>
        <v>1.3647292468777366E-2</v>
      </c>
      <c r="BP284" s="9">
        <f t="shared" si="542"/>
        <v>0.43757458394023169</v>
      </c>
      <c r="BQ284" s="4">
        <f t="shared" si="543"/>
        <v>969.0215946648201</v>
      </c>
      <c r="BR284" s="6">
        <f t="shared" si="544"/>
        <v>5.43804318932964E-6</v>
      </c>
      <c r="BS284" s="8">
        <f t="shared" si="545"/>
        <v>27.03274833864543</v>
      </c>
      <c r="BT284" s="7">
        <f t="shared" si="546"/>
        <v>1.3609755591955361E-2</v>
      </c>
      <c r="BU284" s="9">
        <f t="shared" si="547"/>
        <v>0.43897056714554222</v>
      </c>
      <c r="BV284" s="4">
        <f t="shared" si="548"/>
        <v>960.92235935614247</v>
      </c>
      <c r="BW284" s="6">
        <f t="shared" si="549"/>
        <v>5.4218447187122854E-6</v>
      </c>
      <c r="BX284" s="8">
        <f t="shared" si="550"/>
        <v>26.93960713259564</v>
      </c>
      <c r="BY284" s="7">
        <f t="shared" si="551"/>
        <v>1.3569215784088767E-2</v>
      </c>
      <c r="BZ284" s="9">
        <f t="shared" si="552"/>
        <v>0.4404882673793673</v>
      </c>
      <c r="CA284" s="4">
        <f t="shared" si="553"/>
        <v>952.22313816238091</v>
      </c>
      <c r="CB284" s="6">
        <f t="shared" si="554"/>
        <v>5.4044462763247618E-6</v>
      </c>
      <c r="CC284" s="8">
        <f t="shared" si="555"/>
        <v>26.839566088867379</v>
      </c>
      <c r="CD284" s="7">
        <f t="shared" si="556"/>
        <v>1.3525672814617775E-2</v>
      </c>
      <c r="CE284" s="9">
        <f t="shared" si="557"/>
        <v>0.44213013095766723</v>
      </c>
      <c r="CF284" s="4">
        <f t="shared" si="558"/>
        <v>942.92234874075461</v>
      </c>
      <c r="CG284" s="6">
        <f t="shared" si="559"/>
        <v>5.3858446974815094E-6</v>
      </c>
      <c r="CH284" s="8">
        <f t="shared" si="560"/>
        <v>26.732607010518677</v>
      </c>
      <c r="CI284" s="7">
        <f t="shared" si="561"/>
        <v>1.3479118763304262E-2</v>
      </c>
      <c r="CJ284" s="9">
        <f t="shared" si="562"/>
        <v>0.44389912532843007</v>
      </c>
      <c r="CK284" s="4">
        <f t="shared" si="563"/>
        <v>932.97813071639098</v>
      </c>
      <c r="CL284" s="6">
        <f t="shared" si="564"/>
        <v>5.3659562614327826E-6</v>
      </c>
      <c r="CM284" s="8">
        <f t="shared" si="565"/>
        <v>26.618248503238497</v>
      </c>
      <c r="CN284" s="7">
        <f t="shared" si="566"/>
        <v>1.3429344102768186E-2</v>
      </c>
      <c r="CO284" s="9">
        <f t="shared" si="567"/>
        <v>0.44580622456335384</v>
      </c>
      <c r="CP284" s="4">
        <f t="shared" si="568"/>
        <v>921.56954866185697</v>
      </c>
      <c r="CQ284" s="6">
        <f t="shared" si="569"/>
        <v>5.3431390973237144E-6</v>
      </c>
      <c r="CR284" s="8">
        <f t="shared" si="570"/>
        <v>26.487049809611356</v>
      </c>
      <c r="CS284" s="7">
        <f t="shared" si="571"/>
        <v>1.3372239733417961E-2</v>
      </c>
      <c r="CT284" s="9">
        <f t="shared" si="572"/>
        <v>0.44801444309633426</v>
      </c>
      <c r="CU284" s="4">
        <f t="shared" si="573"/>
        <v>897.53657380162201</v>
      </c>
      <c r="CV284" s="6">
        <f t="shared" si="574"/>
        <v>5.2950731476032446E-6</v>
      </c>
      <c r="CW284" s="8">
        <f t="shared" si="575"/>
        <v>26.21067059871865</v>
      </c>
      <c r="CX284" s="7">
        <f t="shared" si="576"/>
        <v>1.3251945391277685E-2</v>
      </c>
      <c r="CY284" s="9">
        <f t="shared" si="577"/>
        <v>0.45273854497633553</v>
      </c>
      <c r="CZ284" s="5">
        <f t="shared" si="578"/>
        <v>769.22150386172746</v>
      </c>
      <c r="DA284" s="6">
        <f t="shared" si="579"/>
        <v>5.0384430077234557E-6</v>
      </c>
      <c r="DB284" s="8">
        <f t="shared" si="580"/>
        <v>24.735047294409867</v>
      </c>
      <c r="DC284" s="7">
        <f t="shared" si="581"/>
        <v>1.2609678796531536E-2</v>
      </c>
      <c r="DD284" s="9">
        <f t="shared" si="582"/>
        <v>0.47974765232810984</v>
      </c>
    </row>
    <row r="285" spans="2:108" x14ac:dyDescent="0.25">
      <c r="B285">
        <v>18</v>
      </c>
      <c r="C285">
        <f t="shared" si="490"/>
        <v>1.7597063994214526E-2</v>
      </c>
      <c r="D285" s="4">
        <f t="shared" si="491"/>
        <v>1019.7165640596785</v>
      </c>
      <c r="E285" s="6">
        <f t="shared" si="429"/>
        <v>5.5394331281193577E-6</v>
      </c>
      <c r="F285" s="8">
        <f t="shared" si="492"/>
        <v>27.615740486686303</v>
      </c>
      <c r="G285" s="7">
        <f t="shared" si="426"/>
        <v>1.386350353737789E-2</v>
      </c>
      <c r="H285" s="9">
        <f t="shared" si="493"/>
        <v>0.42970351910131982</v>
      </c>
      <c r="I285" s="4">
        <f t="shared" si="494"/>
        <v>1019.4014767596032</v>
      </c>
      <c r="J285" s="6">
        <f t="shared" si="431"/>
        <v>5.5388029535192069E-6</v>
      </c>
      <c r="K285" s="8">
        <f t="shared" si="495"/>
        <v>27.612116982735436</v>
      </c>
      <c r="L285" s="7">
        <f t="shared" si="433"/>
        <v>1.3861926403473338E-2</v>
      </c>
      <c r="M285" s="9">
        <f t="shared" si="496"/>
        <v>0.42975990856251678</v>
      </c>
      <c r="N285" s="4">
        <f t="shared" si="497"/>
        <v>1018.5006165300281</v>
      </c>
      <c r="O285" s="6">
        <f t="shared" si="434"/>
        <v>5.5370012330600574E-6</v>
      </c>
      <c r="P285" s="8">
        <f t="shared" si="435"/>
        <v>27.601757090095322</v>
      </c>
      <c r="Q285" s="7">
        <f t="shared" si="427"/>
        <v>1.386350353737789E-2</v>
      </c>
      <c r="R285" s="9">
        <f t="shared" si="498"/>
        <v>0.42992121229760877</v>
      </c>
      <c r="S285" s="4">
        <f t="shared" si="499"/>
        <v>1017.0005736809876</v>
      </c>
      <c r="T285" s="6">
        <f t="shared" si="436"/>
        <v>5.5340011473619752E-6</v>
      </c>
      <c r="U285" s="8">
        <f t="shared" si="437"/>
        <v>27.584506597331355</v>
      </c>
      <c r="V285" s="7">
        <f t="shared" si="438"/>
        <v>1.3849908954195241E-2</v>
      </c>
      <c r="W285" s="9">
        <f t="shared" si="500"/>
        <v>0.43019007165659884</v>
      </c>
      <c r="X285" s="4">
        <f t="shared" si="501"/>
        <v>1014.9008299661086</v>
      </c>
      <c r="Y285" s="6">
        <f t="shared" si="439"/>
        <v>5.5298016599322184E-6</v>
      </c>
      <c r="Z285" s="8">
        <f t="shared" si="440"/>
        <v>27.56035954461025</v>
      </c>
      <c r="AA285" s="7">
        <f t="shared" si="441"/>
        <v>1.3839398924108936E-2</v>
      </c>
      <c r="AB285" s="9">
        <f t="shared" si="502"/>
        <v>0.43056698337008986</v>
      </c>
      <c r="AC285" s="4">
        <f t="shared" si="503"/>
        <v>1012.2010667839381</v>
      </c>
      <c r="AD285" s="6">
        <f t="shared" si="504"/>
        <v>5.5244021335678763E-6</v>
      </c>
      <c r="AE285" s="8">
        <f t="shared" si="505"/>
        <v>27.529312268015289</v>
      </c>
      <c r="AF285" s="7">
        <f t="shared" si="506"/>
        <v>1.3825885564326283E-2</v>
      </c>
      <c r="AG285" s="9">
        <f t="shared" si="507"/>
        <v>0.43105257240679384</v>
      </c>
      <c r="AH285" s="4">
        <f t="shared" si="508"/>
        <v>1008.901359552427</v>
      </c>
      <c r="AI285" s="6">
        <f t="shared" si="509"/>
        <v>5.5178027191048544E-6</v>
      </c>
      <c r="AJ285" s="8">
        <f t="shared" si="510"/>
        <v>27.491365634852912</v>
      </c>
      <c r="AK285" s="7">
        <f t="shared" si="511"/>
        <v>1.380936925234333E-2</v>
      </c>
      <c r="AL285" s="9">
        <f t="shared" si="512"/>
        <v>0.43164755899480395</v>
      </c>
      <c r="AM285" s="4">
        <f t="shared" si="513"/>
        <v>1005.0017165153461</v>
      </c>
      <c r="AN285" s="6">
        <f t="shared" si="514"/>
        <v>5.5100034330306929E-6</v>
      </c>
      <c r="AO285" s="8">
        <f t="shared" si="515"/>
        <v>27.44651973992648</v>
      </c>
      <c r="AP285" s="7">
        <f t="shared" si="516"/>
        <v>1.3789850029423336E-2</v>
      </c>
      <c r="AQ285" s="9">
        <f t="shared" si="517"/>
        <v>0.43235284408228891</v>
      </c>
      <c r="AR285" s="4">
        <f t="shared" si="518"/>
        <v>1000.502138266233</v>
      </c>
      <c r="AS285" s="6">
        <f t="shared" si="519"/>
        <v>5.5010042765324663E-6</v>
      </c>
      <c r="AT285" s="8">
        <f t="shared" si="520"/>
        <v>27.394774590061679</v>
      </c>
      <c r="AU285" s="7">
        <f t="shared" si="521"/>
        <v>1.3767327898537187E-2</v>
      </c>
      <c r="AV285" s="9">
        <f t="shared" si="522"/>
        <v>0.43316950211457028</v>
      </c>
      <c r="AW285" s="4">
        <f t="shared" si="523"/>
        <v>995.40262484830635</v>
      </c>
      <c r="AX285" s="6">
        <f t="shared" si="524"/>
        <v>5.4908052496966133E-6</v>
      </c>
      <c r="AY285" s="8">
        <f t="shared" si="525"/>
        <v>27.336130185755522</v>
      </c>
      <c r="AZ285" s="7">
        <f t="shared" si="526"/>
        <v>1.3741802859901207E-2</v>
      </c>
      <c r="BA285" s="9">
        <f t="shared" si="527"/>
        <v>0.43409878388351431</v>
      </c>
      <c r="BB285" s="4">
        <f t="shared" si="528"/>
        <v>989.70317627180032</v>
      </c>
      <c r="BC285" s="6">
        <f t="shared" si="529"/>
        <v>5.4794063525436009E-6</v>
      </c>
      <c r="BD285" s="8">
        <f t="shared" si="530"/>
        <v>27.270586527125701</v>
      </c>
      <c r="BE285" s="7">
        <f t="shared" si="531"/>
        <v>1.3713274913566626E-2</v>
      </c>
      <c r="BF285" s="9">
        <f t="shared" si="532"/>
        <v>0.43514212127100249</v>
      </c>
      <c r="BG285" s="4">
        <f t="shared" si="533"/>
        <v>983.40379254257891</v>
      </c>
      <c r="BH285" s="6">
        <f t="shared" si="534"/>
        <v>5.4668075850851579E-6</v>
      </c>
      <c r="BI285" s="8">
        <f t="shared" si="535"/>
        <v>27.198143614239655</v>
      </c>
      <c r="BJ285" s="7">
        <f t="shared" si="536"/>
        <v>1.3681744059562793E-2</v>
      </c>
      <c r="BK285" s="9">
        <f t="shared" si="537"/>
        <v>0.43630113282823907</v>
      </c>
      <c r="BL285" s="4">
        <f t="shared" si="538"/>
        <v>976.50447366397759</v>
      </c>
      <c r="BM285" s="6">
        <f t="shared" si="539"/>
        <v>5.4530089473279556E-6</v>
      </c>
      <c r="BN285" s="8">
        <f t="shared" si="540"/>
        <v>27.118801447135741</v>
      </c>
      <c r="BO285" s="7">
        <f t="shared" si="541"/>
        <v>1.3647210297906406E-2</v>
      </c>
      <c r="BP285" s="9">
        <f t="shared" si="542"/>
        <v>0.437577630148962</v>
      </c>
      <c r="BQ285" s="4">
        <f t="shared" si="543"/>
        <v>969.00521960488936</v>
      </c>
      <c r="BR285" s="6">
        <f t="shared" si="544"/>
        <v>5.4380104392097801E-6</v>
      </c>
      <c r="BS285" s="8">
        <f t="shared" si="545"/>
        <v>27.032560025456227</v>
      </c>
      <c r="BT285" s="7">
        <f t="shared" si="546"/>
        <v>1.3609673628441761E-2</v>
      </c>
      <c r="BU285" s="9">
        <f t="shared" si="547"/>
        <v>0.43897362508557408</v>
      </c>
      <c r="BV285" s="4">
        <f t="shared" si="548"/>
        <v>960.9060286901198</v>
      </c>
      <c r="BW285" s="6">
        <f t="shared" si="549"/>
        <v>5.4218120573802402E-6</v>
      </c>
      <c r="BX285" s="8">
        <f t="shared" si="550"/>
        <v>26.939419329936378</v>
      </c>
      <c r="BY285" s="7">
        <f t="shared" si="551"/>
        <v>1.3569134042783858E-2</v>
      </c>
      <c r="BZ285" s="9">
        <f t="shared" si="552"/>
        <v>0.44049133815335001</v>
      </c>
      <c r="CA285" s="4">
        <f t="shared" si="553"/>
        <v>952.20683391723412</v>
      </c>
      <c r="CB285" s="6">
        <f t="shared" si="554"/>
        <v>5.4044136678344689E-6</v>
      </c>
      <c r="CC285" s="8">
        <f t="shared" si="555"/>
        <v>26.839378590048192</v>
      </c>
      <c r="CD285" s="7">
        <f t="shared" si="556"/>
        <v>1.352559120555958E-2</v>
      </c>
      <c r="CE285" s="9">
        <f t="shared" si="557"/>
        <v>0.44213321966097696</v>
      </c>
      <c r="CF285" s="4">
        <f t="shared" si="558"/>
        <v>942.90551161027088</v>
      </c>
      <c r="CG285" s="6">
        <f t="shared" si="559"/>
        <v>5.385811023220542E-6</v>
      </c>
      <c r="CH285" s="8">
        <f t="shared" si="560"/>
        <v>26.732413383518114</v>
      </c>
      <c r="CI285" s="7">
        <f t="shared" si="561"/>
        <v>1.3479034486948677E-2</v>
      </c>
      <c r="CJ285" s="9">
        <f t="shared" si="562"/>
        <v>0.44390234055838168</v>
      </c>
      <c r="CK285" s="4">
        <f t="shared" si="563"/>
        <v>932.94992735228402</v>
      </c>
      <c r="CL285" s="6">
        <f t="shared" si="564"/>
        <v>5.3658998547045682E-6</v>
      </c>
      <c r="CM285" s="8">
        <f t="shared" si="565"/>
        <v>26.617924164551265</v>
      </c>
      <c r="CN285" s="7">
        <f t="shared" si="566"/>
        <v>1.3429202934013541E-2</v>
      </c>
      <c r="CO285" s="9">
        <f t="shared" si="567"/>
        <v>0.44581165670016287</v>
      </c>
      <c r="CP285" s="4">
        <f t="shared" si="568"/>
        <v>921.38679224394753</v>
      </c>
      <c r="CQ285" s="6">
        <f t="shared" si="569"/>
        <v>5.3427735844878959E-6</v>
      </c>
      <c r="CR285" s="8">
        <f t="shared" si="570"/>
        <v>26.484948110805398</v>
      </c>
      <c r="CS285" s="7">
        <f t="shared" si="571"/>
        <v>1.3371324966802834E-2</v>
      </c>
      <c r="CT285" s="9">
        <f t="shared" si="572"/>
        <v>0.44804999504139259</v>
      </c>
      <c r="CU285" s="4">
        <f t="shared" si="573"/>
        <v>896.08857625127496</v>
      </c>
      <c r="CV285" s="6">
        <f t="shared" si="574"/>
        <v>5.2921771525025498E-6</v>
      </c>
      <c r="CW285" s="8">
        <f t="shared" si="575"/>
        <v>26.194018626889662</v>
      </c>
      <c r="CX285" s="7">
        <f t="shared" si="576"/>
        <v>1.3244697603030382E-2</v>
      </c>
      <c r="CY285" s="9">
        <f t="shared" si="577"/>
        <v>0.45302635837389887</v>
      </c>
      <c r="CZ285" s="5">
        <f t="shared" si="578"/>
        <v>763.67382397114704</v>
      </c>
      <c r="DA285" s="6">
        <f t="shared" si="579"/>
        <v>5.0273476479422944E-6</v>
      </c>
      <c r="DB285" s="8">
        <f t="shared" si="580"/>
        <v>24.671248975668192</v>
      </c>
      <c r="DC285" s="7">
        <f t="shared" si="581"/>
        <v>1.258191051121841E-2</v>
      </c>
      <c r="DD285" s="9">
        <f t="shared" si="582"/>
        <v>0.48098824998366368</v>
      </c>
    </row>
    <row r="286" spans="2:108" x14ac:dyDescent="0.25">
      <c r="B286">
        <v>19</v>
      </c>
      <c r="C286">
        <f t="shared" si="490"/>
        <v>1.8574678660559778E-2</v>
      </c>
      <c r="D286" s="4">
        <f t="shared" si="491"/>
        <v>1019.700477293852</v>
      </c>
      <c r="E286" s="6">
        <f t="shared" si="429"/>
        <v>5.5394009545877042E-6</v>
      </c>
      <c r="F286" s="8">
        <f t="shared" si="492"/>
        <v>27.615555488879295</v>
      </c>
      <c r="G286" s="7">
        <f t="shared" si="426"/>
        <v>1.3863423016887874E-2</v>
      </c>
      <c r="H286" s="9">
        <f t="shared" si="493"/>
        <v>0.42970639770387875</v>
      </c>
      <c r="I286" s="4">
        <f t="shared" si="494"/>
        <v>1019.3849273442047</v>
      </c>
      <c r="J286" s="6">
        <f t="shared" si="431"/>
        <v>5.5387698546884103E-6</v>
      </c>
      <c r="K286" s="8">
        <f t="shared" si="495"/>
        <v>27.611926664458352</v>
      </c>
      <c r="L286" s="7">
        <f t="shared" si="433"/>
        <v>1.3861843567243128E-2</v>
      </c>
      <c r="M286" s="9">
        <f t="shared" si="496"/>
        <v>0.42976287073050862</v>
      </c>
      <c r="N286" s="4">
        <f t="shared" si="497"/>
        <v>1018.4839905185648</v>
      </c>
      <c r="O286" s="6">
        <f t="shared" si="434"/>
        <v>5.53696798103713E-6</v>
      </c>
      <c r="P286" s="8">
        <f t="shared" si="435"/>
        <v>27.601565890963492</v>
      </c>
      <c r="Q286" s="7">
        <f t="shared" si="427"/>
        <v>1.3863423016887874E-2</v>
      </c>
      <c r="R286" s="9">
        <f t="shared" si="498"/>
        <v>0.42992419040989671</v>
      </c>
      <c r="S286" s="4">
        <f t="shared" si="499"/>
        <v>1016.9839422135499</v>
      </c>
      <c r="T286" s="6">
        <f t="shared" si="436"/>
        <v>5.5339678844271001E-6</v>
      </c>
      <c r="U286" s="8">
        <f t="shared" si="437"/>
        <v>27.584315335455823</v>
      </c>
      <c r="V286" s="7">
        <f t="shared" si="438"/>
        <v>1.3849825707262812E-2</v>
      </c>
      <c r="W286" s="9">
        <f t="shared" si="500"/>
        <v>0.43019305447342571</v>
      </c>
      <c r="X286" s="4">
        <f t="shared" si="501"/>
        <v>1014.884210759315</v>
      </c>
      <c r="Y286" s="6">
        <f t="shared" si="439"/>
        <v>5.5297684215186303E-6</v>
      </c>
      <c r="Z286" s="8">
        <f t="shared" si="440"/>
        <v>27.560168423732122</v>
      </c>
      <c r="AA286" s="7">
        <f t="shared" si="441"/>
        <v>1.3839315738545774E-2</v>
      </c>
      <c r="AB286" s="9">
        <f t="shared" si="502"/>
        <v>0.43056996921323454</v>
      </c>
      <c r="AC286" s="4">
        <f t="shared" si="503"/>
        <v>1012.184461112282</v>
      </c>
      <c r="AD286" s="6">
        <f t="shared" si="504"/>
        <v>5.5243689222245642E-6</v>
      </c>
      <c r="AE286" s="8">
        <f t="shared" si="505"/>
        <v>27.529121302791239</v>
      </c>
      <c r="AF286" s="7">
        <f t="shared" si="506"/>
        <v>1.3825802446511729E-2</v>
      </c>
      <c r="AG286" s="9">
        <f t="shared" si="507"/>
        <v>0.43105556255130889</v>
      </c>
      <c r="AH286" s="4">
        <f t="shared" si="508"/>
        <v>1008.8847702256189</v>
      </c>
      <c r="AI286" s="6">
        <f t="shared" si="509"/>
        <v>5.5177695404512381E-6</v>
      </c>
      <c r="AJ286" s="8">
        <f t="shared" si="510"/>
        <v>27.491174857594615</v>
      </c>
      <c r="AK286" s="7">
        <f t="shared" si="511"/>
        <v>1.3809286216341065E-2</v>
      </c>
      <c r="AL286" s="9">
        <f t="shared" si="512"/>
        <v>0.43165055444837341</v>
      </c>
      <c r="AM286" s="4">
        <f t="shared" si="513"/>
        <v>1004.9851470346679</v>
      </c>
      <c r="AN286" s="6">
        <f t="shared" si="514"/>
        <v>5.5099702940693362E-6</v>
      </c>
      <c r="AO286" s="8">
        <f t="shared" si="515"/>
        <v>27.44632919089868</v>
      </c>
      <c r="AP286" s="7">
        <f t="shared" si="516"/>
        <v>1.3789767092758632E-2</v>
      </c>
      <c r="AQ286" s="9">
        <f t="shared" si="517"/>
        <v>0.43235584573739311</v>
      </c>
      <c r="AR286" s="4">
        <f t="shared" si="518"/>
        <v>1000.485592222585</v>
      </c>
      <c r="AS286" s="6">
        <f t="shared" si="519"/>
        <v>5.5009711844451709E-6</v>
      </c>
      <c r="AT286" s="8">
        <f t="shared" si="520"/>
        <v>27.394584310559726</v>
      </c>
      <c r="AU286" s="7">
        <f t="shared" si="521"/>
        <v>1.3767245079183893E-2</v>
      </c>
      <c r="AV286" s="9">
        <f t="shared" si="522"/>
        <v>0.4331725108580573</v>
      </c>
      <c r="AW286" s="4">
        <f t="shared" si="523"/>
        <v>995.38610584081448</v>
      </c>
      <c r="AX286" s="6">
        <f t="shared" si="524"/>
        <v>5.4907722116816295E-6</v>
      </c>
      <c r="AY286" s="8">
        <f t="shared" si="525"/>
        <v>27.335940217169366</v>
      </c>
      <c r="AZ286" s="7">
        <f t="shared" si="526"/>
        <v>1.3741720175874342E-2</v>
      </c>
      <c r="BA286" s="9">
        <f t="shared" si="527"/>
        <v>0.43410180061283005</v>
      </c>
      <c r="BB286" s="4">
        <f t="shared" si="528"/>
        <v>989.6866879010089</v>
      </c>
      <c r="BC286" s="6">
        <f t="shared" si="529"/>
        <v>5.4793733758020183E-6</v>
      </c>
      <c r="BD286" s="8">
        <f t="shared" si="530"/>
        <v>27.270396910861599</v>
      </c>
      <c r="BE286" s="7">
        <f t="shared" si="531"/>
        <v>1.3713192382888305E-2</v>
      </c>
      <c r="BF286" s="9">
        <f t="shared" si="532"/>
        <v>0.43514514689705619</v>
      </c>
      <c r="BG286" s="4">
        <f t="shared" si="533"/>
        <v>983.38733840972793</v>
      </c>
      <c r="BH286" s="6">
        <f t="shared" si="534"/>
        <v>5.4667746768194569E-6</v>
      </c>
      <c r="BI286" s="8">
        <f t="shared" si="535"/>
        <v>27.197954391711871</v>
      </c>
      <c r="BJ286" s="7">
        <f t="shared" si="536"/>
        <v>1.368166170025862E-2</v>
      </c>
      <c r="BK286" s="9">
        <f t="shared" si="537"/>
        <v>0.43630416827723056</v>
      </c>
      <c r="BL286" s="4">
        <f t="shared" si="538"/>
        <v>976.48805737030023</v>
      </c>
      <c r="BM286" s="6">
        <f t="shared" si="539"/>
        <v>5.4529761147406012E-6</v>
      </c>
      <c r="BN286" s="8">
        <f t="shared" si="540"/>
        <v>27.118612659758451</v>
      </c>
      <c r="BO286" s="7">
        <f t="shared" si="541"/>
        <v>1.3647128128001942E-2</v>
      </c>
      <c r="BP286" s="9">
        <f t="shared" si="542"/>
        <v>0.43758067636427517</v>
      </c>
      <c r="BQ286" s="4">
        <f t="shared" si="543"/>
        <v>968.98884472909128</v>
      </c>
      <c r="BR286" s="6">
        <f t="shared" si="544"/>
        <v>5.4379776894581831E-6</v>
      </c>
      <c r="BS286" s="8">
        <f t="shared" si="545"/>
        <v>27.032371714384549</v>
      </c>
      <c r="BT286" s="7">
        <f t="shared" si="546"/>
        <v>1.3609591665849814E-2</v>
      </c>
      <c r="BU286" s="9">
        <f t="shared" si="547"/>
        <v>0.43897668303382409</v>
      </c>
      <c r="BV286" s="4">
        <f t="shared" si="548"/>
        <v>960.889697912261</v>
      </c>
      <c r="BW286" s="6">
        <f t="shared" si="549"/>
        <v>5.4217793958245224E-6</v>
      </c>
      <c r="BX286" s="8">
        <f t="shared" si="550"/>
        <v>26.939231525991001</v>
      </c>
      <c r="BY286" s="7">
        <f t="shared" si="551"/>
        <v>1.3569052300919166E-2</v>
      </c>
      <c r="BZ286" s="9">
        <f t="shared" si="552"/>
        <v>0.44049440899117731</v>
      </c>
      <c r="CA286" s="4">
        <f t="shared" si="553"/>
        <v>952.19052195197571</v>
      </c>
      <c r="CB286" s="6">
        <f t="shared" si="554"/>
        <v>5.4043810439039521E-6</v>
      </c>
      <c r="CC286" s="8">
        <f t="shared" si="555"/>
        <v>26.83919100244772</v>
      </c>
      <c r="CD286" s="7">
        <f t="shared" si="556"/>
        <v>1.3525509557859236E-2</v>
      </c>
      <c r="CE286" s="9">
        <f t="shared" si="557"/>
        <v>0.44213630986998353</v>
      </c>
      <c r="CF286" s="4">
        <f t="shared" si="558"/>
        <v>942.88852302544274</v>
      </c>
      <c r="CG286" s="6">
        <f t="shared" si="559"/>
        <v>5.3857770460508856E-6</v>
      </c>
      <c r="CH286" s="8">
        <f t="shared" si="560"/>
        <v>26.73221801479259</v>
      </c>
      <c r="CI286" s="7">
        <f t="shared" si="561"/>
        <v>1.3478949452505473E-2</v>
      </c>
      <c r="CJ286" s="9">
        <f t="shared" si="562"/>
        <v>0.44390558475736602</v>
      </c>
      <c r="CK286" s="4">
        <f t="shared" si="563"/>
        <v>932.91972838119977</v>
      </c>
      <c r="CL286" s="6">
        <f t="shared" si="564"/>
        <v>5.3658394567624003E-6</v>
      </c>
      <c r="CM286" s="8">
        <f t="shared" si="565"/>
        <v>26.617576876383797</v>
      </c>
      <c r="CN286" s="7">
        <f t="shared" si="566"/>
        <v>1.3429051776473494E-2</v>
      </c>
      <c r="CO286" s="9">
        <f t="shared" si="567"/>
        <v>0.4458174733495901</v>
      </c>
      <c r="CP286" s="4">
        <f t="shared" si="568"/>
        <v>921.18859277069532</v>
      </c>
      <c r="CQ286" s="6">
        <f t="shared" si="569"/>
        <v>5.3423771855413917E-6</v>
      </c>
      <c r="CR286" s="8">
        <f t="shared" si="570"/>
        <v>26.482668816862997</v>
      </c>
      <c r="CS286" s="7">
        <f t="shared" si="571"/>
        <v>1.3370332901717838E-2</v>
      </c>
      <c r="CT286" s="9">
        <f t="shared" si="572"/>
        <v>0.44808855753094579</v>
      </c>
      <c r="CU286" s="4">
        <f t="shared" si="573"/>
        <v>894.60090105739255</v>
      </c>
      <c r="CV286" s="6">
        <f t="shared" si="574"/>
        <v>5.2892018021147862E-6</v>
      </c>
      <c r="CW286" s="8">
        <f t="shared" si="575"/>
        <v>26.176910362160015</v>
      </c>
      <c r="CX286" s="7">
        <f t="shared" si="576"/>
        <v>1.3237251212818301E-2</v>
      </c>
      <c r="CY286" s="9">
        <f t="shared" si="577"/>
        <v>0.45332243972044972</v>
      </c>
      <c r="CZ286" s="5">
        <f t="shared" si="578"/>
        <v>758.29865377672616</v>
      </c>
      <c r="DA286" s="6">
        <f t="shared" si="579"/>
        <v>5.0165973075534522E-6</v>
      </c>
      <c r="DB286" s="8">
        <f t="shared" si="580"/>
        <v>24.609434518432352</v>
      </c>
      <c r="DC286" s="7">
        <f t="shared" si="581"/>
        <v>1.2555005703711628E-2</v>
      </c>
      <c r="DD286" s="9">
        <f t="shared" si="582"/>
        <v>0.48219640564393645</v>
      </c>
    </row>
    <row r="287" spans="2:108" x14ac:dyDescent="0.25">
      <c r="B287">
        <v>20</v>
      </c>
      <c r="C287">
        <f t="shared" si="490"/>
        <v>1.9552293326905029E-2</v>
      </c>
      <c r="D287" s="4">
        <f t="shared" si="491"/>
        <v>1019.6843669074756</v>
      </c>
      <c r="E287" s="6">
        <f t="shared" si="429"/>
        <v>5.5393687338149522E-6</v>
      </c>
      <c r="F287" s="8">
        <f t="shared" si="492"/>
        <v>27.615370219435967</v>
      </c>
      <c r="G287" s="7">
        <f t="shared" si="426"/>
        <v>1.3863342378167866E-2</v>
      </c>
      <c r="H287" s="9">
        <f t="shared" si="493"/>
        <v>0.42970928057180574</v>
      </c>
      <c r="I287" s="4">
        <f t="shared" si="494"/>
        <v>1019.368379639187</v>
      </c>
      <c r="J287" s="6">
        <f t="shared" si="431"/>
        <v>5.5387367592783749E-6</v>
      </c>
      <c r="K287" s="8">
        <f t="shared" si="495"/>
        <v>27.61173636585065</v>
      </c>
      <c r="L287" s="7">
        <f t="shared" si="433"/>
        <v>1.3861760739574035E-2</v>
      </c>
      <c r="M287" s="9">
        <f t="shared" si="496"/>
        <v>0.42976583263318863</v>
      </c>
      <c r="N287" s="4">
        <f t="shared" si="497"/>
        <v>1018.4673653082262</v>
      </c>
      <c r="O287" s="6">
        <f t="shared" si="434"/>
        <v>5.5369347306164527E-6</v>
      </c>
      <c r="P287" s="8">
        <f t="shared" si="435"/>
        <v>27.601374701044602</v>
      </c>
      <c r="Q287" s="7">
        <f t="shared" si="427"/>
        <v>1.3863342378167866E-2</v>
      </c>
      <c r="R287" s="9">
        <f t="shared" si="498"/>
        <v>0.42992716841994089</v>
      </c>
      <c r="S287" s="4">
        <f t="shared" si="499"/>
        <v>1016.9673111041858</v>
      </c>
      <c r="T287" s="6">
        <f t="shared" si="436"/>
        <v>5.5339346222083727E-6</v>
      </c>
      <c r="U287" s="8">
        <f t="shared" si="437"/>
        <v>27.584124077698135</v>
      </c>
      <c r="V287" s="7">
        <f t="shared" si="438"/>
        <v>1.3849742462122684E-2</v>
      </c>
      <c r="W287" s="9">
        <f t="shared" si="500"/>
        <v>0.43019603726739586</v>
      </c>
      <c r="X287" s="4">
        <f t="shared" si="501"/>
        <v>1014.8675917147216</v>
      </c>
      <c r="Y287" s="6">
        <f t="shared" si="439"/>
        <v>5.5297351834294432E-6</v>
      </c>
      <c r="Z287" s="8">
        <f t="shared" si="440"/>
        <v>27.559977304719297</v>
      </c>
      <c r="AA287" s="7">
        <f t="shared" si="441"/>
        <v>1.3839232553794491E-2</v>
      </c>
      <c r="AB287" s="9">
        <f t="shared" si="502"/>
        <v>0.4305729550686494</v>
      </c>
      <c r="AC287" s="4">
        <f t="shared" si="503"/>
        <v>1012.1678556206742</v>
      </c>
      <c r="AD287" s="6">
        <f t="shared" si="504"/>
        <v>5.5243357112413487E-6</v>
      </c>
      <c r="AE287" s="8">
        <f t="shared" si="505"/>
        <v>27.528930339637753</v>
      </c>
      <c r="AF287" s="7">
        <f t="shared" si="506"/>
        <v>1.3825719329598384E-2</v>
      </c>
      <c r="AG287" s="9">
        <f t="shared" si="507"/>
        <v>0.4310585527048868</v>
      </c>
      <c r="AH287" s="4">
        <f t="shared" si="508"/>
        <v>1008.8681810886462</v>
      </c>
      <c r="AI287" s="6">
        <f t="shared" si="509"/>
        <v>5.5177363621772934E-6</v>
      </c>
      <c r="AJ287" s="8">
        <f t="shared" si="510"/>
        <v>27.490984082519432</v>
      </c>
      <c r="AK287" s="7">
        <f t="shared" si="511"/>
        <v>1.3809203181289002E-2</v>
      </c>
      <c r="AL287" s="9">
        <f t="shared" si="512"/>
        <v>0.43165354990923904</v>
      </c>
      <c r="AM287" s="4">
        <f t="shared" si="513"/>
        <v>1004.9685777459025</v>
      </c>
      <c r="AN287" s="6">
        <f t="shared" si="514"/>
        <v>5.5099371554918049E-6</v>
      </c>
      <c r="AO287" s="8">
        <f t="shared" si="515"/>
        <v>27.446138644077877</v>
      </c>
      <c r="AP287" s="7">
        <f t="shared" si="516"/>
        <v>1.3789684157054527E-2</v>
      </c>
      <c r="AQ287" s="9">
        <f t="shared" si="517"/>
        <v>0.43235884739940933</v>
      </c>
      <c r="AR287" s="4">
        <f t="shared" si="518"/>
        <v>1000.469046371581</v>
      </c>
      <c r="AS287" s="6">
        <f t="shared" si="519"/>
        <v>5.5009380927431628E-6</v>
      </c>
      <c r="AT287" s="8">
        <f t="shared" si="520"/>
        <v>27.39439403327318</v>
      </c>
      <c r="AU287" s="7">
        <f t="shared" si="521"/>
        <v>1.3767162260794856E-2</v>
      </c>
      <c r="AV287" s="9">
        <f t="shared" si="522"/>
        <v>0.43317551960831008</v>
      </c>
      <c r="AW287" s="4">
        <f t="shared" si="523"/>
        <v>995.36958702637446</v>
      </c>
      <c r="AX287" s="6">
        <f t="shared" si="524"/>
        <v>5.4907391740527496E-6</v>
      </c>
      <c r="AY287" s="8">
        <f t="shared" si="525"/>
        <v>27.335750250803308</v>
      </c>
      <c r="AZ287" s="7">
        <f t="shared" si="526"/>
        <v>1.3741637492813773E-2</v>
      </c>
      <c r="BA287" s="9">
        <f t="shared" si="527"/>
        <v>0.43410481734881884</v>
      </c>
      <c r="BB287" s="4">
        <f t="shared" si="528"/>
        <v>989.67019972348805</v>
      </c>
      <c r="BC287" s="6">
        <f t="shared" si="529"/>
        <v>5.4793403994469758E-6</v>
      </c>
      <c r="BD287" s="8">
        <f t="shared" si="530"/>
        <v>27.270207296820111</v>
      </c>
      <c r="BE287" s="7">
        <f t="shared" si="531"/>
        <v>1.3713109853177375E-2</v>
      </c>
      <c r="BF287" s="9">
        <f t="shared" si="532"/>
        <v>0.43514817252971971</v>
      </c>
      <c r="BG287" s="4">
        <f t="shared" si="533"/>
        <v>983.37088447021381</v>
      </c>
      <c r="BH287" s="6">
        <f t="shared" si="534"/>
        <v>5.4667417689404281E-6</v>
      </c>
      <c r="BI287" s="8">
        <f t="shared" si="535"/>
        <v>27.197765171407458</v>
      </c>
      <c r="BJ287" s="7">
        <f t="shared" si="536"/>
        <v>1.3681579341922167E-2</v>
      </c>
      <c r="BK287" s="9">
        <f t="shared" si="537"/>
        <v>0.43630720373279164</v>
      </c>
      <c r="BL287" s="4">
        <f t="shared" si="538"/>
        <v>976.47164126958671</v>
      </c>
      <c r="BM287" s="6">
        <f t="shared" si="539"/>
        <v>5.4529432825391746E-6</v>
      </c>
      <c r="BN287" s="8">
        <f t="shared" si="540"/>
        <v>27.118423874600246</v>
      </c>
      <c r="BO287" s="7">
        <f t="shared" si="541"/>
        <v>1.3647045959063336E-2</v>
      </c>
      <c r="BP287" s="9">
        <f t="shared" si="542"/>
        <v>0.43758372258619416</v>
      </c>
      <c r="BQ287" s="4">
        <f t="shared" si="543"/>
        <v>968.97247003334689</v>
      </c>
      <c r="BR287" s="6">
        <f t="shared" si="544"/>
        <v>5.4379449400666937E-6</v>
      </c>
      <c r="BS287" s="8">
        <f t="shared" si="545"/>
        <v>27.032183405383488</v>
      </c>
      <c r="BT287" s="7">
        <f t="shared" si="546"/>
        <v>1.36095097041591E-2</v>
      </c>
      <c r="BU287" s="9">
        <f t="shared" si="547"/>
        <v>0.43897974099105352</v>
      </c>
      <c r="BV287" s="4">
        <f t="shared" si="548"/>
        <v>960.87336691920859</v>
      </c>
      <c r="BW287" s="6">
        <f t="shared" si="549"/>
        <v>5.4217467338384171E-6</v>
      </c>
      <c r="BX287" s="8">
        <f t="shared" si="550"/>
        <v>26.939043719570897</v>
      </c>
      <c r="BY287" s="7">
        <f t="shared" si="551"/>
        <v>1.3568970557977346E-2</v>
      </c>
      <c r="BZ287" s="9">
        <f t="shared" si="552"/>
        <v>0.44049747991228683</v>
      </c>
      <c r="CA287" s="4">
        <f t="shared" si="553"/>
        <v>952.17420035116004</v>
      </c>
      <c r="CB287" s="6">
        <f t="shared" si="554"/>
        <v>5.4043484007023202E-6</v>
      </c>
      <c r="CC287" s="8">
        <f t="shared" si="555"/>
        <v>26.839003304038339</v>
      </c>
      <c r="CD287" s="7">
        <f t="shared" si="556"/>
        <v>1.3525427861929194E-2</v>
      </c>
      <c r="CE287" s="9">
        <f t="shared" si="557"/>
        <v>0.44213940194762708</v>
      </c>
      <c r="CF287" s="4">
        <f t="shared" si="558"/>
        <v>942.87135914905537</v>
      </c>
      <c r="CG287" s="6">
        <f t="shared" si="559"/>
        <v>5.3857427182981117E-6</v>
      </c>
      <c r="CH287" s="8">
        <f t="shared" si="560"/>
        <v>26.732020630214137</v>
      </c>
      <c r="CI287" s="7">
        <f t="shared" si="561"/>
        <v>1.3478863540660163E-2</v>
      </c>
      <c r="CJ287" s="9">
        <f t="shared" si="562"/>
        <v>0.44390886247878975</v>
      </c>
      <c r="CK287" s="4">
        <f t="shared" si="563"/>
        <v>932.88737136901682</v>
      </c>
      <c r="CL287" s="6">
        <f t="shared" si="564"/>
        <v>5.3657747427380346E-6</v>
      </c>
      <c r="CM287" s="8">
        <f t="shared" si="565"/>
        <v>26.61720477074369</v>
      </c>
      <c r="CN287" s="7">
        <f t="shared" si="566"/>
        <v>1.342888981710239E-2</v>
      </c>
      <c r="CO287" s="9">
        <f t="shared" si="567"/>
        <v>0.44582370582958641</v>
      </c>
      <c r="CP287" s="4">
        <f t="shared" si="568"/>
        <v>920.97479184600559</v>
      </c>
      <c r="CQ287" s="6">
        <f t="shared" si="569"/>
        <v>5.3419495836920111E-6</v>
      </c>
      <c r="CR287" s="8">
        <f t="shared" si="570"/>
        <v>26.480210106229066</v>
      </c>
      <c r="CS287" s="7">
        <f t="shared" si="571"/>
        <v>1.3369262745329203E-2</v>
      </c>
      <c r="CT287" s="9">
        <f t="shared" si="572"/>
        <v>0.44813016294483504</v>
      </c>
      <c r="CU287" s="4">
        <f t="shared" si="573"/>
        <v>893.07678995826279</v>
      </c>
      <c r="CV287" s="6">
        <f t="shared" si="574"/>
        <v>5.2861535799165267E-6</v>
      </c>
      <c r="CW287" s="8">
        <f t="shared" si="575"/>
        <v>26.159383084520023</v>
      </c>
      <c r="CX287" s="7">
        <f t="shared" si="576"/>
        <v>1.3229622446796419E-2</v>
      </c>
      <c r="CY287" s="9">
        <f t="shared" si="577"/>
        <v>0.45362617426326163</v>
      </c>
      <c r="CZ287" s="5">
        <f t="shared" si="578"/>
        <v>753.08812425597273</v>
      </c>
      <c r="DA287" s="6">
        <f t="shared" si="579"/>
        <v>5.0061762485119457E-6</v>
      </c>
      <c r="DB287" s="8">
        <f t="shared" si="580"/>
        <v>24.549513428943683</v>
      </c>
      <c r="DC287" s="7">
        <f t="shared" si="581"/>
        <v>1.2528924986507593E-2</v>
      </c>
      <c r="DD287" s="9">
        <f t="shared" si="582"/>
        <v>0.48337336314483909</v>
      </c>
    </row>
    <row r="288" spans="2:108" x14ac:dyDescent="0.25">
      <c r="B288">
        <v>21</v>
      </c>
      <c r="C288">
        <f t="shared" si="490"/>
        <v>2.0529907993250281E-2</v>
      </c>
      <c r="D288" s="4">
        <f t="shared" si="491"/>
        <v>1019.6682341938185</v>
      </c>
      <c r="E288" s="6">
        <f t="shared" si="429"/>
        <v>5.5393364683876372E-6</v>
      </c>
      <c r="F288" s="8">
        <f t="shared" si="492"/>
        <v>27.615184693228912</v>
      </c>
      <c r="G288" s="7">
        <f t="shared" si="426"/>
        <v>1.3863261627691172E-2</v>
      </c>
      <c r="H288" s="9">
        <f t="shared" si="493"/>
        <v>0.42971216747384339</v>
      </c>
      <c r="I288" s="4">
        <f t="shared" si="494"/>
        <v>1019.351833450172</v>
      </c>
      <c r="J288" s="6">
        <f t="shared" si="431"/>
        <v>5.5387036669003447E-6</v>
      </c>
      <c r="K288" s="8">
        <f t="shared" si="495"/>
        <v>27.611546084676977</v>
      </c>
      <c r="L288" s="7">
        <f t="shared" si="433"/>
        <v>1.3861677919493122E-2</v>
      </c>
      <c r="M288" s="9">
        <f t="shared" si="496"/>
        <v>0.42976879430533793</v>
      </c>
      <c r="N288" s="4">
        <f t="shared" si="497"/>
        <v>1018.4507409007709</v>
      </c>
      <c r="O288" s="6">
        <f t="shared" si="434"/>
        <v>5.5369014818015431E-6</v>
      </c>
      <c r="P288" s="8">
        <f t="shared" si="435"/>
        <v>27.601183520358866</v>
      </c>
      <c r="Q288" s="7">
        <f t="shared" si="427"/>
        <v>1.3863261627691172E-2</v>
      </c>
      <c r="R288" s="9">
        <f t="shared" si="498"/>
        <v>0.42993014632742138</v>
      </c>
      <c r="S288" s="4">
        <f t="shared" si="499"/>
        <v>1016.9506803549767</v>
      </c>
      <c r="T288" s="6">
        <f t="shared" si="436"/>
        <v>5.5339013607099546E-6</v>
      </c>
      <c r="U288" s="8">
        <f t="shared" si="437"/>
        <v>27.583932824082233</v>
      </c>
      <c r="V288" s="7">
        <f t="shared" si="438"/>
        <v>1.3849659218785266E-2</v>
      </c>
      <c r="W288" s="9">
        <f t="shared" si="500"/>
        <v>0.43019902003813415</v>
      </c>
      <c r="X288" s="4">
        <f t="shared" si="501"/>
        <v>1014.8509728349773</v>
      </c>
      <c r="Y288" s="6">
        <f t="shared" si="439"/>
        <v>5.5297019456699551E-6</v>
      </c>
      <c r="Z288" s="8">
        <f t="shared" si="440"/>
        <v>27.559786187602235</v>
      </c>
      <c r="AA288" s="7">
        <f t="shared" si="441"/>
        <v>1.3839149369868341E-2</v>
      </c>
      <c r="AB288" s="9">
        <f t="shared" si="502"/>
        <v>0.4305759409358581</v>
      </c>
      <c r="AC288" s="4">
        <f t="shared" si="503"/>
        <v>1012.1512503090397</v>
      </c>
      <c r="AD288" s="6">
        <f t="shared" si="504"/>
        <v>5.5243025006180799E-6</v>
      </c>
      <c r="AE288" s="8">
        <f t="shared" si="505"/>
        <v>27.528739378553958</v>
      </c>
      <c r="AF288" s="7">
        <f t="shared" si="506"/>
        <v>1.3825636213585875E-2</v>
      </c>
      <c r="AG288" s="9">
        <f t="shared" si="507"/>
        <v>0.43106154286754089</v>
      </c>
      <c r="AH288" s="4">
        <f t="shared" si="508"/>
        <v>1008.8515921414138</v>
      </c>
      <c r="AI288" s="6">
        <f t="shared" si="509"/>
        <v>5.5177031842828279E-6</v>
      </c>
      <c r="AJ288" s="8">
        <f t="shared" si="510"/>
        <v>27.490793309626255</v>
      </c>
      <c r="AK288" s="7">
        <f t="shared" si="511"/>
        <v>1.3809120147186658E-2</v>
      </c>
      <c r="AL288" s="9">
        <f t="shared" si="512"/>
        <v>0.43165654537741777</v>
      </c>
      <c r="AM288" s="4">
        <f t="shared" si="513"/>
        <v>1004.9520086490319</v>
      </c>
      <c r="AN288" s="6">
        <f t="shared" si="514"/>
        <v>5.5099040172980641E-6</v>
      </c>
      <c r="AO288" s="8">
        <f t="shared" si="515"/>
        <v>27.445948099463866</v>
      </c>
      <c r="AP288" s="7">
        <f t="shared" si="516"/>
        <v>1.378960122231093E-2</v>
      </c>
      <c r="AQ288" s="9">
        <f t="shared" si="517"/>
        <v>0.43236184906834035</v>
      </c>
      <c r="AR288" s="4">
        <f t="shared" si="518"/>
        <v>1000.4525007132155</v>
      </c>
      <c r="AS288" s="6">
        <f t="shared" si="519"/>
        <v>5.5009050014264319E-6</v>
      </c>
      <c r="AT288" s="8">
        <f t="shared" si="520"/>
        <v>27.394203758201975</v>
      </c>
      <c r="AU288" s="7">
        <f t="shared" si="521"/>
        <v>1.3767079443370051E-2</v>
      </c>
      <c r="AV288" s="9">
        <f t="shared" si="522"/>
        <v>0.43317852836532905</v>
      </c>
      <c r="AW288" s="4">
        <f t="shared" si="523"/>
        <v>995.35306840498185</v>
      </c>
      <c r="AX288" s="6">
        <f t="shared" si="524"/>
        <v>5.4907061368099643E-6</v>
      </c>
      <c r="AY288" s="8">
        <f t="shared" si="525"/>
        <v>27.335560286657291</v>
      </c>
      <c r="AZ288" s="7">
        <f t="shared" si="526"/>
        <v>1.3741554810719482E-2</v>
      </c>
      <c r="BA288" s="9">
        <f t="shared" si="527"/>
        <v>0.43410783409148096</v>
      </c>
      <c r="BB288" s="4">
        <f t="shared" si="528"/>
        <v>989.6537117392337</v>
      </c>
      <c r="BC288" s="6">
        <f t="shared" si="529"/>
        <v>5.4793074234784674E-6</v>
      </c>
      <c r="BD288" s="8">
        <f t="shared" si="530"/>
        <v>27.270017685001186</v>
      </c>
      <c r="BE288" s="7">
        <f t="shared" si="531"/>
        <v>1.3713027324433821E-2</v>
      </c>
      <c r="BF288" s="9">
        <f t="shared" si="532"/>
        <v>0.43515119816899311</v>
      </c>
      <c r="BG288" s="4">
        <f t="shared" si="533"/>
        <v>983.35443072402813</v>
      </c>
      <c r="BH288" s="6">
        <f t="shared" si="534"/>
        <v>5.4667088614480562E-6</v>
      </c>
      <c r="BI288" s="8">
        <f t="shared" si="535"/>
        <v>27.197575953326321</v>
      </c>
      <c r="BJ288" s="7">
        <f t="shared" si="536"/>
        <v>1.3681496984553398E-2</v>
      </c>
      <c r="BK288" s="9">
        <f t="shared" si="537"/>
        <v>0.43631023919492318</v>
      </c>
      <c r="BL288" s="4">
        <f t="shared" si="538"/>
        <v>976.45522536165572</v>
      </c>
      <c r="BM288" s="6">
        <f t="shared" si="539"/>
        <v>5.4529104507233114E-6</v>
      </c>
      <c r="BN288" s="8">
        <f t="shared" si="540"/>
        <v>27.118235091659038</v>
      </c>
      <c r="BO288" s="7">
        <f t="shared" si="541"/>
        <v>1.3646963791089674E-2</v>
      </c>
      <c r="BP288" s="9">
        <f t="shared" si="542"/>
        <v>0.437586768814752</v>
      </c>
      <c r="BQ288" s="4">
        <f t="shared" si="543"/>
        <v>968.95609551222196</v>
      </c>
      <c r="BR288" s="6">
        <f t="shared" si="544"/>
        <v>5.4379121910244444E-6</v>
      </c>
      <c r="BS288" s="8">
        <f t="shared" si="545"/>
        <v>27.031995098390553</v>
      </c>
      <c r="BT288" s="7">
        <f t="shared" si="546"/>
        <v>1.3609427743342431E-2</v>
      </c>
      <c r="BU288" s="9">
        <f t="shared" si="547"/>
        <v>0.43898279895827658</v>
      </c>
      <c r="BV288" s="4">
        <f t="shared" si="548"/>
        <v>960.85703558336786</v>
      </c>
      <c r="BW288" s="6">
        <f t="shared" si="549"/>
        <v>5.4217140711667359E-6</v>
      </c>
      <c r="BX288" s="8">
        <f t="shared" si="550"/>
        <v>26.93885590920873</v>
      </c>
      <c r="BY288" s="7">
        <f t="shared" si="551"/>
        <v>1.3568888813319739E-2</v>
      </c>
      <c r="BZ288" s="9">
        <f t="shared" si="552"/>
        <v>0.44050055094067481</v>
      </c>
      <c r="CA288" s="4">
        <f t="shared" si="553"/>
        <v>952.15786691577614</v>
      </c>
      <c r="CB288" s="6">
        <f t="shared" si="554"/>
        <v>5.404315733831552E-6</v>
      </c>
      <c r="CC288" s="8">
        <f t="shared" si="555"/>
        <v>26.838815469531426</v>
      </c>
      <c r="CD288" s="7">
        <f t="shared" si="556"/>
        <v>1.3525346106762561E-2</v>
      </c>
      <c r="CE288" s="9">
        <f t="shared" si="557"/>
        <v>0.44214249631058977</v>
      </c>
      <c r="CF288" s="4">
        <f t="shared" si="558"/>
        <v>942.85399449842419</v>
      </c>
      <c r="CG288" s="6">
        <f t="shared" si="559"/>
        <v>5.3857079889968491E-6</v>
      </c>
      <c r="CH288" s="8">
        <f t="shared" si="560"/>
        <v>26.731820936731879</v>
      </c>
      <c r="CI288" s="7">
        <f t="shared" si="561"/>
        <v>1.3478776623862041E-2</v>
      </c>
      <c r="CJ288" s="9">
        <f t="shared" si="562"/>
        <v>0.44391217859057891</v>
      </c>
      <c r="CK288" s="4">
        <f t="shared" si="563"/>
        <v>932.85269575467032</v>
      </c>
      <c r="CL288" s="6">
        <f t="shared" si="564"/>
        <v>5.3657053915093411E-6</v>
      </c>
      <c r="CM288" s="8">
        <f t="shared" si="565"/>
        <v>26.616806001178709</v>
      </c>
      <c r="CN288" s="7">
        <f t="shared" si="566"/>
        <v>1.3428716252229942E-2</v>
      </c>
      <c r="CO288" s="9">
        <f t="shared" si="567"/>
        <v>0.44583038510302075</v>
      </c>
      <c r="CP288" s="4">
        <f t="shared" si="568"/>
        <v>920.74527800596422</v>
      </c>
      <c r="CQ288" s="6">
        <f t="shared" si="569"/>
        <v>5.3414905560119293E-6</v>
      </c>
      <c r="CR288" s="8">
        <f t="shared" si="570"/>
        <v>26.477570697068586</v>
      </c>
      <c r="CS288" s="7">
        <f t="shared" si="571"/>
        <v>1.3368113939716899E-2</v>
      </c>
      <c r="CT288" s="9">
        <f t="shared" si="572"/>
        <v>0.44817483467362373</v>
      </c>
      <c r="CU288" s="4">
        <f t="shared" si="573"/>
        <v>891.51928792698766</v>
      </c>
      <c r="CV288" s="6">
        <f t="shared" si="574"/>
        <v>5.283038575853976E-6</v>
      </c>
      <c r="CW288" s="8">
        <f t="shared" si="575"/>
        <v>26.141471811160358</v>
      </c>
      <c r="CX288" s="7">
        <f t="shared" si="576"/>
        <v>1.3221826546233797E-2</v>
      </c>
      <c r="CY288" s="9">
        <f t="shared" si="577"/>
        <v>0.45393698394027682</v>
      </c>
      <c r="CZ288" s="5">
        <f t="shared" si="578"/>
        <v>748.03476597479141</v>
      </c>
      <c r="DA288" s="6">
        <f t="shared" si="579"/>
        <v>4.9960695319495832E-6</v>
      </c>
      <c r="DB288" s="8">
        <f t="shared" si="580"/>
        <v>24.491399808710099</v>
      </c>
      <c r="DC288" s="7">
        <f t="shared" si="581"/>
        <v>1.2503630972197293E-2</v>
      </c>
      <c r="DD288" s="9">
        <f t="shared" si="582"/>
        <v>0.48452031988378541</v>
      </c>
    </row>
    <row r="289" spans="2:108" x14ac:dyDescent="0.25">
      <c r="B289">
        <v>22</v>
      </c>
      <c r="C289">
        <f t="shared" si="490"/>
        <v>2.1507522659595532E-2</v>
      </c>
      <c r="D289" s="4">
        <f t="shared" si="491"/>
        <v>1019.6520803701984</v>
      </c>
      <c r="E289" s="6">
        <f t="shared" si="429"/>
        <v>5.5393041607403969E-6</v>
      </c>
      <c r="F289" s="8">
        <f t="shared" si="492"/>
        <v>27.614998924257279</v>
      </c>
      <c r="G289" s="7">
        <f t="shared" si="426"/>
        <v>1.386318077155094E-2</v>
      </c>
      <c r="H289" s="9">
        <f t="shared" si="493"/>
        <v>0.42971505819231376</v>
      </c>
      <c r="I289" s="4">
        <f t="shared" si="494"/>
        <v>1019.3352885971683</v>
      </c>
      <c r="J289" s="6">
        <f t="shared" si="431"/>
        <v>5.5386705771943368E-6</v>
      </c>
      <c r="K289" s="8">
        <f t="shared" si="495"/>
        <v>27.611355818867434</v>
      </c>
      <c r="L289" s="7">
        <f t="shared" si="433"/>
        <v>1.3861595106099463E-2</v>
      </c>
      <c r="M289" s="9">
        <f t="shared" si="496"/>
        <v>0.42977175577916416</v>
      </c>
      <c r="N289" s="4">
        <f t="shared" si="497"/>
        <v>1018.434117295925</v>
      </c>
      <c r="O289" s="6">
        <f t="shared" si="434"/>
        <v>5.5368682345918508E-6</v>
      </c>
      <c r="P289" s="8">
        <f t="shared" si="435"/>
        <v>27.600992348903137</v>
      </c>
      <c r="Q289" s="7">
        <f t="shared" si="427"/>
        <v>1.386318077155094E-2</v>
      </c>
      <c r="R289" s="9">
        <f t="shared" si="498"/>
        <v>0.42993312413238199</v>
      </c>
      <c r="S289" s="4">
        <f t="shared" si="499"/>
        <v>1016.9340499680022</v>
      </c>
      <c r="T289" s="6">
        <f t="shared" si="436"/>
        <v>5.5338680999360054E-6</v>
      </c>
      <c r="U289" s="8">
        <f t="shared" si="437"/>
        <v>27.583741574632025</v>
      </c>
      <c r="V289" s="7">
        <f t="shared" si="438"/>
        <v>1.3849575977260975E-2</v>
      </c>
      <c r="W289" s="9">
        <f t="shared" si="500"/>
        <v>0.43020200278526577</v>
      </c>
      <c r="X289" s="4">
        <f t="shared" si="501"/>
        <v>1014.8343541226815</v>
      </c>
      <c r="Y289" s="6">
        <f t="shared" si="439"/>
        <v>5.5296687082453636E-6</v>
      </c>
      <c r="Z289" s="8">
        <f t="shared" si="440"/>
        <v>27.559595072410836</v>
      </c>
      <c r="AA289" s="7">
        <f t="shared" si="441"/>
        <v>1.3839066186780337E-2</v>
      </c>
      <c r="AB289" s="9">
        <f t="shared" si="502"/>
        <v>0.43057892681439325</v>
      </c>
      <c r="AC289" s="4">
        <f t="shared" si="503"/>
        <v>1012.1346451773368</v>
      </c>
      <c r="AD289" s="6">
        <f t="shared" si="504"/>
        <v>5.5242692903546738E-6</v>
      </c>
      <c r="AE289" s="8">
        <f t="shared" si="505"/>
        <v>27.528548419539373</v>
      </c>
      <c r="AF289" s="7">
        <f t="shared" si="506"/>
        <v>1.3825553098473994E-2</v>
      </c>
      <c r="AG289" s="9">
        <f t="shared" si="507"/>
        <v>0.43106453303927816</v>
      </c>
      <c r="AH289" s="4">
        <f t="shared" si="508"/>
        <v>1008.8350033838279</v>
      </c>
      <c r="AI289" s="6">
        <f t="shared" si="509"/>
        <v>5.517670006767657E-6</v>
      </c>
      <c r="AJ289" s="8">
        <f t="shared" si="510"/>
        <v>27.490602538914018</v>
      </c>
      <c r="AK289" s="7">
        <f t="shared" si="511"/>
        <v>1.3809037114033572E-2</v>
      </c>
      <c r="AL289" s="9">
        <f t="shared" si="512"/>
        <v>0.43165954085292568</v>
      </c>
      <c r="AM289" s="4">
        <f t="shared" si="513"/>
        <v>1004.9354397440371</v>
      </c>
      <c r="AN289" s="6">
        <f t="shared" si="514"/>
        <v>5.5098708794880751E-6</v>
      </c>
      <c r="AO289" s="8">
        <f t="shared" si="515"/>
        <v>27.445757557056425</v>
      </c>
      <c r="AP289" s="7">
        <f t="shared" si="516"/>
        <v>1.3789518288527747E-2</v>
      </c>
      <c r="AQ289" s="9">
        <f t="shared" si="517"/>
        <v>0.43236485074418901</v>
      </c>
      <c r="AR289" s="4">
        <f t="shared" si="518"/>
        <v>1000.4359552474824</v>
      </c>
      <c r="AS289" s="6">
        <f t="shared" si="519"/>
        <v>5.5008719104949655E-6</v>
      </c>
      <c r="AT289" s="8">
        <f t="shared" si="520"/>
        <v>27.394013485346047</v>
      </c>
      <c r="AU289" s="7">
        <f t="shared" si="521"/>
        <v>1.3766996626909443E-2</v>
      </c>
      <c r="AV289" s="9">
        <f t="shared" si="522"/>
        <v>0.43318153712911472</v>
      </c>
      <c r="AW289" s="4">
        <f t="shared" si="523"/>
        <v>995.33654997663223</v>
      </c>
      <c r="AX289" s="6">
        <f t="shared" si="524"/>
        <v>5.490673099953265E-6</v>
      </c>
      <c r="AY289" s="8">
        <f t="shared" si="525"/>
        <v>27.335370324731272</v>
      </c>
      <c r="AZ289" s="7">
        <f t="shared" si="526"/>
        <v>1.3741472129591445E-2</v>
      </c>
      <c r="BA289" s="9">
        <f t="shared" si="527"/>
        <v>0.43411085084081646</v>
      </c>
      <c r="BB289" s="4">
        <f t="shared" si="528"/>
        <v>989.63722394824151</v>
      </c>
      <c r="BC289" s="6">
        <f t="shared" si="529"/>
        <v>5.4792744478964831E-6</v>
      </c>
      <c r="BD289" s="8">
        <f t="shared" si="530"/>
        <v>27.269828075404774</v>
      </c>
      <c r="BE289" s="7">
        <f t="shared" si="531"/>
        <v>1.3712944796657618E-2</v>
      </c>
      <c r="BF289" s="9">
        <f t="shared" si="532"/>
        <v>0.43515422381487673</v>
      </c>
      <c r="BG289" s="4">
        <f t="shared" si="533"/>
        <v>983.33797717115988</v>
      </c>
      <c r="BH289" s="6">
        <f t="shared" si="534"/>
        <v>5.4666759543423202E-6</v>
      </c>
      <c r="BI289" s="8">
        <f t="shared" si="535"/>
        <v>27.197386737468335</v>
      </c>
      <c r="BJ289" s="7">
        <f t="shared" si="536"/>
        <v>1.3681414628152259E-2</v>
      </c>
      <c r="BK289" s="9">
        <f t="shared" si="537"/>
        <v>0.43631327466362663</v>
      </c>
      <c r="BL289" s="4">
        <f t="shared" si="538"/>
        <v>976.43880964625316</v>
      </c>
      <c r="BM289" s="6">
        <f t="shared" si="539"/>
        <v>5.4528776192925069E-6</v>
      </c>
      <c r="BN289" s="8">
        <f t="shared" si="540"/>
        <v>27.118046310931909</v>
      </c>
      <c r="BO289" s="7">
        <f t="shared" si="541"/>
        <v>1.3646881624079701E-2</v>
      </c>
      <c r="BP289" s="9">
        <f t="shared" si="542"/>
        <v>0.43758981504999517</v>
      </c>
      <c r="BQ289" s="4">
        <f t="shared" si="543"/>
        <v>968.93972115862027</v>
      </c>
      <c r="BR289" s="6">
        <f t="shared" si="544"/>
        <v>5.4378794423172408E-6</v>
      </c>
      <c r="BS289" s="8">
        <f t="shared" si="545"/>
        <v>27.031806793324133</v>
      </c>
      <c r="BT289" s="7">
        <f t="shared" si="546"/>
        <v>1.360934578336428E-2</v>
      </c>
      <c r="BU289" s="9">
        <f t="shared" si="547"/>
        <v>0.43898585693681819</v>
      </c>
      <c r="BV289" s="4">
        <f t="shared" si="548"/>
        <v>960.84070374955206</v>
      </c>
      <c r="BW289" s="6">
        <f t="shared" si="549"/>
        <v>5.4216814074991041E-6</v>
      </c>
      <c r="BX289" s="8">
        <f t="shared" si="550"/>
        <v>26.938668093119848</v>
      </c>
      <c r="BY289" s="7">
        <f t="shared" si="551"/>
        <v>1.3568807066169574E-2</v>
      </c>
      <c r="BZ289" s="9">
        <f t="shared" si="552"/>
        <v>0.44050362210552757</v>
      </c>
      <c r="CA289" s="4">
        <f t="shared" si="553"/>
        <v>952.14151914756064</v>
      </c>
      <c r="CB289" s="6">
        <f t="shared" si="554"/>
        <v>5.4042830382951221E-6</v>
      </c>
      <c r="CC289" s="8">
        <f t="shared" si="555"/>
        <v>26.838627470196947</v>
      </c>
      <c r="CD289" s="7">
        <f t="shared" si="556"/>
        <v>1.3525264279854558E-2</v>
      </c>
      <c r="CE289" s="9">
        <f t="shared" si="557"/>
        <v>0.44214559343227172</v>
      </c>
      <c r="CF289" s="4">
        <f t="shared" si="558"/>
        <v>942.8364020123588</v>
      </c>
      <c r="CG289" s="6">
        <f t="shared" si="559"/>
        <v>5.3856728040247181E-6</v>
      </c>
      <c r="CH289" s="8">
        <f t="shared" si="560"/>
        <v>26.731618623142126</v>
      </c>
      <c r="CI289" s="7">
        <f t="shared" si="561"/>
        <v>1.3478688566659378E-2</v>
      </c>
      <c r="CJ289" s="9">
        <f t="shared" si="562"/>
        <v>0.44391553826242119</v>
      </c>
      <c r="CK289" s="4">
        <f t="shared" si="563"/>
        <v>932.81554342945321</v>
      </c>
      <c r="CL289" s="6">
        <f t="shared" si="564"/>
        <v>5.3656310868589069E-6</v>
      </c>
      <c r="CM289" s="8">
        <f t="shared" si="565"/>
        <v>26.616378749438709</v>
      </c>
      <c r="CN289" s="7">
        <f t="shared" si="566"/>
        <v>1.3428530290460875E-2</v>
      </c>
      <c r="CO289" s="9">
        <f t="shared" si="567"/>
        <v>0.44583754166663797</v>
      </c>
      <c r="CP289" s="4">
        <f t="shared" si="568"/>
        <v>920.49998276892495</v>
      </c>
      <c r="CQ289" s="6">
        <f t="shared" si="569"/>
        <v>5.3409999655378498E-6</v>
      </c>
      <c r="CR289" s="8">
        <f t="shared" si="570"/>
        <v>26.474749801842634</v>
      </c>
      <c r="CS289" s="7">
        <f t="shared" si="571"/>
        <v>1.3366886142103768E-2</v>
      </c>
      <c r="CT289" s="9">
        <f t="shared" si="572"/>
        <v>0.44822258788228431</v>
      </c>
      <c r="CU289" s="4">
        <f t="shared" si="573"/>
        <v>889.93125446304634</v>
      </c>
      <c r="CV289" s="6">
        <f t="shared" si="574"/>
        <v>5.2798625089260933E-6</v>
      </c>
      <c r="CW289" s="8">
        <f t="shared" si="575"/>
        <v>26.123209426325033</v>
      </c>
      <c r="CX289" s="7">
        <f t="shared" si="576"/>
        <v>1.3213877824032216E-2</v>
      </c>
      <c r="CY289" s="9">
        <f t="shared" si="577"/>
        <v>0.45425432518868214</v>
      </c>
      <c r="CZ289" s="5">
        <f t="shared" si="578"/>
        <v>743.13148830802402</v>
      </c>
      <c r="DA289" s="6">
        <f t="shared" si="579"/>
        <v>4.9862629766160491E-6</v>
      </c>
      <c r="DB289" s="8">
        <f t="shared" si="580"/>
        <v>24.435012115542275</v>
      </c>
      <c r="DC289" s="7">
        <f t="shared" si="581"/>
        <v>1.2479088169457099E-2</v>
      </c>
      <c r="DD289" s="9">
        <f t="shared" si="582"/>
        <v>0.48563842790853262</v>
      </c>
    </row>
    <row r="290" spans="2:108" x14ac:dyDescent="0.25">
      <c r="B290">
        <v>23</v>
      </c>
      <c r="C290">
        <f t="shared" si="490"/>
        <v>2.2485137325940784E-2</v>
      </c>
      <c r="D290" s="4">
        <f t="shared" si="491"/>
        <v>1019.6359065825933</v>
      </c>
      <c r="E290" s="6">
        <f t="shared" si="429"/>
        <v>5.5392718131651873E-6</v>
      </c>
      <c r="F290" s="8">
        <f t="shared" si="492"/>
        <v>27.614812925699823</v>
      </c>
      <c r="G290" s="7">
        <f t="shared" si="426"/>
        <v>1.386309981548324E-2</v>
      </c>
      <c r="H290" s="9">
        <f t="shared" si="493"/>
        <v>0.42971795252229367</v>
      </c>
      <c r="I290" s="4">
        <f t="shared" si="494"/>
        <v>1019.3187449136035</v>
      </c>
      <c r="J290" s="6">
        <f t="shared" si="431"/>
        <v>5.538637489827207E-6</v>
      </c>
      <c r="K290" s="8">
        <f t="shared" si="495"/>
        <v>27.61116556650644</v>
      </c>
      <c r="L290" s="7">
        <f t="shared" si="433"/>
        <v>1.3861512298559298E-2</v>
      </c>
      <c r="M290" s="9">
        <f t="shared" si="496"/>
        <v>0.42977471708447484</v>
      </c>
      <c r="N290" s="4">
        <f t="shared" si="497"/>
        <v>1018.4174944915882</v>
      </c>
      <c r="O290" s="6">
        <f t="shared" si="434"/>
        <v>5.5368349889831769E-6</v>
      </c>
      <c r="P290" s="8">
        <f t="shared" si="435"/>
        <v>27.600801186653264</v>
      </c>
      <c r="Q290" s="7">
        <f t="shared" si="427"/>
        <v>1.386309981548324E-2</v>
      </c>
      <c r="R290" s="9">
        <f t="shared" si="498"/>
        <v>0.42993610183519393</v>
      </c>
      <c r="S290" s="4">
        <f t="shared" si="499"/>
        <v>1016.9174199453162</v>
      </c>
      <c r="T290" s="6">
        <f t="shared" si="436"/>
        <v>5.5338348398906324E-6</v>
      </c>
      <c r="U290" s="8">
        <f t="shared" si="437"/>
        <v>27.583550329371135</v>
      </c>
      <c r="V290" s="7">
        <f t="shared" si="438"/>
        <v>1.3849492737560086E-2</v>
      </c>
      <c r="W290" s="9">
        <f t="shared" si="500"/>
        <v>0.43020498550842057</v>
      </c>
      <c r="X290" s="4">
        <f t="shared" si="501"/>
        <v>1014.8177355803862</v>
      </c>
      <c r="Y290" s="6">
        <f t="shared" si="439"/>
        <v>5.5296354711607728E-6</v>
      </c>
      <c r="Z290" s="8">
        <f t="shared" si="440"/>
        <v>27.559403959174439</v>
      </c>
      <c r="AA290" s="7">
        <f t="shared" si="441"/>
        <v>1.3838983004543247E-2</v>
      </c>
      <c r="AB290" s="9">
        <f t="shared" si="502"/>
        <v>0.43058191270379603</v>
      </c>
      <c r="AC290" s="4">
        <f t="shared" si="503"/>
        <v>1012.1180402255559</v>
      </c>
      <c r="AD290" s="6">
        <f t="shared" si="504"/>
        <v>5.524236080451112E-6</v>
      </c>
      <c r="AE290" s="8">
        <f t="shared" si="505"/>
        <v>27.528357462593892</v>
      </c>
      <c r="AF290" s="7">
        <f t="shared" si="506"/>
        <v>1.382546998426269E-2</v>
      </c>
      <c r="AG290" s="9">
        <f t="shared" si="507"/>
        <v>0.43106752322009972</v>
      </c>
      <c r="AH290" s="4">
        <f t="shared" si="508"/>
        <v>1008.8184148157969</v>
      </c>
      <c r="AI290" s="6">
        <f t="shared" si="509"/>
        <v>5.5176368296315943E-6</v>
      </c>
      <c r="AJ290" s="8">
        <f t="shared" si="510"/>
        <v>27.490411770381662</v>
      </c>
      <c r="AK290" s="7">
        <f t="shared" si="511"/>
        <v>1.3808954081829278E-2</v>
      </c>
      <c r="AL290" s="9">
        <f t="shared" si="512"/>
        <v>0.43166253633577889</v>
      </c>
      <c r="AM290" s="4">
        <f t="shared" si="513"/>
        <v>1004.9188710308987</v>
      </c>
      <c r="AN290" s="6">
        <f t="shared" si="514"/>
        <v>5.5098377420617979E-6</v>
      </c>
      <c r="AO290" s="8">
        <f t="shared" si="515"/>
        <v>27.445567016855335</v>
      </c>
      <c r="AP290" s="7">
        <f t="shared" si="516"/>
        <v>1.3789435355704878E-2</v>
      </c>
      <c r="AQ290" s="9">
        <f t="shared" si="517"/>
        <v>0.43236785242695819</v>
      </c>
      <c r="AR290" s="4">
        <f t="shared" si="518"/>
        <v>1000.4194099743759</v>
      </c>
      <c r="AS290" s="6">
        <f t="shared" si="519"/>
        <v>5.5008388199487525E-6</v>
      </c>
      <c r="AT290" s="8">
        <f t="shared" si="520"/>
        <v>27.393823214705321</v>
      </c>
      <c r="AU290" s="7">
        <f t="shared" si="521"/>
        <v>1.3766913811413008E-2</v>
      </c>
      <c r="AV290" s="9">
        <f t="shared" si="522"/>
        <v>0.43318454589966765</v>
      </c>
      <c r="AW290" s="4">
        <f t="shared" si="523"/>
        <v>995.32003174132115</v>
      </c>
      <c r="AX290" s="6">
        <f t="shared" si="524"/>
        <v>5.4906400634826425E-6</v>
      </c>
      <c r="AY290" s="8">
        <f t="shared" si="525"/>
        <v>27.335180365025192</v>
      </c>
      <c r="AZ290" s="7">
        <f t="shared" si="526"/>
        <v>1.3741389449429641E-2</v>
      </c>
      <c r="BA290" s="9">
        <f t="shared" si="527"/>
        <v>0.4341138675968258</v>
      </c>
      <c r="BB290" s="4">
        <f t="shared" si="528"/>
        <v>989.62073635050706</v>
      </c>
      <c r="BC290" s="6">
        <f t="shared" si="529"/>
        <v>5.4792414727010143E-6</v>
      </c>
      <c r="BD290" s="8">
        <f t="shared" si="530"/>
        <v>27.269638468030831</v>
      </c>
      <c r="BE290" s="7">
        <f t="shared" si="531"/>
        <v>1.3712862269848745E-2</v>
      </c>
      <c r="BF290" s="9">
        <f t="shared" si="532"/>
        <v>0.43515724946737061</v>
      </c>
      <c r="BG290" s="4">
        <f t="shared" si="533"/>
        <v>983.32152381159472</v>
      </c>
      <c r="BH290" s="6">
        <f t="shared" si="534"/>
        <v>5.4666430476231904E-6</v>
      </c>
      <c r="BI290" s="8">
        <f t="shared" si="535"/>
        <v>27.197197523833339</v>
      </c>
      <c r="BJ290" s="7">
        <f t="shared" si="536"/>
        <v>1.3681332272718678E-2</v>
      </c>
      <c r="BK290" s="9">
        <f t="shared" si="537"/>
        <v>0.43631631013890398</v>
      </c>
      <c r="BL290" s="4">
        <f t="shared" si="538"/>
        <v>976.42239412303081</v>
      </c>
      <c r="BM290" s="6">
        <f t="shared" si="539"/>
        <v>5.452844788246063E-6</v>
      </c>
      <c r="BN290" s="8">
        <f t="shared" si="540"/>
        <v>27.117857532414853</v>
      </c>
      <c r="BO290" s="7">
        <f t="shared" si="541"/>
        <v>1.3646799458031661E-2</v>
      </c>
      <c r="BP290" s="9">
        <f t="shared" si="542"/>
        <v>0.43759286129198777</v>
      </c>
      <c r="BQ290" s="4">
        <f t="shared" si="543"/>
        <v>968.92334696343664</v>
      </c>
      <c r="BR290" s="6">
        <f t="shared" si="544"/>
        <v>5.437846693926874E-6</v>
      </c>
      <c r="BS290" s="8">
        <f t="shared" si="545"/>
        <v>27.03161849007952</v>
      </c>
      <c r="BT290" s="7">
        <f t="shared" si="546"/>
        <v>1.360926382417907E-2</v>
      </c>
      <c r="BU290" s="9">
        <f t="shared" si="547"/>
        <v>0.43898891492837838</v>
      </c>
      <c r="BV290" s="4">
        <f t="shared" si="548"/>
        <v>960.82437123149418</v>
      </c>
      <c r="BW290" s="6">
        <f t="shared" si="549"/>
        <v>5.4216487424629889E-6</v>
      </c>
      <c r="BX290" s="8">
        <f t="shared" si="550"/>
        <v>26.938480269162184</v>
      </c>
      <c r="BY290" s="7">
        <f t="shared" si="551"/>
        <v>1.3568725315594513E-2</v>
      </c>
      <c r="BZ290" s="9">
        <f t="shared" si="552"/>
        <v>0.44050669344187776</v>
      </c>
      <c r="CA290" s="4">
        <f t="shared" si="553"/>
        <v>952.12515423463208</v>
      </c>
      <c r="CB290" s="6">
        <f t="shared" si="554"/>
        <v>5.4042503084692645E-6</v>
      </c>
      <c r="CC290" s="8">
        <f t="shared" si="555"/>
        <v>26.83843927369827</v>
      </c>
      <c r="CD290" s="7">
        <f t="shared" si="556"/>
        <v>1.352518236713063E-2</v>
      </c>
      <c r="CE290" s="9">
        <f t="shared" si="557"/>
        <v>0.44214869384551636</v>
      </c>
      <c r="CF290" s="4">
        <f t="shared" si="558"/>
        <v>942.81855312418804</v>
      </c>
      <c r="CG290" s="6">
        <f t="shared" si="559"/>
        <v>5.3856371062483766E-6</v>
      </c>
      <c r="CH290" s="8">
        <f t="shared" si="560"/>
        <v>26.731413360928162</v>
      </c>
      <c r="CI290" s="7">
        <f t="shared" si="561"/>
        <v>1.3478599226064926E-2</v>
      </c>
      <c r="CJ290" s="9">
        <f t="shared" si="562"/>
        <v>0.44391894695185208</v>
      </c>
      <c r="CK290" s="4">
        <f t="shared" si="563"/>
        <v>932.77575924677251</v>
      </c>
      <c r="CL290" s="6">
        <f t="shared" si="564"/>
        <v>5.3655515184935454E-6</v>
      </c>
      <c r="CM290" s="8">
        <f t="shared" si="565"/>
        <v>26.615921231337882</v>
      </c>
      <c r="CN290" s="7">
        <f t="shared" si="566"/>
        <v>1.3428331155226431E-2</v>
      </c>
      <c r="CO290" s="9">
        <f t="shared" si="567"/>
        <v>0.44584520545342066</v>
      </c>
      <c r="CP290" s="4">
        <f t="shared" si="568"/>
        <v>920.23887695488474</v>
      </c>
      <c r="CQ290" s="6">
        <f t="shared" si="569"/>
        <v>5.3404777539097702E-6</v>
      </c>
      <c r="CR290" s="8">
        <f t="shared" si="570"/>
        <v>26.471747084981175</v>
      </c>
      <c r="CS290" s="7">
        <f t="shared" si="571"/>
        <v>1.3365579206432608E-2</v>
      </c>
      <c r="CT290" s="9">
        <f t="shared" si="572"/>
        <v>0.44827343022064603</v>
      </c>
      <c r="CU290" s="4">
        <f t="shared" si="573"/>
        <v>888.31537425038982</v>
      </c>
      <c r="CV290" s="6">
        <f t="shared" si="574"/>
        <v>5.27663074850078E-6</v>
      </c>
      <c r="CW290" s="8">
        <f t="shared" si="575"/>
        <v>26.104626803879484</v>
      </c>
      <c r="CX290" s="7">
        <f t="shared" si="576"/>
        <v>1.3205789718074071E-2</v>
      </c>
      <c r="CY290" s="9">
        <f t="shared" si="577"/>
        <v>0.45457768689320516</v>
      </c>
      <c r="CZ290" s="5">
        <f t="shared" si="578"/>
        <v>738.37155970659239</v>
      </c>
      <c r="DA290" s="6">
        <f t="shared" si="579"/>
        <v>4.9767431194131847E-6</v>
      </c>
      <c r="DB290" s="8">
        <f t="shared" si="580"/>
        <v>24.380272936625811</v>
      </c>
      <c r="DC290" s="7">
        <f t="shared" si="581"/>
        <v>1.2455262884278135E-2</v>
      </c>
      <c r="DD290" s="9">
        <f t="shared" si="582"/>
        <v>0.48672879506164435</v>
      </c>
    </row>
    <row r="291" spans="2:108" x14ac:dyDescent="0.25">
      <c r="B291">
        <v>24</v>
      </c>
      <c r="C291">
        <f t="shared" si="490"/>
        <v>2.3462751992286035E-2</v>
      </c>
      <c r="D291" s="4">
        <f t="shared" si="491"/>
        <v>1019.6197139099692</v>
      </c>
      <c r="E291" s="6">
        <f t="shared" si="429"/>
        <v>5.5392394278199391E-6</v>
      </c>
      <c r="F291" s="8">
        <f t="shared" si="492"/>
        <v>27.614626709964647</v>
      </c>
      <c r="G291" s="7">
        <f t="shared" si="426"/>
        <v>1.3863018764888707E-2</v>
      </c>
      <c r="H291" s="9">
        <f t="shared" si="493"/>
        <v>0.4297208502708415</v>
      </c>
      <c r="I291" s="4">
        <f t="shared" si="494"/>
        <v>1019.3022022454195</v>
      </c>
      <c r="J291" s="6">
        <f t="shared" si="431"/>
        <v>5.5386044044908396E-6</v>
      </c>
      <c r="K291" s="8">
        <f t="shared" si="495"/>
        <v>27.610975325822324</v>
      </c>
      <c r="L291" s="7">
        <f t="shared" si="433"/>
        <v>1.386142949610151E-2</v>
      </c>
      <c r="M291" s="9">
        <f t="shared" si="496"/>
        <v>0.429777678248839</v>
      </c>
      <c r="N291" s="4">
        <f t="shared" si="497"/>
        <v>1018.4008724840229</v>
      </c>
      <c r="O291" s="6">
        <f t="shared" si="434"/>
        <v>5.5368017449680465E-6</v>
      </c>
      <c r="P291" s="8">
        <f t="shared" si="435"/>
        <v>27.600610033566262</v>
      </c>
      <c r="Q291" s="7">
        <f t="shared" si="427"/>
        <v>1.3863018764888707E-2</v>
      </c>
      <c r="R291" s="9">
        <f t="shared" si="498"/>
        <v>0.42993907943652154</v>
      </c>
      <c r="S291" s="4">
        <f t="shared" si="499"/>
        <v>1016.900790288926</v>
      </c>
      <c r="T291" s="6">
        <f t="shared" si="436"/>
        <v>5.5338015805778523E-6</v>
      </c>
      <c r="U291" s="8">
        <f t="shared" si="437"/>
        <v>27.583359088322648</v>
      </c>
      <c r="V291" s="7">
        <f t="shared" si="438"/>
        <v>1.384940949969265E-2</v>
      </c>
      <c r="W291" s="9">
        <f t="shared" si="500"/>
        <v>0.4302079682072365</v>
      </c>
      <c r="X291" s="4">
        <f t="shared" si="501"/>
        <v>1014.8011172105973</v>
      </c>
      <c r="Y291" s="6">
        <f t="shared" si="439"/>
        <v>5.5296022344211954E-6</v>
      </c>
      <c r="Z291" s="8">
        <f t="shared" si="440"/>
        <v>27.55921284792187</v>
      </c>
      <c r="AA291" s="7">
        <f t="shared" si="441"/>
        <v>1.3838899823169623E-2</v>
      </c>
      <c r="AB291" s="9">
        <f t="shared" si="502"/>
        <v>0.4305848986036156</v>
      </c>
      <c r="AC291" s="4">
        <f t="shared" si="503"/>
        <v>1012.101435453718</v>
      </c>
      <c r="AD291" s="6">
        <f t="shared" si="504"/>
        <v>5.5242028709074366E-6</v>
      </c>
      <c r="AE291" s="8">
        <f t="shared" si="505"/>
        <v>27.528166507717756</v>
      </c>
      <c r="AF291" s="7">
        <f t="shared" si="506"/>
        <v>1.3825386870952073E-2</v>
      </c>
      <c r="AG291" s="9">
        <f t="shared" si="507"/>
        <v>0.43107051341000141</v>
      </c>
      <c r="AH291" s="4">
        <f t="shared" si="508"/>
        <v>1008.8018264372308</v>
      </c>
      <c r="AI291" s="6">
        <f t="shared" si="509"/>
        <v>5.517603652874462E-6</v>
      </c>
      <c r="AJ291" s="8">
        <f t="shared" si="510"/>
        <v>27.490221004028154</v>
      </c>
      <c r="AK291" s="7">
        <f t="shared" si="511"/>
        <v>1.3808871050573332E-2</v>
      </c>
      <c r="AL291" s="9">
        <f t="shared" si="512"/>
        <v>0.4316655318259931</v>
      </c>
      <c r="AM291" s="4">
        <f t="shared" si="513"/>
        <v>1004.9023025095961</v>
      </c>
      <c r="AN291" s="6">
        <f t="shared" si="514"/>
        <v>5.5098046050191927E-6</v>
      </c>
      <c r="AO291" s="8">
        <f t="shared" si="515"/>
        <v>27.445376478860354</v>
      </c>
      <c r="AP291" s="7">
        <f t="shared" si="516"/>
        <v>1.3789352423842221E-2</v>
      </c>
      <c r="AQ291" s="9">
        <f t="shared" si="517"/>
        <v>0.43237085411665116</v>
      </c>
      <c r="AR291" s="4">
        <f t="shared" si="518"/>
        <v>1000.4028648938896</v>
      </c>
      <c r="AS291" s="6">
        <f t="shared" si="519"/>
        <v>5.5008057297877794E-6</v>
      </c>
      <c r="AT291" s="8">
        <f t="shared" si="520"/>
        <v>27.39363294627973</v>
      </c>
      <c r="AU291" s="7">
        <f t="shared" si="521"/>
        <v>1.3766830996880709E-2</v>
      </c>
      <c r="AV291" s="9">
        <f t="shared" si="522"/>
        <v>0.43318755467698827</v>
      </c>
      <c r="AW291" s="4">
        <f t="shared" si="523"/>
        <v>995.30351369904429</v>
      </c>
      <c r="AX291" s="6">
        <f t="shared" si="524"/>
        <v>5.4906070273980892E-6</v>
      </c>
      <c r="AY291" s="8">
        <f t="shared" si="525"/>
        <v>27.33499040753901</v>
      </c>
      <c r="AZ291" s="7">
        <f t="shared" si="526"/>
        <v>1.374130677023405E-2</v>
      </c>
      <c r="BA291" s="9">
        <f t="shared" si="527"/>
        <v>0.43411688435950896</v>
      </c>
      <c r="BB291" s="4">
        <f t="shared" si="528"/>
        <v>989.6042489460259</v>
      </c>
      <c r="BC291" s="6">
        <f t="shared" si="529"/>
        <v>5.4792084978920517E-6</v>
      </c>
      <c r="BD291" s="8">
        <f t="shared" si="530"/>
        <v>27.269448862879297</v>
      </c>
      <c r="BE291" s="7">
        <f t="shared" si="531"/>
        <v>1.371277974400718E-2</v>
      </c>
      <c r="BF291" s="9">
        <f t="shared" si="532"/>
        <v>0.43516027512647509</v>
      </c>
      <c r="BG291" s="4">
        <f t="shared" si="533"/>
        <v>983.30507064531366</v>
      </c>
      <c r="BH291" s="6">
        <f t="shared" si="534"/>
        <v>5.4666101412906277E-6</v>
      </c>
      <c r="BI291" s="8">
        <f t="shared" si="535"/>
        <v>27.197008312421104</v>
      </c>
      <c r="BJ291" s="7">
        <f t="shared" si="536"/>
        <v>1.3681249918252557E-2</v>
      </c>
      <c r="BK291" s="9">
        <f t="shared" si="537"/>
        <v>0.43631934562075825</v>
      </c>
      <c r="BL291" s="4">
        <f t="shared" si="538"/>
        <v>976.40597879151983</v>
      </c>
      <c r="BM291" s="6">
        <f t="shared" si="539"/>
        <v>5.4528119575830397E-6</v>
      </c>
      <c r="BN291" s="8">
        <f t="shared" si="540"/>
        <v>27.117668756102475</v>
      </c>
      <c r="BO291" s="7">
        <f t="shared" si="541"/>
        <v>1.3646717292943207E-2</v>
      </c>
      <c r="BP291" s="9">
        <f t="shared" si="542"/>
        <v>0.43759590754081618</v>
      </c>
      <c r="BQ291" s="4">
        <f t="shared" si="543"/>
        <v>968.9069729151704</v>
      </c>
      <c r="BR291" s="6">
        <f t="shared" si="544"/>
        <v>5.4378139458303412E-6</v>
      </c>
      <c r="BS291" s="8">
        <f t="shared" si="545"/>
        <v>27.03143018852446</v>
      </c>
      <c r="BT291" s="7">
        <f t="shared" si="546"/>
        <v>1.360918186572924E-2</v>
      </c>
      <c r="BU291" s="9">
        <f t="shared" si="547"/>
        <v>0.43899197293510456</v>
      </c>
      <c r="BV291" s="4">
        <f t="shared" si="548"/>
        <v>960.80803780824726</v>
      </c>
      <c r="BW291" s="6">
        <f t="shared" si="549"/>
        <v>5.421616075616495E-6</v>
      </c>
      <c r="BX291" s="8">
        <f t="shared" si="550"/>
        <v>26.938292434794842</v>
      </c>
      <c r="BY291" s="7">
        <f t="shared" si="551"/>
        <v>1.3568643560488631E-2</v>
      </c>
      <c r="BZ291" s="9">
        <f t="shared" si="552"/>
        <v>0.44050976499128175</v>
      </c>
      <c r="CA291" s="4">
        <f t="shared" si="553"/>
        <v>952.10876903849351</v>
      </c>
      <c r="CB291" s="6">
        <f t="shared" si="554"/>
        <v>5.4042175380769874E-6</v>
      </c>
      <c r="CC291" s="8">
        <f t="shared" si="555"/>
        <v>26.838250843942674</v>
      </c>
      <c r="CD291" s="7">
        <f t="shared" si="556"/>
        <v>1.3525100352881384E-2</v>
      </c>
      <c r="CE291" s="9">
        <f t="shared" si="557"/>
        <v>0.44215179814507755</v>
      </c>
      <c r="CF291" s="4">
        <f t="shared" si="558"/>
        <v>942.80041783973013</v>
      </c>
      <c r="CG291" s="6">
        <f t="shared" si="559"/>
        <v>5.3856008356794605E-6</v>
      </c>
      <c r="CH291" s="8">
        <f t="shared" si="560"/>
        <v>26.731204805156896</v>
      </c>
      <c r="CI291" s="7">
        <f t="shared" si="561"/>
        <v>1.3478508451946196E-2</v>
      </c>
      <c r="CJ291" s="9">
        <f t="shared" si="562"/>
        <v>0.44392241038939767</v>
      </c>
      <c r="CK291" s="4">
        <f t="shared" si="563"/>
        <v>932.73319146805432</v>
      </c>
      <c r="CL291" s="6">
        <f t="shared" si="564"/>
        <v>5.3654663829361094E-6</v>
      </c>
      <c r="CM291" s="8">
        <f t="shared" si="565"/>
        <v>26.615431701882624</v>
      </c>
      <c r="CN291" s="7">
        <f t="shared" si="566"/>
        <v>1.3428118087016314E-2</v>
      </c>
      <c r="CO291" s="9">
        <f t="shared" si="567"/>
        <v>0.44585340574725768</v>
      </c>
      <c r="CP291" s="4">
        <f t="shared" si="568"/>
        <v>919.96196725723371</v>
      </c>
      <c r="CQ291" s="6">
        <f t="shared" si="569"/>
        <v>5.3399239345144676E-6</v>
      </c>
      <c r="CR291" s="8">
        <f t="shared" si="570"/>
        <v>26.468562623458187</v>
      </c>
      <c r="CS291" s="7">
        <f t="shared" si="571"/>
        <v>1.3364193166206422E-2</v>
      </c>
      <c r="CT291" s="9">
        <f t="shared" si="572"/>
        <v>0.44832736248401156</v>
      </c>
      <c r="CU291" s="4">
        <f t="shared" si="573"/>
        <v>886.67416721705649</v>
      </c>
      <c r="CV291" s="6">
        <f t="shared" si="574"/>
        <v>5.2733483344341139E-6</v>
      </c>
      <c r="CW291" s="8">
        <f t="shared" si="575"/>
        <v>26.08575292299615</v>
      </c>
      <c r="CX291" s="7">
        <f t="shared" si="576"/>
        <v>1.319757484157464E-2</v>
      </c>
      <c r="CY291" s="9">
        <f t="shared" si="577"/>
        <v>0.45490658846411131</v>
      </c>
      <c r="CZ291" s="5">
        <f t="shared" si="578"/>
        <v>733.74858896484398</v>
      </c>
      <c r="DA291" s="6">
        <f t="shared" si="579"/>
        <v>4.9674971779296878E-6</v>
      </c>
      <c r="DB291" s="8">
        <f t="shared" si="580"/>
        <v>24.327108773095706</v>
      </c>
      <c r="DC291" s="7">
        <f t="shared" si="581"/>
        <v>1.2432123126202137E-2</v>
      </c>
      <c r="DD291" s="9">
        <f t="shared" si="582"/>
        <v>0.48779248616841847</v>
      </c>
    </row>
    <row r="292" spans="2:108" x14ac:dyDescent="0.25">
      <c r="B292">
        <v>25</v>
      </c>
      <c r="C292">
        <f t="shared" si="490"/>
        <v>2.4440366658631286E-2</v>
      </c>
      <c r="D292" s="4">
        <f t="shared" si="491"/>
        <v>1019.6035033683397</v>
      </c>
      <c r="E292" s="6">
        <f t="shared" si="429"/>
        <v>5.5392070067366794E-6</v>
      </c>
      <c r="F292" s="8">
        <f t="shared" si="492"/>
        <v>27.614440288735906</v>
      </c>
      <c r="G292" s="7">
        <f t="shared" si="426"/>
        <v>1.3862937624852884E-2</v>
      </c>
      <c r="H292" s="9">
        <f t="shared" si="493"/>
        <v>0.42972375125627105</v>
      </c>
      <c r="I292" s="4">
        <f t="shared" si="494"/>
        <v>1019.2856604502274</v>
      </c>
      <c r="J292" s="6">
        <f t="shared" si="431"/>
        <v>5.5385713209004553E-6</v>
      </c>
      <c r="K292" s="8">
        <f t="shared" si="495"/>
        <v>27.610785095177615</v>
      </c>
      <c r="L292" s="7">
        <f t="shared" si="433"/>
        <v>1.386134669801338E-2</v>
      </c>
      <c r="M292" s="9">
        <f t="shared" si="496"/>
        <v>0.42978063929773824</v>
      </c>
      <c r="N292" s="4">
        <f t="shared" si="497"/>
        <v>1018.3842512680296</v>
      </c>
      <c r="O292" s="6">
        <f t="shared" si="434"/>
        <v>5.5367685025360604E-6</v>
      </c>
      <c r="P292" s="8">
        <f t="shared" si="435"/>
        <v>27.60041888958234</v>
      </c>
      <c r="Q292" s="7">
        <f t="shared" si="427"/>
        <v>1.3862937624852884E-2</v>
      </c>
      <c r="R292" s="9">
        <f t="shared" si="498"/>
        <v>0.42994205693729121</v>
      </c>
      <c r="S292" s="4">
        <f t="shared" si="499"/>
        <v>1016.8841610007746</v>
      </c>
      <c r="T292" s="6">
        <f t="shared" si="436"/>
        <v>5.5337683220015496E-6</v>
      </c>
      <c r="U292" s="8">
        <f t="shared" si="437"/>
        <v>27.583167851508907</v>
      </c>
      <c r="V292" s="7">
        <f t="shared" si="438"/>
        <v>1.3849326263668393E-2</v>
      </c>
      <c r="W292" s="9">
        <f t="shared" si="500"/>
        <v>0.43021095088136335</v>
      </c>
      <c r="X292" s="4">
        <f t="shared" si="501"/>
        <v>1014.7844990157761</v>
      </c>
      <c r="Y292" s="6">
        <f t="shared" si="439"/>
        <v>5.5295689980315528E-6</v>
      </c>
      <c r="Z292" s="8">
        <f t="shared" si="440"/>
        <v>27.559021738681423</v>
      </c>
      <c r="AA292" s="7">
        <f t="shared" si="441"/>
        <v>1.3838816642671775E-2</v>
      </c>
      <c r="AB292" s="9">
        <f t="shared" si="502"/>
        <v>0.43058788451340951</v>
      </c>
      <c r="AC292" s="4">
        <f t="shared" si="503"/>
        <v>1012.0848308618735</v>
      </c>
      <c r="AD292" s="6">
        <f t="shared" si="504"/>
        <v>5.5241696617237477E-6</v>
      </c>
      <c r="AE292" s="8">
        <f t="shared" si="505"/>
        <v>27.527975554911542</v>
      </c>
      <c r="AF292" s="7">
        <f t="shared" si="506"/>
        <v>1.3825303758542393E-2</v>
      </c>
      <c r="AG292" s="9">
        <f t="shared" si="507"/>
        <v>0.43107350360897362</v>
      </c>
      <c r="AH292" s="4">
        <f t="shared" si="508"/>
        <v>1008.7852382480423</v>
      </c>
      <c r="AI292" s="6">
        <f t="shared" si="509"/>
        <v>5.5175704764960847E-6</v>
      </c>
      <c r="AJ292" s="8">
        <f t="shared" si="510"/>
        <v>27.490030239852487</v>
      </c>
      <c r="AK292" s="7">
        <f t="shared" si="511"/>
        <v>1.3808788020265292E-2</v>
      </c>
      <c r="AL292" s="9">
        <f t="shared" si="512"/>
        <v>0.43166852732358346</v>
      </c>
      <c r="AM292" s="4">
        <f t="shared" si="513"/>
        <v>1004.8857341801083</v>
      </c>
      <c r="AN292" s="6">
        <f t="shared" si="514"/>
        <v>5.5097714683602164E-6</v>
      </c>
      <c r="AO292" s="8">
        <f t="shared" si="515"/>
        <v>27.445185943071245</v>
      </c>
      <c r="AP292" s="7">
        <f t="shared" si="516"/>
        <v>1.378926949293967E-2</v>
      </c>
      <c r="AQ292" s="9">
        <f t="shared" si="517"/>
        <v>0.43237385581327098</v>
      </c>
      <c r="AR292" s="4">
        <f t="shared" si="518"/>
        <v>1000.3863200060173</v>
      </c>
      <c r="AS292" s="6">
        <f t="shared" si="519"/>
        <v>5.5007726400120344E-6</v>
      </c>
      <c r="AT292" s="8">
        <f t="shared" si="520"/>
        <v>27.393442680069199</v>
      </c>
      <c r="AU292" s="7">
        <f t="shared" si="521"/>
        <v>1.3766748183312518E-2</v>
      </c>
      <c r="AV292" s="9">
        <f t="shared" si="522"/>
        <v>0.43319056346107726</v>
      </c>
      <c r="AW292" s="4">
        <f t="shared" si="523"/>
        <v>995.28699584979699</v>
      </c>
      <c r="AX292" s="6">
        <f t="shared" si="524"/>
        <v>5.4905739916995948E-6</v>
      </c>
      <c r="AY292" s="8">
        <f t="shared" si="525"/>
        <v>27.334800452272667</v>
      </c>
      <c r="AZ292" s="7">
        <f t="shared" si="526"/>
        <v>1.3741224092004645E-2</v>
      </c>
      <c r="BA292" s="9">
        <f t="shared" si="527"/>
        <v>0.43411990112886623</v>
      </c>
      <c r="BB292" s="4">
        <f t="shared" si="528"/>
        <v>989.58776173479339</v>
      </c>
      <c r="BC292" s="6">
        <f t="shared" si="529"/>
        <v>5.4791755234695868E-6</v>
      </c>
      <c r="BD292" s="8">
        <f t="shared" si="530"/>
        <v>27.269259259950125</v>
      </c>
      <c r="BE292" s="7">
        <f t="shared" si="531"/>
        <v>1.3712697219132897E-2</v>
      </c>
      <c r="BF292" s="9">
        <f t="shared" si="532"/>
        <v>0.43516330079219034</v>
      </c>
      <c r="BG292" s="4">
        <f t="shared" si="533"/>
        <v>983.28861767229148</v>
      </c>
      <c r="BH292" s="6">
        <f t="shared" si="534"/>
        <v>5.4665772353445832E-6</v>
      </c>
      <c r="BI292" s="8">
        <f t="shared" si="535"/>
        <v>27.196819103231352</v>
      </c>
      <c r="BJ292" s="7">
        <f t="shared" si="536"/>
        <v>1.3681167564753771E-2</v>
      </c>
      <c r="BK292" s="9">
        <f t="shared" si="537"/>
        <v>0.4363223811091933</v>
      </c>
      <c r="BL292" s="4">
        <f t="shared" si="538"/>
        <v>976.38956365110027</v>
      </c>
      <c r="BM292" s="6">
        <f t="shared" si="539"/>
        <v>5.4527791273022018E-6</v>
      </c>
      <c r="BN292" s="8">
        <f t="shared" si="540"/>
        <v>27.11747998198765</v>
      </c>
      <c r="BO292" s="7">
        <f t="shared" si="541"/>
        <v>1.3646635128811247E-2</v>
      </c>
      <c r="BP292" s="9">
        <f t="shared" si="542"/>
        <v>0.4375989537965948</v>
      </c>
      <c r="BQ292" s="4">
        <f t="shared" si="543"/>
        <v>968.89059899949768</v>
      </c>
      <c r="BR292" s="6">
        <f t="shared" si="544"/>
        <v>5.4377811979989959E-6</v>
      </c>
      <c r="BS292" s="8">
        <f t="shared" si="545"/>
        <v>27.031241888494222</v>
      </c>
      <c r="BT292" s="7">
        <f t="shared" si="546"/>
        <v>1.3609099907943092E-2</v>
      </c>
      <c r="BU292" s="9">
        <f t="shared" si="547"/>
        <v>0.43899503095967179</v>
      </c>
      <c r="BV292" s="4">
        <f t="shared" si="548"/>
        <v>960.79170322049345</v>
      </c>
      <c r="BW292" s="6">
        <f t="shared" si="549"/>
        <v>5.4215834064409874E-6</v>
      </c>
      <c r="BX292" s="8">
        <f t="shared" si="550"/>
        <v>26.938104587035674</v>
      </c>
      <c r="BY292" s="7">
        <f t="shared" si="551"/>
        <v>1.3568561799553938E-2</v>
      </c>
      <c r="BZ292" s="9">
        <f t="shared" si="552"/>
        <v>0.44051283680251396</v>
      </c>
      <c r="CA292" s="4">
        <f t="shared" si="553"/>
        <v>952.09236008243431</v>
      </c>
      <c r="CB292" s="6">
        <f t="shared" si="554"/>
        <v>5.4041847201648685E-6</v>
      </c>
      <c r="CC292" s="8">
        <f t="shared" si="555"/>
        <v>26.838062140947994</v>
      </c>
      <c r="CD292" s="7">
        <f t="shared" si="556"/>
        <v>1.3525018219704536E-2</v>
      </c>
      <c r="CE292" s="9">
        <f t="shared" si="557"/>
        <v>0.44215490698982107</v>
      </c>
      <c r="CF292" s="4">
        <f t="shared" si="558"/>
        <v>942.78196481920077</v>
      </c>
      <c r="CG292" s="6">
        <f t="shared" si="559"/>
        <v>5.3855639296384024E-6</v>
      </c>
      <c r="CH292" s="8">
        <f t="shared" si="560"/>
        <v>26.730992595420808</v>
      </c>
      <c r="CI292" s="7">
        <f t="shared" si="561"/>
        <v>1.3478416087435439E-2</v>
      </c>
      <c r="CJ292" s="9">
        <f t="shared" si="562"/>
        <v>0.4439259345629657</v>
      </c>
      <c r="CK292" s="4">
        <f t="shared" si="563"/>
        <v>932.68769215008638</v>
      </c>
      <c r="CL292" s="6">
        <f t="shared" si="564"/>
        <v>5.3653753843001741E-6</v>
      </c>
      <c r="CM292" s="8">
        <f t="shared" si="565"/>
        <v>26.614908459725992</v>
      </c>
      <c r="CN292" s="7">
        <f t="shared" si="566"/>
        <v>1.3427890345317479E-2</v>
      </c>
      <c r="CO292" s="9">
        <f t="shared" si="567"/>
        <v>0.44586217110889392</v>
      </c>
      <c r="CP292" s="4">
        <f t="shared" si="568"/>
        <v>919.66929305098415</v>
      </c>
      <c r="CQ292" s="6">
        <f t="shared" si="569"/>
        <v>5.3393385861019691E-6</v>
      </c>
      <c r="CR292" s="8">
        <f t="shared" si="570"/>
        <v>26.465196870086316</v>
      </c>
      <c r="CS292" s="7">
        <f t="shared" si="571"/>
        <v>1.3362728218512393E-2</v>
      </c>
      <c r="CT292" s="9">
        <f t="shared" si="572"/>
        <v>0.44838437922714747</v>
      </c>
      <c r="CU292" s="4">
        <f t="shared" si="573"/>
        <v>885.0099980293852</v>
      </c>
      <c r="CV292" s="6">
        <f t="shared" si="574"/>
        <v>5.270019996058771E-6</v>
      </c>
      <c r="CW292" s="8">
        <f t="shared" si="575"/>
        <v>26.066614977337927</v>
      </c>
      <c r="CX292" s="7">
        <f t="shared" si="576"/>
        <v>1.3189245030604283E-2</v>
      </c>
      <c r="CY292" s="9">
        <f t="shared" si="577"/>
        <v>0.45524057803572093</v>
      </c>
      <c r="CZ292" s="5">
        <f t="shared" si="578"/>
        <v>729.25650744292375</v>
      </c>
      <c r="DA292" s="6">
        <f t="shared" si="579"/>
        <v>4.9585130148858483E-6</v>
      </c>
      <c r="DB292" s="8">
        <f t="shared" si="580"/>
        <v>24.275449835593623</v>
      </c>
      <c r="DC292" s="7">
        <f t="shared" si="581"/>
        <v>1.2409638519337511E-2</v>
      </c>
      <c r="DD292" s="9">
        <f t="shared" si="582"/>
        <v>0.48883052425741869</v>
      </c>
    </row>
    <row r="293" spans="2:108" x14ac:dyDescent="0.25">
      <c r="B293">
        <v>26</v>
      </c>
      <c r="C293">
        <f t="shared" si="490"/>
        <v>2.5417981324976538E-2</v>
      </c>
      <c r="D293" s="4">
        <f t="shared" si="491"/>
        <v>1019.5872759145768</v>
      </c>
      <c r="E293" s="6">
        <f t="shared" si="429"/>
        <v>5.5391745518291537E-6</v>
      </c>
      <c r="F293" s="8">
        <f t="shared" si="492"/>
        <v>27.614253673017632</v>
      </c>
      <c r="G293" s="7">
        <f t="shared" si="426"/>
        <v>1.386285640016529E-2</v>
      </c>
      <c r="H293" s="9">
        <f t="shared" si="493"/>
        <v>0.42972665530747045</v>
      </c>
      <c r="I293" s="4">
        <f t="shared" si="494"/>
        <v>1019.2691193965173</v>
      </c>
      <c r="J293" s="6">
        <f t="shared" si="431"/>
        <v>5.538538238793035E-6</v>
      </c>
      <c r="K293" s="8">
        <f t="shared" si="495"/>
        <v>27.610594873059949</v>
      </c>
      <c r="L293" s="7">
        <f t="shared" si="433"/>
        <v>1.3861263903636657E-2</v>
      </c>
      <c r="M293" s="9">
        <f t="shared" si="496"/>
        <v>0.42978360025470841</v>
      </c>
      <c r="N293" s="4">
        <f t="shared" si="497"/>
        <v>1018.3676308371072</v>
      </c>
      <c r="O293" s="6">
        <f t="shared" si="434"/>
        <v>5.5367352616742151E-6</v>
      </c>
      <c r="P293" s="8">
        <f t="shared" si="435"/>
        <v>27.600227754626729</v>
      </c>
      <c r="Q293" s="7">
        <f t="shared" si="427"/>
        <v>1.386285640016529E-2</v>
      </c>
      <c r="R293" s="9">
        <f t="shared" si="498"/>
        <v>0.4299450343386626</v>
      </c>
      <c r="S293" s="4">
        <f t="shared" si="499"/>
        <v>1016.8675320827251</v>
      </c>
      <c r="T293" s="6">
        <f t="shared" si="436"/>
        <v>5.5337350641654511E-6</v>
      </c>
      <c r="U293" s="8">
        <f t="shared" si="437"/>
        <v>27.582976618951339</v>
      </c>
      <c r="V293" s="7">
        <f t="shared" si="438"/>
        <v>1.3849243029496642E-2</v>
      </c>
      <c r="W293" s="9">
        <f t="shared" si="500"/>
        <v>0.43021393353046489</v>
      </c>
      <c r="X293" s="4">
        <f t="shared" si="501"/>
        <v>1014.7678809983397</v>
      </c>
      <c r="Y293" s="6">
        <f t="shared" si="439"/>
        <v>5.5295357619966806E-6</v>
      </c>
      <c r="Z293" s="8">
        <f t="shared" si="440"/>
        <v>27.558830631480905</v>
      </c>
      <c r="AA293" s="7">
        <f t="shared" si="441"/>
        <v>1.3838733463061812E-2</v>
      </c>
      <c r="AB293" s="9">
        <f t="shared" si="502"/>
        <v>0.4305908704327428</v>
      </c>
      <c r="AC293" s="4">
        <f t="shared" si="503"/>
        <v>1012.0682264501005</v>
      </c>
      <c r="AD293" s="6">
        <f t="shared" si="504"/>
        <v>5.5241364529002011E-6</v>
      </c>
      <c r="AE293" s="8">
        <f t="shared" si="505"/>
        <v>27.527784604176155</v>
      </c>
      <c r="AF293" s="7">
        <f t="shared" si="506"/>
        <v>1.3825220647034037E-2</v>
      </c>
      <c r="AG293" s="9">
        <f t="shared" si="507"/>
        <v>0.43107649381700175</v>
      </c>
      <c r="AH293" s="4">
        <f t="shared" si="508"/>
        <v>1008.768650248147</v>
      </c>
      <c r="AI293" s="6">
        <f t="shared" si="509"/>
        <v>5.5175373004962947E-6</v>
      </c>
      <c r="AJ293" s="8">
        <f t="shared" si="510"/>
        <v>27.489839477853689</v>
      </c>
      <c r="AK293" s="7">
        <f t="shared" si="511"/>
        <v>1.380870499090474E-2</v>
      </c>
      <c r="AL293" s="9">
        <f t="shared" si="512"/>
        <v>0.43167152282856475</v>
      </c>
      <c r="AM293" s="4">
        <f t="shared" si="513"/>
        <v>1004.8691660424137</v>
      </c>
      <c r="AN293" s="6">
        <f t="shared" si="514"/>
        <v>5.5097383320848275E-6</v>
      </c>
      <c r="AO293" s="8">
        <f t="shared" si="515"/>
        <v>27.444995409487756</v>
      </c>
      <c r="AP293" s="7">
        <f t="shared" si="516"/>
        <v>1.3789186562997121E-2</v>
      </c>
      <c r="AQ293" s="9">
        <f t="shared" si="517"/>
        <v>0.43237685751682114</v>
      </c>
      <c r="AR293" s="4">
        <f t="shared" si="518"/>
        <v>1000.3697753107523</v>
      </c>
      <c r="AS293" s="6">
        <f t="shared" si="519"/>
        <v>5.5007395506215047E-6</v>
      </c>
      <c r="AT293" s="8">
        <f t="shared" si="520"/>
        <v>27.393252416073651</v>
      </c>
      <c r="AU293" s="7">
        <f t="shared" si="521"/>
        <v>1.3766665370708404E-2</v>
      </c>
      <c r="AV293" s="9">
        <f t="shared" si="522"/>
        <v>0.43319357225193517</v>
      </c>
      <c r="AW293" s="4">
        <f t="shared" si="523"/>
        <v>995.27047819357483</v>
      </c>
      <c r="AX293" s="6">
        <f t="shared" si="524"/>
        <v>5.4905409563871501E-6</v>
      </c>
      <c r="AY293" s="8">
        <f t="shared" si="525"/>
        <v>27.334610499226109</v>
      </c>
      <c r="AZ293" s="7">
        <f t="shared" si="526"/>
        <v>1.3741141414741405E-2</v>
      </c>
      <c r="BA293" s="9">
        <f t="shared" si="527"/>
        <v>0.43412291790489799</v>
      </c>
      <c r="BB293" s="4">
        <f t="shared" si="528"/>
        <v>989.57127471680451</v>
      </c>
      <c r="BC293" s="6">
        <f t="shared" si="529"/>
        <v>5.4791425494336087E-6</v>
      </c>
      <c r="BD293" s="8">
        <f t="shared" si="530"/>
        <v>27.26906965924325</v>
      </c>
      <c r="BE293" s="7">
        <f t="shared" si="531"/>
        <v>1.3712614695225875E-2</v>
      </c>
      <c r="BF293" s="9">
        <f t="shared" si="532"/>
        <v>0.43516632646451681</v>
      </c>
      <c r="BG293" s="4">
        <f t="shared" si="533"/>
        <v>983.27216489249463</v>
      </c>
      <c r="BH293" s="6">
        <f t="shared" si="534"/>
        <v>5.4665443297849898E-6</v>
      </c>
      <c r="BI293" s="8">
        <f t="shared" si="535"/>
        <v>27.196629896263687</v>
      </c>
      <c r="BJ293" s="7">
        <f t="shared" si="536"/>
        <v>1.3681085212222154E-2</v>
      </c>
      <c r="BK293" s="9">
        <f t="shared" si="537"/>
        <v>0.43632541660421487</v>
      </c>
      <c r="BL293" s="4">
        <f t="shared" si="538"/>
        <v>976.37314870096463</v>
      </c>
      <c r="BM293" s="6">
        <f t="shared" si="539"/>
        <v>5.4527462974019299E-6</v>
      </c>
      <c r="BN293" s="8">
        <f t="shared" si="540"/>
        <v>27.11729121006109</v>
      </c>
      <c r="BO293" s="7">
        <f t="shared" si="541"/>
        <v>1.3646552965631725E-2</v>
      </c>
      <c r="BP293" s="9">
        <f t="shared" si="542"/>
        <v>0.43760200005947297</v>
      </c>
      <c r="BQ293" s="4">
        <f t="shared" si="543"/>
        <v>968.87422519880272</v>
      </c>
      <c r="BR293" s="6">
        <f t="shared" si="544"/>
        <v>5.4377484503976056E-6</v>
      </c>
      <c r="BS293" s="8">
        <f t="shared" si="545"/>
        <v>27.031053589786232</v>
      </c>
      <c r="BT293" s="7">
        <f t="shared" si="546"/>
        <v>1.360901795073245E-2</v>
      </c>
      <c r="BU293" s="9">
        <f t="shared" si="547"/>
        <v>0.43899808900536985</v>
      </c>
      <c r="BV293" s="4">
        <f t="shared" si="548"/>
        <v>960.77536716678549</v>
      </c>
      <c r="BW293" s="6">
        <f t="shared" si="549"/>
        <v>5.4215507343335719E-6</v>
      </c>
      <c r="BX293" s="8">
        <f t="shared" si="550"/>
        <v>26.937916722418031</v>
      </c>
      <c r="BY293" s="7">
        <f t="shared" si="551"/>
        <v>1.3568480031281582E-2</v>
      </c>
      <c r="BZ293" s="9">
        <f t="shared" si="552"/>
        <v>0.4405159089322746</v>
      </c>
      <c r="CA293" s="4">
        <f t="shared" si="553"/>
        <v>952.07592354134692</v>
      </c>
      <c r="CB293" s="6">
        <f t="shared" si="554"/>
        <v>5.4041518470826943E-6</v>
      </c>
      <c r="CC293" s="8">
        <f t="shared" si="555"/>
        <v>26.83787312072549</v>
      </c>
      <c r="CD293" s="7">
        <f t="shared" si="556"/>
        <v>1.3524935948453946E-2</v>
      </c>
      <c r="CE293" s="9">
        <f t="shared" si="557"/>
        <v>0.4421580211046589</v>
      </c>
      <c r="CF293" s="4">
        <f t="shared" si="558"/>
        <v>942.76316146215459</v>
      </c>
      <c r="CG293" s="6">
        <f t="shared" si="559"/>
        <v>5.3855263229243094E-6</v>
      </c>
      <c r="CH293" s="8">
        <f t="shared" si="560"/>
        <v>26.730776356814779</v>
      </c>
      <c r="CI293" s="7">
        <f t="shared" si="561"/>
        <v>1.3478321969354796E-2</v>
      </c>
      <c r="CJ293" s="9">
        <f t="shared" si="562"/>
        <v>0.44392952570165872</v>
      </c>
      <c r="CK293" s="4">
        <f t="shared" si="563"/>
        <v>932.63911747871146</v>
      </c>
      <c r="CL293" s="6">
        <f t="shared" si="564"/>
        <v>5.3652782349574231E-6</v>
      </c>
      <c r="CM293" s="8">
        <f t="shared" si="565"/>
        <v>26.61434985100518</v>
      </c>
      <c r="CN293" s="7">
        <f t="shared" si="566"/>
        <v>1.3427647210284391E-2</v>
      </c>
      <c r="CO293" s="9">
        <f t="shared" si="567"/>
        <v>0.44587152931221113</v>
      </c>
      <c r="CP293" s="4">
        <f t="shared" si="568"/>
        <v>919.36092342254312</v>
      </c>
      <c r="CQ293" s="6">
        <f t="shared" si="569"/>
        <v>5.3387218468450865E-6</v>
      </c>
      <c r="CR293" s="8">
        <f t="shared" si="570"/>
        <v>26.461650619359247</v>
      </c>
      <c r="CS293" s="7">
        <f t="shared" si="571"/>
        <v>1.3361184709154724E-2</v>
      </c>
      <c r="CT293" s="9">
        <f t="shared" si="572"/>
        <v>0.4484444693346662</v>
      </c>
      <c r="CU293" s="4">
        <f t="shared" si="573"/>
        <v>883.32508505209194</v>
      </c>
      <c r="CV293" s="6">
        <f t="shared" si="574"/>
        <v>5.2666501701041844E-6</v>
      </c>
      <c r="CW293" s="8">
        <f t="shared" si="575"/>
        <v>26.047238478099054</v>
      </c>
      <c r="CX293" s="7">
        <f t="shared" si="576"/>
        <v>1.3180811388937123E-2</v>
      </c>
      <c r="CY293" s="9">
        <f t="shared" si="577"/>
        <v>0.45557923077701751</v>
      </c>
      <c r="CZ293" s="5">
        <f t="shared" si="578"/>
        <v>724.8895522003013</v>
      </c>
      <c r="DA293" s="6">
        <f t="shared" si="579"/>
        <v>4.9497791044006034E-6</v>
      </c>
      <c r="DB293" s="8">
        <f t="shared" si="580"/>
        <v>24.225229850303464</v>
      </c>
      <c r="DC293" s="7">
        <f t="shared" si="581"/>
        <v>1.2387780217936111E-2</v>
      </c>
      <c r="DD293" s="9">
        <f t="shared" si="582"/>
        <v>0.48984389180395116</v>
      </c>
    </row>
    <row r="294" spans="2:108" x14ac:dyDescent="0.25">
      <c r="B294">
        <v>27</v>
      </c>
      <c r="C294">
        <f t="shared" si="490"/>
        <v>2.6395595991321789E-2</v>
      </c>
      <c r="D294" s="4">
        <f t="shared" si="491"/>
        <v>1019.5710324499847</v>
      </c>
      <c r="E294" s="6">
        <f t="shared" si="429"/>
        <v>5.5391420648999701E-6</v>
      </c>
      <c r="F294" s="8">
        <f t="shared" si="492"/>
        <v>27.614066873174824</v>
      </c>
      <c r="G294" s="7">
        <f t="shared" si="426"/>
        <v>1.3862775095337296E-2</v>
      </c>
      <c r="H294" s="9">
        <f t="shared" si="493"/>
        <v>0.42972956226326336</v>
      </c>
      <c r="I294" s="4">
        <f t="shared" si="494"/>
        <v>1019.2525789629196</v>
      </c>
      <c r="J294" s="6">
        <f t="shared" si="431"/>
        <v>5.5385051579258396E-6</v>
      </c>
      <c r="K294" s="8">
        <f t="shared" si="495"/>
        <v>27.610404658073577</v>
      </c>
      <c r="L294" s="7">
        <f t="shared" si="433"/>
        <v>1.3861181112363837E-2</v>
      </c>
      <c r="M294" s="9">
        <f t="shared" si="496"/>
        <v>0.42978656114147112</v>
      </c>
      <c r="N294" s="4">
        <f t="shared" si="497"/>
        <v>1018.3510111836006</v>
      </c>
      <c r="O294" s="6">
        <f t="shared" si="434"/>
        <v>5.5367020223672013E-6</v>
      </c>
      <c r="P294" s="8">
        <f t="shared" si="435"/>
        <v>27.600036628611406</v>
      </c>
      <c r="Q294" s="7">
        <f t="shared" si="427"/>
        <v>1.3862775095337296E-2</v>
      </c>
      <c r="R294" s="9">
        <f t="shared" si="498"/>
        <v>0.42994801164200203</v>
      </c>
      <c r="S294" s="4">
        <f t="shared" si="499"/>
        <v>1016.8509035365473</v>
      </c>
      <c r="T294" s="6">
        <f t="shared" si="436"/>
        <v>5.5337018070730951E-6</v>
      </c>
      <c r="U294" s="8">
        <f t="shared" si="437"/>
        <v>27.582785390670296</v>
      </c>
      <c r="V294" s="7">
        <f t="shared" si="438"/>
        <v>1.3849159797186249E-2</v>
      </c>
      <c r="W294" s="9">
        <f t="shared" si="500"/>
        <v>0.43021691615422186</v>
      </c>
      <c r="X294" s="4">
        <f t="shared" si="501"/>
        <v>1014.7512631606622</v>
      </c>
      <c r="Y294" s="6">
        <f t="shared" si="439"/>
        <v>5.5295025263213256E-6</v>
      </c>
      <c r="Z294" s="8">
        <f t="shared" si="440"/>
        <v>27.558639526347616</v>
      </c>
      <c r="AA294" s="7">
        <f t="shared" si="441"/>
        <v>1.3838650284351609E-2</v>
      </c>
      <c r="AB294" s="9">
        <f t="shared" si="502"/>
        <v>0.43059385636118858</v>
      </c>
      <c r="AC294" s="4">
        <f t="shared" si="503"/>
        <v>1012.051622218504</v>
      </c>
      <c r="AD294" s="6">
        <f t="shared" si="504"/>
        <v>5.5241032444370085E-6</v>
      </c>
      <c r="AE294" s="8">
        <f t="shared" si="505"/>
        <v>27.527593655512796</v>
      </c>
      <c r="AF294" s="7">
        <f t="shared" si="506"/>
        <v>1.3825137536427539E-2</v>
      </c>
      <c r="AG294" s="9">
        <f t="shared" si="507"/>
        <v>0.43107948403406648</v>
      </c>
      <c r="AH294" s="4">
        <f t="shared" si="508"/>
        <v>1008.7520624374631</v>
      </c>
      <c r="AI294" s="6">
        <f t="shared" si="509"/>
        <v>5.5175041248749268E-6</v>
      </c>
      <c r="AJ294" s="8">
        <f t="shared" si="510"/>
        <v>27.489648718030825</v>
      </c>
      <c r="AK294" s="7">
        <f t="shared" si="511"/>
        <v>1.3808621962491264E-2</v>
      </c>
      <c r="AL294" s="9">
        <f t="shared" si="512"/>
        <v>0.43167451834095105</v>
      </c>
      <c r="AM294" s="4">
        <f t="shared" si="513"/>
        <v>1004.8525980964899</v>
      </c>
      <c r="AN294" s="6">
        <f t="shared" si="514"/>
        <v>5.509705196192981E-6</v>
      </c>
      <c r="AO294" s="8">
        <f t="shared" si="515"/>
        <v>27.444804878109636</v>
      </c>
      <c r="AP294" s="7">
        <f t="shared" si="516"/>
        <v>1.3789103634014461E-2</v>
      </c>
      <c r="AQ294" s="9">
        <f t="shared" si="517"/>
        <v>0.43237985922730504</v>
      </c>
      <c r="AR294" s="4">
        <f t="shared" si="518"/>
        <v>1000.353230808088</v>
      </c>
      <c r="AS294" s="6">
        <f t="shared" si="519"/>
        <v>5.5007064616161768E-6</v>
      </c>
      <c r="AT294" s="8">
        <f t="shared" si="520"/>
        <v>27.393062154293013</v>
      </c>
      <c r="AU294" s="7">
        <f t="shared" si="521"/>
        <v>1.3766582559068331E-2</v>
      </c>
      <c r="AV294" s="9">
        <f t="shared" si="522"/>
        <v>0.4331965810495626</v>
      </c>
      <c r="AW294" s="4">
        <f t="shared" si="523"/>
        <v>995.25396073037325</v>
      </c>
      <c r="AX294" s="6">
        <f t="shared" si="524"/>
        <v>5.4905079214607466E-6</v>
      </c>
      <c r="AY294" s="8">
        <f t="shared" si="525"/>
        <v>27.334420548399294</v>
      </c>
      <c r="AZ294" s="7">
        <f t="shared" si="526"/>
        <v>1.3741058738444308E-2</v>
      </c>
      <c r="BA294" s="9">
        <f t="shared" si="527"/>
        <v>0.43412593468760424</v>
      </c>
      <c r="BB294" s="4">
        <f t="shared" si="528"/>
        <v>989.55478789205381</v>
      </c>
      <c r="BC294" s="6">
        <f t="shared" si="529"/>
        <v>5.479109575784108E-6</v>
      </c>
      <c r="BD294" s="8">
        <f t="shared" si="530"/>
        <v>27.268880060758619</v>
      </c>
      <c r="BE294" s="7">
        <f t="shared" si="531"/>
        <v>1.3712532172286088E-2</v>
      </c>
      <c r="BF294" s="9">
        <f t="shared" si="532"/>
        <v>0.4351693521434547</v>
      </c>
      <c r="BG294" s="4">
        <f t="shared" si="533"/>
        <v>983.25571230587889</v>
      </c>
      <c r="BH294" s="6">
        <f t="shared" si="534"/>
        <v>5.4665114246117586E-6</v>
      </c>
      <c r="BI294" s="8">
        <f t="shared" si="535"/>
        <v>27.196440691517608</v>
      </c>
      <c r="BJ294" s="7">
        <f t="shared" si="536"/>
        <v>1.3681002860657484E-2</v>
      </c>
      <c r="BK294" s="9">
        <f t="shared" si="537"/>
        <v>0.43632845210583043</v>
      </c>
      <c r="BL294" s="4">
        <f t="shared" si="538"/>
        <v>976.35673394007608</v>
      </c>
      <c r="BM294" s="6">
        <f t="shared" si="539"/>
        <v>5.4527134678801529E-6</v>
      </c>
      <c r="BN294" s="8">
        <f t="shared" si="540"/>
        <v>27.117102440310873</v>
      </c>
      <c r="BO294" s="7">
        <f t="shared" si="541"/>
        <v>1.3646470803399462E-2</v>
      </c>
      <c r="BP294" s="9">
        <f t="shared" si="542"/>
        <v>0.43760504632964242</v>
      </c>
      <c r="BQ294" s="4">
        <f t="shared" si="543"/>
        <v>968.8578514916685</v>
      </c>
      <c r="BR294" s="6">
        <f t="shared" si="544"/>
        <v>5.4377157029833375E-6</v>
      </c>
      <c r="BS294" s="8">
        <f t="shared" si="545"/>
        <v>27.030865292154189</v>
      </c>
      <c r="BT294" s="7">
        <f t="shared" si="546"/>
        <v>1.3608935993990117E-2</v>
      </c>
      <c r="BU294" s="9">
        <f t="shared" si="547"/>
        <v>0.43900114707619881</v>
      </c>
      <c r="BV294" s="4">
        <f t="shared" si="548"/>
        <v>960.75902929974052</v>
      </c>
      <c r="BW294" s="6">
        <f t="shared" si="549"/>
        <v>5.4215180585994814E-6</v>
      </c>
      <c r="BX294" s="8">
        <f t="shared" si="550"/>
        <v>26.937728836947016</v>
      </c>
      <c r="BY294" s="7">
        <f t="shared" si="551"/>
        <v>1.3568398253932768E-2</v>
      </c>
      <c r="BZ294" s="9">
        <f t="shared" si="552"/>
        <v>0.44051898144590557</v>
      </c>
      <c r="CA294" s="4">
        <f t="shared" si="553"/>
        <v>952.05945523296214</v>
      </c>
      <c r="CB294" s="6">
        <f t="shared" si="554"/>
        <v>5.4041189104659247E-6</v>
      </c>
      <c r="CC294" s="8">
        <f t="shared" si="555"/>
        <v>26.837683735179063</v>
      </c>
      <c r="CD294" s="7">
        <f t="shared" si="556"/>
        <v>1.3524853518195734E-2</v>
      </c>
      <c r="CE294" s="9">
        <f t="shared" si="557"/>
        <v>0.44216114128221445</v>
      </c>
      <c r="CF294" s="4">
        <f t="shared" si="558"/>
        <v>942.74397399464829</v>
      </c>
      <c r="CG294" s="6">
        <f t="shared" si="559"/>
        <v>5.3854879479892963E-6</v>
      </c>
      <c r="CH294" s="8">
        <f t="shared" si="560"/>
        <v>26.730555700938453</v>
      </c>
      <c r="CI294" s="7">
        <f t="shared" si="561"/>
        <v>1.3478225928652617E-2</v>
      </c>
      <c r="CJ294" s="9">
        <f t="shared" si="562"/>
        <v>0.44393319025916428</v>
      </c>
      <c r="CK294" s="4">
        <f t="shared" si="563"/>
        <v>932.58732805343209</v>
      </c>
      <c r="CL294" s="6">
        <f t="shared" si="564"/>
        <v>5.3651746561068654E-6</v>
      </c>
      <c r="CM294" s="8">
        <f t="shared" si="565"/>
        <v>26.613754272614468</v>
      </c>
      <c r="CN294" s="7">
        <f t="shared" si="566"/>
        <v>1.3427387984163616E-2</v>
      </c>
      <c r="CO294" s="9">
        <f t="shared" si="567"/>
        <v>0.44588150728995801</v>
      </c>
      <c r="CP294" s="4">
        <f t="shared" si="568"/>
        <v>919.03695440699482</v>
      </c>
      <c r="CQ294" s="6">
        <f t="shared" si="569"/>
        <v>5.3380739088139898E-6</v>
      </c>
      <c r="CR294" s="8">
        <f t="shared" si="570"/>
        <v>26.457924975680442</v>
      </c>
      <c r="CS294" s="7">
        <f t="shared" si="571"/>
        <v>1.3359563118826192E-2</v>
      </c>
      <c r="CT294" s="9">
        <f t="shared" si="572"/>
        <v>0.44850761655063298</v>
      </c>
      <c r="CU294" s="4">
        <f t="shared" si="573"/>
        <v>881.62150880376851</v>
      </c>
      <c r="CV294" s="6">
        <f t="shared" si="574"/>
        <v>5.2632430176075373E-6</v>
      </c>
      <c r="CW294" s="8">
        <f t="shared" si="575"/>
        <v>26.027647351243338</v>
      </c>
      <c r="CX294" s="7">
        <f t="shared" si="576"/>
        <v>1.3172284330374059E-2</v>
      </c>
      <c r="CY294" s="9">
        <f t="shared" si="577"/>
        <v>0.45592214730660369</v>
      </c>
      <c r="CZ294" s="5">
        <f t="shared" si="578"/>
        <v>720.64224999795636</v>
      </c>
      <c r="DA294" s="6">
        <f t="shared" si="579"/>
        <v>4.9412844999959136E-6</v>
      </c>
      <c r="DB294" s="8">
        <f t="shared" si="580"/>
        <v>24.176385874976496</v>
      </c>
      <c r="DC294" s="7">
        <f t="shared" si="581"/>
        <v>1.2366520826317997E-2</v>
      </c>
      <c r="DD294" s="9">
        <f t="shared" si="582"/>
        <v>0.49083353198793345</v>
      </c>
    </row>
    <row r="295" spans="2:108" x14ac:dyDescent="0.25">
      <c r="B295">
        <v>28</v>
      </c>
      <c r="C295">
        <f t="shared" si="490"/>
        <v>2.7373210657667041E-2</v>
      </c>
      <c r="D295" s="4">
        <f t="shared" si="491"/>
        <v>1019.5547738236554</v>
      </c>
      <c r="E295" s="6">
        <f t="shared" si="429"/>
        <v>5.5391095476473111E-6</v>
      </c>
      <c r="F295" s="8">
        <f t="shared" si="492"/>
        <v>27.613879898972037</v>
      </c>
      <c r="G295" s="7">
        <f t="shared" si="426"/>
        <v>1.3862693714618938E-2</v>
      </c>
      <c r="H295" s="9">
        <f t="shared" si="493"/>
        <v>0.42973247197180892</v>
      </c>
      <c r="I295" s="4">
        <f t="shared" si="494"/>
        <v>1019.236039037515</v>
      </c>
      <c r="J295" s="6">
        <f t="shared" si="431"/>
        <v>5.5384720780750303E-6</v>
      </c>
      <c r="K295" s="8">
        <f t="shared" si="495"/>
        <v>27.610214448931423</v>
      </c>
      <c r="L295" s="7">
        <f t="shared" si="433"/>
        <v>1.386109832363472E-2</v>
      </c>
      <c r="M295" s="9">
        <f t="shared" si="496"/>
        <v>0.4297895219780577</v>
      </c>
      <c r="N295" s="4">
        <f t="shared" si="497"/>
        <v>1018.3343922988367</v>
      </c>
      <c r="O295" s="6">
        <f t="shared" si="434"/>
        <v>5.5366687845976742E-6</v>
      </c>
      <c r="P295" s="8">
        <f t="shared" si="435"/>
        <v>27.599845511436619</v>
      </c>
      <c r="Q295" s="7">
        <f t="shared" si="427"/>
        <v>1.3862693714618938E-2</v>
      </c>
      <c r="R295" s="9">
        <f t="shared" si="498"/>
        <v>0.42995098884885835</v>
      </c>
      <c r="S295" s="4">
        <f t="shared" si="499"/>
        <v>1016.834275363907</v>
      </c>
      <c r="T295" s="6">
        <f t="shared" si="436"/>
        <v>5.5336685507278144E-6</v>
      </c>
      <c r="U295" s="8">
        <f t="shared" si="437"/>
        <v>27.582594166684927</v>
      </c>
      <c r="V295" s="7">
        <f t="shared" si="438"/>
        <v>1.3849076566745557E-2</v>
      </c>
      <c r="W295" s="9">
        <f t="shared" si="500"/>
        <v>0.43021989875233368</v>
      </c>
      <c r="X295" s="4">
        <f t="shared" si="501"/>
        <v>1014.7346455050749</v>
      </c>
      <c r="Y295" s="6">
        <f t="shared" si="439"/>
        <v>5.5294692910101498E-6</v>
      </c>
      <c r="Z295" s="8">
        <f t="shared" si="440"/>
        <v>27.558448423308363</v>
      </c>
      <c r="AA295" s="7">
        <f t="shared" si="441"/>
        <v>1.3838567106552836E-2</v>
      </c>
      <c r="AB295" s="9">
        <f t="shared" si="502"/>
        <v>0.43059684229832734</v>
      </c>
      <c r="AC295" s="4">
        <f t="shared" si="503"/>
        <v>1012.0350181672143</v>
      </c>
      <c r="AD295" s="6">
        <f t="shared" si="504"/>
        <v>5.5240700363344293E-6</v>
      </c>
      <c r="AE295" s="8">
        <f t="shared" si="505"/>
        <v>27.527402708922963</v>
      </c>
      <c r="AF295" s="7">
        <f t="shared" si="506"/>
        <v>1.3825054426723543E-2</v>
      </c>
      <c r="AG295" s="9">
        <f t="shared" si="507"/>
        <v>0.4310824742601439</v>
      </c>
      <c r="AH295" s="4">
        <f t="shared" si="508"/>
        <v>1008.7354748159123</v>
      </c>
      <c r="AI295" s="6">
        <f t="shared" si="509"/>
        <v>5.5174709496318252E-6</v>
      </c>
      <c r="AJ295" s="8">
        <f t="shared" si="510"/>
        <v>27.489457960382992</v>
      </c>
      <c r="AK295" s="7">
        <f t="shared" si="511"/>
        <v>1.3808538935024471E-2</v>
      </c>
      <c r="AL295" s="9">
        <f t="shared" si="512"/>
        <v>0.43167751386075598</v>
      </c>
      <c r="AM295" s="4">
        <f t="shared" si="513"/>
        <v>1004.8360303423143</v>
      </c>
      <c r="AN295" s="6">
        <f t="shared" si="514"/>
        <v>5.5096720606846294E-6</v>
      </c>
      <c r="AO295" s="8">
        <f t="shared" si="515"/>
        <v>27.444614348936614</v>
      </c>
      <c r="AP295" s="7">
        <f t="shared" si="516"/>
        <v>1.3789020705991573E-2</v>
      </c>
      <c r="AQ295" s="9">
        <f t="shared" si="517"/>
        <v>0.43238286094472622</v>
      </c>
      <c r="AR295" s="4">
        <f t="shared" si="518"/>
        <v>1000.3366864980177</v>
      </c>
      <c r="AS295" s="6">
        <f t="shared" si="519"/>
        <v>5.5006733729960355E-6</v>
      </c>
      <c r="AT295" s="8">
        <f t="shared" si="520"/>
        <v>27.3928718947272</v>
      </c>
      <c r="AU295" s="7">
        <f t="shared" si="521"/>
        <v>1.3766499748392263E-2</v>
      </c>
      <c r="AV295" s="9">
        <f t="shared" si="522"/>
        <v>0.43319958985396029</v>
      </c>
      <c r="AW295" s="4">
        <f t="shared" si="523"/>
        <v>995.23744346018771</v>
      </c>
      <c r="AX295" s="6">
        <f t="shared" si="524"/>
        <v>5.4904748869203758E-6</v>
      </c>
      <c r="AY295" s="8">
        <f t="shared" si="525"/>
        <v>27.334230599792157</v>
      </c>
      <c r="AZ295" s="7">
        <f t="shared" si="526"/>
        <v>1.3740976063113331E-2</v>
      </c>
      <c r="BA295" s="9">
        <f t="shared" si="527"/>
        <v>0.43412895147698538</v>
      </c>
      <c r="BB295" s="4">
        <f t="shared" si="528"/>
        <v>989.53830126053526</v>
      </c>
      <c r="BC295" s="6">
        <f t="shared" si="529"/>
        <v>5.4790766025210712E-6</v>
      </c>
      <c r="BD295" s="8">
        <f t="shared" si="530"/>
        <v>27.268690464496153</v>
      </c>
      <c r="BE295" s="7">
        <f t="shared" si="531"/>
        <v>1.3712449650313499E-2</v>
      </c>
      <c r="BF295" s="9">
        <f t="shared" si="532"/>
        <v>0.43517237782900475</v>
      </c>
      <c r="BG295" s="4">
        <f t="shared" si="533"/>
        <v>983.23925991238639</v>
      </c>
      <c r="BH295" s="6">
        <f t="shared" si="534"/>
        <v>5.4664785198247727E-6</v>
      </c>
      <c r="BI295" s="8">
        <f t="shared" si="535"/>
        <v>27.196251488992445</v>
      </c>
      <c r="BJ295" s="7">
        <f t="shared" si="536"/>
        <v>1.3680920510059466E-2</v>
      </c>
      <c r="BK295" s="9">
        <f t="shared" si="537"/>
        <v>0.43633148761405011</v>
      </c>
      <c r="BL295" s="4">
        <f t="shared" si="538"/>
        <v>976.34031936712017</v>
      </c>
      <c r="BM295" s="6">
        <f t="shared" si="539"/>
        <v>5.4526806387342401E-6</v>
      </c>
      <c r="BN295" s="8">
        <f t="shared" si="540"/>
        <v>27.116913672721882</v>
      </c>
      <c r="BO295" s="7">
        <f t="shared" si="541"/>
        <v>1.3646388642107871E-2</v>
      </c>
      <c r="BP295" s="9">
        <f t="shared" si="542"/>
        <v>0.43760809260734651</v>
      </c>
      <c r="BQ295" s="4">
        <f t="shared" si="543"/>
        <v>968.84147785232631</v>
      </c>
      <c r="BR295" s="6">
        <f t="shared" si="544"/>
        <v>5.4376829557046532E-6</v>
      </c>
      <c r="BS295" s="8">
        <f t="shared" si="545"/>
        <v>27.030676995301754</v>
      </c>
      <c r="BT295" s="7">
        <f t="shared" si="546"/>
        <v>1.3608854037587111E-2</v>
      </c>
      <c r="BU295" s="9">
        <f t="shared" si="547"/>
        <v>0.43900420517697164</v>
      </c>
      <c r="BV295" s="4">
        <f t="shared" si="548"/>
        <v>960.74268922220756</v>
      </c>
      <c r="BW295" s="6">
        <f t="shared" si="549"/>
        <v>5.421485378444416E-6</v>
      </c>
      <c r="BX295" s="8">
        <f t="shared" si="550"/>
        <v>26.937540926055384</v>
      </c>
      <c r="BY295" s="7">
        <f t="shared" si="551"/>
        <v>1.3568316465519608E-2</v>
      </c>
      <c r="BZ295" s="9">
        <f t="shared" si="552"/>
        <v>0.44052205441811237</v>
      </c>
      <c r="CA295" s="4">
        <f t="shared" si="553"/>
        <v>952.04295061049459</v>
      </c>
      <c r="CB295" s="6">
        <f t="shared" si="554"/>
        <v>5.4040859012209893E-6</v>
      </c>
      <c r="CC295" s="8">
        <f t="shared" si="555"/>
        <v>26.837493932020685</v>
      </c>
      <c r="CD295" s="7">
        <f t="shared" si="556"/>
        <v>1.352477090617148E-2</v>
      </c>
      <c r="CE295" s="9">
        <f t="shared" si="557"/>
        <v>0.44216426838422107</v>
      </c>
      <c r="CF295" s="4">
        <f t="shared" si="558"/>
        <v>942.7243675578984</v>
      </c>
      <c r="CG295" s="6">
        <f t="shared" si="559"/>
        <v>5.3854487351157966E-6</v>
      </c>
      <c r="CH295" s="8">
        <f t="shared" si="560"/>
        <v>26.730330226915832</v>
      </c>
      <c r="CI295" s="7">
        <f t="shared" si="561"/>
        <v>1.3478127790847194E-2</v>
      </c>
      <c r="CJ295" s="9">
        <f t="shared" si="562"/>
        <v>0.44393693489685981</v>
      </c>
      <c r="CK295" s="4">
        <f t="shared" si="563"/>
        <v>932.53218912715897</v>
      </c>
      <c r="CL295" s="6">
        <f t="shared" si="564"/>
        <v>5.3650643782543181E-6</v>
      </c>
      <c r="CM295" s="8">
        <f t="shared" si="565"/>
        <v>26.613120174962326</v>
      </c>
      <c r="CN295" s="7">
        <f t="shared" si="566"/>
        <v>1.3427111992493796E-2</v>
      </c>
      <c r="CO295" s="9">
        <f t="shared" si="567"/>
        <v>0.44589213108810893</v>
      </c>
      <c r="CP295" s="4">
        <f t="shared" si="568"/>
        <v>918.6975064197095</v>
      </c>
      <c r="CQ295" s="6">
        <f t="shared" si="569"/>
        <v>5.3373950128394199E-6</v>
      </c>
      <c r="CR295" s="8">
        <f t="shared" si="570"/>
        <v>26.454021323826659</v>
      </c>
      <c r="CS295" s="7">
        <f t="shared" si="571"/>
        <v>1.3357864050252336E-2</v>
      </c>
      <c r="CT295" s="9">
        <f t="shared" si="572"/>
        <v>0.44857379997005914</v>
      </c>
      <c r="CU295" s="4">
        <f t="shared" si="573"/>
        <v>879.90121993574633</v>
      </c>
      <c r="CV295" s="6">
        <f t="shared" si="574"/>
        <v>5.2598024398714928E-6</v>
      </c>
      <c r="CW295" s="8">
        <f t="shared" si="575"/>
        <v>26.007864029261082</v>
      </c>
      <c r="CX295" s="7">
        <f t="shared" si="576"/>
        <v>1.3163673618680087E-2</v>
      </c>
      <c r="CY295" s="9">
        <f t="shared" si="577"/>
        <v>0.45626895220487829</v>
      </c>
      <c r="CZ295" s="5">
        <f t="shared" si="578"/>
        <v>716.50940212813896</v>
      </c>
      <c r="DA295" s="6">
        <f t="shared" si="579"/>
        <v>4.9330188042562783E-6</v>
      </c>
      <c r="DB295" s="8">
        <f t="shared" si="580"/>
        <v>24.128858124473595</v>
      </c>
      <c r="DC295" s="7">
        <f t="shared" si="581"/>
        <v>1.2345834322938504E-2</v>
      </c>
      <c r="DD295" s="9">
        <f t="shared" si="582"/>
        <v>0.49180034995861555</v>
      </c>
    </row>
    <row r="296" spans="2:108" x14ac:dyDescent="0.25">
      <c r="B296">
        <v>29</v>
      </c>
      <c r="C296">
        <f t="shared" si="490"/>
        <v>2.8350825324012292E-2</v>
      </c>
      <c r="D296" s="4">
        <f t="shared" si="491"/>
        <v>1019.5385008356163</v>
      </c>
      <c r="E296" s="6">
        <f t="shared" si="429"/>
        <v>5.5390770016712329E-6</v>
      </c>
      <c r="F296" s="8">
        <f t="shared" si="492"/>
        <v>27.613692759609584</v>
      </c>
      <c r="G296" s="7">
        <f t="shared" si="426"/>
        <v>1.3862612262014665E-2</v>
      </c>
      <c r="H296" s="9">
        <f t="shared" si="493"/>
        <v>0.42973538429003921</v>
      </c>
      <c r="I296" s="4">
        <f t="shared" si="494"/>
        <v>1019.2194995171889</v>
      </c>
      <c r="J296" s="6">
        <f t="shared" si="431"/>
        <v>5.5384389990343784E-6</v>
      </c>
      <c r="K296" s="8">
        <f t="shared" si="495"/>
        <v>27.610024244447672</v>
      </c>
      <c r="L296" s="7">
        <f t="shared" si="433"/>
        <v>1.3861015536933176E-2</v>
      </c>
      <c r="M296" s="9">
        <f t="shared" si="496"/>
        <v>0.42979248278292431</v>
      </c>
      <c r="N296" s="4">
        <f t="shared" si="497"/>
        <v>1018.3177741732492</v>
      </c>
      <c r="O296" s="6">
        <f t="shared" si="434"/>
        <v>5.5366355483464986E-6</v>
      </c>
      <c r="P296" s="8">
        <f t="shared" si="435"/>
        <v>27.599654402992364</v>
      </c>
      <c r="Q296" s="7">
        <f t="shared" si="427"/>
        <v>1.3862612262014665E-2</v>
      </c>
      <c r="R296" s="9">
        <f t="shared" si="498"/>
        <v>0.42995396596094043</v>
      </c>
      <c r="S296" s="4">
        <f t="shared" si="499"/>
        <v>1016.8176475663563</v>
      </c>
      <c r="T296" s="6">
        <f t="shared" si="436"/>
        <v>5.5336352951327136E-6</v>
      </c>
      <c r="U296" s="8">
        <f t="shared" si="437"/>
        <v>27.582402947013097</v>
      </c>
      <c r="V296" s="7">
        <f t="shared" si="438"/>
        <v>1.3848993338182335E-2</v>
      </c>
      <c r="W296" s="9">
        <f t="shared" si="500"/>
        <v>0.43022288132451969</v>
      </c>
      <c r="X296" s="4">
        <f t="shared" si="501"/>
        <v>1014.7180280338667</v>
      </c>
      <c r="Y296" s="6">
        <f t="shared" si="439"/>
        <v>5.5294360560677341E-6</v>
      </c>
      <c r="Z296" s="8">
        <f t="shared" si="440"/>
        <v>27.558257322389466</v>
      </c>
      <c r="AA296" s="7">
        <f t="shared" si="441"/>
        <v>1.3838483929676954E-2</v>
      </c>
      <c r="AB296" s="9">
        <f t="shared" si="502"/>
        <v>0.43059982824374743</v>
      </c>
      <c r="AC296" s="4">
        <f t="shared" si="503"/>
        <v>1012.0184142963858</v>
      </c>
      <c r="AD296" s="6">
        <f t="shared" si="504"/>
        <v>5.5240368285927724E-6</v>
      </c>
      <c r="AE296" s="8">
        <f t="shared" si="505"/>
        <v>27.527211764408435</v>
      </c>
      <c r="AF296" s="7">
        <f t="shared" si="506"/>
        <v>1.3824971317922825E-2</v>
      </c>
      <c r="AG296" s="9">
        <f t="shared" si="507"/>
        <v>0.43108546449520563</v>
      </c>
      <c r="AH296" s="4">
        <f t="shared" si="508"/>
        <v>1008.7188873834199</v>
      </c>
      <c r="AI296" s="6">
        <f t="shared" si="509"/>
        <v>5.51743777476684E-6</v>
      </c>
      <c r="AJ296" s="8">
        <f t="shared" si="510"/>
        <v>27.489267204909329</v>
      </c>
      <c r="AK296" s="7">
        <f t="shared" si="511"/>
        <v>1.380845590850399E-2</v>
      </c>
      <c r="AL296" s="9">
        <f t="shared" si="512"/>
        <v>0.43168050938799263</v>
      </c>
      <c r="AM296" s="4">
        <f t="shared" si="513"/>
        <v>1004.8194627798636</v>
      </c>
      <c r="AN296" s="6">
        <f t="shared" si="514"/>
        <v>5.5096389255597272E-6</v>
      </c>
      <c r="AO296" s="8">
        <f t="shared" si="515"/>
        <v>27.444423821968428</v>
      </c>
      <c r="AP296" s="7">
        <f t="shared" si="516"/>
        <v>1.378893777892834E-2</v>
      </c>
      <c r="AQ296" s="9">
        <f t="shared" si="517"/>
        <v>0.43238586266908841</v>
      </c>
      <c r="AR296" s="4">
        <f t="shared" si="518"/>
        <v>1000.3201423805342</v>
      </c>
      <c r="AS296" s="6">
        <f t="shared" si="519"/>
        <v>5.5006402847610688E-6</v>
      </c>
      <c r="AT296" s="8">
        <f t="shared" si="520"/>
        <v>27.392681637376143</v>
      </c>
      <c r="AU296" s="7">
        <f t="shared" si="521"/>
        <v>1.3766416938680168E-2</v>
      </c>
      <c r="AV296" s="9">
        <f t="shared" si="522"/>
        <v>0.43320259866512872</v>
      </c>
      <c r="AW296" s="4">
        <f t="shared" si="523"/>
        <v>995.22092638301353</v>
      </c>
      <c r="AX296" s="6">
        <f t="shared" si="524"/>
        <v>5.4904418527660276E-6</v>
      </c>
      <c r="AY296" s="8">
        <f t="shared" si="525"/>
        <v>27.334040653404656</v>
      </c>
      <c r="AZ296" s="7">
        <f t="shared" si="526"/>
        <v>1.3740893388748452E-2</v>
      </c>
      <c r="BA296" s="9">
        <f t="shared" si="527"/>
        <v>0.43413196827304157</v>
      </c>
      <c r="BB296" s="4">
        <f t="shared" si="528"/>
        <v>989.52181482224228</v>
      </c>
      <c r="BC296" s="6">
        <f t="shared" si="529"/>
        <v>5.4790436296444855E-6</v>
      </c>
      <c r="BD296" s="8">
        <f t="shared" si="530"/>
        <v>27.268500870455785</v>
      </c>
      <c r="BE296" s="7">
        <f t="shared" si="531"/>
        <v>1.3712367129308081E-2</v>
      </c>
      <c r="BF296" s="9">
        <f t="shared" si="532"/>
        <v>0.43517540352116729</v>
      </c>
      <c r="BG296" s="4">
        <f t="shared" si="533"/>
        <v>983.22280771194187</v>
      </c>
      <c r="BH296" s="6">
        <f t="shared" si="534"/>
        <v>5.4664456154238848E-6</v>
      </c>
      <c r="BI296" s="8">
        <f t="shared" si="535"/>
        <v>27.19606228868733</v>
      </c>
      <c r="BJ296" s="7">
        <f t="shared" si="536"/>
        <v>1.3680838160427734E-2</v>
      </c>
      <c r="BK296" s="9">
        <f t="shared" si="537"/>
        <v>0.43633452312888721</v>
      </c>
      <c r="BL296" s="4">
        <f t="shared" si="538"/>
        <v>976.32390498045072</v>
      </c>
      <c r="BM296" s="6">
        <f t="shared" si="539"/>
        <v>5.4526478099609015E-6</v>
      </c>
      <c r="BN296" s="8">
        <f t="shared" si="540"/>
        <v>27.116724907275184</v>
      </c>
      <c r="BO296" s="7">
        <f t="shared" si="541"/>
        <v>1.3646306481748716E-2</v>
      </c>
      <c r="BP296" s="9">
        <f t="shared" si="542"/>
        <v>0.43761113889289027</v>
      </c>
      <c r="BQ296" s="4">
        <f t="shared" si="543"/>
        <v>968.82510425006592</v>
      </c>
      <c r="BR296" s="6">
        <f t="shared" si="544"/>
        <v>5.4376502085001317E-6</v>
      </c>
      <c r="BS296" s="8">
        <f t="shared" si="545"/>
        <v>27.030488698875757</v>
      </c>
      <c r="BT296" s="7">
        <f t="shared" si="546"/>
        <v>1.3608772081369709E-2</v>
      </c>
      <c r="BU296" s="9">
        <f t="shared" si="547"/>
        <v>0.43900726331342466</v>
      </c>
      <c r="BV296" s="4">
        <f t="shared" si="548"/>
        <v>960.72634648342796</v>
      </c>
      <c r="BW296" s="6">
        <f t="shared" si="549"/>
        <v>5.4214526929668564E-6</v>
      </c>
      <c r="BX296" s="8">
        <f t="shared" si="550"/>
        <v>26.937352984559421</v>
      </c>
      <c r="BY296" s="7">
        <f t="shared" si="551"/>
        <v>1.3568234663785877E-2</v>
      </c>
      <c r="BZ296" s="9">
        <f t="shared" si="552"/>
        <v>0.44052512793368603</v>
      </c>
      <c r="CA296" s="4">
        <f t="shared" si="553"/>
        <v>952.02640475668068</v>
      </c>
      <c r="CB296" s="6">
        <f t="shared" si="554"/>
        <v>5.4040528095133611E-6</v>
      </c>
      <c r="CC296" s="8">
        <f t="shared" si="555"/>
        <v>26.837303654701827</v>
      </c>
      <c r="CD296" s="7">
        <f t="shared" si="556"/>
        <v>1.3524688087768379E-2</v>
      </c>
      <c r="CE296" s="9">
        <f t="shared" si="557"/>
        <v>0.44216740334265675</v>
      </c>
      <c r="CF296" s="4">
        <f t="shared" si="558"/>
        <v>942.7043062977873</v>
      </c>
      <c r="CG296" s="6">
        <f t="shared" si="559"/>
        <v>5.3854086125955756E-6</v>
      </c>
      <c r="CH296" s="8">
        <f t="shared" si="560"/>
        <v>26.730099522424553</v>
      </c>
      <c r="CI296" s="7">
        <f t="shared" si="561"/>
        <v>1.3478027376474794E-2</v>
      </c>
      <c r="CJ296" s="9">
        <f t="shared" si="562"/>
        <v>0.44394076646675878</v>
      </c>
      <c r="CK296" s="4">
        <f t="shared" si="563"/>
        <v>932.4735708050282</v>
      </c>
      <c r="CL296" s="6">
        <f t="shared" si="564"/>
        <v>5.3649471416100567E-6</v>
      </c>
      <c r="CM296" s="8">
        <f t="shared" si="565"/>
        <v>26.612446064257824</v>
      </c>
      <c r="CN296" s="7">
        <f t="shared" si="566"/>
        <v>1.3426818585100867E-2</v>
      </c>
      <c r="CO296" s="9">
        <f t="shared" si="567"/>
        <v>0.44590342582809239</v>
      </c>
      <c r="CP296" s="4">
        <f t="shared" si="568"/>
        <v>918.3427218698954</v>
      </c>
      <c r="CQ296" s="6">
        <f t="shared" si="569"/>
        <v>5.3366854437397917E-6</v>
      </c>
      <c r="CR296" s="8">
        <f t="shared" si="570"/>
        <v>26.449941301503799</v>
      </c>
      <c r="CS296" s="7">
        <f t="shared" si="571"/>
        <v>1.3356088216246365E-2</v>
      </c>
      <c r="CT296" s="9">
        <f t="shared" si="572"/>
        <v>0.44864299449478284</v>
      </c>
      <c r="CU296" s="4">
        <f t="shared" si="573"/>
        <v>878.16604676074303</v>
      </c>
      <c r="CV296" s="6">
        <f t="shared" si="574"/>
        <v>5.2563320935214862E-6</v>
      </c>
      <c r="CW296" s="8">
        <f t="shared" si="575"/>
        <v>25.987909537748543</v>
      </c>
      <c r="CX296" s="7">
        <f t="shared" si="576"/>
        <v>1.3154988405268082E-2</v>
      </c>
      <c r="CY296" s="9">
        <f t="shared" si="577"/>
        <v>0.45661929261686807</v>
      </c>
      <c r="CZ296" s="5">
        <f t="shared" si="578"/>
        <v>712.48607003206962</v>
      </c>
      <c r="DA296" s="6">
        <f t="shared" si="579"/>
        <v>4.9249721400641395E-6</v>
      </c>
      <c r="DB296" s="8">
        <f t="shared" si="580"/>
        <v>24.082589805368798</v>
      </c>
      <c r="DC296" s="7">
        <f t="shared" si="581"/>
        <v>1.2325695988399265E-2</v>
      </c>
      <c r="DD296" s="9">
        <f t="shared" si="582"/>
        <v>0.49274521409954208</v>
      </c>
    </row>
    <row r="297" spans="2:108" x14ac:dyDescent="0.25">
      <c r="B297">
        <v>30</v>
      </c>
      <c r="C297">
        <f t="shared" si="490"/>
        <v>2.9328439990357544E-2</v>
      </c>
      <c r="D297" s="4">
        <f t="shared" si="491"/>
        <v>1019.5222142397852</v>
      </c>
      <c r="E297" s="6">
        <f t="shared" si="429"/>
        <v>5.539044428479571E-6</v>
      </c>
      <c r="F297" s="8">
        <f t="shared" si="492"/>
        <v>27.613505463757527</v>
      </c>
      <c r="G297" s="7">
        <f t="shared" si="426"/>
        <v>1.3862530741298123E-2</v>
      </c>
      <c r="H297" s="9">
        <f t="shared" si="493"/>
        <v>0.42973829908313083</v>
      </c>
      <c r="I297" s="4">
        <f t="shared" si="494"/>
        <v>1019.2029603070296</v>
      </c>
      <c r="J297" s="6">
        <f t="shared" si="431"/>
        <v>5.5384059206140596E-6</v>
      </c>
      <c r="K297" s="8">
        <f t="shared" si="495"/>
        <v>27.609834043530839</v>
      </c>
      <c r="L297" s="7">
        <f t="shared" si="433"/>
        <v>1.386093275178414E-2</v>
      </c>
      <c r="M297" s="9">
        <f t="shared" si="496"/>
        <v>0.4297954435730596</v>
      </c>
      <c r="N297" s="4">
        <f t="shared" si="497"/>
        <v>1018.3011567964923</v>
      </c>
      <c r="O297" s="6">
        <f t="shared" si="434"/>
        <v>5.5366023135929848E-6</v>
      </c>
      <c r="P297" s="8">
        <f t="shared" si="435"/>
        <v>27.599463303159659</v>
      </c>
      <c r="Q297" s="7">
        <f t="shared" si="427"/>
        <v>1.3862530741298123E-2</v>
      </c>
      <c r="R297" s="9">
        <f t="shared" si="498"/>
        <v>0.42995694298009707</v>
      </c>
      <c r="S297" s="4">
        <f t="shared" si="499"/>
        <v>1016.8010201453263</v>
      </c>
      <c r="T297" s="6">
        <f t="shared" si="436"/>
        <v>5.533602040290653E-6</v>
      </c>
      <c r="U297" s="8">
        <f t="shared" si="437"/>
        <v>27.582211731671251</v>
      </c>
      <c r="V297" s="7">
        <f t="shared" si="438"/>
        <v>1.3848910111503743E-2</v>
      </c>
      <c r="W297" s="9">
        <f t="shared" si="500"/>
        <v>0.43022586387052159</v>
      </c>
      <c r="X297" s="4">
        <f t="shared" si="501"/>
        <v>1014.7014107492844</v>
      </c>
      <c r="Y297" s="6">
        <f t="shared" si="439"/>
        <v>5.5294028214985694E-6</v>
      </c>
      <c r="Z297" s="8">
        <f t="shared" si="440"/>
        <v>27.55806622361677</v>
      </c>
      <c r="AA297" s="7">
        <f t="shared" si="441"/>
        <v>1.3838400753735209E-2</v>
      </c>
      <c r="AB297" s="9">
        <f t="shared" si="502"/>
        <v>0.43060281419704444</v>
      </c>
      <c r="AC297" s="4">
        <f t="shared" si="503"/>
        <v>1012.001810606196</v>
      </c>
      <c r="AD297" s="6">
        <f t="shared" si="504"/>
        <v>5.5240036212123921E-6</v>
      </c>
      <c r="AE297" s="8">
        <f t="shared" si="505"/>
        <v>27.527020821971256</v>
      </c>
      <c r="AF297" s="7">
        <f t="shared" si="506"/>
        <v>1.3824888210026273E-2</v>
      </c>
      <c r="AG297" s="9">
        <f t="shared" si="507"/>
        <v>0.43108845473921914</v>
      </c>
      <c r="AH297" s="4">
        <f t="shared" si="508"/>
        <v>1008.7023001399145</v>
      </c>
      <c r="AI297" s="6">
        <f t="shared" si="509"/>
        <v>5.5174046002798297E-6</v>
      </c>
      <c r="AJ297" s="8">
        <f t="shared" si="510"/>
        <v>27.489076451609016</v>
      </c>
      <c r="AK297" s="7">
        <f t="shared" si="511"/>
        <v>1.3808372882929461E-2</v>
      </c>
      <c r="AL297" s="9">
        <f t="shared" si="512"/>
        <v>0.4316835049226731</v>
      </c>
      <c r="AM297" s="4">
        <f t="shared" si="513"/>
        <v>1004.8028954091141</v>
      </c>
      <c r="AN297" s="6">
        <f t="shared" si="514"/>
        <v>5.5096057908182285E-6</v>
      </c>
      <c r="AO297" s="8">
        <f t="shared" si="515"/>
        <v>27.444233297204811</v>
      </c>
      <c r="AP297" s="7">
        <f t="shared" si="516"/>
        <v>1.3788854852824647E-2</v>
      </c>
      <c r="AQ297" s="9">
        <f t="shared" si="517"/>
        <v>0.43238886440039509</v>
      </c>
      <c r="AR297" s="4">
        <f t="shared" si="518"/>
        <v>1000.3035984556304</v>
      </c>
      <c r="AS297" s="6">
        <f t="shared" si="519"/>
        <v>5.5006071969112615E-6</v>
      </c>
      <c r="AT297" s="8">
        <f t="shared" si="520"/>
        <v>27.392491382239747</v>
      </c>
      <c r="AU297" s="7">
        <f t="shared" si="521"/>
        <v>1.3766334129932011E-2</v>
      </c>
      <c r="AV297" s="9">
        <f t="shared" si="522"/>
        <v>0.43320560748306886</v>
      </c>
      <c r="AW297" s="4">
        <f t="shared" si="523"/>
        <v>995.20440949884608</v>
      </c>
      <c r="AX297" s="6">
        <f t="shared" si="524"/>
        <v>5.4904088189976926E-6</v>
      </c>
      <c r="AY297" s="8">
        <f t="shared" si="525"/>
        <v>27.333850709236728</v>
      </c>
      <c r="AZ297" s="7">
        <f t="shared" si="526"/>
        <v>1.3740810715349645E-2</v>
      </c>
      <c r="BA297" s="9">
        <f t="shared" si="527"/>
        <v>0.43413498507577314</v>
      </c>
      <c r="BB297" s="4">
        <f t="shared" si="528"/>
        <v>989.50532857716723</v>
      </c>
      <c r="BC297" s="6">
        <f t="shared" si="529"/>
        <v>5.4790106571543349E-6</v>
      </c>
      <c r="BD297" s="8">
        <f t="shared" si="530"/>
        <v>27.268311278637423</v>
      </c>
      <c r="BE297" s="7">
        <f t="shared" si="531"/>
        <v>1.3712284609269791E-2</v>
      </c>
      <c r="BF297" s="9">
        <f t="shared" si="532"/>
        <v>0.43517842921994332</v>
      </c>
      <c r="BG297" s="4">
        <f t="shared" si="533"/>
        <v>983.20635570444836</v>
      </c>
      <c r="BH297" s="6">
        <f t="shared" si="534"/>
        <v>5.4664127114088966E-6</v>
      </c>
      <c r="BI297" s="8">
        <f t="shared" si="535"/>
        <v>27.195873090601154</v>
      </c>
      <c r="BJ297" s="7">
        <f t="shared" si="536"/>
        <v>1.3680755811761791E-2</v>
      </c>
      <c r="BK297" s="9">
        <f t="shared" si="537"/>
        <v>0.43633755865035889</v>
      </c>
      <c r="BL297" s="4">
        <f t="shared" si="538"/>
        <v>976.30749077802784</v>
      </c>
      <c r="BM297" s="6">
        <f t="shared" si="539"/>
        <v>5.4526149815560561E-6</v>
      </c>
      <c r="BN297" s="8">
        <f t="shared" si="540"/>
        <v>27.116536143947322</v>
      </c>
      <c r="BO297" s="7">
        <f t="shared" si="541"/>
        <v>1.364622432231179E-2</v>
      </c>
      <c r="BP297" s="9">
        <f t="shared" si="542"/>
        <v>0.43761418518665174</v>
      </c>
      <c r="BQ297" s="4">
        <f t="shared" si="543"/>
        <v>968.80873064860657</v>
      </c>
      <c r="BR297" s="6">
        <f t="shared" si="544"/>
        <v>5.4376174612972137E-6</v>
      </c>
      <c r="BS297" s="8">
        <f t="shared" si="545"/>
        <v>27.030300402458977</v>
      </c>
      <c r="BT297" s="7">
        <f t="shared" si="546"/>
        <v>1.3608690125156322E-2</v>
      </c>
      <c r="BU297" s="9">
        <f t="shared" si="547"/>
        <v>0.43901032149233465</v>
      </c>
      <c r="BV297" s="4">
        <f t="shared" si="548"/>
        <v>960.71000057520985</v>
      </c>
      <c r="BW297" s="6">
        <f t="shared" si="549"/>
        <v>5.4214200011504207E-6</v>
      </c>
      <c r="BX297" s="8">
        <f t="shared" si="550"/>
        <v>26.937165006614912</v>
      </c>
      <c r="BY297" s="7">
        <f t="shared" si="551"/>
        <v>1.356815284618788E-2</v>
      </c>
      <c r="BZ297" s="9">
        <f t="shared" si="552"/>
        <v>0.44052820208822435</v>
      </c>
      <c r="CA297" s="4">
        <f t="shared" si="553"/>
        <v>952.00981237918336</v>
      </c>
      <c r="CB297" s="6">
        <f t="shared" si="554"/>
        <v>5.4040196247583675E-6</v>
      </c>
      <c r="CC297" s="8">
        <f t="shared" si="555"/>
        <v>26.837112842360607</v>
      </c>
      <c r="CD297" s="7">
        <f t="shared" si="556"/>
        <v>1.3524605036496235E-2</v>
      </c>
      <c r="CE297" s="9">
        <f t="shared" si="557"/>
        <v>0.44217054716062026</v>
      </c>
      <c r="CF297" s="4">
        <f t="shared" si="558"/>
        <v>942.68375345464085</v>
      </c>
      <c r="CG297" s="6">
        <f t="shared" si="559"/>
        <v>5.385367506909282E-6</v>
      </c>
      <c r="CH297" s="8">
        <f t="shared" si="560"/>
        <v>26.729863164728371</v>
      </c>
      <c r="CI297" s="7">
        <f t="shared" si="561"/>
        <v>1.347792450153901E-2</v>
      </c>
      <c r="CJ297" s="9">
        <f t="shared" si="562"/>
        <v>0.44394469199440389</v>
      </c>
      <c r="CK297" s="4">
        <f t="shared" si="563"/>
        <v>932.41134820592629</v>
      </c>
      <c r="CL297" s="6">
        <f t="shared" si="564"/>
        <v>5.3648226964118529E-6</v>
      </c>
      <c r="CM297" s="8">
        <f t="shared" si="565"/>
        <v>26.611730504368154</v>
      </c>
      <c r="CN297" s="7">
        <f t="shared" si="566"/>
        <v>1.3426507136906509E-2</v>
      </c>
      <c r="CO297" s="9">
        <f t="shared" si="567"/>
        <v>0.44591541567618354</v>
      </c>
      <c r="CP297" s="4">
        <f t="shared" si="568"/>
        <v>917.97276294446192</v>
      </c>
      <c r="CQ297" s="6">
        <f t="shared" si="569"/>
        <v>5.3359455258889245E-6</v>
      </c>
      <c r="CR297" s="8">
        <f t="shared" si="570"/>
        <v>26.445686773861311</v>
      </c>
      <c r="CS297" s="7">
        <f t="shared" si="571"/>
        <v>1.3354236428616545E-2</v>
      </c>
      <c r="CT297" s="9">
        <f t="shared" si="572"/>
        <v>0.44871517125608268</v>
      </c>
      <c r="CU297" s="4">
        <f t="shared" si="573"/>
        <v>876.41770235626382</v>
      </c>
      <c r="CV297" s="6">
        <f t="shared" si="574"/>
        <v>5.2528354047125284E-6</v>
      </c>
      <c r="CW297" s="8">
        <f t="shared" si="575"/>
        <v>25.967803577097033</v>
      </c>
      <c r="CX297" s="7">
        <f t="shared" si="576"/>
        <v>1.314623726475408E-2</v>
      </c>
      <c r="CY297" s="9">
        <f t="shared" si="577"/>
        <v>0.45697283693966062</v>
      </c>
      <c r="CZ297" s="5">
        <f t="shared" si="578"/>
        <v>708.56756166740388</v>
      </c>
      <c r="DA297" s="6">
        <f t="shared" si="579"/>
        <v>4.9171351233348079E-6</v>
      </c>
      <c r="DB297" s="8">
        <f t="shared" si="580"/>
        <v>24.037526959175146</v>
      </c>
      <c r="DC297" s="7">
        <f t="shared" si="581"/>
        <v>1.2306082337212096E-2</v>
      </c>
      <c r="DD297" s="9">
        <f t="shared" si="582"/>
        <v>0.49366895728798815</v>
      </c>
    </row>
    <row r="298" spans="2:108" x14ac:dyDescent="0.25">
      <c r="B298">
        <v>31</v>
      </c>
      <c r="C298">
        <f t="shared" si="490"/>
        <v>3.0306054656702795E-2</v>
      </c>
      <c r="D298" s="4">
        <f t="shared" si="491"/>
        <v>1019.5059147467425</v>
      </c>
      <c r="E298" s="6">
        <f t="shared" si="429"/>
        <v>5.5390118294934859E-6</v>
      </c>
      <c r="F298" s="8">
        <f t="shared" si="492"/>
        <v>27.613318019587538</v>
      </c>
      <c r="G298" s="7">
        <f t="shared" si="426"/>
        <v>1.3862449156026047E-2</v>
      </c>
      <c r="H298" s="9">
        <f t="shared" si="493"/>
        <v>0.42974121622400924</v>
      </c>
      <c r="I298" s="4">
        <f t="shared" si="494"/>
        <v>1019.1864213197646</v>
      </c>
      <c r="J298" s="6">
        <f t="shared" si="431"/>
        <v>5.5383728426395299E-6</v>
      </c>
      <c r="K298" s="8">
        <f t="shared" si="495"/>
        <v>27.609643845177292</v>
      </c>
      <c r="L298" s="7">
        <f t="shared" si="433"/>
        <v>1.3860849967750773E-2</v>
      </c>
      <c r="M298" s="9">
        <f t="shared" si="496"/>
        <v>0.42979840436408567</v>
      </c>
      <c r="N298" s="4">
        <f t="shared" si="497"/>
        <v>1018.2845401575461</v>
      </c>
      <c r="O298" s="6">
        <f t="shared" si="434"/>
        <v>5.536569080315093E-6</v>
      </c>
      <c r="P298" s="8">
        <f t="shared" si="435"/>
        <v>27.59927221181178</v>
      </c>
      <c r="Q298" s="7">
        <f t="shared" si="427"/>
        <v>1.3862449156026047E-2</v>
      </c>
      <c r="R298" s="9">
        <f t="shared" si="498"/>
        <v>0.42995991990829768</v>
      </c>
      <c r="S298" s="4">
        <f t="shared" si="499"/>
        <v>1016.784393102121</v>
      </c>
      <c r="T298" s="6">
        <f t="shared" si="436"/>
        <v>5.5335687862042424E-6</v>
      </c>
      <c r="U298" s="8">
        <f t="shared" si="437"/>
        <v>27.582020520674391</v>
      </c>
      <c r="V298" s="7">
        <f t="shared" si="438"/>
        <v>1.384882688671631E-2</v>
      </c>
      <c r="W298" s="9">
        <f t="shared" si="500"/>
        <v>0.43022884639010328</v>
      </c>
      <c r="X298" s="4">
        <f t="shared" si="501"/>
        <v>1014.6847936535323</v>
      </c>
      <c r="Y298" s="6">
        <f t="shared" si="439"/>
        <v>5.5293695873070645E-6</v>
      </c>
      <c r="Z298" s="8">
        <f t="shared" si="440"/>
        <v>27.55787512701562</v>
      </c>
      <c r="AA298" s="7">
        <f t="shared" si="441"/>
        <v>1.3838317578738627E-2</v>
      </c>
      <c r="AB298" s="9">
        <f t="shared" si="502"/>
        <v>0.43060580015782191</v>
      </c>
      <c r="AC298" s="4">
        <f t="shared" si="503"/>
        <v>1011.9852070968446</v>
      </c>
      <c r="AD298" s="6">
        <f t="shared" si="504"/>
        <v>5.5239704141936898E-6</v>
      </c>
      <c r="AE298" s="8">
        <f t="shared" si="505"/>
        <v>27.526829881613715</v>
      </c>
      <c r="AF298" s="7">
        <f t="shared" si="506"/>
        <v>1.382480510303489E-2</v>
      </c>
      <c r="AG298" s="9">
        <f t="shared" si="507"/>
        <v>0.43109144499214813</v>
      </c>
      <c r="AH298" s="4">
        <f t="shared" si="508"/>
        <v>1008.6857130853291</v>
      </c>
      <c r="AI298" s="6">
        <f t="shared" si="509"/>
        <v>5.5173714261706587E-6</v>
      </c>
      <c r="AJ298" s="8">
        <f t="shared" si="510"/>
        <v>27.488885700481283</v>
      </c>
      <c r="AK298" s="7">
        <f t="shared" si="511"/>
        <v>1.380828985830055E-2</v>
      </c>
      <c r="AL298" s="9">
        <f t="shared" si="512"/>
        <v>0.43168650046480911</v>
      </c>
      <c r="AM298" s="4">
        <f t="shared" si="513"/>
        <v>1004.7863282300417</v>
      </c>
      <c r="AN298" s="6">
        <f t="shared" si="514"/>
        <v>5.5095726564600834E-6</v>
      </c>
      <c r="AO298" s="8">
        <f t="shared" si="515"/>
        <v>27.444042774645478</v>
      </c>
      <c r="AP298" s="7">
        <f t="shared" si="516"/>
        <v>1.378877192768037E-2</v>
      </c>
      <c r="AQ298" s="9">
        <f t="shared" si="517"/>
        <v>0.43239186613865022</v>
      </c>
      <c r="AR298" s="4">
        <f t="shared" si="518"/>
        <v>1000.287054723299</v>
      </c>
      <c r="AS298" s="6">
        <f t="shared" si="519"/>
        <v>5.5005741094465984E-6</v>
      </c>
      <c r="AT298" s="8">
        <f t="shared" si="520"/>
        <v>27.392301129317936</v>
      </c>
      <c r="AU298" s="7">
        <f t="shared" si="521"/>
        <v>1.3766251322147751E-2</v>
      </c>
      <c r="AV298" s="9">
        <f t="shared" si="522"/>
        <v>0.43320861630778129</v>
      </c>
      <c r="AW298" s="4">
        <f t="shared" si="523"/>
        <v>995.18789280768056</v>
      </c>
      <c r="AX298" s="6">
        <f t="shared" si="524"/>
        <v>5.4903757856153615E-6</v>
      </c>
      <c r="AY298" s="8">
        <f t="shared" si="525"/>
        <v>27.333660767288325</v>
      </c>
      <c r="AZ298" s="7">
        <f t="shared" si="526"/>
        <v>1.3740728042916888E-2</v>
      </c>
      <c r="BA298" s="9">
        <f t="shared" si="527"/>
        <v>0.43413800188518031</v>
      </c>
      <c r="BB298" s="4">
        <f t="shared" si="528"/>
        <v>989.48884252530115</v>
      </c>
      <c r="BC298" s="6">
        <f t="shared" si="529"/>
        <v>5.4789776850506024E-6</v>
      </c>
      <c r="BD298" s="8">
        <f t="shared" si="530"/>
        <v>27.26812168904096</v>
      </c>
      <c r="BE298" s="7">
        <f t="shared" si="531"/>
        <v>1.3712202090198586E-2</v>
      </c>
      <c r="BF298" s="9">
        <f t="shared" si="532"/>
        <v>0.43518145492533389</v>
      </c>
      <c r="BG298" s="4">
        <f t="shared" si="533"/>
        <v>983.18990388978227</v>
      </c>
      <c r="BH298" s="6">
        <f t="shared" si="534"/>
        <v>5.4663798077795651E-6</v>
      </c>
      <c r="BI298" s="8">
        <f t="shared" si="535"/>
        <v>27.195683894732497</v>
      </c>
      <c r="BJ298" s="7">
        <f t="shared" si="536"/>
        <v>1.3680673464061028E-2</v>
      </c>
      <c r="BK298" s="9">
        <f t="shared" si="537"/>
        <v>0.43634059417848742</v>
      </c>
      <c r="BL298" s="4">
        <f t="shared" si="538"/>
        <v>976.29107675734929</v>
      </c>
      <c r="BM298" s="6">
        <f t="shared" si="539"/>
        <v>5.4525821535146988E-6</v>
      </c>
      <c r="BN298" s="8">
        <f t="shared" si="540"/>
        <v>27.116347382709517</v>
      </c>
      <c r="BO298" s="7">
        <f t="shared" si="541"/>
        <v>1.3646142163784562E-2</v>
      </c>
      <c r="BP298" s="9">
        <f t="shared" si="542"/>
        <v>0.4376172314890947</v>
      </c>
      <c r="BQ298" s="4">
        <f t="shared" si="543"/>
        <v>968.79235700542995</v>
      </c>
      <c r="BR298" s="6">
        <f t="shared" si="544"/>
        <v>5.4375847140108603E-6</v>
      </c>
      <c r="BS298" s="8">
        <f t="shared" si="545"/>
        <v>27.030112105562445</v>
      </c>
      <c r="BT298" s="7">
        <f t="shared" si="546"/>
        <v>1.3608608168734122E-2</v>
      </c>
      <c r="BU298" s="9">
        <f t="shared" si="547"/>
        <v>0.43901337972164423</v>
      </c>
      <c r="BV298" s="4">
        <f t="shared" si="548"/>
        <v>960.69365092813234</v>
      </c>
      <c r="BW298" s="6">
        <f t="shared" si="549"/>
        <v>5.4213873018562646E-6</v>
      </c>
      <c r="BX298" s="8">
        <f t="shared" si="550"/>
        <v>26.936976985673521</v>
      </c>
      <c r="BY298" s="7">
        <f t="shared" si="551"/>
        <v>1.3568071009875442E-2</v>
      </c>
      <c r="BZ298" s="9">
        <f t="shared" si="552"/>
        <v>0.44053127698884548</v>
      </c>
      <c r="CA298" s="4">
        <f t="shared" si="553"/>
        <v>951.99316780733011</v>
      </c>
      <c r="CB298" s="6">
        <f t="shared" si="554"/>
        <v>5.4039863356146608E-6</v>
      </c>
      <c r="CC298" s="8">
        <f t="shared" si="555"/>
        <v>26.836921429784297</v>
      </c>
      <c r="CD298" s="7">
        <f t="shared" si="556"/>
        <v>1.3524521723971134E-2</v>
      </c>
      <c r="CE298" s="9">
        <f t="shared" si="557"/>
        <v>0.44217370091295438</v>
      </c>
      <c r="CF298" s="4">
        <f t="shared" si="558"/>
        <v>942.66267145276902</v>
      </c>
      <c r="CG298" s="6">
        <f t="shared" si="559"/>
        <v>5.3853253429055389E-6</v>
      </c>
      <c r="CH298" s="8">
        <f t="shared" si="560"/>
        <v>26.729620721706844</v>
      </c>
      <c r="CI298" s="7">
        <f t="shared" si="561"/>
        <v>1.3477818977958977E-2</v>
      </c>
      <c r="CJ298" s="9">
        <f t="shared" si="562"/>
        <v>0.44394871866180924</v>
      </c>
      <c r="CK298" s="4">
        <f t="shared" si="563"/>
        <v>932.34540159009475</v>
      </c>
      <c r="CL298" s="6">
        <f t="shared" si="564"/>
        <v>5.3646908031801904E-6</v>
      </c>
      <c r="CM298" s="8">
        <f t="shared" si="565"/>
        <v>26.610972118286089</v>
      </c>
      <c r="CN298" s="7">
        <f t="shared" si="566"/>
        <v>1.3426177048566888E-2</v>
      </c>
      <c r="CO298" s="9">
        <f t="shared" si="567"/>
        <v>0.44592812381940822</v>
      </c>
      <c r="CP298" s="4">
        <f t="shared" si="568"/>
        <v>917.58780955127065</v>
      </c>
      <c r="CQ298" s="6">
        <f t="shared" si="569"/>
        <v>5.3351756191025417E-6</v>
      </c>
      <c r="CR298" s="8">
        <f t="shared" si="570"/>
        <v>26.441259809839611</v>
      </c>
      <c r="CS298" s="7">
        <f t="shared" si="571"/>
        <v>1.3352309587871364E-2</v>
      </c>
      <c r="CT298" s="9">
        <f t="shared" si="572"/>
        <v>0.44879029800622344</v>
      </c>
      <c r="CU298" s="4">
        <f t="shared" si="573"/>
        <v>874.65779126636733</v>
      </c>
      <c r="CV298" s="6">
        <f t="shared" si="574"/>
        <v>5.2493155825327344E-6</v>
      </c>
      <c r="CW298" s="8">
        <f t="shared" si="575"/>
        <v>25.947564599563222</v>
      </c>
      <c r="CX298" s="7">
        <f t="shared" si="576"/>
        <v>1.3137428228502191E-2</v>
      </c>
      <c r="CY298" s="9">
        <f t="shared" si="577"/>
        <v>0.45732927358884579</v>
      </c>
      <c r="CZ298" s="5">
        <f t="shared" si="578"/>
        <v>704.74941858875127</v>
      </c>
      <c r="DA298" s="6">
        <f t="shared" si="579"/>
        <v>4.9094988371775035E-6</v>
      </c>
      <c r="DB298" s="8">
        <f t="shared" si="580"/>
        <v>23.993618313770639</v>
      </c>
      <c r="DC298" s="7">
        <f t="shared" si="581"/>
        <v>1.2286971053131993E-2</v>
      </c>
      <c r="DD298" s="9">
        <f t="shared" si="582"/>
        <v>0.49457237814387173</v>
      </c>
    </row>
    <row r="299" spans="2:108" x14ac:dyDescent="0.25">
      <c r="B299">
        <v>32</v>
      </c>
      <c r="C299">
        <f t="shared" si="490"/>
        <v>3.1283669323048047E-2</v>
      </c>
      <c r="D299" s="4">
        <f t="shared" si="491"/>
        <v>1019.4896030263347</v>
      </c>
      <c r="E299" s="6">
        <f t="shared" si="429"/>
        <v>5.5389792060526702E-6</v>
      </c>
      <c r="F299" s="8">
        <f t="shared" si="492"/>
        <v>27.613130434802848</v>
      </c>
      <c r="G299" s="7">
        <f t="shared" si="426"/>
        <v>1.3862367509551275E-2</v>
      </c>
      <c r="H299" s="9">
        <f t="shared" si="493"/>
        <v>0.42974413559288371</v>
      </c>
      <c r="I299" s="4">
        <f t="shared" si="494"/>
        <v>1019.1698824752344</v>
      </c>
      <c r="J299" s="6">
        <f t="shared" si="431"/>
        <v>5.538339764950469E-6</v>
      </c>
      <c r="K299" s="8">
        <f t="shared" si="495"/>
        <v>27.609453648465195</v>
      </c>
      <c r="L299" s="7">
        <f t="shared" si="433"/>
        <v>1.386076718443185E-2</v>
      </c>
      <c r="M299" s="9">
        <f t="shared" si="496"/>
        <v>0.42980136517035206</v>
      </c>
      <c r="N299" s="4">
        <f t="shared" si="497"/>
        <v>1018.2679242448122</v>
      </c>
      <c r="O299" s="6">
        <f t="shared" si="434"/>
        <v>5.5365358484896256E-6</v>
      </c>
      <c r="P299" s="8">
        <f t="shared" si="435"/>
        <v>27.599081128815339</v>
      </c>
      <c r="Q299" s="7">
        <f t="shared" si="427"/>
        <v>1.3862367509551275E-2</v>
      </c>
      <c r="R299" s="9">
        <f t="shared" si="498"/>
        <v>0.42996289674761567</v>
      </c>
      <c r="S299" s="4">
        <f t="shared" si="499"/>
        <v>1016.7677664379125</v>
      </c>
      <c r="T299" s="6">
        <f t="shared" si="436"/>
        <v>5.5335355328758263E-6</v>
      </c>
      <c r="U299" s="8">
        <f t="shared" si="437"/>
        <v>27.581829314035993</v>
      </c>
      <c r="V299" s="7">
        <f t="shared" si="438"/>
        <v>1.3848743663825904E-2</v>
      </c>
      <c r="W299" s="9">
        <f t="shared" si="500"/>
        <v>0.43023182888305267</v>
      </c>
      <c r="X299" s="4">
        <f t="shared" si="501"/>
        <v>1014.6681767487729</v>
      </c>
      <c r="Y299" s="6">
        <f t="shared" si="439"/>
        <v>5.5293363534975461E-6</v>
      </c>
      <c r="Z299" s="8">
        <f t="shared" si="440"/>
        <v>27.557684032610887</v>
      </c>
      <c r="AA299" s="7">
        <f t="shared" si="441"/>
        <v>1.383823440469804E-2</v>
      </c>
      <c r="AB299" s="9">
        <f t="shared" si="502"/>
        <v>0.43060878612569053</v>
      </c>
      <c r="AC299" s="4">
        <f t="shared" si="503"/>
        <v>1011.968603768552</v>
      </c>
      <c r="AD299" s="6">
        <f t="shared" si="504"/>
        <v>5.5239372075371042E-6</v>
      </c>
      <c r="AE299" s="8">
        <f t="shared" si="505"/>
        <v>27.526638943338348</v>
      </c>
      <c r="AF299" s="7">
        <f t="shared" si="506"/>
        <v>1.3824721996949774E-2</v>
      </c>
      <c r="AG299" s="9">
        <f t="shared" si="507"/>
        <v>0.43109443525395241</v>
      </c>
      <c r="AH299" s="4">
        <f t="shared" si="508"/>
        <v>1008.6691262196001</v>
      </c>
      <c r="AI299" s="6">
        <f t="shared" si="509"/>
        <v>5.5173382524392009E-6</v>
      </c>
      <c r="AJ299" s="8">
        <f t="shared" si="510"/>
        <v>27.488694951525403</v>
      </c>
      <c r="AK299" s="7">
        <f t="shared" si="511"/>
        <v>1.380820683461694E-2</v>
      </c>
      <c r="AL299" s="9">
        <f t="shared" si="512"/>
        <v>0.43168949601441148</v>
      </c>
      <c r="AM299" s="4">
        <f t="shared" si="513"/>
        <v>1004.7697612426221</v>
      </c>
      <c r="AN299" s="6">
        <f t="shared" si="514"/>
        <v>5.5095395224852444E-6</v>
      </c>
      <c r="AO299" s="8">
        <f t="shared" si="515"/>
        <v>27.443852254290153</v>
      </c>
      <c r="AP299" s="7">
        <f t="shared" si="516"/>
        <v>1.3788689003495395E-2</v>
      </c>
      <c r="AQ299" s="9">
        <f t="shared" si="517"/>
        <v>0.43239486788385761</v>
      </c>
      <c r="AR299" s="4">
        <f t="shared" si="518"/>
        <v>1000.2705111835322</v>
      </c>
      <c r="AS299" s="6">
        <f t="shared" si="519"/>
        <v>5.5005410223670652E-6</v>
      </c>
      <c r="AT299" s="8">
        <f t="shared" si="520"/>
        <v>27.39211087861062</v>
      </c>
      <c r="AU299" s="7">
        <f t="shared" si="521"/>
        <v>1.3766168515327351E-2</v>
      </c>
      <c r="AV299" s="9">
        <f t="shared" si="522"/>
        <v>0.43321162513926692</v>
      </c>
      <c r="AW299" s="4">
        <f t="shared" si="523"/>
        <v>995.17137630951208</v>
      </c>
      <c r="AX299" s="6">
        <f t="shared" si="524"/>
        <v>5.4903427526190251E-6</v>
      </c>
      <c r="AY299" s="8">
        <f t="shared" si="525"/>
        <v>27.333470827559388</v>
      </c>
      <c r="AZ299" s="7">
        <f t="shared" si="526"/>
        <v>1.3740645371450156E-2</v>
      </c>
      <c r="BA299" s="9">
        <f t="shared" si="527"/>
        <v>0.43414101870126343</v>
      </c>
      <c r="BB299" s="4">
        <f t="shared" si="528"/>
        <v>989.47235666663357</v>
      </c>
      <c r="BC299" s="6">
        <f t="shared" si="529"/>
        <v>5.4789447133332677E-6</v>
      </c>
      <c r="BD299" s="8">
        <f t="shared" si="530"/>
        <v>27.267932101666286</v>
      </c>
      <c r="BE299" s="7">
        <f t="shared" si="531"/>
        <v>1.3712119572094417E-2</v>
      </c>
      <c r="BF299" s="9">
        <f t="shared" si="532"/>
        <v>0.43518448063734017</v>
      </c>
      <c r="BG299" s="4">
        <f t="shared" si="533"/>
        <v>983.17345226778741</v>
      </c>
      <c r="BH299" s="6">
        <f t="shared" si="534"/>
        <v>5.4663469045355751E-6</v>
      </c>
      <c r="BI299" s="8">
        <f t="shared" si="535"/>
        <v>27.195494701079554</v>
      </c>
      <c r="BJ299" s="7">
        <f t="shared" si="536"/>
        <v>1.3680591117324656E-2</v>
      </c>
      <c r="BK299" s="9">
        <f t="shared" si="537"/>
        <v>0.4363436297133011</v>
      </c>
      <c r="BL299" s="4">
        <f t="shared" si="538"/>
        <v>976.27466291537371</v>
      </c>
      <c r="BM299" s="6">
        <f t="shared" si="539"/>
        <v>5.4525493258307479E-6</v>
      </c>
      <c r="BN299" s="8">
        <f t="shared" si="540"/>
        <v>27.116158623526797</v>
      </c>
      <c r="BO299" s="7">
        <f t="shared" si="541"/>
        <v>1.3646060006151813E-2</v>
      </c>
      <c r="BP299" s="9">
        <f t="shared" si="542"/>
        <v>0.43762027780078316</v>
      </c>
      <c r="BQ299" s="4">
        <f t="shared" si="543"/>
        <v>968.77598327107683</v>
      </c>
      <c r="BR299" s="6">
        <f t="shared" si="544"/>
        <v>5.4375519665421543E-6</v>
      </c>
      <c r="BS299" s="8">
        <f t="shared" si="545"/>
        <v>27.029923807617383</v>
      </c>
      <c r="BT299" s="7">
        <f t="shared" si="546"/>
        <v>1.360852621185555E-2</v>
      </c>
      <c r="BU299" s="9">
        <f t="shared" si="547"/>
        <v>0.43901643801059265</v>
      </c>
      <c r="BV299" s="4">
        <f t="shared" si="548"/>
        <v>960.67729690779993</v>
      </c>
      <c r="BW299" s="6">
        <f t="shared" si="549"/>
        <v>5.4213545938155998E-6</v>
      </c>
      <c r="BX299" s="8">
        <f t="shared" si="550"/>
        <v>26.936788914439699</v>
      </c>
      <c r="BY299" s="7">
        <f t="shared" si="551"/>
        <v>1.3567989151673173E-2</v>
      </c>
      <c r="BZ299" s="9">
        <f t="shared" si="552"/>
        <v>0.44053435275489405</v>
      </c>
      <c r="CA299" s="4">
        <f t="shared" si="553"/>
        <v>951.97646499014525</v>
      </c>
      <c r="CB299" s="6">
        <f t="shared" si="554"/>
        <v>5.4039529299802908E-6</v>
      </c>
      <c r="CC299" s="8">
        <f t="shared" si="555"/>
        <v>26.836729347386669</v>
      </c>
      <c r="CD299" s="7">
        <f t="shared" si="556"/>
        <v>1.3524438119905603E-2</v>
      </c>
      <c r="CE299" s="9">
        <f t="shared" si="557"/>
        <v>0.44217686574662474</v>
      </c>
      <c r="CF299" s="4">
        <f t="shared" si="558"/>
        <v>942.64102198932017</v>
      </c>
      <c r="CG299" s="6">
        <f t="shared" si="559"/>
        <v>5.3852820439786408E-6</v>
      </c>
      <c r="CH299" s="8">
        <f t="shared" si="560"/>
        <v>26.729371752877181</v>
      </c>
      <c r="CI299" s="7">
        <f t="shared" si="561"/>
        <v>1.3477710614014086E-2</v>
      </c>
      <c r="CJ299" s="9">
        <f t="shared" si="562"/>
        <v>0.44395285379053345</v>
      </c>
      <c r="CK299" s="4">
        <f t="shared" si="563"/>
        <v>932.27561645593653</v>
      </c>
      <c r="CL299" s="6">
        <f t="shared" si="564"/>
        <v>5.3645512329118737E-6</v>
      </c>
      <c r="CM299" s="8">
        <f t="shared" si="565"/>
        <v>26.61016958924327</v>
      </c>
      <c r="CN299" s="7">
        <f t="shared" si="566"/>
        <v>1.3425827746957181E-2</v>
      </c>
      <c r="CO299" s="9">
        <f t="shared" si="567"/>
        <v>0.44594157244735377</v>
      </c>
      <c r="CP299" s="4">
        <f t="shared" si="568"/>
        <v>917.18805741151755</v>
      </c>
      <c r="CQ299" s="6">
        <f t="shared" si="569"/>
        <v>5.3343761148230353E-6</v>
      </c>
      <c r="CR299" s="8">
        <f t="shared" si="570"/>
        <v>26.43666266023245</v>
      </c>
      <c r="CS299" s="7">
        <f t="shared" si="571"/>
        <v>1.3350308673671169E-2</v>
      </c>
      <c r="CT299" s="9">
        <f t="shared" si="572"/>
        <v>0.44886833948100008</v>
      </c>
      <c r="CU299" s="4">
        <f t="shared" si="573"/>
        <v>872.88781582411411</v>
      </c>
      <c r="CV299" s="6">
        <f t="shared" si="574"/>
        <v>5.2457756316482284E-6</v>
      </c>
      <c r="CW299" s="8">
        <f t="shared" si="575"/>
        <v>25.927209881977312</v>
      </c>
      <c r="CX299" s="7">
        <f t="shared" si="576"/>
        <v>1.3128568816270933E-2</v>
      </c>
      <c r="CY299" s="9">
        <f t="shared" si="577"/>
        <v>0.45768830983879494</v>
      </c>
      <c r="CZ299" s="5">
        <f t="shared" si="578"/>
        <v>701.02740370599952</v>
      </c>
      <c r="DA299" s="6">
        <f t="shared" si="579"/>
        <v>4.9020548074119995E-6</v>
      </c>
      <c r="DB299" s="8">
        <f t="shared" si="580"/>
        <v>23.950815142618993</v>
      </c>
      <c r="DC299" s="7">
        <f t="shared" si="581"/>
        <v>1.2268340927882797E-2</v>
      </c>
      <c r="DD299" s="9">
        <f t="shared" si="582"/>
        <v>0.49545624226384066</v>
      </c>
    </row>
    <row r="300" spans="2:108" x14ac:dyDescent="0.25">
      <c r="B300">
        <v>33</v>
      </c>
      <c r="C300">
        <f t="shared" si="490"/>
        <v>3.2261283989393298E-2</v>
      </c>
      <c r="D300" s="4">
        <f t="shared" si="491"/>
        <v>1019.4732797101166</v>
      </c>
      <c r="E300" s="6">
        <f t="shared" si="429"/>
        <v>5.5389465594202338E-6</v>
      </c>
      <c r="F300" s="8">
        <f t="shared" si="492"/>
        <v>27.612942716666339</v>
      </c>
      <c r="G300" s="7">
        <f t="shared" si="426"/>
        <v>1.3862285805034982E-2</v>
      </c>
      <c r="H300" s="9">
        <f t="shared" si="493"/>
        <v>0.42974705707681016</v>
      </c>
      <c r="I300" s="4">
        <f t="shared" si="494"/>
        <v>1019.1533436999015</v>
      </c>
      <c r="J300" s="6">
        <f t="shared" si="431"/>
        <v>5.5383066873998031E-6</v>
      </c>
      <c r="K300" s="8">
        <f t="shared" si="495"/>
        <v>27.609263452548866</v>
      </c>
      <c r="L300" s="7">
        <f t="shared" si="433"/>
        <v>1.3860684401459284E-2</v>
      </c>
      <c r="M300" s="9">
        <f t="shared" si="496"/>
        <v>0.42980432600502366</v>
      </c>
      <c r="N300" s="4">
        <f t="shared" si="497"/>
        <v>1018.2513090462013</v>
      </c>
      <c r="O300" s="6">
        <f t="shared" si="434"/>
        <v>5.5365026180924031E-6</v>
      </c>
      <c r="P300" s="8">
        <f t="shared" si="435"/>
        <v>27.598890054031315</v>
      </c>
      <c r="Q300" s="7">
        <f t="shared" si="427"/>
        <v>1.3862285805034982E-2</v>
      </c>
      <c r="R300" s="9">
        <f t="shared" si="498"/>
        <v>0.42996587350021237</v>
      </c>
      <c r="S300" s="4">
        <f t="shared" si="499"/>
        <v>1016.7511401537377</v>
      </c>
      <c r="T300" s="6">
        <f t="shared" si="436"/>
        <v>5.5335022803074758E-6</v>
      </c>
      <c r="U300" s="8">
        <f t="shared" si="437"/>
        <v>27.58163811176798</v>
      </c>
      <c r="V300" s="7">
        <f t="shared" si="438"/>
        <v>1.3848660442837711E-2</v>
      </c>
      <c r="W300" s="9">
        <f t="shared" si="500"/>
        <v>0.43023481134918173</v>
      </c>
      <c r="X300" s="4">
        <f t="shared" si="501"/>
        <v>1014.6515600371262</v>
      </c>
      <c r="Y300" s="6">
        <f t="shared" si="439"/>
        <v>5.5293031200742526E-6</v>
      </c>
      <c r="Z300" s="8">
        <f t="shared" si="440"/>
        <v>27.55749294042695</v>
      </c>
      <c r="AA300" s="7">
        <f t="shared" si="441"/>
        <v>1.3838151231624058E-2</v>
      </c>
      <c r="AB300" s="9">
        <f t="shared" si="502"/>
        <v>0.43061177210026885</v>
      </c>
      <c r="AC300" s="4">
        <f t="shared" si="503"/>
        <v>1011.9520006215586</v>
      </c>
      <c r="AD300" s="6">
        <f t="shared" si="504"/>
        <v>5.5239040012431181E-6</v>
      </c>
      <c r="AE300" s="8">
        <f t="shared" si="505"/>
        <v>27.526448007147923</v>
      </c>
      <c r="AF300" s="7">
        <f t="shared" si="506"/>
        <v>1.3824638891772136E-2</v>
      </c>
      <c r="AG300" s="9">
        <f t="shared" si="507"/>
        <v>0.43109742552458813</v>
      </c>
      <c r="AH300" s="4">
        <f t="shared" si="508"/>
        <v>1008.6525395426686</v>
      </c>
      <c r="AI300" s="6">
        <f t="shared" si="509"/>
        <v>5.5173050790853377E-6</v>
      </c>
      <c r="AJ300" s="8">
        <f t="shared" si="510"/>
        <v>27.488504204740686</v>
      </c>
      <c r="AK300" s="7">
        <f t="shared" si="511"/>
        <v>1.3808123811878332E-2</v>
      </c>
      <c r="AL300" s="9">
        <f t="shared" si="512"/>
        <v>0.43169249157149048</v>
      </c>
      <c r="AM300" s="4">
        <f t="shared" si="513"/>
        <v>1004.7531944468307</v>
      </c>
      <c r="AN300" s="6">
        <f t="shared" si="514"/>
        <v>5.5095063888936615E-6</v>
      </c>
      <c r="AO300" s="8">
        <f t="shared" si="515"/>
        <v>27.443661736138552</v>
      </c>
      <c r="AP300" s="7">
        <f t="shared" si="516"/>
        <v>1.3788606080269588E-2</v>
      </c>
      <c r="AQ300" s="9">
        <f t="shared" si="517"/>
        <v>0.43239786963602111</v>
      </c>
      <c r="AR300" s="4">
        <f t="shared" si="518"/>
        <v>1000.2539678363225</v>
      </c>
      <c r="AS300" s="6">
        <f t="shared" si="519"/>
        <v>5.5005079356726456E-6</v>
      </c>
      <c r="AT300" s="8">
        <f t="shared" si="520"/>
        <v>27.39192063011771</v>
      </c>
      <c r="AU300" s="7">
        <f t="shared" si="521"/>
        <v>1.3766085709470775E-2</v>
      </c>
      <c r="AV300" s="9">
        <f t="shared" si="522"/>
        <v>0.43321463397752641</v>
      </c>
      <c r="AW300" s="4">
        <f t="shared" si="523"/>
        <v>995.15486000433577</v>
      </c>
      <c r="AX300" s="6">
        <f t="shared" si="524"/>
        <v>5.4903097200086722E-6</v>
      </c>
      <c r="AY300" s="8">
        <f t="shared" si="525"/>
        <v>27.33328089004986</v>
      </c>
      <c r="AZ300" s="7">
        <f t="shared" si="526"/>
        <v>1.3740562700949425E-2</v>
      </c>
      <c r="BA300" s="9">
        <f t="shared" si="527"/>
        <v>0.43414403552402275</v>
      </c>
      <c r="BB300" s="4">
        <f t="shared" si="528"/>
        <v>989.45587100115199</v>
      </c>
      <c r="BC300" s="6">
        <f t="shared" si="529"/>
        <v>5.4789117420023046E-6</v>
      </c>
      <c r="BD300" s="8">
        <f t="shared" si="530"/>
        <v>27.267742516513245</v>
      </c>
      <c r="BE300" s="7">
        <f t="shared" si="531"/>
        <v>1.3712037054957217E-2</v>
      </c>
      <c r="BF300" s="9">
        <f t="shared" si="532"/>
        <v>0.43518750635596404</v>
      </c>
      <c r="BG300" s="4">
        <f t="shared" si="533"/>
        <v>983.15700083826823</v>
      </c>
      <c r="BH300" s="6">
        <f t="shared" si="534"/>
        <v>5.4663140016765362E-6</v>
      </c>
      <c r="BI300" s="8">
        <f t="shared" si="535"/>
        <v>27.195305509640086</v>
      </c>
      <c r="BJ300" s="7">
        <f t="shared" si="536"/>
        <v>1.36805087715517E-2</v>
      </c>
      <c r="BK300" s="9">
        <f t="shared" si="537"/>
        <v>0.43634666525483523</v>
      </c>
      <c r="BL300" s="4">
        <f t="shared" si="538"/>
        <v>976.25824924843619</v>
      </c>
      <c r="BM300" s="6">
        <f t="shared" si="539"/>
        <v>5.4525164984968731E-6</v>
      </c>
      <c r="BN300" s="8">
        <f t="shared" si="540"/>
        <v>27.115969866357016</v>
      </c>
      <c r="BO300" s="7">
        <f t="shared" si="541"/>
        <v>1.3645977849395198E-2</v>
      </c>
      <c r="BP300" s="9">
        <f t="shared" si="542"/>
        <v>0.43762332412239668</v>
      </c>
      <c r="BQ300" s="4">
        <f t="shared" si="543"/>
        <v>968.7596093884091</v>
      </c>
      <c r="BR300" s="6">
        <f t="shared" si="544"/>
        <v>5.4375192187768182E-6</v>
      </c>
      <c r="BS300" s="8">
        <f t="shared" si="545"/>
        <v>27.029735507966706</v>
      </c>
      <c r="BT300" s="7">
        <f t="shared" si="546"/>
        <v>1.3608444254234601E-2</v>
      </c>
      <c r="BU300" s="9">
        <f t="shared" si="547"/>
        <v>0.43901949636985382</v>
      </c>
      <c r="BV300" s="4">
        <f t="shared" si="548"/>
        <v>960.66093781116081</v>
      </c>
      <c r="BW300" s="6">
        <f t="shared" si="549"/>
        <v>5.4213218756223218E-6</v>
      </c>
      <c r="BX300" s="8">
        <f t="shared" si="550"/>
        <v>26.93660078482835</v>
      </c>
      <c r="BY300" s="7">
        <f t="shared" si="551"/>
        <v>1.3567907268062026E-2</v>
      </c>
      <c r="BZ300" s="9">
        <f t="shared" si="552"/>
        <v>0.44053742951863389</v>
      </c>
      <c r="CA300" s="4">
        <f t="shared" si="553"/>
        <v>951.95969749563233</v>
      </c>
      <c r="CB300" s="6">
        <f t="shared" si="554"/>
        <v>5.4039193949912648E-6</v>
      </c>
      <c r="CC300" s="8">
        <f t="shared" si="555"/>
        <v>26.836536521199768</v>
      </c>
      <c r="CD300" s="7">
        <f t="shared" si="556"/>
        <v>1.3524354192105006E-2</v>
      </c>
      <c r="CE300" s="9">
        <f t="shared" si="557"/>
        <v>0.44218004288086071</v>
      </c>
      <c r="CF300" s="4">
        <f t="shared" si="558"/>
        <v>942.61876612205458</v>
      </c>
      <c r="CG300" s="6">
        <f t="shared" si="559"/>
        <v>5.3852375322441097E-6</v>
      </c>
      <c r="CH300" s="8">
        <f t="shared" si="560"/>
        <v>26.729115810403627</v>
      </c>
      <c r="CI300" s="7">
        <f t="shared" si="561"/>
        <v>1.3477599214783363E-2</v>
      </c>
      <c r="CJ300" s="9">
        <f t="shared" si="562"/>
        <v>0.44395710482496148</v>
      </c>
      <c r="CK300" s="4">
        <f t="shared" si="563"/>
        <v>932.20188360891325</v>
      </c>
      <c r="CL300" s="6">
        <f t="shared" si="564"/>
        <v>5.3644037672178269E-6</v>
      </c>
      <c r="CM300" s="8">
        <f t="shared" si="565"/>
        <v>26.609321661502502</v>
      </c>
      <c r="CN300" s="7">
        <f t="shared" si="566"/>
        <v>1.3425458685516456E-2</v>
      </c>
      <c r="CO300" s="9">
        <f t="shared" si="567"/>
        <v>0.44595578273932779</v>
      </c>
      <c r="CP300" s="4">
        <f t="shared" si="568"/>
        <v>916.77371629161564</v>
      </c>
      <c r="CQ300" s="6">
        <f t="shared" si="569"/>
        <v>5.3335474325832313E-6</v>
      </c>
      <c r="CR300" s="8">
        <f t="shared" si="570"/>
        <v>26.43189773735358</v>
      </c>
      <c r="CS300" s="7">
        <f t="shared" si="571"/>
        <v>1.3348234735978055E-2</v>
      </c>
      <c r="CT300" s="9">
        <f t="shared" si="572"/>
        <v>0.44894925773521122</v>
      </c>
      <c r="CU300" s="4">
        <f t="shared" si="573"/>
        <v>871.10918211579451</v>
      </c>
      <c r="CV300" s="6">
        <f t="shared" si="574"/>
        <v>5.2422183642315895E-6</v>
      </c>
      <c r="CW300" s="8">
        <f t="shared" si="575"/>
        <v>25.906755594331635</v>
      </c>
      <c r="CX300" s="7">
        <f t="shared" si="576"/>
        <v>1.3119666066066472E-2</v>
      </c>
      <c r="CY300" s="9">
        <f t="shared" si="577"/>
        <v>0.45804967073199593</v>
      </c>
      <c r="CZ300" s="5">
        <f t="shared" si="578"/>
        <v>697.39748968664117</v>
      </c>
      <c r="DA300" s="6">
        <f t="shared" si="579"/>
        <v>4.894794979373283E-6</v>
      </c>
      <c r="DB300" s="8">
        <f t="shared" si="580"/>
        <v>24.392584070951642</v>
      </c>
      <c r="DC300" s="7">
        <f t="shared" si="581"/>
        <v>1.2250171803106365E-2</v>
      </c>
      <c r="DD300" s="9">
        <f t="shared" si="582"/>
        <v>0.48648313910494767</v>
      </c>
    </row>
    <row r="301" spans="2:108" x14ac:dyDescent="0.25">
      <c r="B301">
        <v>34</v>
      </c>
      <c r="C301">
        <f t="shared" si="490"/>
        <v>3.323889865573855E-2</v>
      </c>
      <c r="D301" s="4">
        <f t="shared" si="491"/>
        <v>1019.4569453936444</v>
      </c>
      <c r="E301" s="6">
        <f t="shared" si="429"/>
        <v>5.538913890787289E-6</v>
      </c>
      <c r="F301" s="8">
        <f t="shared" si="492"/>
        <v>27.612754872026912</v>
      </c>
      <c r="G301" s="7">
        <f t="shared" si="426"/>
        <v>1.3862204045458159E-2</v>
      </c>
      <c r="H301" s="9">
        <f t="shared" si="493"/>
        <v>0.42974998056928149</v>
      </c>
      <c r="I301" s="4">
        <f t="shared" si="494"/>
        <v>1019.1368049263905</v>
      </c>
      <c r="J301" s="6">
        <f t="shared" si="431"/>
        <v>5.5382736098527812E-6</v>
      </c>
      <c r="K301" s="8">
        <f t="shared" si="495"/>
        <v>27.609073256653488</v>
      </c>
      <c r="L301" s="7">
        <f t="shared" si="433"/>
        <v>1.3860601618495842E-2</v>
      </c>
      <c r="M301" s="9">
        <f t="shared" si="496"/>
        <v>0.4298072868801629</v>
      </c>
      <c r="N301" s="4">
        <f t="shared" si="497"/>
        <v>1018.2346945492135</v>
      </c>
      <c r="O301" s="6">
        <f t="shared" si="434"/>
        <v>5.5364693890984279E-6</v>
      </c>
      <c r="P301" s="8">
        <f t="shared" si="435"/>
        <v>27.598698987315956</v>
      </c>
      <c r="Q301" s="7">
        <f t="shared" si="427"/>
        <v>1.3862204045458159E-2</v>
      </c>
      <c r="R301" s="9">
        <f t="shared" si="498"/>
        <v>0.42996885016832287</v>
      </c>
      <c r="S301" s="4">
        <f t="shared" si="499"/>
        <v>1016.7345142504953</v>
      </c>
      <c r="T301" s="6">
        <f t="shared" si="436"/>
        <v>5.5334690285009907E-6</v>
      </c>
      <c r="U301" s="8">
        <f t="shared" si="437"/>
        <v>27.581446913880697</v>
      </c>
      <c r="V301" s="7">
        <f t="shared" si="438"/>
        <v>1.3848577223756233E-2</v>
      </c>
      <c r="W301" s="9">
        <f t="shared" si="500"/>
        <v>0.43023779378832727</v>
      </c>
      <c r="X301" s="4">
        <f t="shared" si="501"/>
        <v>1014.6349435206696</v>
      </c>
      <c r="Y301" s="6">
        <f t="shared" si="439"/>
        <v>5.5292698870413397E-6</v>
      </c>
      <c r="Z301" s="8">
        <f t="shared" si="440"/>
        <v>27.557301850487697</v>
      </c>
      <c r="AA301" s="7">
        <f t="shared" si="441"/>
        <v>1.3838068059527078E-2</v>
      </c>
      <c r="AB301" s="9">
        <f t="shared" si="502"/>
        <v>0.4306147580811831</v>
      </c>
      <c r="AC301" s="4">
        <f t="shared" si="503"/>
        <v>1011.9353976561232</v>
      </c>
      <c r="AD301" s="6">
        <f t="shared" si="504"/>
        <v>5.5238707953122466E-6</v>
      </c>
      <c r="AE301" s="8">
        <f t="shared" si="505"/>
        <v>27.526257073045414</v>
      </c>
      <c r="AF301" s="7">
        <f t="shared" si="506"/>
        <v>1.3824555787503259E-2</v>
      </c>
      <c r="AG301" s="9">
        <f t="shared" si="507"/>
        <v>0.43110041580400815</v>
      </c>
      <c r="AH301" s="4">
        <f t="shared" si="508"/>
        <v>1008.6359530544797</v>
      </c>
      <c r="AI301" s="6">
        <f t="shared" si="509"/>
        <v>5.5172719061089598E-6</v>
      </c>
      <c r="AJ301" s="8">
        <f t="shared" si="510"/>
        <v>27.488313460126516</v>
      </c>
      <c r="AK301" s="7">
        <f t="shared" si="511"/>
        <v>1.3808040790084455E-2</v>
      </c>
      <c r="AL301" s="9">
        <f t="shared" si="512"/>
        <v>0.43169548713605516</v>
      </c>
      <c r="AM301" s="4">
        <f t="shared" si="513"/>
        <v>1004.7366278426426</v>
      </c>
      <c r="AN301" s="6">
        <f t="shared" si="514"/>
        <v>5.5094732556852857E-6</v>
      </c>
      <c r="AO301" s="8">
        <f t="shared" si="515"/>
        <v>27.443471220190389</v>
      </c>
      <c r="AP301" s="7">
        <f t="shared" si="516"/>
        <v>1.3788523158002832E-2</v>
      </c>
      <c r="AQ301" s="9">
        <f t="shared" si="517"/>
        <v>0.43240087139514466</v>
      </c>
      <c r="AR301" s="4">
        <f t="shared" si="518"/>
        <v>1000.237424681662</v>
      </c>
      <c r="AS301" s="6">
        <f t="shared" si="519"/>
        <v>5.5004748493633244E-6</v>
      </c>
      <c r="AT301" s="8">
        <f t="shared" si="520"/>
        <v>27.391730383839111</v>
      </c>
      <c r="AU301" s="7">
        <f t="shared" si="521"/>
        <v>1.376600290457798E-2</v>
      </c>
      <c r="AV301" s="9">
        <f t="shared" si="522"/>
        <v>0.43321764282256081</v>
      </c>
      <c r="AW301" s="4">
        <f t="shared" si="523"/>
        <v>995.13834389214639</v>
      </c>
      <c r="AX301" s="6">
        <f t="shared" si="524"/>
        <v>5.4902766877842928E-6</v>
      </c>
      <c r="AY301" s="8">
        <f t="shared" si="525"/>
        <v>27.333090954759683</v>
      </c>
      <c r="AZ301" s="7">
        <f t="shared" si="526"/>
        <v>1.3740480031414665E-2</v>
      </c>
      <c r="BA301" s="9">
        <f t="shared" si="527"/>
        <v>0.43414705235345863</v>
      </c>
      <c r="BB301" s="4">
        <f t="shared" si="528"/>
        <v>989.4393855288414</v>
      </c>
      <c r="BC301" s="6">
        <f t="shared" si="529"/>
        <v>5.4788787710576833E-6</v>
      </c>
      <c r="BD301" s="8">
        <f t="shared" si="530"/>
        <v>27.267552933581676</v>
      </c>
      <c r="BE301" s="7">
        <f t="shared" si="531"/>
        <v>1.3711954538786915E-2</v>
      </c>
      <c r="BF301" s="9">
        <f t="shared" si="532"/>
        <v>0.43519053208120745</v>
      </c>
      <c r="BG301" s="4">
        <f t="shared" si="533"/>
        <v>983.14054960098179</v>
      </c>
      <c r="BH301" s="6">
        <f t="shared" si="534"/>
        <v>5.4662810992019638E-6</v>
      </c>
      <c r="BI301" s="8">
        <f t="shared" si="535"/>
        <v>27.195116320411287</v>
      </c>
      <c r="BJ301" s="7">
        <f t="shared" si="536"/>
        <v>1.3680426426740945E-2</v>
      </c>
      <c r="BK301" s="9">
        <f t="shared" si="537"/>
        <v>0.43634970080313423</v>
      </c>
      <c r="BL301" s="4">
        <f t="shared" si="538"/>
        <v>976.24183575215545</v>
      </c>
      <c r="BM301" s="6">
        <f t="shared" si="539"/>
        <v>5.4524836715043112E-6</v>
      </c>
      <c r="BN301" s="8">
        <f t="shared" si="540"/>
        <v>27.115781111149786</v>
      </c>
      <c r="BO301" s="7">
        <f t="shared" si="541"/>
        <v>1.3645895693492784E-2</v>
      </c>
      <c r="BP301" s="9">
        <f t="shared" si="542"/>
        <v>0.43762637045474811</v>
      </c>
      <c r="BQ301" s="4">
        <f t="shared" si="543"/>
        <v>968.743235291838</v>
      </c>
      <c r="BR301" s="6">
        <f t="shared" si="544"/>
        <v>5.4374864705836763E-6</v>
      </c>
      <c r="BS301" s="8">
        <f t="shared" si="545"/>
        <v>27.029547205856137</v>
      </c>
      <c r="BT301" s="7">
        <f t="shared" si="546"/>
        <v>1.3608362295542987E-2</v>
      </c>
      <c r="BU301" s="9">
        <f t="shared" si="547"/>
        <v>0.43902255481168112</v>
      </c>
      <c r="BV301" s="4">
        <f t="shared" si="548"/>
        <v>960.64457286290622</v>
      </c>
      <c r="BW301" s="6">
        <f t="shared" si="549"/>
        <v>5.4212891457258132E-6</v>
      </c>
      <c r="BX301" s="8">
        <f t="shared" si="550"/>
        <v>26.936412587923421</v>
      </c>
      <c r="BY301" s="7">
        <f t="shared" si="551"/>
        <v>1.3567825355161277E-2</v>
      </c>
      <c r="BZ301" s="9">
        <f t="shared" si="552"/>
        <v>0.44054050742592654</v>
      </c>
      <c r="CA301" s="4">
        <f t="shared" si="553"/>
        <v>951.94285851125858</v>
      </c>
      <c r="CB301" s="6">
        <f t="shared" si="554"/>
        <v>5.4038857170225173E-6</v>
      </c>
      <c r="CC301" s="8">
        <f t="shared" si="555"/>
        <v>26.83634287287947</v>
      </c>
      <c r="CD301" s="7">
        <f t="shared" si="556"/>
        <v>1.3524269906469984E-2</v>
      </c>
      <c r="CE301" s="9">
        <f t="shared" si="557"/>
        <v>0.44218323360707029</v>
      </c>
      <c r="CF301" s="4">
        <f t="shared" si="558"/>
        <v>942.59586435569429</v>
      </c>
      <c r="CG301" s="6">
        <f t="shared" si="559"/>
        <v>5.3851917287113884E-6</v>
      </c>
      <c r="CH301" s="8">
        <f t="shared" si="560"/>
        <v>26.728852440090485</v>
      </c>
      <c r="CI301" s="7">
        <f t="shared" si="561"/>
        <v>1.3477484582577642E-2</v>
      </c>
      <c r="CJ301" s="9">
        <f t="shared" si="562"/>
        <v>0.44396147931585972</v>
      </c>
      <c r="CK301" s="4">
        <f t="shared" si="563"/>
        <v>932.12409920520793</v>
      </c>
      <c r="CL301" s="6">
        <f t="shared" si="564"/>
        <v>5.3642481984104162E-6</v>
      </c>
      <c r="CM301" s="8">
        <f t="shared" si="565"/>
        <v>26.608427140859888</v>
      </c>
      <c r="CN301" s="7">
        <f t="shared" si="566"/>
        <v>1.3425069344466214E-2</v>
      </c>
      <c r="CO301" s="9">
        <f t="shared" si="567"/>
        <v>0.44597077485634551</v>
      </c>
      <c r="CP301" s="4">
        <f t="shared" si="568"/>
        <v>916.34500836553786</v>
      </c>
      <c r="CQ301" s="6">
        <f t="shared" si="569"/>
        <v>5.3326900167310758E-6</v>
      </c>
      <c r="CR301" s="8">
        <f t="shared" si="570"/>
        <v>26.426967596203685</v>
      </c>
      <c r="CS301" s="7">
        <f t="shared" si="571"/>
        <v>1.3346088886858761E-2</v>
      </c>
      <c r="CT301" s="9">
        <f t="shared" si="572"/>
        <v>0.44903301245287669</v>
      </c>
      <c r="CU301" s="4">
        <f t="shared" si="573"/>
        <v>869.3232056068797</v>
      </c>
      <c r="CV301" s="6">
        <f t="shared" si="574"/>
        <v>5.2386464112137598E-6</v>
      </c>
      <c r="CW301" s="8">
        <f t="shared" si="575"/>
        <v>25.886216864479117</v>
      </c>
      <c r="CX301" s="7">
        <f t="shared" si="576"/>
        <v>1.311072656230269E-2</v>
      </c>
      <c r="CY301" s="9">
        <f t="shared" si="577"/>
        <v>0.45841309805300817</v>
      </c>
      <c r="CZ301" s="5">
        <f t="shared" si="578"/>
        <v>693.85584796972262</v>
      </c>
      <c r="DA301" s="6">
        <f t="shared" si="579"/>
        <v>4.8877116959394455E-6</v>
      </c>
      <c r="DB301" s="8">
        <f t="shared" si="580"/>
        <v>25.103745727708571</v>
      </c>
      <c r="DC301" s="7">
        <f t="shared" si="581"/>
        <v>1.2232444515373116E-2</v>
      </c>
      <c r="DD301" s="9">
        <f t="shared" si="582"/>
        <v>0.47270160391323646</v>
      </c>
    </row>
    <row r="302" spans="2:108" x14ac:dyDescent="0.25">
      <c r="B302">
        <v>35</v>
      </c>
      <c r="C302">
        <f t="shared" si="490"/>
        <v>3.4216513322083801E-2</v>
      </c>
      <c r="D302" s="4">
        <f t="shared" si="491"/>
        <v>1019.4406006386288</v>
      </c>
      <c r="E302" s="6">
        <f t="shared" si="429"/>
        <v>5.5388812012772588E-6</v>
      </c>
      <c r="F302" s="8">
        <f t="shared" si="492"/>
        <v>27.612566907344231</v>
      </c>
      <c r="G302" s="7">
        <f t="shared" si="426"/>
        <v>1.3862122233632392E-2</v>
      </c>
      <c r="H302" s="9">
        <f t="shared" si="493"/>
        <v>0.42975290596984278</v>
      </c>
      <c r="I302" s="4">
        <f t="shared" si="494"/>
        <v>1019.12026609306</v>
      </c>
      <c r="J302" s="6">
        <f t="shared" si="431"/>
        <v>5.5382405321861201E-6</v>
      </c>
      <c r="K302" s="8">
        <f t="shared" si="495"/>
        <v>27.608883060070191</v>
      </c>
      <c r="L302" s="7">
        <f t="shared" si="433"/>
        <v>1.3860518835232977E-2</v>
      </c>
      <c r="M302" s="9">
        <f t="shared" si="496"/>
        <v>0.42981024780680605</v>
      </c>
      <c r="N302" s="4">
        <f t="shared" si="497"/>
        <v>1018.2180807410109</v>
      </c>
      <c r="O302" s="6">
        <f t="shared" si="434"/>
        <v>5.5364361614820221E-6</v>
      </c>
      <c r="P302" s="8">
        <f t="shared" si="435"/>
        <v>27.598507928521624</v>
      </c>
      <c r="Q302" s="7">
        <f t="shared" si="427"/>
        <v>1.3862122233632392E-2</v>
      </c>
      <c r="R302" s="9">
        <f t="shared" si="498"/>
        <v>0.42997182675424289</v>
      </c>
      <c r="S302" s="4">
        <f t="shared" si="499"/>
        <v>1016.7178887289456</v>
      </c>
      <c r="T302" s="6">
        <f t="shared" si="436"/>
        <v>5.5334357774578915E-6</v>
      </c>
      <c r="U302" s="8">
        <f t="shared" si="437"/>
        <v>27.581255720382874</v>
      </c>
      <c r="V302" s="7">
        <f t="shared" si="438"/>
        <v>1.3848494006585275E-2</v>
      </c>
      <c r="W302" s="9">
        <f t="shared" si="500"/>
        <v>0.430240776200351</v>
      </c>
      <c r="X302" s="4">
        <f t="shared" si="501"/>
        <v>1014.6183272014381</v>
      </c>
      <c r="Y302" s="6">
        <f t="shared" si="439"/>
        <v>5.5292366544028765E-6</v>
      </c>
      <c r="Z302" s="8">
        <f t="shared" si="440"/>
        <v>27.557110762816535</v>
      </c>
      <c r="AA302" s="7">
        <f t="shared" si="441"/>
        <v>1.3837984888417285E-2</v>
      </c>
      <c r="AB302" s="9">
        <f t="shared" si="502"/>
        <v>0.43061774406806674</v>
      </c>
      <c r="AC302" s="4">
        <f t="shared" si="503"/>
        <v>1011.918794872523</v>
      </c>
      <c r="AD302" s="6">
        <f t="shared" si="504"/>
        <v>5.523837589745047E-6</v>
      </c>
      <c r="AE302" s="8">
        <f t="shared" si="505"/>
        <v>27.526066141034015</v>
      </c>
      <c r="AF302" s="7">
        <f t="shared" si="506"/>
        <v>1.3824472684144542E-2</v>
      </c>
      <c r="AG302" s="9">
        <f t="shared" si="507"/>
        <v>0.43110340609216202</v>
      </c>
      <c r="AH302" s="4">
        <f t="shared" si="508"/>
        <v>1008.6193667549832</v>
      </c>
      <c r="AI302" s="6">
        <f t="shared" si="509"/>
        <v>5.5172387335099664E-6</v>
      </c>
      <c r="AJ302" s="8">
        <f t="shared" si="510"/>
        <v>27.488122717682305</v>
      </c>
      <c r="AK302" s="7">
        <f t="shared" si="511"/>
        <v>1.3807957769235055E-2</v>
      </c>
      <c r="AL302" s="9">
        <f t="shared" si="512"/>
        <v>0.43169848270811428</v>
      </c>
      <c r="AM302" s="4">
        <f t="shared" si="513"/>
        <v>1004.7200614300331</v>
      </c>
      <c r="AN302" s="6">
        <f t="shared" si="514"/>
        <v>5.5094401228600669E-6</v>
      </c>
      <c r="AO302" s="8">
        <f t="shared" si="515"/>
        <v>27.443280706445378</v>
      </c>
      <c r="AP302" s="7">
        <f t="shared" si="516"/>
        <v>1.3788440236695003E-2</v>
      </c>
      <c r="AQ302" s="9">
        <f t="shared" si="517"/>
        <v>0.43240387316123219</v>
      </c>
      <c r="AR302" s="4">
        <f t="shared" si="518"/>
        <v>1000.2208817195425</v>
      </c>
      <c r="AS302" s="6">
        <f t="shared" si="519"/>
        <v>5.5004417634390857E-6</v>
      </c>
      <c r="AT302" s="8">
        <f t="shared" si="520"/>
        <v>27.39154013977474</v>
      </c>
      <c r="AU302" s="7">
        <f t="shared" si="521"/>
        <v>1.3765920100648929E-2</v>
      </c>
      <c r="AV302" s="9">
        <f t="shared" si="522"/>
        <v>0.43322065167437079</v>
      </c>
      <c r="AW302" s="4">
        <f t="shared" si="523"/>
        <v>995.12182797293872</v>
      </c>
      <c r="AX302" s="6">
        <f t="shared" si="524"/>
        <v>5.4902436559458783E-6</v>
      </c>
      <c r="AY302" s="8">
        <f t="shared" si="525"/>
        <v>27.332901021688794</v>
      </c>
      <c r="AZ302" s="7">
        <f t="shared" si="526"/>
        <v>1.3740397362845857E-2</v>
      </c>
      <c r="BA302" s="9">
        <f t="shared" si="527"/>
        <v>0.43415006918957144</v>
      </c>
      <c r="BB302" s="4">
        <f t="shared" si="528"/>
        <v>989.42290024968349</v>
      </c>
      <c r="BC302" s="6">
        <f t="shared" si="529"/>
        <v>5.4788458004993667E-6</v>
      </c>
      <c r="BD302" s="8">
        <f t="shared" si="530"/>
        <v>27.26736335287136</v>
      </c>
      <c r="BE302" s="7">
        <f t="shared" si="531"/>
        <v>1.3711872023583411E-2</v>
      </c>
      <c r="BF302" s="9">
        <f t="shared" si="532"/>
        <v>0.43519355781307328</v>
      </c>
      <c r="BG302" s="4">
        <f t="shared" si="533"/>
        <v>983.12409855562873</v>
      </c>
      <c r="BH302" s="6">
        <f t="shared" si="534"/>
        <v>5.4662481971112575E-6</v>
      </c>
      <c r="BI302" s="8">
        <f t="shared" si="535"/>
        <v>27.194927133389729</v>
      </c>
      <c r="BJ302" s="7">
        <f t="shared" si="536"/>
        <v>1.3680344082890891E-2</v>
      </c>
      <c r="BK302" s="9">
        <f t="shared" si="537"/>
        <v>0.43635273635825261</v>
      </c>
      <c r="BL302" s="4">
        <f t="shared" si="538"/>
        <v>976.22542242133204</v>
      </c>
      <c r="BM302" s="6">
        <f t="shared" si="539"/>
        <v>5.4524508448426638E-6</v>
      </c>
      <c r="BN302" s="8">
        <f t="shared" si="540"/>
        <v>27.115592357845316</v>
      </c>
      <c r="BO302" s="7">
        <f t="shared" si="541"/>
        <v>1.3645813538418547E-2</v>
      </c>
      <c r="BP302" s="9">
        <f t="shared" si="542"/>
        <v>0.43762941679880202</v>
      </c>
      <c r="BQ302" s="4">
        <f t="shared" si="543"/>
        <v>968.72686090652212</v>
      </c>
      <c r="BR302" s="6">
        <f t="shared" si="544"/>
        <v>5.4374537218130442E-6</v>
      </c>
      <c r="BS302" s="8">
        <f t="shared" si="545"/>
        <v>27.029358900425002</v>
      </c>
      <c r="BT302" s="7">
        <f t="shared" si="546"/>
        <v>1.3608280335406092E-2</v>
      </c>
      <c r="BU302" s="9">
        <f t="shared" si="547"/>
        <v>0.43902561335005663</v>
      </c>
      <c r="BV302" s="4">
        <f t="shared" si="548"/>
        <v>960.62820121196467</v>
      </c>
      <c r="BW302" s="6">
        <f t="shared" si="549"/>
        <v>5.4212564024239299E-6</v>
      </c>
      <c r="BX302" s="8">
        <f t="shared" si="550"/>
        <v>26.936224313937593</v>
      </c>
      <c r="BY302" s="7">
        <f t="shared" si="551"/>
        <v>1.3567743408710985E-2</v>
      </c>
      <c r="BZ302" s="9">
        <f t="shared" si="552"/>
        <v>0.44054358663689108</v>
      </c>
      <c r="CA302" s="4">
        <f t="shared" si="553"/>
        <v>951.92594084558937</v>
      </c>
      <c r="CB302" s="6">
        <f t="shared" si="554"/>
        <v>5.4038518816911792E-6</v>
      </c>
      <c r="CC302" s="8">
        <f t="shared" si="555"/>
        <v>26.836148319724277</v>
      </c>
      <c r="CD302" s="7">
        <f t="shared" si="556"/>
        <v>1.3524185227004623E-2</v>
      </c>
      <c r="CE302" s="9">
        <f t="shared" si="557"/>
        <v>0.44218643928853568</v>
      </c>
      <c r="CF302" s="4">
        <f t="shared" si="558"/>
        <v>942.57227672655154</v>
      </c>
      <c r="CG302" s="6">
        <f t="shared" si="559"/>
        <v>5.3851445534531038E-6</v>
      </c>
      <c r="CH302" s="8">
        <f t="shared" si="560"/>
        <v>26.728581182355342</v>
      </c>
      <c r="CI302" s="7">
        <f t="shared" si="561"/>
        <v>1.3477366517363211E-2</v>
      </c>
      <c r="CJ302" s="9">
        <f t="shared" si="562"/>
        <v>0.44396598490426148</v>
      </c>
      <c r="CK302" s="4">
        <f t="shared" si="563"/>
        <v>932.0421647726215</v>
      </c>
      <c r="CL302" s="6">
        <f t="shared" si="564"/>
        <v>5.364084329545243E-6</v>
      </c>
      <c r="CM302" s="8">
        <f t="shared" si="565"/>
        <v>26.607484894885147</v>
      </c>
      <c r="CN302" s="7">
        <f t="shared" si="566"/>
        <v>1.3424659230914982E-2</v>
      </c>
      <c r="CO302" s="9">
        <f t="shared" si="567"/>
        <v>0.44598656793746988</v>
      </c>
      <c r="CP302" s="4">
        <f t="shared" si="568"/>
        <v>915.90216669913264</v>
      </c>
      <c r="CQ302" s="6">
        <f t="shared" si="569"/>
        <v>5.3318043333982654E-6</v>
      </c>
      <c r="CR302" s="8">
        <f t="shared" si="570"/>
        <v>26.421874917040025</v>
      </c>
      <c r="CS302" s="7">
        <f t="shared" si="571"/>
        <v>1.3343872292898077E-2</v>
      </c>
      <c r="CT302" s="9">
        <f t="shared" si="572"/>
        <v>0.44911956123389601</v>
      </c>
      <c r="CU302" s="4">
        <f t="shared" si="573"/>
        <v>867.53111644854653</v>
      </c>
      <c r="CV302" s="6">
        <f t="shared" si="574"/>
        <v>5.2350622328970937E-6</v>
      </c>
      <c r="CW302" s="8">
        <f t="shared" si="575"/>
        <v>25.865607839158287</v>
      </c>
      <c r="CX302" s="7">
        <f t="shared" si="576"/>
        <v>1.3101756462362418E-2</v>
      </c>
      <c r="CY302" s="9">
        <f t="shared" si="577"/>
        <v>0.45877834936292988</v>
      </c>
      <c r="CZ302" s="5">
        <f t="shared" si="578"/>
        <v>690.39883836043862</v>
      </c>
      <c r="DA302" s="6">
        <f t="shared" si="579"/>
        <v>4.8807976767208779E-6</v>
      </c>
      <c r="DB302" s="8">
        <f t="shared" si="580"/>
        <v>25.797913257252532</v>
      </c>
      <c r="DC302" s="7">
        <f t="shared" si="581"/>
        <v>1.2215140844098969E-2</v>
      </c>
      <c r="DD302" s="9">
        <f t="shared" si="582"/>
        <v>0.45998219900138099</v>
      </c>
    </row>
    <row r="303" spans="2:108" x14ac:dyDescent="0.25">
      <c r="B303">
        <v>36</v>
      </c>
      <c r="C303">
        <f t="shared" si="490"/>
        <v>3.5194127988429053E-2</v>
      </c>
      <c r="D303" s="4">
        <f t="shared" si="491"/>
        <v>1019.4242459749548</v>
      </c>
      <c r="E303" s="6">
        <f t="shared" si="429"/>
        <v>5.5388484919499102E-6</v>
      </c>
      <c r="F303" s="8">
        <f t="shared" si="492"/>
        <v>27.612378828711982</v>
      </c>
      <c r="G303" s="7">
        <f t="shared" si="426"/>
        <v>1.3862040372209948E-2</v>
      </c>
      <c r="H303" s="9">
        <f t="shared" si="493"/>
        <v>0.42975583318372979</v>
      </c>
      <c r="I303" s="4">
        <f t="shared" si="494"/>
        <v>1019.1037271436016</v>
      </c>
      <c r="J303" s="6">
        <f t="shared" si="431"/>
        <v>5.5382074542872042E-6</v>
      </c>
      <c r="K303" s="8">
        <f t="shared" si="495"/>
        <v>27.608692862151418</v>
      </c>
      <c r="L303" s="7">
        <f t="shared" si="433"/>
        <v>1.386043605138885E-2</v>
      </c>
      <c r="M303" s="9">
        <f t="shared" si="496"/>
        <v>0.42981320879503565</v>
      </c>
      <c r="N303" s="4">
        <f t="shared" si="497"/>
        <v>1018.2014676084848</v>
      </c>
      <c r="O303" s="6">
        <f t="shared" si="434"/>
        <v>5.5364029352169702E-6</v>
      </c>
      <c r="P303" s="8">
        <f t="shared" si="435"/>
        <v>27.598316877497574</v>
      </c>
      <c r="Q303" s="7">
        <f t="shared" si="427"/>
        <v>1.3862040372209948E-2</v>
      </c>
      <c r="R303" s="9">
        <f t="shared" si="498"/>
        <v>0.42997480326031673</v>
      </c>
      <c r="S303" s="4">
        <f t="shared" si="499"/>
        <v>1016.7012635897087</v>
      </c>
      <c r="T303" s="6">
        <f t="shared" si="436"/>
        <v>5.5334025271794183E-6</v>
      </c>
      <c r="U303" s="8">
        <f t="shared" si="437"/>
        <v>27.581064531281648</v>
      </c>
      <c r="V303" s="7">
        <f t="shared" si="438"/>
        <v>1.3848410791327943E-2</v>
      </c>
      <c r="W303" s="9">
        <f t="shared" si="500"/>
        <v>0.43024375858513964</v>
      </c>
      <c r="X303" s="4">
        <f t="shared" si="501"/>
        <v>1014.6017110814237</v>
      </c>
      <c r="Y303" s="6">
        <f t="shared" si="439"/>
        <v>5.5292034221628483E-6</v>
      </c>
      <c r="Z303" s="8">
        <f t="shared" si="440"/>
        <v>27.556919677436369</v>
      </c>
      <c r="AA303" s="7">
        <f t="shared" si="441"/>
        <v>1.3837901718304653E-2</v>
      </c>
      <c r="AB303" s="9">
        <f t="shared" si="502"/>
        <v>0.4306207300605614</v>
      </c>
      <c r="AC303" s="4">
        <f t="shared" si="503"/>
        <v>1011.9021922710518</v>
      </c>
      <c r="AD303" s="6">
        <f t="shared" si="504"/>
        <v>5.5238043845421038E-6</v>
      </c>
      <c r="AE303" s="8">
        <f t="shared" si="505"/>
        <v>27.525875211117096</v>
      </c>
      <c r="AF303" s="7">
        <f t="shared" si="506"/>
        <v>1.3824389581697448E-2</v>
      </c>
      <c r="AG303" s="9">
        <f t="shared" si="507"/>
        <v>0.43110639638899645</v>
      </c>
      <c r="AH303" s="4">
        <f t="shared" si="508"/>
        <v>1008.6027806441331</v>
      </c>
      <c r="AI303" s="6">
        <f t="shared" si="509"/>
        <v>5.517205561288267E-6</v>
      </c>
      <c r="AJ303" s="8">
        <f t="shared" si="510"/>
        <v>27.487931977407527</v>
      </c>
      <c r="AK303" s="7">
        <f t="shared" si="511"/>
        <v>1.3807874749329907E-2</v>
      </c>
      <c r="AL303" s="9">
        <f t="shared" si="512"/>
        <v>0.43170147828767558</v>
      </c>
      <c r="AM303" s="4">
        <f t="shared" si="513"/>
        <v>1004.703495208977</v>
      </c>
      <c r="AN303" s="6">
        <f t="shared" si="514"/>
        <v>5.5094069904179543E-6</v>
      </c>
      <c r="AO303" s="8">
        <f t="shared" si="515"/>
        <v>27.443090194903235</v>
      </c>
      <c r="AP303" s="7">
        <f t="shared" si="516"/>
        <v>1.378835731634597E-2</v>
      </c>
      <c r="AQ303" s="9">
        <f t="shared" si="517"/>
        <v>0.43240687493428764</v>
      </c>
      <c r="AR303" s="4">
        <f t="shared" si="518"/>
        <v>1000.2043389499557</v>
      </c>
      <c r="AS303" s="6">
        <f t="shared" si="519"/>
        <v>5.5004086778999123E-6</v>
      </c>
      <c r="AT303" s="8">
        <f t="shared" si="520"/>
        <v>27.391349897924492</v>
      </c>
      <c r="AU303" s="7">
        <f t="shared" si="521"/>
        <v>1.376583729768358E-2</v>
      </c>
      <c r="AV303" s="9">
        <f t="shared" si="522"/>
        <v>0.43322366053295741</v>
      </c>
      <c r="AW303" s="4">
        <f t="shared" si="523"/>
        <v>995.10531224670717</v>
      </c>
      <c r="AX303" s="6">
        <f t="shared" si="524"/>
        <v>5.4902106244934144E-6</v>
      </c>
      <c r="AY303" s="8">
        <f t="shared" si="525"/>
        <v>27.33271109083713</v>
      </c>
      <c r="AZ303" s="7">
        <f t="shared" si="526"/>
        <v>1.3740314695242966E-2</v>
      </c>
      <c r="BA303" s="9">
        <f t="shared" si="527"/>
        <v>0.43415308603236169</v>
      </c>
      <c r="BB303" s="4">
        <f t="shared" si="528"/>
        <v>989.40641516365611</v>
      </c>
      <c r="BC303" s="6">
        <f t="shared" si="529"/>
        <v>5.4788128303273131E-6</v>
      </c>
      <c r="BD303" s="8">
        <f t="shared" si="530"/>
        <v>27.267173774382044</v>
      </c>
      <c r="BE303" s="7">
        <f t="shared" si="531"/>
        <v>1.3711789509346607E-2</v>
      </c>
      <c r="BF303" s="9">
        <f t="shared" si="532"/>
        <v>0.43519658355156504</v>
      </c>
      <c r="BG303" s="4">
        <f t="shared" si="533"/>
        <v>983.10764770184312</v>
      </c>
      <c r="BH303" s="6">
        <f t="shared" si="534"/>
        <v>5.466215295403687E-6</v>
      </c>
      <c r="BI303" s="8">
        <f t="shared" si="535"/>
        <v>27.194737948571195</v>
      </c>
      <c r="BJ303" s="7">
        <f t="shared" si="536"/>
        <v>1.3680261739999706E-2</v>
      </c>
      <c r="BK303" s="9">
        <f t="shared" si="537"/>
        <v>0.43635577192025732</v>
      </c>
      <c r="BL303" s="4">
        <f t="shared" si="538"/>
        <v>976.2090092498388</v>
      </c>
      <c r="BM303" s="6">
        <f t="shared" si="539"/>
        <v>5.4524180184996779E-6</v>
      </c>
      <c r="BN303" s="8">
        <f t="shared" si="540"/>
        <v>27.115403606373146</v>
      </c>
      <c r="BO303" s="7">
        <f t="shared" si="541"/>
        <v>1.3645731384141824E-2</v>
      </c>
      <c r="BP303" s="9">
        <f t="shared" si="542"/>
        <v>0.4376324631556951</v>
      </c>
      <c r="BQ303" s="4">
        <f t="shared" si="543"/>
        <v>968.71048614753556</v>
      </c>
      <c r="BR303" s="6">
        <f t="shared" si="544"/>
        <v>5.4374209722950716E-6</v>
      </c>
      <c r="BS303" s="8">
        <f t="shared" si="545"/>
        <v>27.029170590696658</v>
      </c>
      <c r="BT303" s="7">
        <f t="shared" si="546"/>
        <v>1.3608198373398833E-2</v>
      </c>
      <c r="BU303" s="9">
        <f t="shared" si="547"/>
        <v>0.43902867200084683</v>
      </c>
      <c r="BV303" s="4">
        <f t="shared" si="548"/>
        <v>960.61182192810406</v>
      </c>
      <c r="BW303" s="6">
        <f t="shared" si="549"/>
        <v>5.421223643856209E-6</v>
      </c>
      <c r="BX303" s="8">
        <f t="shared" si="550"/>
        <v>26.936035952173196</v>
      </c>
      <c r="BY303" s="7">
        <f t="shared" si="551"/>
        <v>1.3567661424054977E-2</v>
      </c>
      <c r="BZ303" s="9">
        <f t="shared" si="552"/>
        <v>0.44054666732654491</v>
      </c>
      <c r="CA303" s="4">
        <f t="shared" si="553"/>
        <v>951.90893693101896</v>
      </c>
      <c r="CB303" s="6">
        <f t="shared" si="554"/>
        <v>5.4038178738620379E-6</v>
      </c>
      <c r="CC303" s="8">
        <f t="shared" si="555"/>
        <v>26.835952774706719</v>
      </c>
      <c r="CD303" s="7">
        <f t="shared" si="556"/>
        <v>1.3524100115830124E-2</v>
      </c>
      <c r="CE303" s="9">
        <f t="shared" si="557"/>
        <v>0.44218966135990245</v>
      </c>
      <c r="CF303" s="4">
        <f t="shared" si="558"/>
        <v>942.5479628851798</v>
      </c>
      <c r="CG303" s="6">
        <f t="shared" si="559"/>
        <v>5.3850959257703602E-6</v>
      </c>
      <c r="CH303" s="8">
        <f t="shared" si="560"/>
        <v>26.728301573179564</v>
      </c>
      <c r="CI303" s="7">
        <f t="shared" si="561"/>
        <v>1.3477244817175459E-2</v>
      </c>
      <c r="CJ303" s="9">
        <f t="shared" si="562"/>
        <v>0.44397062930573128</v>
      </c>
      <c r="CK303" s="4">
        <f t="shared" si="563"/>
        <v>931.95598721098759</v>
      </c>
      <c r="CL303" s="6">
        <f t="shared" si="564"/>
        <v>5.3639119744219758E-6</v>
      </c>
      <c r="CM303" s="8">
        <f t="shared" si="565"/>
        <v>26.606493852926356</v>
      </c>
      <c r="CN303" s="7">
        <f t="shared" si="566"/>
        <v>1.3424227878860388E-2</v>
      </c>
      <c r="CO303" s="9">
        <f t="shared" si="567"/>
        <v>0.44600318010006174</v>
      </c>
      <c r="CP303" s="4">
        <f t="shared" si="568"/>
        <v>915.44543384844837</v>
      </c>
      <c r="CQ303" s="6">
        <f t="shared" si="569"/>
        <v>5.3308908676968973E-6</v>
      </c>
      <c r="CR303" s="8">
        <f t="shared" si="570"/>
        <v>26.416622489257158</v>
      </c>
      <c r="CS303" s="7">
        <f t="shared" si="571"/>
        <v>1.3341586168182913E-2</v>
      </c>
      <c r="CT303" s="9">
        <f t="shared" si="572"/>
        <v>0.44920885985873776</v>
      </c>
      <c r="CU303" s="4">
        <f t="shared" si="573"/>
        <v>865.73406448259323</v>
      </c>
      <c r="CV303" s="6">
        <f t="shared" si="574"/>
        <v>5.2314681289651875E-6</v>
      </c>
      <c r="CW303" s="8">
        <f t="shared" si="575"/>
        <v>25.844941741549821</v>
      </c>
      <c r="CX303" s="7">
        <f t="shared" si="576"/>
        <v>1.3092761521648944E-2</v>
      </c>
      <c r="CY303" s="9">
        <f t="shared" si="577"/>
        <v>0.45914519709055862</v>
      </c>
      <c r="CZ303" s="5">
        <f t="shared" si="578"/>
        <v>687.0229991757617</v>
      </c>
      <c r="DA303" s="6">
        <f t="shared" si="579"/>
        <v>4.8740459983515242E-6</v>
      </c>
      <c r="DB303" s="8">
        <f t="shared" si="580"/>
        <v>26.475781765535373</v>
      </c>
      <c r="DC303" s="7">
        <f t="shared" si="581"/>
        <v>1.2198243462220372E-2</v>
      </c>
      <c r="DD303" s="9">
        <f t="shared" si="582"/>
        <v>0.44820511722018802</v>
      </c>
    </row>
    <row r="304" spans="2:108" x14ac:dyDescent="0.25">
      <c r="B304">
        <v>37</v>
      </c>
      <c r="C304">
        <f t="shared" si="490"/>
        <v>3.6171742654774304E-2</v>
      </c>
      <c r="D304" s="4">
        <f t="shared" si="491"/>
        <v>1019.4078819025797</v>
      </c>
      <c r="E304" s="6">
        <f t="shared" si="429"/>
        <v>5.5388157638051598E-6</v>
      </c>
      <c r="F304" s="8">
        <f t="shared" si="492"/>
        <v>27.612190641879664</v>
      </c>
      <c r="G304" s="7">
        <f t="shared" si="426"/>
        <v>1.3861958463693312E-2</v>
      </c>
      <c r="H304" s="9">
        <f t="shared" si="493"/>
        <v>0.42975876212152997</v>
      </c>
      <c r="I304" s="4">
        <f t="shared" si="494"/>
        <v>1019.0871880266662</v>
      </c>
      <c r="J304" s="6">
        <f t="shared" si="431"/>
        <v>5.5381743760533326E-6</v>
      </c>
      <c r="K304" s="8">
        <f t="shared" si="495"/>
        <v>27.608502662306663</v>
      </c>
      <c r="L304" s="7">
        <f t="shared" si="433"/>
        <v>1.3860353266706432E-2</v>
      </c>
      <c r="M304" s="9">
        <f t="shared" si="496"/>
        <v>0.42981616985404664</v>
      </c>
      <c r="N304" s="4">
        <f t="shared" si="497"/>
        <v>1018.1848551383156</v>
      </c>
      <c r="O304" s="6">
        <f t="shared" si="434"/>
        <v>5.5363697102766313E-6</v>
      </c>
      <c r="P304" s="8">
        <f t="shared" si="435"/>
        <v>27.598125834090631</v>
      </c>
      <c r="Q304" s="7">
        <f t="shared" si="427"/>
        <v>1.3861958463693312E-2</v>
      </c>
      <c r="R304" s="9">
        <f t="shared" si="498"/>
        <v>0.42997777968892675</v>
      </c>
      <c r="S304" s="4">
        <f t="shared" si="499"/>
        <v>1016.6846388332656</v>
      </c>
      <c r="T304" s="6">
        <f t="shared" si="436"/>
        <v>5.5333692776665316E-6</v>
      </c>
      <c r="U304" s="8">
        <f t="shared" si="437"/>
        <v>27.580873346582553</v>
      </c>
      <c r="V304" s="7">
        <f t="shared" si="438"/>
        <v>1.3848327577986638E-2</v>
      </c>
      <c r="W304" s="9">
        <f t="shared" si="500"/>
        <v>0.43024674094260484</v>
      </c>
      <c r="X304" s="4">
        <f t="shared" si="501"/>
        <v>1014.5850951625753</v>
      </c>
      <c r="Y304" s="6">
        <f t="shared" si="439"/>
        <v>5.5291701903251514E-6</v>
      </c>
      <c r="Z304" s="8">
        <f t="shared" si="440"/>
        <v>27.556728594369616</v>
      </c>
      <c r="AA304" s="7">
        <f t="shared" si="441"/>
        <v>1.3837818549198931E-2</v>
      </c>
      <c r="AB304" s="9">
        <f t="shared" si="502"/>
        <v>0.43062371605831595</v>
      </c>
      <c r="AC304" s="4">
        <f t="shared" si="503"/>
        <v>1011.8855898520194</v>
      </c>
      <c r="AD304" s="6">
        <f t="shared" si="504"/>
        <v>5.5237711797040395E-6</v>
      </c>
      <c r="AE304" s="8">
        <f t="shared" si="505"/>
        <v>27.525684283298222</v>
      </c>
      <c r="AF304" s="7">
        <f t="shared" si="506"/>
        <v>1.3824306480163532E-2</v>
      </c>
      <c r="AG304" s="9">
        <f t="shared" si="507"/>
        <v>0.43110938669445509</v>
      </c>
      <c r="AH304" s="4">
        <f t="shared" si="508"/>
        <v>1008.5861947218882</v>
      </c>
      <c r="AI304" s="6">
        <f t="shared" si="509"/>
        <v>5.5171723894437766E-6</v>
      </c>
      <c r="AJ304" s="8">
        <f t="shared" si="510"/>
        <v>27.487741239301712</v>
      </c>
      <c r="AK304" s="7">
        <f t="shared" si="511"/>
        <v>1.3807791730368797E-2</v>
      </c>
      <c r="AL304" s="9">
        <f t="shared" si="512"/>
        <v>0.43170447387474581</v>
      </c>
      <c r="AM304" s="4">
        <f t="shared" si="513"/>
        <v>1004.6869291794493</v>
      </c>
      <c r="AN304" s="6">
        <f t="shared" si="514"/>
        <v>5.5093738583588988E-6</v>
      </c>
      <c r="AO304" s="8">
        <f t="shared" si="515"/>
        <v>27.442899685563667</v>
      </c>
      <c r="AP304" s="7">
        <f t="shared" si="516"/>
        <v>1.378827439695561E-2</v>
      </c>
      <c r="AQ304" s="9">
        <f t="shared" si="517"/>
        <v>0.43240987671431497</v>
      </c>
      <c r="AR304" s="4">
        <f t="shared" si="518"/>
        <v>1000.1877963728933</v>
      </c>
      <c r="AS304" s="6">
        <f t="shared" si="519"/>
        <v>5.5003755927457874E-6</v>
      </c>
      <c r="AT304" s="8">
        <f t="shared" si="520"/>
        <v>27.391159658288274</v>
      </c>
      <c r="AU304" s="7">
        <f t="shared" si="521"/>
        <v>1.3765754495681888E-2</v>
      </c>
      <c r="AV304" s="9">
        <f t="shared" si="522"/>
        <v>0.43322666939832161</v>
      </c>
      <c r="AW304" s="4">
        <f t="shared" si="523"/>
        <v>995.08879671344596</v>
      </c>
      <c r="AX304" s="6">
        <f t="shared" si="524"/>
        <v>5.4901775934268926E-6</v>
      </c>
      <c r="AY304" s="8">
        <f t="shared" si="525"/>
        <v>27.332521162204628</v>
      </c>
      <c r="AZ304" s="7">
        <f t="shared" si="526"/>
        <v>1.374023202860597E-2</v>
      </c>
      <c r="BA304" s="9">
        <f t="shared" si="527"/>
        <v>0.43415610288182965</v>
      </c>
      <c r="BB304" s="4">
        <f t="shared" si="528"/>
        <v>989.38993027073241</v>
      </c>
      <c r="BC304" s="6">
        <f t="shared" si="529"/>
        <v>5.4787798605414651E-6</v>
      </c>
      <c r="BD304" s="8">
        <f t="shared" si="530"/>
        <v>27.26698419811342</v>
      </c>
      <c r="BE304" s="7">
        <f t="shared" si="531"/>
        <v>1.3711706996076357E-2</v>
      </c>
      <c r="BF304" s="9">
        <f t="shared" si="532"/>
        <v>0.435199609296687</v>
      </c>
      <c r="BG304" s="4">
        <f t="shared" si="533"/>
        <v>983.09119703918111</v>
      </c>
      <c r="BH304" s="6">
        <f t="shared" si="534"/>
        <v>5.466182394078363E-6</v>
      </c>
      <c r="BI304" s="8">
        <f t="shared" si="535"/>
        <v>27.194548765950582</v>
      </c>
      <c r="BJ304" s="7">
        <f t="shared" si="536"/>
        <v>1.3680179398065168E-2</v>
      </c>
      <c r="BK304" s="9">
        <f t="shared" si="537"/>
        <v>0.43635880748922967</v>
      </c>
      <c r="BL304" s="4">
        <f t="shared" si="538"/>
        <v>976.19259623050095</v>
      </c>
      <c r="BM304" s="6">
        <f t="shared" si="539"/>
        <v>5.4523851924610029E-6</v>
      </c>
      <c r="BN304" s="8">
        <f t="shared" si="540"/>
        <v>27.115214856650759</v>
      </c>
      <c r="BO304" s="7">
        <f t="shared" si="541"/>
        <v>1.3645649230626696E-2</v>
      </c>
      <c r="BP304" s="9">
        <f t="shared" si="542"/>
        <v>0.43763550952675895</v>
      </c>
      <c r="BQ304" s="4">
        <f t="shared" si="543"/>
        <v>968.6941109190094</v>
      </c>
      <c r="BR304" s="6">
        <f t="shared" si="544"/>
        <v>5.4373882218380198E-6</v>
      </c>
      <c r="BS304" s="8">
        <f t="shared" si="545"/>
        <v>27.028982275568609</v>
      </c>
      <c r="BT304" s="7">
        <f t="shared" si="546"/>
        <v>1.3608116409041346E-2</v>
      </c>
      <c r="BU304" s="9">
        <f t="shared" si="547"/>
        <v>0.43903173078196339</v>
      </c>
      <c r="BV304" s="4">
        <f t="shared" si="548"/>
        <v>960.5954339986539</v>
      </c>
      <c r="BW304" s="6">
        <f t="shared" si="549"/>
        <v>5.4211908679973083E-6</v>
      </c>
      <c r="BX304" s="8">
        <f t="shared" si="550"/>
        <v>26.935847490984521</v>
      </c>
      <c r="BY304" s="7">
        <f t="shared" si="551"/>
        <v>1.3567579396124449E-2</v>
      </c>
      <c r="BZ304" s="9">
        <f t="shared" si="552"/>
        <v>0.44054974968542071</v>
      </c>
      <c r="CA304" s="4">
        <f t="shared" si="553"/>
        <v>951.89183882754139</v>
      </c>
      <c r="CB304" s="6">
        <f t="shared" si="554"/>
        <v>5.4037836776550832E-6</v>
      </c>
      <c r="CC304" s="8">
        <f t="shared" si="555"/>
        <v>26.835756146516726</v>
      </c>
      <c r="CD304" s="7">
        <f t="shared" si="556"/>
        <v>1.3524014533203685E-2</v>
      </c>
      <c r="CE304" s="9">
        <f t="shared" si="557"/>
        <v>0.44219290132647066</v>
      </c>
      <c r="CF304" s="4">
        <f t="shared" si="558"/>
        <v>942.52288217683019</v>
      </c>
      <c r="CG304" s="6">
        <f t="shared" si="559"/>
        <v>5.3850457643536613E-6</v>
      </c>
      <c r="CH304" s="8">
        <f t="shared" si="560"/>
        <v>26.728013145033547</v>
      </c>
      <c r="CI304" s="7">
        <f t="shared" si="561"/>
        <v>1.3477119278521636E-2</v>
      </c>
      <c r="CJ304" s="9">
        <f t="shared" si="562"/>
        <v>0.44397542029505033</v>
      </c>
      <c r="CK304" s="4">
        <f t="shared" si="563"/>
        <v>931.8654787742114</v>
      </c>
      <c r="CL304" s="6">
        <f t="shared" si="564"/>
        <v>5.3637309575484237E-6</v>
      </c>
      <c r="CM304" s="8">
        <f t="shared" si="565"/>
        <v>26.605453005903428</v>
      </c>
      <c r="CN304" s="7">
        <f t="shared" si="566"/>
        <v>1.3423774849099259E-2</v>
      </c>
      <c r="CO304" s="9">
        <f t="shared" si="567"/>
        <v>0.4460206284435318</v>
      </c>
      <c r="CP304" s="4">
        <f t="shared" si="568"/>
        <v>914.97506056459179</v>
      </c>
      <c r="CQ304" s="6">
        <f t="shared" si="569"/>
        <v>5.3299501211291848E-6</v>
      </c>
      <c r="CR304" s="8">
        <f t="shared" si="570"/>
        <v>26.411213196492803</v>
      </c>
      <c r="CS304" s="7">
        <f t="shared" si="571"/>
        <v>1.3339231767819624E-2</v>
      </c>
      <c r="CT304" s="9">
        <f t="shared" si="572"/>
        <v>0.449300862532649</v>
      </c>
      <c r="CU304" s="4">
        <f t="shared" si="573"/>
        <v>863.93312396158808</v>
      </c>
      <c r="CV304" s="6">
        <f t="shared" si="574"/>
        <v>5.2278662479231766E-6</v>
      </c>
      <c r="CW304" s="8">
        <f t="shared" si="575"/>
        <v>25.824230925558261</v>
      </c>
      <c r="CX304" s="7">
        <f t="shared" si="576"/>
        <v>1.3083747117212205E-2</v>
      </c>
      <c r="CY304" s="9">
        <f t="shared" si="577"/>
        <v>0.45951342767669934</v>
      </c>
      <c r="CZ304" s="5">
        <f t="shared" si="578"/>
        <v>683.72503791283111</v>
      </c>
      <c r="DA304" s="6">
        <f t="shared" si="579"/>
        <v>4.867450075825663E-6</v>
      </c>
      <c r="DB304" s="8">
        <f t="shared" si="580"/>
        <v>27.138012387131567</v>
      </c>
      <c r="DC304" s="7">
        <f t="shared" si="581"/>
        <v>1.2181735889486013E-2</v>
      </c>
      <c r="DD304" s="9">
        <f t="shared" si="582"/>
        <v>0.43726786989546995</v>
      </c>
    </row>
    <row r="305" spans="2:108" x14ac:dyDescent="0.25">
      <c r="B305">
        <v>38</v>
      </c>
      <c r="C305">
        <f t="shared" si="490"/>
        <v>3.7149357321119555E-2</v>
      </c>
      <c r="D305" s="4">
        <f t="shared" si="491"/>
        <v>1019.3915088933135</v>
      </c>
      <c r="E305" s="6">
        <f t="shared" si="429"/>
        <v>5.5387830177866276E-6</v>
      </c>
      <c r="F305" s="8">
        <f t="shared" si="492"/>
        <v>27.612002352273102</v>
      </c>
      <c r="G305" s="7">
        <f t="shared" si="426"/>
        <v>1.386187651044408E-2</v>
      </c>
      <c r="H305" s="9">
        <f t="shared" si="493"/>
        <v>0.42976169269886383</v>
      </c>
      <c r="I305" s="4">
        <f t="shared" si="494"/>
        <v>1019.0706486955146</v>
      </c>
      <c r="J305" s="6">
        <f t="shared" si="431"/>
        <v>5.53814129739103E-6</v>
      </c>
      <c r="K305" s="8">
        <f t="shared" si="495"/>
        <v>27.608312459998416</v>
      </c>
      <c r="L305" s="7">
        <f t="shared" si="433"/>
        <v>1.3860270480951781E-2</v>
      </c>
      <c r="M305" s="9">
        <f t="shared" si="496"/>
        <v>0.42981913099220914</v>
      </c>
      <c r="N305" s="4">
        <f t="shared" si="497"/>
        <v>1018.168243317028</v>
      </c>
      <c r="O305" s="6">
        <f t="shared" si="434"/>
        <v>5.5363364866340569E-6</v>
      </c>
      <c r="P305" s="8">
        <f t="shared" si="435"/>
        <v>27.597934798145822</v>
      </c>
      <c r="Q305" s="7">
        <f t="shared" si="427"/>
        <v>1.386187651044408E-2</v>
      </c>
      <c r="R305" s="9">
        <f t="shared" si="498"/>
        <v>0.42998075604248326</v>
      </c>
      <c r="S305" s="4">
        <f t="shared" si="499"/>
        <v>1016.6680144599586</v>
      </c>
      <c r="T305" s="6">
        <f t="shared" si="436"/>
        <v>5.5333360289199174E-6</v>
      </c>
      <c r="U305" s="8">
        <f t="shared" si="437"/>
        <v>27.580682166289524</v>
      </c>
      <c r="V305" s="7">
        <f t="shared" si="438"/>
        <v>1.3848244366563081E-2</v>
      </c>
      <c r="W305" s="9">
        <f t="shared" si="500"/>
        <v>0.43024972327268329</v>
      </c>
      <c r="X305" s="4">
        <f t="shared" si="501"/>
        <v>1014.5684794467984</v>
      </c>
      <c r="Y305" s="6">
        <f t="shared" si="439"/>
        <v>5.5291369588935975E-6</v>
      </c>
      <c r="Z305" s="8">
        <f t="shared" si="440"/>
        <v>27.556537513638183</v>
      </c>
      <c r="AA305" s="7">
        <f t="shared" si="441"/>
        <v>1.3837735381109665E-2</v>
      </c>
      <c r="AB305" s="9">
        <f t="shared" si="502"/>
        <v>0.43062670206098763</v>
      </c>
      <c r="AC305" s="4">
        <f t="shared" si="503"/>
        <v>1011.8689876157507</v>
      </c>
      <c r="AD305" s="6">
        <f t="shared" si="504"/>
        <v>5.5237379752315021E-6</v>
      </c>
      <c r="AE305" s="8">
        <f t="shared" si="505"/>
        <v>27.525493357581134</v>
      </c>
      <c r="AF305" s="7">
        <f t="shared" si="506"/>
        <v>1.382422337954442E-2</v>
      </c>
      <c r="AG305" s="9">
        <f t="shared" si="507"/>
        <v>0.43111237700847888</v>
      </c>
      <c r="AH305" s="4">
        <f t="shared" si="508"/>
        <v>1008.5696089882121</v>
      </c>
      <c r="AI305" s="6">
        <f t="shared" si="509"/>
        <v>5.5171392179764244E-6</v>
      </c>
      <c r="AJ305" s="8">
        <f t="shared" si="510"/>
        <v>27.487550503364439</v>
      </c>
      <c r="AK305" s="7">
        <f t="shared" si="511"/>
        <v>1.3807708712351548E-2</v>
      </c>
      <c r="AL305" s="9">
        <f t="shared" si="512"/>
        <v>0.43170746946933103</v>
      </c>
      <c r="AM305" s="4">
        <f t="shared" si="513"/>
        <v>1004.6703633414251</v>
      </c>
      <c r="AN305" s="6">
        <f t="shared" si="514"/>
        <v>5.5093407266828505E-6</v>
      </c>
      <c r="AO305" s="8">
        <f t="shared" si="515"/>
        <v>27.442709178426387</v>
      </c>
      <c r="AP305" s="7">
        <f t="shared" si="516"/>
        <v>1.3788191478523802E-2</v>
      </c>
      <c r="AQ305" s="9">
        <f t="shared" si="517"/>
        <v>0.43241287850131815</v>
      </c>
      <c r="AR305" s="4">
        <f t="shared" si="518"/>
        <v>1000.1712539883467</v>
      </c>
      <c r="AS305" s="6">
        <f t="shared" si="519"/>
        <v>5.500342507976694E-6</v>
      </c>
      <c r="AT305" s="8">
        <f t="shared" si="520"/>
        <v>27.390969420865986</v>
      </c>
      <c r="AU305" s="7">
        <f t="shared" si="521"/>
        <v>1.3765671694643811E-2</v>
      </c>
      <c r="AV305" s="9">
        <f t="shared" si="522"/>
        <v>0.43322967827046438</v>
      </c>
      <c r="AW305" s="4">
        <f t="shared" si="523"/>
        <v>995.07228137314894</v>
      </c>
      <c r="AX305" s="6">
        <f t="shared" si="524"/>
        <v>5.4901445627462985E-6</v>
      </c>
      <c r="AY305" s="8">
        <f t="shared" si="525"/>
        <v>27.332331235791212</v>
      </c>
      <c r="AZ305" s="7">
        <f t="shared" si="526"/>
        <v>1.3740149362934832E-2</v>
      </c>
      <c r="BA305" s="9">
        <f t="shared" si="527"/>
        <v>0.434159119737976</v>
      </c>
      <c r="BB305" s="4">
        <f t="shared" si="528"/>
        <v>989.37344557087988</v>
      </c>
      <c r="BC305" s="6">
        <f t="shared" si="529"/>
        <v>5.47874689114176E-6</v>
      </c>
      <c r="BD305" s="8">
        <f t="shared" si="530"/>
        <v>27.266794624065117</v>
      </c>
      <c r="BE305" s="7">
        <f t="shared" si="531"/>
        <v>1.3711624483772507E-2</v>
      </c>
      <c r="BF305" s="9">
        <f t="shared" si="532"/>
        <v>0.43520263504844447</v>
      </c>
      <c r="BG305" s="4">
        <f t="shared" si="533"/>
        <v>983.07474656710781</v>
      </c>
      <c r="BH305" s="6">
        <f t="shared" si="534"/>
        <v>5.4661494931342165E-6</v>
      </c>
      <c r="BI305" s="8">
        <f t="shared" si="535"/>
        <v>27.194359585521738</v>
      </c>
      <c r="BJ305" s="7">
        <f t="shared" si="536"/>
        <v>1.36800970570846E-2</v>
      </c>
      <c r="BK305" s="9">
        <f t="shared" si="537"/>
        <v>0.43636184306526782</v>
      </c>
      <c r="BL305" s="4">
        <f t="shared" si="538"/>
        <v>976.17618335496854</v>
      </c>
      <c r="BM305" s="6">
        <f t="shared" si="539"/>
        <v>5.452352366709938E-6</v>
      </c>
      <c r="BN305" s="8">
        <f t="shared" si="540"/>
        <v>27.115026108582136</v>
      </c>
      <c r="BO305" s="7">
        <f t="shared" si="541"/>
        <v>1.3645567077831367E-2</v>
      </c>
      <c r="BP305" s="9">
        <f t="shared" si="542"/>
        <v>0.43763855591354289</v>
      </c>
      <c r="BQ305" s="4">
        <f t="shared" si="543"/>
        <v>968.6777351132489</v>
      </c>
      <c r="BR305" s="6">
        <f t="shared" si="544"/>
        <v>5.4373554702264986E-6</v>
      </c>
      <c r="BS305" s="8">
        <f t="shared" si="545"/>
        <v>27.028793953802364</v>
      </c>
      <c r="BT305" s="7">
        <f t="shared" si="546"/>
        <v>1.3608034441794576E-2</v>
      </c>
      <c r="BU305" s="9">
        <f t="shared" si="547"/>
        <v>0.43903478971352805</v>
      </c>
      <c r="BV305" s="4">
        <f t="shared" si="548"/>
        <v>960.57903632535886</v>
      </c>
      <c r="BW305" s="6">
        <f t="shared" si="549"/>
        <v>5.4211580726507181E-6</v>
      </c>
      <c r="BX305" s="8">
        <f t="shared" si="550"/>
        <v>26.935658917741627</v>
      </c>
      <c r="BY305" s="7">
        <f t="shared" si="551"/>
        <v>1.3567497319422204E-2</v>
      </c>
      <c r="BZ305" s="9">
        <f t="shared" si="552"/>
        <v>0.44055283392015981</v>
      </c>
      <c r="CA305" s="4">
        <f t="shared" si="553"/>
        <v>951.87463822750385</v>
      </c>
      <c r="CB305" s="6">
        <f t="shared" si="554"/>
        <v>5.4037492764550084E-6</v>
      </c>
      <c r="CC305" s="8">
        <f t="shared" si="555"/>
        <v>26.835558339616291</v>
      </c>
      <c r="CD305" s="7">
        <f t="shared" si="556"/>
        <v>1.352392843754229E-2</v>
      </c>
      <c r="CE305" s="9">
        <f t="shared" si="557"/>
        <v>0.44219616076330065</v>
      </c>
      <c r="CF305" s="4">
        <f t="shared" si="558"/>
        <v>942.49699371952977</v>
      </c>
      <c r="CG305" s="6">
        <f t="shared" si="559"/>
        <v>5.38499398743906E-6</v>
      </c>
      <c r="CH305" s="8">
        <f t="shared" si="560"/>
        <v>26.727715427774591</v>
      </c>
      <c r="CI305" s="7">
        <f t="shared" si="561"/>
        <v>1.347698969677164E-2</v>
      </c>
      <c r="CJ305" s="9">
        <f t="shared" si="562"/>
        <v>0.4439803656913574</v>
      </c>
      <c r="CK305" s="4">
        <f t="shared" si="563"/>
        <v>931.77055703587655</v>
      </c>
      <c r="CL305" s="6">
        <f t="shared" si="564"/>
        <v>5.3635411140717533E-6</v>
      </c>
      <c r="CM305" s="8">
        <f t="shared" si="565"/>
        <v>26.604361405912577</v>
      </c>
      <c r="CN305" s="7">
        <f t="shared" si="566"/>
        <v>1.3423299729055475E-2</v>
      </c>
      <c r="CO305" s="9">
        <f t="shared" si="567"/>
        <v>0.44603892905622078</v>
      </c>
      <c r="CP305" s="4">
        <f t="shared" si="568"/>
        <v>914.49130459810749</v>
      </c>
      <c r="CQ305" s="6">
        <f t="shared" si="569"/>
        <v>5.3289826091962161E-6</v>
      </c>
      <c r="CR305" s="8">
        <f t="shared" si="570"/>
        <v>26.405650002878236</v>
      </c>
      <c r="CS305" s="7">
        <f t="shared" si="571"/>
        <v>1.3336810381949456E-2</v>
      </c>
      <c r="CT305" s="9">
        <f t="shared" si="572"/>
        <v>0.44939552211077677</v>
      </c>
      <c r="CU305" s="4">
        <f t="shared" si="573"/>
        <v>862.12929800016536</v>
      </c>
      <c r="CV305" s="6">
        <f t="shared" si="574"/>
        <v>5.2242585960003306E-6</v>
      </c>
      <c r="CW305" s="8">
        <f t="shared" si="575"/>
        <v>25.803486927001899</v>
      </c>
      <c r="CX305" s="7">
        <f t="shared" si="576"/>
        <v>1.3074718270029246E-2</v>
      </c>
      <c r="CY305" s="9">
        <f t="shared" si="577"/>
        <v>0.45988284076832225</v>
      </c>
      <c r="CZ305" s="5">
        <f t="shared" si="578"/>
        <v>680.50182241312177</v>
      </c>
      <c r="DA305" s="6">
        <f t="shared" si="579"/>
        <v>4.861003644826244E-6</v>
      </c>
      <c r="DB305" s="8">
        <f t="shared" si="580"/>
        <v>27.785234059472941</v>
      </c>
      <c r="DC305" s="7">
        <f t="shared" si="581"/>
        <v>1.2165602448230039E-2</v>
      </c>
      <c r="DD305" s="9">
        <f t="shared" si="582"/>
        <v>0.42708227126386844</v>
      </c>
    </row>
    <row r="306" spans="2:108" x14ac:dyDescent="0.25">
      <c r="B306">
        <v>39</v>
      </c>
      <c r="C306">
        <f t="shared" si="490"/>
        <v>3.8126971987464807E-2</v>
      </c>
      <c r="D306" s="4">
        <f t="shared" si="491"/>
        <v>1019.375127392492</v>
      </c>
      <c r="E306" s="6">
        <f t="shared" si="429"/>
        <v>5.538750254784984E-6</v>
      </c>
      <c r="F306" s="8">
        <f t="shared" si="492"/>
        <v>27.61181396501366</v>
      </c>
      <c r="G306" s="7">
        <f t="shared" si="426"/>
        <v>1.3861794514691324E-2</v>
      </c>
      <c r="H306" s="9">
        <f t="shared" si="493"/>
        <v>0.42976462483608607</v>
      </c>
      <c r="I306" s="4">
        <f t="shared" si="494"/>
        <v>1019.0541091076913</v>
      </c>
      <c r="J306" s="6">
        <f t="shared" si="431"/>
        <v>5.538108218215383E-6</v>
      </c>
      <c r="K306" s="8">
        <f t="shared" si="495"/>
        <v>27.608122254738447</v>
      </c>
      <c r="L306" s="7">
        <f t="shared" si="433"/>
        <v>1.3860187693912387E-2</v>
      </c>
      <c r="M306" s="9">
        <f t="shared" si="496"/>
        <v>0.42982209221712675</v>
      </c>
      <c r="N306" s="4">
        <f t="shared" si="497"/>
        <v>1018.1516321310409</v>
      </c>
      <c r="O306" s="6">
        <f t="shared" si="434"/>
        <v>5.5363032642620828E-6</v>
      </c>
      <c r="P306" s="8">
        <f t="shared" si="435"/>
        <v>27.59774376950697</v>
      </c>
      <c r="Q306" s="7">
        <f t="shared" si="427"/>
        <v>1.3861794514691324E-2</v>
      </c>
      <c r="R306" s="9">
        <f t="shared" si="498"/>
        <v>0.42998373232341569</v>
      </c>
      <c r="S306" s="4">
        <f t="shared" si="499"/>
        <v>1016.6513904699931</v>
      </c>
      <c r="T306" s="6">
        <f t="shared" si="436"/>
        <v>5.5333027809399867E-6</v>
      </c>
      <c r="U306" s="8">
        <f t="shared" si="437"/>
        <v>27.580490990404918</v>
      </c>
      <c r="V306" s="7">
        <f t="shared" si="438"/>
        <v>1.3848161157058296E-2</v>
      </c>
      <c r="W306" s="9">
        <f t="shared" si="500"/>
        <v>0.43025270557533613</v>
      </c>
      <c r="X306" s="4">
        <f t="shared" si="501"/>
        <v>1014.5518639359551</v>
      </c>
      <c r="Y306" s="6">
        <f t="shared" si="439"/>
        <v>5.5291037278719101E-6</v>
      </c>
      <c r="Z306" s="8">
        <f t="shared" si="440"/>
        <v>27.556346435263485</v>
      </c>
      <c r="AA306" s="7">
        <f t="shared" si="441"/>
        <v>1.3837652214046165E-2</v>
      </c>
      <c r="AB306" s="9">
        <f t="shared" si="502"/>
        <v>0.43062968806824098</v>
      </c>
      <c r="AC306" s="4">
        <f t="shared" si="503"/>
        <v>1011.8523855625848</v>
      </c>
      <c r="AD306" s="6">
        <f t="shared" si="504"/>
        <v>5.5237047711251701E-6</v>
      </c>
      <c r="AE306" s="8">
        <f t="shared" si="505"/>
        <v>27.525302433969724</v>
      </c>
      <c r="AF306" s="7">
        <f t="shared" si="506"/>
        <v>1.382414027984181E-2</v>
      </c>
      <c r="AG306" s="9">
        <f t="shared" si="507"/>
        <v>0.43111536733100625</v>
      </c>
      <c r="AH306" s="4">
        <f t="shared" si="508"/>
        <v>1008.5530234430729</v>
      </c>
      <c r="AI306" s="6">
        <f t="shared" si="509"/>
        <v>5.5171060468861466E-6</v>
      </c>
      <c r="AJ306" s="8">
        <f t="shared" si="510"/>
        <v>27.487359769595336</v>
      </c>
      <c r="AK306" s="7">
        <f t="shared" si="511"/>
        <v>1.3807625695278002E-2</v>
      </c>
      <c r="AL306" s="9">
        <f t="shared" si="512"/>
        <v>0.43171046507143657</v>
      </c>
      <c r="AM306" s="4">
        <f t="shared" si="513"/>
        <v>1004.6537976948794</v>
      </c>
      <c r="AN306" s="6">
        <f t="shared" si="514"/>
        <v>5.5093075953897593E-6</v>
      </c>
      <c r="AO306" s="8">
        <f t="shared" si="515"/>
        <v>27.442518673491112</v>
      </c>
      <c r="AP306" s="7">
        <f t="shared" si="516"/>
        <v>1.3788108561050417E-2</v>
      </c>
      <c r="AQ306" s="9">
        <f t="shared" si="517"/>
        <v>0.43241588029530115</v>
      </c>
      <c r="AR306" s="4">
        <f t="shared" si="518"/>
        <v>1000.1547117963071</v>
      </c>
      <c r="AS306" s="6">
        <f t="shared" si="519"/>
        <v>5.5003094235926144E-6</v>
      </c>
      <c r="AT306" s="8">
        <f t="shared" si="520"/>
        <v>27.390779185657529</v>
      </c>
      <c r="AU306" s="7">
        <f t="shared" si="521"/>
        <v>1.3765588894569308E-2</v>
      </c>
      <c r="AV306" s="9">
        <f t="shared" si="522"/>
        <v>0.43323268714938662</v>
      </c>
      <c r="AW306" s="4">
        <f t="shared" si="523"/>
        <v>995.05576622580952</v>
      </c>
      <c r="AX306" s="6">
        <f t="shared" si="524"/>
        <v>5.4901115324516194E-6</v>
      </c>
      <c r="AY306" s="8">
        <f t="shared" si="525"/>
        <v>27.332141311596807</v>
      </c>
      <c r="AZ306" s="7">
        <f t="shared" si="526"/>
        <v>1.3740066698229522E-2</v>
      </c>
      <c r="BA306" s="9">
        <f t="shared" si="527"/>
        <v>0.43416213660080133</v>
      </c>
      <c r="BB306" s="4">
        <f t="shared" si="528"/>
        <v>989.35696106405896</v>
      </c>
      <c r="BC306" s="6">
        <f t="shared" si="529"/>
        <v>5.4787139221281189E-6</v>
      </c>
      <c r="BD306" s="8">
        <f t="shared" si="530"/>
        <v>27.266605052236677</v>
      </c>
      <c r="BE306" s="7">
        <f t="shared" si="531"/>
        <v>1.3711541972434854E-2</v>
      </c>
      <c r="BF306" s="9">
        <f t="shared" si="532"/>
        <v>0.43520566080684414</v>
      </c>
      <c r="BG306" s="4">
        <f t="shared" si="533"/>
        <v>983.0582962849827</v>
      </c>
      <c r="BH306" s="6">
        <f t="shared" si="534"/>
        <v>5.466116592569966E-6</v>
      </c>
      <c r="BI306" s="8">
        <f t="shared" si="535"/>
        <v>27.194170407277298</v>
      </c>
      <c r="BJ306" s="7">
        <f t="shared" si="536"/>
        <v>1.3680014717054797E-2</v>
      </c>
      <c r="BK306" s="9">
        <f t="shared" si="537"/>
        <v>0.43636487864848938</v>
      </c>
      <c r="BL306" s="4">
        <f t="shared" si="538"/>
        <v>976.15977061357819</v>
      </c>
      <c r="BM306" s="6">
        <f t="shared" si="539"/>
        <v>5.4523195412271564E-6</v>
      </c>
      <c r="BN306" s="8">
        <f t="shared" si="540"/>
        <v>27.11483736205615</v>
      </c>
      <c r="BO306" s="7">
        <f t="shared" si="541"/>
        <v>1.364548492570747E-2</v>
      </c>
      <c r="BP306" s="9">
        <f t="shared" si="542"/>
        <v>0.43764160231784038</v>
      </c>
      <c r="BQ306" s="4">
        <f t="shared" si="543"/>
        <v>968.66135860982808</v>
      </c>
      <c r="BR306" s="6">
        <f t="shared" si="544"/>
        <v>5.4373227172196566E-6</v>
      </c>
      <c r="BS306" s="8">
        <f t="shared" si="545"/>
        <v>27.028605624013021</v>
      </c>
      <c r="BT306" s="7">
        <f t="shared" si="546"/>
        <v>1.3607952471055746E-2</v>
      </c>
      <c r="BU306" s="9">
        <f t="shared" si="547"/>
        <v>0.43903784881804164</v>
      </c>
      <c r="BV306" s="4">
        <f t="shared" si="548"/>
        <v>960.56262772137325</v>
      </c>
      <c r="BW306" s="6">
        <f t="shared" si="549"/>
        <v>5.421125255442747E-6</v>
      </c>
      <c r="BX306" s="8">
        <f t="shared" si="550"/>
        <v>26.935470218795793</v>
      </c>
      <c r="BY306" s="7">
        <f t="shared" si="551"/>
        <v>1.3567415188007621E-2</v>
      </c>
      <c r="BZ306" s="9">
        <f t="shared" si="552"/>
        <v>0.44055592025407825</v>
      </c>
      <c r="CA306" s="4">
        <f t="shared" si="553"/>
        <v>951.85732646128463</v>
      </c>
      <c r="CB306" s="6">
        <f t="shared" si="554"/>
        <v>5.4037146529225703E-6</v>
      </c>
      <c r="CC306" s="8">
        <f t="shared" si="555"/>
        <v>26.835359254304773</v>
      </c>
      <c r="CD306" s="7">
        <f t="shared" si="556"/>
        <v>1.3523841785451123E-2</v>
      </c>
      <c r="CE306" s="9">
        <f t="shared" si="557"/>
        <v>0.4421994413141434</v>
      </c>
      <c r="CF306" s="4">
        <f t="shared" si="558"/>
        <v>942.47025647962948</v>
      </c>
      <c r="CG306" s="6">
        <f t="shared" si="559"/>
        <v>5.3849405129592592E-6</v>
      </c>
      <c r="CH306" s="8">
        <f t="shared" si="560"/>
        <v>26.727407949515737</v>
      </c>
      <c r="CI306" s="7">
        <f t="shared" si="561"/>
        <v>1.3476855866536174E-2</v>
      </c>
      <c r="CJ306" s="9">
        <f t="shared" si="562"/>
        <v>0.44398547334377425</v>
      </c>
      <c r="CK306" s="4">
        <f t="shared" si="563"/>
        <v>931.6711448402109</v>
      </c>
      <c r="CL306" s="6">
        <f t="shared" si="564"/>
        <v>5.3633422896804219E-6</v>
      </c>
      <c r="CM306" s="8">
        <f t="shared" si="565"/>
        <v>26.603218165662426</v>
      </c>
      <c r="CN306" s="7">
        <f t="shared" si="566"/>
        <v>1.3422802132534533E-2</v>
      </c>
      <c r="CO306" s="9">
        <f t="shared" si="567"/>
        <v>0.44605809702506033</v>
      </c>
      <c r="CP306" s="4">
        <f t="shared" si="568"/>
        <v>913.99442959629846</v>
      </c>
      <c r="CQ306" s="6">
        <f t="shared" si="569"/>
        <v>5.3279888591925975E-6</v>
      </c>
      <c r="CR306" s="8">
        <f t="shared" si="570"/>
        <v>26.39993594035743</v>
      </c>
      <c r="CS306" s="7">
        <f t="shared" si="571"/>
        <v>1.3334323330229218E-2</v>
      </c>
      <c r="CT306" s="9">
        <f t="shared" si="572"/>
        <v>0.44949279030550693</v>
      </c>
      <c r="CU306" s="4">
        <f t="shared" si="573"/>
        <v>860.32352277251186</v>
      </c>
      <c r="CV306" s="6">
        <f t="shared" si="574"/>
        <v>5.2206470455450241E-6</v>
      </c>
      <c r="CW306" s="8">
        <f t="shared" si="575"/>
        <v>25.782720511883888</v>
      </c>
      <c r="CX306" s="7">
        <f t="shared" si="576"/>
        <v>1.3065679666014263E-2</v>
      </c>
      <c r="CY306" s="9">
        <f t="shared" si="577"/>
        <v>0.46025324845949833</v>
      </c>
      <c r="CZ306" s="5">
        <f t="shared" si="578"/>
        <v>677.350372496673</v>
      </c>
      <c r="DA306" s="6">
        <f t="shared" si="579"/>
        <v>4.8547007449933465E-6</v>
      </c>
      <c r="DB306" s="8">
        <f t="shared" si="580"/>
        <v>28.418045202695595</v>
      </c>
      <c r="DC306" s="7">
        <f t="shared" si="581"/>
        <v>1.2149828221498148E-2</v>
      </c>
      <c r="DD306" s="9">
        <f t="shared" si="582"/>
        <v>0.41757203161153017</v>
      </c>
    </row>
    <row r="307" spans="2:108" x14ac:dyDescent="0.25">
      <c r="B307">
        <v>40</v>
      </c>
      <c r="C307">
        <f t="shared" si="490"/>
        <v>3.9104586653810058E-2</v>
      </c>
      <c r="D307" s="4">
        <f t="shared" si="491"/>
        <v>1019.3587378205468</v>
      </c>
      <c r="E307" s="6">
        <f t="shared" si="429"/>
        <v>5.5387174756410947E-6</v>
      </c>
      <c r="F307" s="8">
        <f t="shared" si="492"/>
        <v>27.611625484936287</v>
      </c>
      <c r="G307" s="7">
        <f t="shared" si="426"/>
        <v>1.3861712478539474E-2</v>
      </c>
      <c r="H307" s="9">
        <f t="shared" si="493"/>
        <v>0.42976755845800507</v>
      </c>
      <c r="I307" s="4">
        <f t="shared" si="494"/>
        <v>1019.0375692247202</v>
      </c>
      <c r="J307" s="6">
        <f t="shared" si="431"/>
        <v>5.5380751384494405E-6</v>
      </c>
      <c r="K307" s="8">
        <f t="shared" si="495"/>
        <v>27.607932046084279</v>
      </c>
      <c r="L307" s="7">
        <f t="shared" si="433"/>
        <v>1.3860104905395666E-2</v>
      </c>
      <c r="M307" s="9">
        <f t="shared" si="496"/>
        <v>0.42982505353569112</v>
      </c>
      <c r="N307" s="4">
        <f t="shared" si="497"/>
        <v>1018.1350215667122</v>
      </c>
      <c r="O307" s="6">
        <f t="shared" si="434"/>
        <v>5.5362700431334243E-6</v>
      </c>
      <c r="P307" s="8">
        <f t="shared" si="435"/>
        <v>27.59755274801719</v>
      </c>
      <c r="Q307" s="7">
        <f t="shared" si="427"/>
        <v>1.3861712478539474E-2</v>
      </c>
      <c r="R307" s="9">
        <f t="shared" si="498"/>
        <v>0.42998670853416454</v>
      </c>
      <c r="S307" s="4">
        <f t="shared" si="499"/>
        <v>1016.6347668634394</v>
      </c>
      <c r="T307" s="6">
        <f t="shared" si="436"/>
        <v>5.53326953372688E-6</v>
      </c>
      <c r="U307" s="8">
        <f t="shared" si="437"/>
        <v>27.580299818929554</v>
      </c>
      <c r="V307" s="7">
        <f t="shared" si="438"/>
        <v>1.3848077949472638E-2</v>
      </c>
      <c r="W307" s="9">
        <f t="shared" si="500"/>
        <v>0.43025568785054868</v>
      </c>
      <c r="X307" s="4">
        <f t="shared" si="501"/>
        <v>1014.5352486318634</v>
      </c>
      <c r="Y307" s="6">
        <f t="shared" si="439"/>
        <v>5.5290704972637273E-6</v>
      </c>
      <c r="Z307" s="8">
        <f t="shared" si="440"/>
        <v>27.556155359266427</v>
      </c>
      <c r="AA307" s="7">
        <f t="shared" si="441"/>
        <v>1.3837569048017541E-2</v>
      </c>
      <c r="AB307" s="9">
        <f t="shared" si="502"/>
        <v>0.43063267407974865</v>
      </c>
      <c r="AC307" s="4">
        <f t="shared" si="503"/>
        <v>1011.835783692874</v>
      </c>
      <c r="AD307" s="6">
        <f t="shared" si="504"/>
        <v>5.523671567385749E-6</v>
      </c>
      <c r="AE307" s="8">
        <f t="shared" si="505"/>
        <v>27.525111512468051</v>
      </c>
      <c r="AF307" s="7">
        <f t="shared" si="506"/>
        <v>1.3824057181057461E-2</v>
      </c>
      <c r="AG307" s="9">
        <f t="shared" si="507"/>
        <v>0.43111835766197326</v>
      </c>
      <c r="AH307" s="4">
        <f t="shared" si="508"/>
        <v>1008.5364380864437</v>
      </c>
      <c r="AI307" s="6">
        <f t="shared" si="509"/>
        <v>5.5170728761728874E-6</v>
      </c>
      <c r="AJ307" s="8">
        <f t="shared" si="510"/>
        <v>27.4871690379941</v>
      </c>
      <c r="AK307" s="7">
        <f t="shared" si="511"/>
        <v>1.3807542679148016E-2</v>
      </c>
      <c r="AL307" s="9">
        <f t="shared" si="512"/>
        <v>0.43171346068106664</v>
      </c>
      <c r="AM307" s="4">
        <f t="shared" si="513"/>
        <v>1004.6372322397875</v>
      </c>
      <c r="AN307" s="6">
        <f t="shared" si="514"/>
        <v>5.5092744644795761E-6</v>
      </c>
      <c r="AO307" s="8">
        <f t="shared" si="515"/>
        <v>27.442328170757555</v>
      </c>
      <c r="AP307" s="7">
        <f t="shared" si="516"/>
        <v>1.3788025644535334E-2</v>
      </c>
      <c r="AQ307" s="9">
        <f t="shared" si="517"/>
        <v>0.43241888209626778</v>
      </c>
      <c r="AR307" s="4">
        <f t="shared" si="518"/>
        <v>1000.1381697967654</v>
      </c>
      <c r="AS307" s="6">
        <f t="shared" si="519"/>
        <v>5.5002763395935307E-6</v>
      </c>
      <c r="AT307" s="8">
        <f t="shared" si="520"/>
        <v>27.390588952662803</v>
      </c>
      <c r="AU307" s="7">
        <f t="shared" si="521"/>
        <v>1.3765506095458331E-2</v>
      </c>
      <c r="AV307" s="9">
        <f t="shared" si="522"/>
        <v>0.43323569603508932</v>
      </c>
      <c r="AW307" s="4">
        <f t="shared" si="523"/>
        <v>995.03925127142065</v>
      </c>
      <c r="AX307" s="6">
        <f t="shared" si="524"/>
        <v>5.4900785025428417E-6</v>
      </c>
      <c r="AY307" s="8">
        <f t="shared" si="525"/>
        <v>27.331951389621338</v>
      </c>
      <c r="AZ307" s="7">
        <f t="shared" si="526"/>
        <v>1.3739984034490003E-2</v>
      </c>
      <c r="BA307" s="9">
        <f t="shared" si="527"/>
        <v>0.43416515347030626</v>
      </c>
      <c r="BB307" s="4">
        <f t="shared" si="528"/>
        <v>989.34047675022191</v>
      </c>
      <c r="BC307" s="6">
        <f t="shared" si="529"/>
        <v>5.4786809535004444E-6</v>
      </c>
      <c r="BD307" s="8">
        <f t="shared" si="530"/>
        <v>27.266415482627551</v>
      </c>
      <c r="BE307" s="7">
        <f t="shared" si="531"/>
        <v>1.3711459462063157E-2</v>
      </c>
      <c r="BF307" s="9">
        <f t="shared" si="532"/>
        <v>0.43520868657189427</v>
      </c>
      <c r="BG307" s="4">
        <f t="shared" si="533"/>
        <v>983.04184619204398</v>
      </c>
      <c r="BH307" s="6">
        <f t="shared" si="534"/>
        <v>5.4660836923840886E-6</v>
      </c>
      <c r="BI307" s="8">
        <f t="shared" si="535"/>
        <v>27.193981231208504</v>
      </c>
      <c r="BJ307" s="7">
        <f t="shared" si="536"/>
        <v>1.3679932377971942E-2</v>
      </c>
      <c r="BK307" s="9">
        <f t="shared" si="537"/>
        <v>0.4363679142390342</v>
      </c>
      <c r="BL307" s="4">
        <f t="shared" si="538"/>
        <v>976.143357995207</v>
      </c>
      <c r="BM307" s="6">
        <f t="shared" si="539"/>
        <v>5.4522867159904149E-6</v>
      </c>
      <c r="BN307" s="8">
        <f t="shared" si="540"/>
        <v>27.11464861694488</v>
      </c>
      <c r="BO307" s="7">
        <f t="shared" si="541"/>
        <v>1.3645402774199338E-2</v>
      </c>
      <c r="BP307" s="9">
        <f t="shared" si="542"/>
        <v>0.43764464874171605</v>
      </c>
      <c r="BQ307" s="4">
        <f t="shared" si="543"/>
        <v>968.64498127466527</v>
      </c>
      <c r="BR307" s="6">
        <f t="shared" si="544"/>
        <v>5.4372899625493316E-6</v>
      </c>
      <c r="BS307" s="8">
        <f t="shared" si="545"/>
        <v>27.028417284658651</v>
      </c>
      <c r="BT307" s="7">
        <f t="shared" si="546"/>
        <v>1.3607870496153727E-2</v>
      </c>
      <c r="BU307" s="9">
        <f t="shared" si="547"/>
        <v>0.43904090812055718</v>
      </c>
      <c r="BV307" s="4">
        <f t="shared" si="548"/>
        <v>960.54620690840602</v>
      </c>
      <c r="BW307" s="6">
        <f t="shared" si="549"/>
        <v>5.4210924138168125E-6</v>
      </c>
      <c r="BX307" s="8">
        <f t="shared" si="550"/>
        <v>26.935281379446668</v>
      </c>
      <c r="BY307" s="7">
        <f t="shared" si="551"/>
        <v>1.3567332995482359E-2</v>
      </c>
      <c r="BZ307" s="9">
        <f t="shared" si="552"/>
        <v>0.44055900892770528</v>
      </c>
      <c r="CA307" s="4">
        <f t="shared" si="553"/>
        <v>951.83989450383604</v>
      </c>
      <c r="CB307" s="6">
        <f t="shared" si="554"/>
        <v>5.4036797890076723E-6</v>
      </c>
      <c r="CC307" s="8">
        <f t="shared" si="555"/>
        <v>26.835158786794114</v>
      </c>
      <c r="CD307" s="7">
        <f t="shared" si="556"/>
        <v>1.3523754531756324E-2</v>
      </c>
      <c r="CE307" s="9">
        <f t="shared" si="557"/>
        <v>0.44220274469020759</v>
      </c>
      <c r="CF307" s="4">
        <f t="shared" si="558"/>
        <v>942.44262934469953</v>
      </c>
      <c r="CG307" s="6">
        <f t="shared" si="559"/>
        <v>5.3848852586893997E-6</v>
      </c>
      <c r="CH307" s="8">
        <f t="shared" si="560"/>
        <v>26.727090237464044</v>
      </c>
      <c r="CI307" s="7">
        <f t="shared" si="561"/>
        <v>1.3476717582031617E-2</v>
      </c>
      <c r="CJ307" s="9">
        <f t="shared" si="562"/>
        <v>0.44399075111753877</v>
      </c>
      <c r="CK307" s="4">
        <f t="shared" si="563"/>
        <v>931.56717024006196</v>
      </c>
      <c r="CL307" s="6">
        <f t="shared" si="564"/>
        <v>5.3631343404801245E-6</v>
      </c>
      <c r="CM307" s="8">
        <f t="shared" si="565"/>
        <v>26.602022457760711</v>
      </c>
      <c r="CN307" s="7">
        <f t="shared" si="566"/>
        <v>1.3422281699413088E-2</v>
      </c>
      <c r="CO307" s="9">
        <f t="shared" si="567"/>
        <v>0.44607814644769667</v>
      </c>
      <c r="CP307" s="4">
        <f t="shared" si="568"/>
        <v>913.48470408731589</v>
      </c>
      <c r="CQ307" s="6">
        <f t="shared" si="569"/>
        <v>5.3269694081746328E-6</v>
      </c>
      <c r="CR307" s="8">
        <f t="shared" si="570"/>
        <v>26.394074097004133</v>
      </c>
      <c r="CS307" s="7">
        <f t="shared" si="571"/>
        <v>1.3331771956746253E-2</v>
      </c>
      <c r="CT307" s="9">
        <f t="shared" si="572"/>
        <v>0.44959261787723853</v>
      </c>
      <c r="CU307" s="4">
        <f t="shared" si="573"/>
        <v>858.51667147025626</v>
      </c>
      <c r="CV307" s="6">
        <f t="shared" si="574"/>
        <v>5.2170333429405126E-6</v>
      </c>
      <c r="CW307" s="8">
        <f t="shared" si="575"/>
        <v>25.761941721907945</v>
      </c>
      <c r="CX307" s="7">
        <f t="shared" si="576"/>
        <v>1.3056635675829353E-2</v>
      </c>
      <c r="CY307" s="9">
        <f t="shared" si="577"/>
        <v>0.46062447457625305</v>
      </c>
      <c r="CZ307" s="5">
        <f t="shared" si="578"/>
        <v>674.26785204187286</v>
      </c>
      <c r="DA307" s="6">
        <f t="shared" si="579"/>
        <v>4.8485357040837463E-6</v>
      </c>
      <c r="DB307" s="8">
        <f t="shared" si="580"/>
        <v>29.037015310019228</v>
      </c>
      <c r="DC307" s="7">
        <f t="shared" si="581"/>
        <v>1.2134399013403827E-2</v>
      </c>
      <c r="DD307" s="9">
        <f t="shared" si="582"/>
        <v>0.40867082043461034</v>
      </c>
    </row>
    <row r="308" spans="2:108" x14ac:dyDescent="0.25">
      <c r="B308">
        <v>41</v>
      </c>
      <c r="C308">
        <f t="shared" si="490"/>
        <v>4.008220132015531E-2</v>
      </c>
      <c r="D308" s="4">
        <f t="shared" si="491"/>
        <v>1019.34234057448</v>
      </c>
      <c r="E308" s="6">
        <f t="shared" si="429"/>
        <v>5.5386846811489599E-6</v>
      </c>
      <c r="F308" s="8">
        <f t="shared" si="492"/>
        <v>27.611436916606518</v>
      </c>
      <c r="G308" s="7">
        <f t="shared" si="426"/>
        <v>1.3861630403975669E-2</v>
      </c>
      <c r="H308" s="9">
        <f t="shared" si="493"/>
        <v>0.42977049349361846</v>
      </c>
      <c r="I308" s="4">
        <f t="shared" si="494"/>
        <v>1019.0210290118206</v>
      </c>
      <c r="J308" s="6">
        <f t="shared" si="431"/>
        <v>5.5380420580236416E-6</v>
      </c>
      <c r="K308" s="8">
        <f t="shared" si="495"/>
        <v>27.607741833635934</v>
      </c>
      <c r="L308" s="7">
        <f t="shared" si="433"/>
        <v>1.3860022115227525E-2</v>
      </c>
      <c r="M308" s="9">
        <f t="shared" si="496"/>
        <v>0.42982801495413259</v>
      </c>
      <c r="N308" s="4">
        <f t="shared" si="497"/>
        <v>1018.11841161038</v>
      </c>
      <c r="O308" s="6">
        <f t="shared" si="434"/>
        <v>5.5362368232207612E-6</v>
      </c>
      <c r="P308" s="8">
        <f t="shared" si="435"/>
        <v>27.597361733519371</v>
      </c>
      <c r="Q308" s="7">
        <f t="shared" si="427"/>
        <v>1.3861630403975669E-2</v>
      </c>
      <c r="R308" s="9">
        <f t="shared" si="498"/>
        <v>0.42998968467717386</v>
      </c>
      <c r="S308" s="4">
        <f t="shared" si="499"/>
        <v>1016.6181436402353</v>
      </c>
      <c r="T308" s="6">
        <f t="shared" si="436"/>
        <v>5.5332362872804711E-6</v>
      </c>
      <c r="U308" s="8">
        <f t="shared" si="437"/>
        <v>27.580108651862705</v>
      </c>
      <c r="V308" s="7">
        <f t="shared" si="438"/>
        <v>1.3847994743805787E-2</v>
      </c>
      <c r="W308" s="9">
        <f t="shared" si="500"/>
        <v>0.43025867009833019</v>
      </c>
      <c r="X308" s="4">
        <f t="shared" si="501"/>
        <v>1014.5186335362973</v>
      </c>
      <c r="Y308" s="6">
        <f t="shared" si="439"/>
        <v>5.5290372670725955E-6</v>
      </c>
      <c r="Z308" s="8">
        <f t="shared" si="440"/>
        <v>27.555964285667418</v>
      </c>
      <c r="AA308" s="7">
        <f t="shared" si="441"/>
        <v>1.3837485883032668E-2</v>
      </c>
      <c r="AB308" s="9">
        <f t="shared" si="502"/>
        <v>0.43063566009519105</v>
      </c>
      <c r="AC308" s="4">
        <f t="shared" si="503"/>
        <v>1011.8191820069831</v>
      </c>
      <c r="AD308" s="6">
        <f t="shared" si="504"/>
        <v>5.5236383640139665E-6</v>
      </c>
      <c r="AE308" s="8">
        <f t="shared" si="505"/>
        <v>27.524920593080303</v>
      </c>
      <c r="AF308" s="7">
        <f t="shared" si="506"/>
        <v>1.3823974083193202E-2</v>
      </c>
      <c r="AG308" s="9">
        <f t="shared" si="507"/>
        <v>0.43112134800131369</v>
      </c>
      <c r="AH308" s="4">
        <f t="shared" si="508"/>
        <v>1008.5198529183023</v>
      </c>
      <c r="AI308" s="6">
        <f t="shared" si="509"/>
        <v>5.5170397058366053E-6</v>
      </c>
      <c r="AJ308" s="8">
        <f t="shared" si="510"/>
        <v>27.486978308560474</v>
      </c>
      <c r="AK308" s="7">
        <f t="shared" si="511"/>
        <v>1.3807459663961491E-2</v>
      </c>
      <c r="AL308" s="9">
        <f t="shared" si="512"/>
        <v>0.43171645629822469</v>
      </c>
      <c r="AM308" s="4">
        <f t="shared" si="513"/>
        <v>1004.620666976125</v>
      </c>
      <c r="AN308" s="6">
        <f t="shared" si="514"/>
        <v>5.5092413339522501E-6</v>
      </c>
      <c r="AO308" s="8">
        <f t="shared" si="515"/>
        <v>27.442137670225435</v>
      </c>
      <c r="AP308" s="7">
        <f t="shared" si="516"/>
        <v>1.3787942728978424E-2</v>
      </c>
      <c r="AQ308" s="9">
        <f t="shared" si="517"/>
        <v>0.43242188390422193</v>
      </c>
      <c r="AR308" s="4">
        <f t="shared" si="518"/>
        <v>1000.1216279897126</v>
      </c>
      <c r="AS308" s="6">
        <f t="shared" si="519"/>
        <v>5.5002432559794252E-6</v>
      </c>
      <c r="AT308" s="8">
        <f t="shared" si="520"/>
        <v>27.390398721881695</v>
      </c>
      <c r="AU308" s="7">
        <f t="shared" si="521"/>
        <v>1.3765423297310836E-2</v>
      </c>
      <c r="AV308" s="9">
        <f t="shared" si="522"/>
        <v>0.43323870492757383</v>
      </c>
      <c r="AW308" s="4">
        <f t="shared" si="523"/>
        <v>995.02273650997472</v>
      </c>
      <c r="AX308" s="6">
        <f t="shared" si="524"/>
        <v>5.4900454730199502E-6</v>
      </c>
      <c r="AY308" s="8">
        <f t="shared" si="525"/>
        <v>27.331761469864709</v>
      </c>
      <c r="AZ308" s="7">
        <f t="shared" si="526"/>
        <v>1.373990137171624E-2</v>
      </c>
      <c r="BA308" s="9">
        <f t="shared" si="527"/>
        <v>0.43416817034649169</v>
      </c>
      <c r="BB308" s="4">
        <f t="shared" si="528"/>
        <v>989.32399262931119</v>
      </c>
      <c r="BC308" s="6">
        <f t="shared" si="529"/>
        <v>5.4786479852586231E-6</v>
      </c>
      <c r="BD308" s="8">
        <f t="shared" si="530"/>
        <v>27.266225915237079</v>
      </c>
      <c r="BE308" s="7">
        <f t="shared" si="531"/>
        <v>1.3711376952657133E-2</v>
      </c>
      <c r="BF308" s="9">
        <f t="shared" si="532"/>
        <v>0.43521171234360467</v>
      </c>
      <c r="BG308" s="4">
        <f t="shared" si="533"/>
        <v>983.02539628739066</v>
      </c>
      <c r="BH308" s="6">
        <f t="shared" si="534"/>
        <v>5.4660507925747824E-6</v>
      </c>
      <c r="BI308" s="8">
        <f t="shared" si="535"/>
        <v>27.193792057304989</v>
      </c>
      <c r="BJ308" s="7">
        <f t="shared" si="536"/>
        <v>1.3679850039831534E-2</v>
      </c>
      <c r="BK308" s="9">
        <f t="shared" si="537"/>
        <v>0.4363709498370682</v>
      </c>
      <c r="BL308" s="4">
        <f t="shared" si="538"/>
        <v>976.12694548711568</v>
      </c>
      <c r="BM308" s="6">
        <f t="shared" si="539"/>
        <v>5.4522538909742316E-6</v>
      </c>
      <c r="BN308" s="8">
        <f t="shared" si="540"/>
        <v>27.114459873101829</v>
      </c>
      <c r="BO308" s="7">
        <f t="shared" si="541"/>
        <v>1.3645320623243192E-2</v>
      </c>
      <c r="BP308" s="9">
        <f t="shared" si="542"/>
        <v>0.43764769518753427</v>
      </c>
      <c r="BQ308" s="4">
        <f t="shared" si="543"/>
        <v>968.62860295908081</v>
      </c>
      <c r="BR308" s="6">
        <f t="shared" si="544"/>
        <v>5.4372572059181626E-6</v>
      </c>
      <c r="BS308" s="8">
        <f t="shared" si="545"/>
        <v>27.028228934029428</v>
      </c>
      <c r="BT308" s="7">
        <f t="shared" si="546"/>
        <v>1.3607788516344317E-2</v>
      </c>
      <c r="BU308" s="9">
        <f t="shared" si="547"/>
        <v>0.43904396764885634</v>
      </c>
      <c r="BV308" s="4">
        <f t="shared" si="548"/>
        <v>960.52977251402308</v>
      </c>
      <c r="BW308" s="6">
        <f t="shared" si="549"/>
        <v>5.4210595450280467E-6</v>
      </c>
      <c r="BX308" s="8">
        <f t="shared" si="550"/>
        <v>26.935092383911265</v>
      </c>
      <c r="BY308" s="7">
        <f t="shared" si="551"/>
        <v>1.3567250734976857E-2</v>
      </c>
      <c r="BZ308" s="9">
        <f t="shared" si="552"/>
        <v>0.44056210019929187</v>
      </c>
      <c r="CA308" s="4">
        <f t="shared" si="553"/>
        <v>951.82233298203528</v>
      </c>
      <c r="CB308" s="6">
        <f t="shared" si="554"/>
        <v>5.4036446659640708E-6</v>
      </c>
      <c r="CC308" s="8">
        <f t="shared" si="555"/>
        <v>26.834956829293404</v>
      </c>
      <c r="CD308" s="7">
        <f t="shared" si="556"/>
        <v>1.3523666629541794E-2</v>
      </c>
      <c r="CE308" s="9">
        <f t="shared" si="557"/>
        <v>0.44220607266877276</v>
      </c>
      <c r="CF308" s="4">
        <f t="shared" si="558"/>
        <v>942.4140711936725</v>
      </c>
      <c r="CG308" s="6">
        <f t="shared" si="559"/>
        <v>5.3848281423873451E-6</v>
      </c>
      <c r="CH308" s="8">
        <f t="shared" si="560"/>
        <v>26.726761818727233</v>
      </c>
      <c r="CI308" s="7">
        <f t="shared" si="561"/>
        <v>1.3476574637431103E-2</v>
      </c>
      <c r="CJ308" s="9">
        <f t="shared" si="562"/>
        <v>0.44399620688066588</v>
      </c>
      <c r="CK308" s="4">
        <f t="shared" si="563"/>
        <v>931.45856642339868</v>
      </c>
      <c r="CL308" s="6">
        <f t="shared" si="564"/>
        <v>5.3629171328467981E-6</v>
      </c>
      <c r="CM308" s="8">
        <f t="shared" si="565"/>
        <v>26.600773513869086</v>
      </c>
      <c r="CN308" s="7">
        <f t="shared" si="566"/>
        <v>1.3421738095271052E-2</v>
      </c>
      <c r="CO308" s="9">
        <f t="shared" si="567"/>
        <v>0.44609909044678386</v>
      </c>
      <c r="CP308" s="4">
        <f t="shared" si="568"/>
        <v>912.96240054523014</v>
      </c>
      <c r="CQ308" s="6">
        <f t="shared" si="569"/>
        <v>5.3259248010904603E-6</v>
      </c>
      <c r="CR308" s="8">
        <f t="shared" si="570"/>
        <v>26.388067606270148</v>
      </c>
      <c r="CS308" s="7">
        <f t="shared" si="571"/>
        <v>1.3329157625338752E-2</v>
      </c>
      <c r="CT308" s="9">
        <f t="shared" si="572"/>
        <v>0.44969495480973548</v>
      </c>
      <c r="CU308" s="4">
        <f t="shared" si="573"/>
        <v>856.70955803419531</v>
      </c>
      <c r="CV308" s="6">
        <f t="shared" si="574"/>
        <v>5.2134191160683905E-6</v>
      </c>
      <c r="CW308" s="8">
        <f t="shared" si="575"/>
        <v>25.741159917393247</v>
      </c>
      <c r="CX308" s="7">
        <f t="shared" si="576"/>
        <v>1.3047590373563277E-2</v>
      </c>
      <c r="CY308" s="9">
        <f t="shared" si="577"/>
        <v>0.46099635400266775</v>
      </c>
      <c r="CZ308" s="5">
        <f t="shared" si="578"/>
        <v>671.25156148746839</v>
      </c>
      <c r="DA308" s="6">
        <f t="shared" si="579"/>
        <v>4.8425031229749374E-6</v>
      </c>
      <c r="DB308" s="8">
        <f t="shared" si="580"/>
        <v>29.642686453343373</v>
      </c>
      <c r="DC308" s="7">
        <f t="shared" si="581"/>
        <v>1.2119301311598033E-2</v>
      </c>
      <c r="DD308" s="9">
        <f t="shared" si="582"/>
        <v>0.40032069591248121</v>
      </c>
    </row>
    <row r="309" spans="2:108" x14ac:dyDescent="0.25">
      <c r="B309">
        <v>42</v>
      </c>
      <c r="C309">
        <f t="shared" si="490"/>
        <v>4.1059815986500561E-2</v>
      </c>
      <c r="D309" s="4">
        <f t="shared" si="491"/>
        <v>1019.3259360292489</v>
      </c>
      <c r="E309" s="6">
        <f t="shared" si="429"/>
        <v>5.5386518720584986E-6</v>
      </c>
      <c r="F309" s="8">
        <f t="shared" si="492"/>
        <v>27.611248264336361</v>
      </c>
      <c r="G309" s="7">
        <f t="shared" si="426"/>
        <v>1.3861548292876726E-2</v>
      </c>
      <c r="H309" s="9">
        <f t="shared" si="493"/>
        <v>0.42977342987586631</v>
      </c>
      <c r="I309" s="4">
        <f t="shared" si="494"/>
        <v>1019.004488437642</v>
      </c>
      <c r="J309" s="6">
        <f t="shared" si="431"/>
        <v>5.5380089768752846E-6</v>
      </c>
      <c r="K309" s="8">
        <f t="shared" si="495"/>
        <v>27.607551617032883</v>
      </c>
      <c r="L309" s="7">
        <f t="shared" si="433"/>
        <v>1.3859939323251042E-2</v>
      </c>
      <c r="M309" s="9">
        <f t="shared" si="496"/>
        <v>0.42983097647806762</v>
      </c>
      <c r="N309" s="4">
        <f t="shared" si="497"/>
        <v>1018.1018022483985</v>
      </c>
      <c r="O309" s="6">
        <f t="shared" si="434"/>
        <v>5.5362036044967979E-6</v>
      </c>
      <c r="P309" s="8">
        <f t="shared" si="435"/>
        <v>27.597170725856582</v>
      </c>
      <c r="Q309" s="7">
        <f t="shared" si="427"/>
        <v>1.3861548292876726E-2</v>
      </c>
      <c r="R309" s="9">
        <f t="shared" si="498"/>
        <v>0.42999266075488518</v>
      </c>
      <c r="S309" s="4">
        <f t="shared" si="499"/>
        <v>1016.6015208001891</v>
      </c>
      <c r="T309" s="6">
        <f t="shared" si="436"/>
        <v>5.5332030416003788E-6</v>
      </c>
      <c r="U309" s="8">
        <f t="shared" si="437"/>
        <v>27.579917489202174</v>
      </c>
      <c r="V309" s="7">
        <f t="shared" si="438"/>
        <v>1.3847911540056792E-2</v>
      </c>
      <c r="W309" s="9">
        <f t="shared" si="500"/>
        <v>0.43026165231871305</v>
      </c>
      <c r="X309" s="4">
        <f t="shared" si="501"/>
        <v>1014.5020186509869</v>
      </c>
      <c r="Y309" s="6">
        <f t="shared" si="439"/>
        <v>5.5290040373019741E-6</v>
      </c>
      <c r="Z309" s="8">
        <f t="shared" si="440"/>
        <v>27.555773214486351</v>
      </c>
      <c r="AA309" s="7">
        <f t="shared" si="441"/>
        <v>1.3837402719100205E-2</v>
      </c>
      <c r="AB309" s="9">
        <f t="shared" si="502"/>
        <v>0.43063864611425662</v>
      </c>
      <c r="AC309" s="4">
        <f t="shared" si="503"/>
        <v>1011.8025805052885</v>
      </c>
      <c r="AD309" s="6">
        <f t="shared" si="504"/>
        <v>5.5236051610105772E-6</v>
      </c>
      <c r="AE309" s="8">
        <f t="shared" si="505"/>
        <v>27.524729675810818</v>
      </c>
      <c r="AF309" s="7">
        <f t="shared" si="506"/>
        <v>1.3823890986250916E-2</v>
      </c>
      <c r="AG309" s="9">
        <f t="shared" si="507"/>
        <v>0.43112433834895908</v>
      </c>
      <c r="AH309" s="4">
        <f t="shared" si="508"/>
        <v>1008.5032679386314</v>
      </c>
      <c r="AI309" s="6">
        <f t="shared" si="509"/>
        <v>5.5170065358772631E-6</v>
      </c>
      <c r="AJ309" s="8">
        <f t="shared" si="510"/>
        <v>27.486787581294259</v>
      </c>
      <c r="AK309" s="7">
        <f t="shared" si="511"/>
        <v>1.3807376649718327E-2</v>
      </c>
      <c r="AL309" s="9">
        <f t="shared" si="512"/>
        <v>0.43171945192291333</v>
      </c>
      <c r="AM309" s="4">
        <f t="shared" si="513"/>
        <v>1004.6041019038674</v>
      </c>
      <c r="AN309" s="6">
        <f t="shared" si="514"/>
        <v>5.5092082038077356E-6</v>
      </c>
      <c r="AO309" s="8">
        <f t="shared" si="515"/>
        <v>27.441947171894476</v>
      </c>
      <c r="AP309" s="7">
        <f t="shared" si="516"/>
        <v>1.3787859814379574E-2</v>
      </c>
      <c r="AQ309" s="9">
        <f t="shared" si="517"/>
        <v>0.43242488571916743</v>
      </c>
      <c r="AR309" s="4">
        <f t="shared" si="518"/>
        <v>1000.1050863751393</v>
      </c>
      <c r="AS309" s="6">
        <f t="shared" si="519"/>
        <v>5.5002101727502793E-6</v>
      </c>
      <c r="AT309" s="8">
        <f t="shared" si="520"/>
        <v>27.390208493314102</v>
      </c>
      <c r="AU309" s="7">
        <f t="shared" si="521"/>
        <v>1.3765340500126776E-2</v>
      </c>
      <c r="AV309" s="9">
        <f t="shared" si="522"/>
        <v>0.43324171382684101</v>
      </c>
      <c r="AW309" s="4">
        <f t="shared" si="523"/>
        <v>995.00622194146331</v>
      </c>
      <c r="AX309" s="6">
        <f t="shared" si="524"/>
        <v>5.4900124438829271E-6</v>
      </c>
      <c r="AY309" s="8">
        <f t="shared" si="525"/>
        <v>27.331571552326828</v>
      </c>
      <c r="AZ309" s="7">
        <f t="shared" si="526"/>
        <v>1.3739818709908189E-2</v>
      </c>
      <c r="BA309" s="9">
        <f t="shared" si="527"/>
        <v>0.43417118722935844</v>
      </c>
      <c r="BB309" s="4">
        <f t="shared" si="528"/>
        <v>989.3075087012578</v>
      </c>
      <c r="BC309" s="6">
        <f t="shared" si="529"/>
        <v>5.4786150174025161E-6</v>
      </c>
      <c r="BD309" s="8">
        <f t="shared" si="530"/>
        <v>27.266036350064464</v>
      </c>
      <c r="BE309" s="7">
        <f t="shared" si="531"/>
        <v>1.3711294444216433E-2</v>
      </c>
      <c r="BF309" s="9">
        <f t="shared" si="532"/>
        <v>0.43521473812198752</v>
      </c>
      <c r="BG309" s="4">
        <f t="shared" si="533"/>
        <v>983.00894656996297</v>
      </c>
      <c r="BH309" s="6">
        <f t="shared" si="534"/>
        <v>5.4660178931399267E-6</v>
      </c>
      <c r="BI309" s="8">
        <f t="shared" si="535"/>
        <v>27.193602885554576</v>
      </c>
      <c r="BJ309" s="7">
        <f t="shared" si="536"/>
        <v>1.3679767702628258E-2</v>
      </c>
      <c r="BK309" s="9">
        <f t="shared" si="537"/>
        <v>0.43637398544278611</v>
      </c>
      <c r="BL309" s="4">
        <f t="shared" si="538"/>
        <v>976.11053307478346</v>
      </c>
      <c r="BM309" s="6">
        <f t="shared" si="539"/>
        <v>5.4522210661495683E-6</v>
      </c>
      <c r="BN309" s="8">
        <f t="shared" si="540"/>
        <v>27.114271130360009</v>
      </c>
      <c r="BO309" s="7">
        <f t="shared" si="541"/>
        <v>1.3645238472766365E-2</v>
      </c>
      <c r="BP309" s="9">
        <f t="shared" si="542"/>
        <v>0.43765074165799051</v>
      </c>
      <c r="BQ309" s="4">
        <f t="shared" si="543"/>
        <v>968.61222349884076</v>
      </c>
      <c r="BR309" s="6">
        <f t="shared" si="544"/>
        <v>5.4372244469976822E-6</v>
      </c>
      <c r="BS309" s="8">
        <f t="shared" si="545"/>
        <v>27.028040570236669</v>
      </c>
      <c r="BT309" s="7">
        <f t="shared" si="546"/>
        <v>1.3607706530805461E-2</v>
      </c>
      <c r="BU309" s="9">
        <f t="shared" si="547"/>
        <v>0.43904702743362761</v>
      </c>
      <c r="BV309" s="4">
        <f t="shared" si="548"/>
        <v>960.51332306911456</v>
      </c>
      <c r="BW309" s="6">
        <f t="shared" si="549"/>
        <v>5.4210266461382304E-6</v>
      </c>
      <c r="BX309" s="8">
        <f t="shared" si="550"/>
        <v>26.934903215294817</v>
      </c>
      <c r="BY309" s="7">
        <f t="shared" si="551"/>
        <v>1.3567168399137648E-2</v>
      </c>
      <c r="BZ309" s="9">
        <f t="shared" si="552"/>
        <v>0.44056519434528857</v>
      </c>
      <c r="CA309" s="4">
        <f t="shared" si="553"/>
        <v>951.80463218278248</v>
      </c>
      <c r="CB309" s="6">
        <f t="shared" si="554"/>
        <v>5.403609264365565E-6</v>
      </c>
      <c r="CC309" s="8">
        <f t="shared" si="555"/>
        <v>26.834753270101999</v>
      </c>
      <c r="CD309" s="7">
        <f t="shared" si="556"/>
        <v>1.3523578030189699E-2</v>
      </c>
      <c r="CE309" s="9">
        <f t="shared" si="557"/>
        <v>0.44220942709166161</v>
      </c>
      <c r="CF309" s="4">
        <f t="shared" si="558"/>
        <v>942.38454096416103</v>
      </c>
      <c r="CG309" s="6">
        <f t="shared" si="559"/>
        <v>5.3847690819283232E-6</v>
      </c>
      <c r="CH309" s="8">
        <f t="shared" si="560"/>
        <v>26.726422221087851</v>
      </c>
      <c r="CI309" s="7">
        <f t="shared" si="561"/>
        <v>1.3476426827201493E-2</v>
      </c>
      <c r="CJ309" s="9">
        <f t="shared" si="562"/>
        <v>0.44400184849114799</v>
      </c>
      <c r="CK309" s="4">
        <f t="shared" si="563"/>
        <v>931.34527162973666</v>
      </c>
      <c r="CL309" s="6">
        <f t="shared" si="564"/>
        <v>5.3626905432594737E-6</v>
      </c>
      <c r="CM309" s="8">
        <f t="shared" si="565"/>
        <v>26.599470623741972</v>
      </c>
      <c r="CN309" s="7">
        <f t="shared" si="566"/>
        <v>1.3421171010973301E-2</v>
      </c>
      <c r="CO309" s="9">
        <f t="shared" si="567"/>
        <v>0.4461209411861794</v>
      </c>
      <c r="CP309" s="4">
        <f t="shared" si="568"/>
        <v>912.42779453065407</v>
      </c>
      <c r="CQ309" s="6">
        <f t="shared" si="569"/>
        <v>5.3248555890613084E-6</v>
      </c>
      <c r="CR309" s="8">
        <f t="shared" si="570"/>
        <v>26.38191963710252</v>
      </c>
      <c r="CS309" s="7">
        <f t="shared" si="571"/>
        <v>1.3326481715294256E-2</v>
      </c>
      <c r="CT309" s="9">
        <f t="shared" si="572"/>
        <v>0.4497997504711217</v>
      </c>
      <c r="CU309" s="4">
        <f t="shared" si="573"/>
        <v>854.90294067254604</v>
      </c>
      <c r="CV309" s="6">
        <f t="shared" si="574"/>
        <v>5.2098058813450924E-6</v>
      </c>
      <c r="CW309" s="8">
        <f t="shared" si="575"/>
        <v>25.72038381773428</v>
      </c>
      <c r="CX309" s="7">
        <f t="shared" si="576"/>
        <v>1.3038547554341659E-2</v>
      </c>
      <c r="CY309" s="9">
        <f t="shared" si="577"/>
        <v>0.46136873204574247</v>
      </c>
      <c r="CZ309" s="5">
        <f t="shared" si="578"/>
        <v>668.29893073460391</v>
      </c>
      <c r="DA309" s="6">
        <f t="shared" si="579"/>
        <v>4.8365978614692081E-6</v>
      </c>
      <c r="DB309" s="8">
        <f t="shared" si="580"/>
        <v>30.235574708518328</v>
      </c>
      <c r="DC309" s="7">
        <f t="shared" si="581"/>
        <v>1.2104522251741124E-2</v>
      </c>
      <c r="DD309" s="9">
        <f t="shared" si="582"/>
        <v>0.39247082233812158</v>
      </c>
    </row>
    <row r="310" spans="2:108" x14ac:dyDescent="0.25">
      <c r="B310">
        <v>43</v>
      </c>
      <c r="C310">
        <f t="shared" si="490"/>
        <v>4.2037430652845813E-2</v>
      </c>
      <c r="D310" s="4">
        <f t="shared" si="491"/>
        <v>1019.3095245390668</v>
      </c>
      <c r="E310" s="6">
        <f t="shared" si="429"/>
        <v>5.5386190490781343E-6</v>
      </c>
      <c r="F310" s="8">
        <f t="shared" si="492"/>
        <v>27.61105953219927</v>
      </c>
      <c r="G310" s="7">
        <f t="shared" si="426"/>
        <v>1.3861466147015614E-2</v>
      </c>
      <c r="H310" s="9">
        <f t="shared" si="493"/>
        <v>0.42977636754139814</v>
      </c>
      <c r="I310" s="4">
        <f t="shared" si="494"/>
        <v>1018.9879474740161</v>
      </c>
      <c r="J310" s="6">
        <f t="shared" si="431"/>
        <v>5.5379758949480325E-6</v>
      </c>
      <c r="K310" s="8">
        <f t="shared" si="495"/>
        <v>27.607361395951184</v>
      </c>
      <c r="L310" s="7">
        <f t="shared" si="433"/>
        <v>1.3859856529325225E-2</v>
      </c>
      <c r="M310" s="9">
        <f t="shared" si="496"/>
        <v>0.42983393811254333</v>
      </c>
      <c r="N310" s="4">
        <f t="shared" si="497"/>
        <v>1018.0851934671717</v>
      </c>
      <c r="O310" s="6">
        <f t="shared" si="434"/>
        <v>5.5361703869343447E-6</v>
      </c>
      <c r="P310" s="8">
        <f t="shared" si="435"/>
        <v>27.596979724872476</v>
      </c>
      <c r="Q310" s="7">
        <f t="shared" si="427"/>
        <v>1.3861466147015614E-2</v>
      </c>
      <c r="R310" s="9">
        <f t="shared" si="498"/>
        <v>0.42999563676973107</v>
      </c>
      <c r="S310" s="4">
        <f t="shared" si="499"/>
        <v>1016.5848983429823</v>
      </c>
      <c r="T310" s="6">
        <f t="shared" si="436"/>
        <v>5.5331697966859645E-6</v>
      </c>
      <c r="U310" s="8">
        <f t="shared" si="437"/>
        <v>27.579726330944297</v>
      </c>
      <c r="V310" s="7">
        <f t="shared" si="438"/>
        <v>1.3847828338224056E-2</v>
      </c>
      <c r="W310" s="9">
        <f t="shared" si="500"/>
        <v>0.43026463451175229</v>
      </c>
      <c r="X310" s="4">
        <f t="shared" si="501"/>
        <v>1014.4854039776174</v>
      </c>
      <c r="Y310" s="6">
        <f t="shared" si="439"/>
        <v>5.5289708079552351E-6</v>
      </c>
      <c r="Z310" s="8">
        <f t="shared" si="440"/>
        <v>27.555582145742598</v>
      </c>
      <c r="AA310" s="7">
        <f t="shared" si="441"/>
        <v>1.3837319556228588E-2</v>
      </c>
      <c r="AB310" s="9">
        <f t="shared" si="502"/>
        <v>0.43064163213664181</v>
      </c>
      <c r="AC310" s="4">
        <f t="shared" si="503"/>
        <v>1011.7859791881775</v>
      </c>
      <c r="AD310" s="6">
        <f t="shared" si="504"/>
        <v>5.5235719583763554E-6</v>
      </c>
      <c r="AE310" s="8">
        <f t="shared" si="505"/>
        <v>27.52453876066404</v>
      </c>
      <c r="AF310" s="7">
        <f t="shared" si="506"/>
        <v>1.3823807890232543E-2</v>
      </c>
      <c r="AG310" s="9">
        <f t="shared" si="507"/>
        <v>0.43112732870483939</v>
      </c>
      <c r="AH310" s="4">
        <f t="shared" si="508"/>
        <v>1008.4866831474187</v>
      </c>
      <c r="AI310" s="6">
        <f t="shared" si="509"/>
        <v>5.5169733662948378E-6</v>
      </c>
      <c r="AJ310" s="8">
        <f t="shared" si="510"/>
        <v>27.486596856195312</v>
      </c>
      <c r="AK310" s="7">
        <f t="shared" si="511"/>
        <v>1.3807293636418475E-2</v>
      </c>
      <c r="AL310" s="9">
        <f t="shared" si="512"/>
        <v>0.43172244755513423</v>
      </c>
      <c r="AM310" s="4">
        <f t="shared" si="513"/>
        <v>1004.587537022991</v>
      </c>
      <c r="AN310" s="6">
        <f t="shared" si="514"/>
        <v>5.5091750740459826E-6</v>
      </c>
      <c r="AO310" s="8">
        <f t="shared" si="515"/>
        <v>27.441756675764395</v>
      </c>
      <c r="AP310" s="7">
        <f t="shared" si="516"/>
        <v>1.3787776900738661E-2</v>
      </c>
      <c r="AQ310" s="9">
        <f t="shared" si="517"/>
        <v>0.43242788754110811</v>
      </c>
      <c r="AR310" s="4">
        <f t="shared" si="518"/>
        <v>1000.0885449530361</v>
      </c>
      <c r="AS310" s="6">
        <f t="shared" si="519"/>
        <v>5.5001770899060725E-6</v>
      </c>
      <c r="AT310" s="8">
        <f t="shared" si="520"/>
        <v>27.390018266959913</v>
      </c>
      <c r="AU310" s="7">
        <f t="shared" si="521"/>
        <v>1.3765257703906101E-2</v>
      </c>
      <c r="AV310" s="9">
        <f t="shared" si="522"/>
        <v>0.43324472273289216</v>
      </c>
      <c r="AW310" s="4">
        <f t="shared" si="523"/>
        <v>994.98970756587698</v>
      </c>
      <c r="AX310" s="6">
        <f t="shared" si="524"/>
        <v>5.4899794151317546E-6</v>
      </c>
      <c r="AY310" s="8">
        <f t="shared" si="525"/>
        <v>27.331381637007585</v>
      </c>
      <c r="AZ310" s="7">
        <f t="shared" si="526"/>
        <v>1.3739736049065802E-2</v>
      </c>
      <c r="BA310" s="9">
        <f t="shared" si="527"/>
        <v>0.43417420411890778</v>
      </c>
      <c r="BB310" s="4">
        <f t="shared" si="528"/>
        <v>989.29102496597932</v>
      </c>
      <c r="BC310" s="6">
        <f t="shared" si="529"/>
        <v>5.478582049931959E-6</v>
      </c>
      <c r="BD310" s="8">
        <f t="shared" si="530"/>
        <v>27.265846787108764</v>
      </c>
      <c r="BE310" s="7">
        <f t="shared" si="531"/>
        <v>1.3711211936740648E-2</v>
      </c>
      <c r="BF310" s="9">
        <f t="shared" si="532"/>
        <v>0.4352177639070573</v>
      </c>
      <c r="BG310" s="4">
        <f t="shared" si="533"/>
        <v>982.99249703852138</v>
      </c>
      <c r="BH310" s="6">
        <f t="shared" si="534"/>
        <v>5.465984994077043E-6</v>
      </c>
      <c r="BI310" s="8">
        <f t="shared" si="535"/>
        <v>27.193413715942995</v>
      </c>
      <c r="BJ310" s="7">
        <f t="shared" si="536"/>
        <v>1.3679685366355915E-2</v>
      </c>
      <c r="BK310" s="9">
        <f t="shared" si="537"/>
        <v>0.4363770210564164</v>
      </c>
      <c r="BL310" s="4">
        <f t="shared" si="538"/>
        <v>976.09412074173281</v>
      </c>
      <c r="BM310" s="6">
        <f t="shared" si="539"/>
        <v>5.4521882414834662E-6</v>
      </c>
      <c r="BN310" s="8">
        <f t="shared" si="540"/>
        <v>27.114082388529926</v>
      </c>
      <c r="BO310" s="7">
        <f t="shared" si="541"/>
        <v>1.3645156322686366E-2</v>
      </c>
      <c r="BP310" s="9">
        <f t="shared" si="542"/>
        <v>0.43765378815614353</v>
      </c>
      <c r="BQ310" s="4">
        <f t="shared" si="543"/>
        <v>968.59584271318852</v>
      </c>
      <c r="BR310" s="6">
        <f t="shared" si="544"/>
        <v>5.4371916854263773E-6</v>
      </c>
      <c r="BS310" s="8">
        <f t="shared" si="545"/>
        <v>27.027852191201667</v>
      </c>
      <c r="BT310" s="7">
        <f t="shared" si="546"/>
        <v>1.3607624538632405E-2</v>
      </c>
      <c r="BU310" s="9">
        <f t="shared" si="547"/>
        <v>0.4390500875086481</v>
      </c>
      <c r="BV310" s="4">
        <f t="shared" si="548"/>
        <v>960.49685700553289</v>
      </c>
      <c r="BW310" s="6">
        <f t="shared" si="549"/>
        <v>5.4209937140110658E-6</v>
      </c>
      <c r="BX310" s="8">
        <f t="shared" si="550"/>
        <v>26.934713855563629</v>
      </c>
      <c r="BY310" s="7">
        <f t="shared" si="551"/>
        <v>1.3567085980115542E-2</v>
      </c>
      <c r="BZ310" s="9">
        <f t="shared" si="552"/>
        <v>0.44056829166079076</v>
      </c>
      <c r="CA310" s="4">
        <f t="shared" si="553"/>
        <v>951.78678206179029</v>
      </c>
      <c r="CB310" s="6">
        <f t="shared" si="554"/>
        <v>5.4035735641235817E-6</v>
      </c>
      <c r="CC310" s="8">
        <f t="shared" si="555"/>
        <v>26.834547993710586</v>
      </c>
      <c r="CD310" s="7">
        <f t="shared" si="556"/>
        <v>1.3523488683424503E-2</v>
      </c>
      <c r="CE310" s="9">
        <f t="shared" si="557"/>
        <v>0.44221280986358175</v>
      </c>
      <c r="CF310" s="4">
        <f t="shared" si="558"/>
        <v>942.35399771689458</v>
      </c>
      <c r="CG310" s="6">
        <f t="shared" si="559"/>
        <v>5.3847079954337891E-6</v>
      </c>
      <c r="CH310" s="8">
        <f t="shared" si="560"/>
        <v>26.726070973744285</v>
      </c>
      <c r="CI310" s="7">
        <f t="shared" si="561"/>
        <v>1.3476273946425884E-2</v>
      </c>
      <c r="CJ310" s="9">
        <f t="shared" si="562"/>
        <v>0.44400768378470734</v>
      </c>
      <c r="CK310" s="4">
        <f t="shared" si="563"/>
        <v>931.22722905776732</v>
      </c>
      <c r="CL310" s="6">
        <f t="shared" si="564"/>
        <v>5.3624544581155358E-6</v>
      </c>
      <c r="CM310" s="8">
        <f t="shared" si="565"/>
        <v>26.598113134164322</v>
      </c>
      <c r="CN310" s="7">
        <f t="shared" si="566"/>
        <v>1.3420580162207298E-2</v>
      </c>
      <c r="CO310" s="9">
        <f t="shared" si="567"/>
        <v>0.44614370988879287</v>
      </c>
      <c r="CP310" s="4">
        <f t="shared" si="568"/>
        <v>911.88116390182938</v>
      </c>
      <c r="CQ310" s="6">
        <f t="shared" si="569"/>
        <v>5.3237623278036589E-6</v>
      </c>
      <c r="CR310" s="8">
        <f t="shared" si="570"/>
        <v>26.375633384871037</v>
      </c>
      <c r="CS310" s="7">
        <f t="shared" si="571"/>
        <v>1.3323745617400812E-2</v>
      </c>
      <c r="CT310" s="9">
        <f t="shared" si="572"/>
        <v>0.44990695376151701</v>
      </c>
      <c r="CU310" s="4">
        <f t="shared" si="573"/>
        <v>853.09752517771688</v>
      </c>
      <c r="CV310" s="6">
        <f t="shared" si="574"/>
        <v>5.2061950503554344E-6</v>
      </c>
      <c r="CW310" s="8">
        <f t="shared" si="575"/>
        <v>25.699621539543742</v>
      </c>
      <c r="CX310" s="7">
        <f t="shared" si="576"/>
        <v>1.3029510750928709E-2</v>
      </c>
      <c r="CY310" s="9">
        <f t="shared" si="577"/>
        <v>0.46174146383669168</v>
      </c>
      <c r="CZ310" s="5">
        <f t="shared" si="578"/>
        <v>665.40751242777981</v>
      </c>
      <c r="DA310" s="6">
        <f t="shared" si="579"/>
        <v>4.8308150248555599E-6</v>
      </c>
      <c r="DB310" s="8">
        <f t="shared" si="580"/>
        <v>30.816171504528398</v>
      </c>
      <c r="DC310" s="7">
        <f t="shared" si="581"/>
        <v>1.2090049583871477E-2</v>
      </c>
      <c r="DD310" s="9">
        <f t="shared" si="582"/>
        <v>0.38507641573756557</v>
      </c>
    </row>
    <row r="311" spans="2:108" x14ac:dyDescent="0.25">
      <c r="B311">
        <v>44</v>
      </c>
      <c r="C311">
        <f t="shared" si="490"/>
        <v>4.3015045319191064E-2</v>
      </c>
      <c r="D311" s="4">
        <f t="shared" si="491"/>
        <v>1019.2931064386249</v>
      </c>
      <c r="E311" s="6">
        <f t="shared" si="429"/>
        <v>5.5385862128772502E-6</v>
      </c>
      <c r="F311" s="8">
        <f t="shared" si="492"/>
        <v>27.610870724044187</v>
      </c>
      <c r="G311" s="7">
        <f t="shared" si="426"/>
        <v>1.3861383968067591E-2</v>
      </c>
      <c r="H311" s="9">
        <f t="shared" si="493"/>
        <v>0.42977930643035478</v>
      </c>
      <c r="I311" s="4">
        <f t="shared" si="494"/>
        <v>1018.9714060957267</v>
      </c>
      <c r="J311" s="6">
        <f t="shared" si="431"/>
        <v>5.5379428121914538E-6</v>
      </c>
      <c r="K311" s="8">
        <f t="shared" si="495"/>
        <v>27.607171170100855</v>
      </c>
      <c r="L311" s="7">
        <f t="shared" si="433"/>
        <v>1.3859773733323857E-2</v>
      </c>
      <c r="M311" s="9">
        <f t="shared" si="496"/>
        <v>0.4298368998620784</v>
      </c>
      <c r="N311" s="4">
        <f t="shared" si="497"/>
        <v>1018.0685852531824</v>
      </c>
      <c r="O311" s="6">
        <f t="shared" si="434"/>
        <v>5.5361371705063649E-6</v>
      </c>
      <c r="P311" s="8">
        <f t="shared" si="435"/>
        <v>27.596788730411596</v>
      </c>
      <c r="Q311" s="7">
        <f t="shared" si="427"/>
        <v>1.3861383968067591E-2</v>
      </c>
      <c r="R311" s="9">
        <f t="shared" si="498"/>
        <v>0.42999861272413026</v>
      </c>
      <c r="S311" s="4">
        <f t="shared" si="499"/>
        <v>1016.5682762681739</v>
      </c>
      <c r="T311" s="6">
        <f t="shared" si="436"/>
        <v>5.5331365525363481E-6</v>
      </c>
      <c r="U311" s="8">
        <f t="shared" si="437"/>
        <v>27.579535177083997</v>
      </c>
      <c r="V311" s="7">
        <f t="shared" si="438"/>
        <v>1.3847745138305374E-2</v>
      </c>
      <c r="W311" s="9">
        <f t="shared" si="500"/>
        <v>0.43026761667752517</v>
      </c>
      <c r="X311" s="4">
        <f t="shared" si="501"/>
        <v>1014.4687895178297</v>
      </c>
      <c r="Y311" s="6">
        <f t="shared" si="439"/>
        <v>5.5289375790356598E-6</v>
      </c>
      <c r="Z311" s="8">
        <f t="shared" si="440"/>
        <v>27.555391079455042</v>
      </c>
      <c r="AA311" s="7">
        <f t="shared" si="441"/>
        <v>1.3837236394426031E-2</v>
      </c>
      <c r="AB311" s="9">
        <f t="shared" si="502"/>
        <v>0.43064461816205085</v>
      </c>
      <c r="AC311" s="4">
        <f t="shared" si="503"/>
        <v>1011.7693780560477</v>
      </c>
      <c r="AD311" s="6">
        <f t="shared" si="504"/>
        <v>5.5235387561120956E-6</v>
      </c>
      <c r="AE311" s="8">
        <f t="shared" si="505"/>
        <v>27.524347847644549</v>
      </c>
      <c r="AF311" s="7">
        <f t="shared" si="506"/>
        <v>1.3823724795140074E-2</v>
      </c>
      <c r="AG311" s="9">
        <f t="shared" si="507"/>
        <v>0.43113031906888233</v>
      </c>
      <c r="AH311" s="4">
        <f t="shared" si="508"/>
        <v>1008.4700985446566</v>
      </c>
      <c r="AI311" s="6">
        <f t="shared" si="509"/>
        <v>5.5169401970893134E-6</v>
      </c>
      <c r="AJ311" s="8">
        <f t="shared" si="510"/>
        <v>27.48640613326355</v>
      </c>
      <c r="AK311" s="7">
        <f t="shared" si="511"/>
        <v>1.3807210624061888E-2</v>
      </c>
      <c r="AL311" s="9">
        <f t="shared" si="512"/>
        <v>0.43172544319488815</v>
      </c>
      <c r="AM311" s="4">
        <f t="shared" si="513"/>
        <v>1004.570972333472</v>
      </c>
      <c r="AN311" s="6">
        <f t="shared" si="514"/>
        <v>5.5091419446669436E-6</v>
      </c>
      <c r="AO311" s="8">
        <f t="shared" si="515"/>
        <v>27.441566181834929</v>
      </c>
      <c r="AP311" s="7">
        <f t="shared" si="516"/>
        <v>1.3787693988055563E-2</v>
      </c>
      <c r="AQ311" s="9">
        <f t="shared" si="517"/>
        <v>0.43243088937004753</v>
      </c>
      <c r="AR311" s="4">
        <f t="shared" si="518"/>
        <v>1000.0720037233933</v>
      </c>
      <c r="AS311" s="6">
        <f t="shared" si="519"/>
        <v>5.5001440074467872E-6</v>
      </c>
      <c r="AT311" s="8">
        <f t="shared" si="520"/>
        <v>27.389828042819023</v>
      </c>
      <c r="AU311" s="7">
        <f t="shared" si="521"/>
        <v>1.3765174908648767E-2</v>
      </c>
      <c r="AV311" s="9">
        <f t="shared" si="522"/>
        <v>0.43324773164572827</v>
      </c>
      <c r="AW311" s="4">
        <f t="shared" si="523"/>
        <v>994.9731933832054</v>
      </c>
      <c r="AX311" s="6">
        <f t="shared" si="524"/>
        <v>5.4899463867664116E-6</v>
      </c>
      <c r="AY311" s="8">
        <f t="shared" si="525"/>
        <v>27.331191723906862</v>
      </c>
      <c r="AZ311" s="7">
        <f t="shared" si="526"/>
        <v>1.3739653389189027E-2</v>
      </c>
      <c r="BA311" s="9">
        <f t="shared" si="527"/>
        <v>0.43417722101514089</v>
      </c>
      <c r="BB311" s="4">
        <f t="shared" si="528"/>
        <v>989.2745414233774</v>
      </c>
      <c r="BC311" s="6">
        <f t="shared" si="529"/>
        <v>5.4785490828467552E-6</v>
      </c>
      <c r="BD311" s="8">
        <f t="shared" si="530"/>
        <v>27.265657226368837</v>
      </c>
      <c r="BE311" s="7">
        <f t="shared" si="531"/>
        <v>1.3711129430229283E-2</v>
      </c>
      <c r="BF311" s="9">
        <f t="shared" si="532"/>
        <v>0.43522078969883154</v>
      </c>
      <c r="BG311" s="4">
        <f t="shared" si="533"/>
        <v>982.97604769162297</v>
      </c>
      <c r="BH311" s="6">
        <f t="shared" si="534"/>
        <v>5.4659520953832462E-6</v>
      </c>
      <c r="BI311" s="8">
        <f t="shared" si="535"/>
        <v>27.193224548453664</v>
      </c>
      <c r="BJ311" s="7">
        <f t="shared" si="536"/>
        <v>1.3679603031007284E-2</v>
      </c>
      <c r="BK311" s="9">
        <f t="shared" si="537"/>
        <v>0.4363800566782246</v>
      </c>
      <c r="BL311" s="4">
        <f t="shared" si="538"/>
        <v>976.07770846934534</v>
      </c>
      <c r="BM311" s="6">
        <f t="shared" si="539"/>
        <v>5.4521554169386905E-6</v>
      </c>
      <c r="BN311" s="8">
        <f t="shared" si="540"/>
        <v>27.113893647397468</v>
      </c>
      <c r="BO311" s="7">
        <f t="shared" si="541"/>
        <v>1.3645074172910009E-2</v>
      </c>
      <c r="BP311" s="9">
        <f t="shared" si="542"/>
        <v>0.43765683468544969</v>
      </c>
      <c r="BQ311" s="4">
        <f t="shared" si="543"/>
        <v>968.57946040386719</v>
      </c>
      <c r="BR311" s="6">
        <f t="shared" si="544"/>
        <v>5.4371589208077343E-6</v>
      </c>
      <c r="BS311" s="8">
        <f t="shared" si="545"/>
        <v>27.027663794644472</v>
      </c>
      <c r="BT311" s="7">
        <f t="shared" si="546"/>
        <v>1.3607542538832795E-2</v>
      </c>
      <c r="BU311" s="9">
        <f t="shared" si="547"/>
        <v>0.43905314791096595</v>
      </c>
      <c r="BV311" s="4">
        <f t="shared" si="548"/>
        <v>960.48037265390599</v>
      </c>
      <c r="BW311" s="6">
        <f t="shared" si="549"/>
        <v>5.4209607453078123E-6</v>
      </c>
      <c r="BX311" s="8">
        <f t="shared" si="550"/>
        <v>26.93452428551992</v>
      </c>
      <c r="BY311" s="7">
        <f t="shared" si="551"/>
        <v>1.3567003469554695E-2</v>
      </c>
      <c r="BZ311" s="9">
        <f t="shared" si="552"/>
        <v>0.44057139245995175</v>
      </c>
      <c r="CA311" s="4">
        <f t="shared" si="553"/>
        <v>951.76877225300677</v>
      </c>
      <c r="CB311" s="6">
        <f t="shared" si="554"/>
        <v>5.4035375445060139E-6</v>
      </c>
      <c r="CC311" s="8">
        <f t="shared" si="555"/>
        <v>26.834340880909579</v>
      </c>
      <c r="CD311" s="7">
        <f t="shared" si="556"/>
        <v>1.3523398537360091E-2</v>
      </c>
      <c r="CE311" s="9">
        <f t="shared" si="557"/>
        <v>0.44221622295034613</v>
      </c>
      <c r="CF311" s="4">
        <f t="shared" si="558"/>
        <v>942.32240069724025</v>
      </c>
      <c r="CG311" s="6">
        <f t="shared" si="559"/>
        <v>5.3846448013944805E-6</v>
      </c>
      <c r="CH311" s="8">
        <f t="shared" si="560"/>
        <v>26.725707608018261</v>
      </c>
      <c r="CI311" s="7">
        <f t="shared" si="561"/>
        <v>1.3476115791111571E-2</v>
      </c>
      <c r="CJ311" s="9">
        <f t="shared" si="562"/>
        <v>0.44401372056310606</v>
      </c>
      <c r="CK311" s="4">
        <f t="shared" si="563"/>
        <v>931.10438676536728</v>
      </c>
      <c r="CL311" s="6">
        <f t="shared" si="564"/>
        <v>5.3622087735307352E-6</v>
      </c>
      <c r="CM311" s="8">
        <f t="shared" si="565"/>
        <v>26.596700447801723</v>
      </c>
      <c r="CN311" s="7">
        <f t="shared" si="566"/>
        <v>1.3419965288982602E-2</v>
      </c>
      <c r="CO311" s="9">
        <f t="shared" si="567"/>
        <v>0.44616740685586426</v>
      </c>
      <c r="CP311" s="4">
        <f t="shared" si="568"/>
        <v>911.32278809140416</v>
      </c>
      <c r="CQ311" s="6">
        <f t="shared" si="569"/>
        <v>5.322645576182809E-6</v>
      </c>
      <c r="CR311" s="8">
        <f t="shared" si="570"/>
        <v>26.369212063051148</v>
      </c>
      <c r="CS311" s="7">
        <f t="shared" si="571"/>
        <v>1.3320950730327002E-2</v>
      </c>
      <c r="CT311" s="9">
        <f t="shared" si="572"/>
        <v>0.45001651324824726</v>
      </c>
      <c r="CU311" s="4">
        <f t="shared" si="573"/>
        <v>851.29396805292504</v>
      </c>
      <c r="CV311" s="6">
        <f t="shared" si="574"/>
        <v>5.2025879361058506E-6</v>
      </c>
      <c r="CW311" s="8">
        <f t="shared" si="575"/>
        <v>25.678880632608639</v>
      </c>
      <c r="CX311" s="7">
        <f t="shared" si="576"/>
        <v>1.3020483249377155E-2</v>
      </c>
      <c r="CY311" s="9">
        <f t="shared" si="577"/>
        <v>0.46211441376650103</v>
      </c>
      <c r="CZ311" s="5">
        <f t="shared" si="578"/>
        <v>662.57497559466992</v>
      </c>
      <c r="DA311" s="6">
        <f t="shared" si="579"/>
        <v>4.8251499511893409E-6</v>
      </c>
      <c r="DB311" s="8">
        <f t="shared" si="580"/>
        <v>31.384944900616631</v>
      </c>
      <c r="DC311" s="7">
        <f t="shared" si="581"/>
        <v>1.2075871640570302E-2</v>
      </c>
      <c r="DD311" s="9">
        <f t="shared" si="582"/>
        <v>0.37809787168002168</v>
      </c>
    </row>
    <row r="312" spans="2:108" x14ac:dyDescent="0.25">
      <c r="B312">
        <v>45</v>
      </c>
      <c r="C312">
        <f t="shared" si="490"/>
        <v>4.3992659985536316E-2</v>
      </c>
      <c r="D312" s="4">
        <f t="shared" si="491"/>
        <v>1019.2766820442389</v>
      </c>
      <c r="E312" s="6">
        <f t="shared" si="429"/>
        <v>5.5385533640884781E-6</v>
      </c>
      <c r="F312" s="8">
        <f t="shared" si="492"/>
        <v>27.610681843508747</v>
      </c>
      <c r="G312" s="7">
        <f t="shared" si="426"/>
        <v>1.3861301757615942E-2</v>
      </c>
      <c r="H312" s="9">
        <f t="shared" si="493"/>
        <v>0.42978224648616287</v>
      </c>
      <c r="I312" s="4">
        <f t="shared" si="494"/>
        <v>1018.9548642802936</v>
      </c>
      <c r="J312" s="6">
        <f t="shared" si="431"/>
        <v>5.5379097285605872E-6</v>
      </c>
      <c r="K312" s="8">
        <f t="shared" si="495"/>
        <v>27.606980939223376</v>
      </c>
      <c r="L312" s="7">
        <f t="shared" si="433"/>
        <v>1.3859690935134414E-2</v>
      </c>
      <c r="M312" s="9">
        <f t="shared" si="496"/>
        <v>0.42983986173070188</v>
      </c>
      <c r="N312" s="4">
        <f t="shared" si="497"/>
        <v>1018.0519775930187</v>
      </c>
      <c r="O312" s="6">
        <f t="shared" si="434"/>
        <v>5.5361039551860375E-6</v>
      </c>
      <c r="P312" s="8">
        <f t="shared" si="435"/>
        <v>27.596597742319716</v>
      </c>
      <c r="Q312" s="7">
        <f t="shared" si="427"/>
        <v>1.3861301757615942E-2</v>
      </c>
      <c r="R312" s="9">
        <f t="shared" si="498"/>
        <v>0.43000158862048249</v>
      </c>
      <c r="S312" s="4">
        <f t="shared" si="499"/>
        <v>1016.5516545752032</v>
      </c>
      <c r="T312" s="6">
        <f t="shared" si="436"/>
        <v>5.5331033091504073E-6</v>
      </c>
      <c r="U312" s="8">
        <f t="shared" si="437"/>
        <v>27.579344027614837</v>
      </c>
      <c r="V312" s="7">
        <f t="shared" si="438"/>
        <v>1.3847661940297937E-2</v>
      </c>
      <c r="W312" s="9">
        <f t="shared" si="500"/>
        <v>0.43027059881613017</v>
      </c>
      <c r="X312" s="4">
        <f t="shared" si="501"/>
        <v>1014.4521752732202</v>
      </c>
      <c r="Y312" s="6">
        <f t="shared" si="439"/>
        <v>5.5289043505464409E-6</v>
      </c>
      <c r="Z312" s="8">
        <f t="shared" si="440"/>
        <v>27.555200015642029</v>
      </c>
      <c r="AA312" s="7">
        <f t="shared" si="441"/>
        <v>1.3837153233700526E-2</v>
      </c>
      <c r="AB312" s="9">
        <f t="shared" si="502"/>
        <v>0.43064760419019626</v>
      </c>
      <c r="AC312" s="4">
        <f t="shared" si="503"/>
        <v>1011.7527771093055</v>
      </c>
      <c r="AD312" s="6">
        <f t="shared" si="504"/>
        <v>5.5235055542186118E-6</v>
      </c>
      <c r="AE312" s="8">
        <f t="shared" si="505"/>
        <v>27.524156936757013</v>
      </c>
      <c r="AF312" s="7">
        <f t="shared" si="506"/>
        <v>1.3823641700975541E-2</v>
      </c>
      <c r="AG312" s="9">
        <f t="shared" si="507"/>
        <v>0.43113330944101419</v>
      </c>
      <c r="AH312" s="4">
        <f t="shared" si="508"/>
        <v>1008.4535141303426</v>
      </c>
      <c r="AI312" s="6">
        <f t="shared" si="509"/>
        <v>5.5169070282606856E-6</v>
      </c>
      <c r="AJ312" s="8">
        <f t="shared" si="510"/>
        <v>27.48621541249894</v>
      </c>
      <c r="AK312" s="7">
        <f t="shared" si="511"/>
        <v>1.3807127612648558E-2</v>
      </c>
      <c r="AL312" s="9">
        <f t="shared" si="512"/>
        <v>0.4317284388421751</v>
      </c>
      <c r="AM312" s="4">
        <f t="shared" si="513"/>
        <v>1004.5544078352873</v>
      </c>
      <c r="AN312" s="6">
        <f t="shared" si="514"/>
        <v>5.5091088156705755E-6</v>
      </c>
      <c r="AO312" s="8">
        <f t="shared" si="515"/>
        <v>27.441375690105801</v>
      </c>
      <c r="AP312" s="7">
        <f t="shared" si="516"/>
        <v>1.378761107633017E-2</v>
      </c>
      <c r="AQ312" s="9">
        <f t="shared" si="517"/>
        <v>0.43243389120598957</v>
      </c>
      <c r="AR312" s="4">
        <f t="shared" si="518"/>
        <v>1000.0554626862011</v>
      </c>
      <c r="AS312" s="6">
        <f t="shared" si="519"/>
        <v>5.5001109253724029E-6</v>
      </c>
      <c r="AT312" s="8">
        <f t="shared" si="520"/>
        <v>27.389637820891309</v>
      </c>
      <c r="AU312" s="7">
        <f t="shared" si="521"/>
        <v>1.3765092114354721E-2</v>
      </c>
      <c r="AV312" s="9">
        <f t="shared" si="522"/>
        <v>0.43325074056535073</v>
      </c>
      <c r="AW312" s="4">
        <f t="shared" si="523"/>
        <v>994.95667939343696</v>
      </c>
      <c r="AX312" s="6">
        <f t="shared" si="524"/>
        <v>5.4899133587868742E-6</v>
      </c>
      <c r="AY312" s="8">
        <f t="shared" si="525"/>
        <v>27.331001813024525</v>
      </c>
      <c r="AZ312" s="7">
        <f t="shared" si="526"/>
        <v>1.3739570730277808E-2</v>
      </c>
      <c r="BA312" s="9">
        <f t="shared" si="527"/>
        <v>0.43418023791805932</v>
      </c>
      <c r="BB312" s="4">
        <f t="shared" si="528"/>
        <v>989.25805807333552</v>
      </c>
      <c r="BC312" s="6">
        <f t="shared" si="529"/>
        <v>5.4785161161466711E-6</v>
      </c>
      <c r="BD312" s="8">
        <f t="shared" si="530"/>
        <v>27.265467667843357</v>
      </c>
      <c r="BE312" s="7">
        <f t="shared" si="531"/>
        <v>1.3711046924681756E-2</v>
      </c>
      <c r="BF312" s="9">
        <f t="shared" si="532"/>
        <v>0.43522381549733091</v>
      </c>
      <c r="BG312" s="4">
        <f t="shared" si="533"/>
        <v>982.9595985275962</v>
      </c>
      <c r="BH312" s="6">
        <f t="shared" si="534"/>
        <v>5.4659191970551924E-6</v>
      </c>
      <c r="BI312" s="8">
        <f t="shared" si="535"/>
        <v>27.193035383067354</v>
      </c>
      <c r="BJ312" s="7">
        <f t="shared" si="536"/>
        <v>1.3679520696573993E-2</v>
      </c>
      <c r="BK312" s="9">
        <f t="shared" si="537"/>
        <v>0.43638309230851879</v>
      </c>
      <c r="BL312" s="4">
        <f t="shared" si="538"/>
        <v>976.06129623666857</v>
      </c>
      <c r="BM312" s="6">
        <f t="shared" si="539"/>
        <v>5.4521225924733378E-6</v>
      </c>
      <c r="BN312" s="8">
        <f t="shared" si="540"/>
        <v>27.113704906721686</v>
      </c>
      <c r="BO312" s="7">
        <f t="shared" si="541"/>
        <v>1.3644992023332426E-2</v>
      </c>
      <c r="BP312" s="9">
        <f t="shared" si="542"/>
        <v>0.43765988124979871</v>
      </c>
      <c r="BQ312" s="4">
        <f t="shared" si="543"/>
        <v>968.56307635413486</v>
      </c>
      <c r="BR312" s="6">
        <f t="shared" si="544"/>
        <v>5.4371261527082703E-6</v>
      </c>
      <c r="BS312" s="8">
        <f t="shared" si="545"/>
        <v>27.027475378072552</v>
      </c>
      <c r="BT312" s="7">
        <f t="shared" si="546"/>
        <v>1.3607460530321755E-2</v>
      </c>
      <c r="BU312" s="9">
        <f t="shared" si="547"/>
        <v>0.43905620868108464</v>
      </c>
      <c r="BV312" s="4">
        <f t="shared" si="548"/>
        <v>960.46386824163039</v>
      </c>
      <c r="BW312" s="6">
        <f t="shared" si="549"/>
        <v>5.420927736483261E-6</v>
      </c>
      <c r="BX312" s="8">
        <f t="shared" si="550"/>
        <v>26.934334484778748</v>
      </c>
      <c r="BY312" s="7">
        <f t="shared" si="551"/>
        <v>1.3566920858582533E-2</v>
      </c>
      <c r="BZ312" s="9">
        <f t="shared" si="552"/>
        <v>0.44057449707636154</v>
      </c>
      <c r="CA312" s="4">
        <f t="shared" si="553"/>
        <v>951.75059207861659</v>
      </c>
      <c r="CB312" s="6">
        <f t="shared" si="554"/>
        <v>5.4035011841572331E-6</v>
      </c>
      <c r="CC312" s="8">
        <f t="shared" si="555"/>
        <v>26.83413180890409</v>
      </c>
      <c r="CD312" s="7">
        <f t="shared" si="556"/>
        <v>1.3523307538549873E-2</v>
      </c>
      <c r="CE312" s="9">
        <f t="shared" si="557"/>
        <v>0.44221966837698601</v>
      </c>
      <c r="CF312" s="4">
        <f t="shared" si="558"/>
        <v>942.28970939378848</v>
      </c>
      <c r="CG312" s="6">
        <f t="shared" si="559"/>
        <v>5.3845794187875769E-6</v>
      </c>
      <c r="CH312" s="8">
        <f t="shared" si="560"/>
        <v>26.725331658028566</v>
      </c>
      <c r="CI312" s="7">
        <f t="shared" si="561"/>
        <v>1.3475952158483264E-2</v>
      </c>
      <c r="CJ312" s="9">
        <f t="shared" si="562"/>
        <v>0.44401996658301734</v>
      </c>
      <c r="CK312" s="4">
        <f t="shared" si="563"/>
        <v>930.97669756306573</v>
      </c>
      <c r="CL312" s="6">
        <f t="shared" si="564"/>
        <v>5.3619533951261318E-6</v>
      </c>
      <c r="CM312" s="8">
        <f t="shared" si="565"/>
        <v>26.595232021975256</v>
      </c>
      <c r="CN312" s="7">
        <f t="shared" si="566"/>
        <v>1.3419326155097654E-2</v>
      </c>
      <c r="CO312" s="9">
        <f t="shared" si="567"/>
        <v>0.44619204148746339</v>
      </c>
      <c r="CP312" s="4">
        <f t="shared" si="568"/>
        <v>910.75294744443067</v>
      </c>
      <c r="CQ312" s="6">
        <f t="shared" si="569"/>
        <v>5.3215058948888613E-6</v>
      </c>
      <c r="CR312" s="8">
        <f t="shared" si="570"/>
        <v>26.362658895610952</v>
      </c>
      <c r="CS312" s="7">
        <f t="shared" si="571"/>
        <v>1.331809845730832E-2</v>
      </c>
      <c r="CT312" s="9">
        <f t="shared" si="572"/>
        <v>0.45012837728949767</v>
      </c>
      <c r="CU312" s="4">
        <f t="shared" si="573"/>
        <v>849.49287945936442</v>
      </c>
      <c r="CV312" s="6">
        <f t="shared" si="574"/>
        <v>5.19898575891873E-6</v>
      </c>
      <c r="CW312" s="8">
        <f t="shared" si="575"/>
        <v>25.65816811378269</v>
      </c>
      <c r="CX312" s="7">
        <f t="shared" si="576"/>
        <v>1.3011468103779964E-2</v>
      </c>
      <c r="CY312" s="9">
        <f t="shared" si="577"/>
        <v>0.46248745495371424</v>
      </c>
      <c r="CZ312" s="5">
        <f t="shared" si="578"/>
        <v>659.79909962573765</v>
      </c>
      <c r="DA312" s="6">
        <f t="shared" si="579"/>
        <v>4.8195981992514759E-6</v>
      </c>
      <c r="DB312" s="8">
        <f t="shared" si="580"/>
        <v>31.942340795178012</v>
      </c>
      <c r="DC312" s="7">
        <f t="shared" si="581"/>
        <v>1.206197730682728E-2</v>
      </c>
      <c r="DD312" s="9">
        <f t="shared" si="582"/>
        <v>0.3715000395809836</v>
      </c>
    </row>
    <row r="313" spans="2:108" x14ac:dyDescent="0.25">
      <c r="B313">
        <v>46</v>
      </c>
      <c r="C313">
        <f t="shared" si="490"/>
        <v>4.4970274651881567E-2</v>
      </c>
      <c r="D313" s="4">
        <f t="shared" si="491"/>
        <v>1019.2602516549273</v>
      </c>
      <c r="E313" s="6">
        <f t="shared" si="429"/>
        <v>5.5385205033098548E-6</v>
      </c>
      <c r="F313" s="8">
        <f t="shared" si="492"/>
        <v>27.610492894031665</v>
      </c>
      <c r="G313" s="7">
        <f t="shared" si="426"/>
        <v>1.3861219517157368E-2</v>
      </c>
      <c r="H313" s="9">
        <f t="shared" si="493"/>
        <v>0.42978518765534246</v>
      </c>
      <c r="I313" s="4">
        <f t="shared" si="494"/>
        <v>1018.9383220077717</v>
      </c>
      <c r="J313" s="6">
        <f t="shared" si="431"/>
        <v>5.5378766440155434E-6</v>
      </c>
      <c r="K313" s="8">
        <f t="shared" si="495"/>
        <v>27.606790703089374</v>
      </c>
      <c r="L313" s="7">
        <f t="shared" si="433"/>
        <v>1.3859608134657064E-2</v>
      </c>
      <c r="M313" s="9">
        <f t="shared" si="496"/>
        <v>0.42984282372198929</v>
      </c>
      <c r="N313" s="4">
        <f t="shared" si="497"/>
        <v>1018.0353704733975</v>
      </c>
      <c r="O313" s="6">
        <f t="shared" si="434"/>
        <v>5.5360707409467952E-6</v>
      </c>
      <c r="P313" s="8">
        <f t="shared" si="435"/>
        <v>27.596406760444069</v>
      </c>
      <c r="Q313" s="7">
        <f t="shared" si="427"/>
        <v>1.3861219517157368E-2</v>
      </c>
      <c r="R313" s="9">
        <f t="shared" si="498"/>
        <v>0.43000456446116492</v>
      </c>
      <c r="S313" s="4">
        <f t="shared" si="499"/>
        <v>1016.5350332633944</v>
      </c>
      <c r="T313" s="6">
        <f t="shared" si="436"/>
        <v>5.5330700665267893E-6</v>
      </c>
      <c r="U313" s="8">
        <f t="shared" si="437"/>
        <v>27.579152882529037</v>
      </c>
      <c r="V313" s="7">
        <f t="shared" si="438"/>
        <v>1.3847578744198362E-2</v>
      </c>
      <c r="W313" s="9">
        <f t="shared" si="500"/>
        <v>0.43027358092768658</v>
      </c>
      <c r="X313" s="4">
        <f t="shared" si="501"/>
        <v>1014.4355612453403</v>
      </c>
      <c r="Y313" s="6">
        <f t="shared" si="439"/>
        <v>5.5288711224906809E-6</v>
      </c>
      <c r="Z313" s="8">
        <f t="shared" si="440"/>
        <v>27.555008954321412</v>
      </c>
      <c r="AA313" s="7">
        <f t="shared" si="441"/>
        <v>1.3837070074059833E-2</v>
      </c>
      <c r="AB313" s="9">
        <f t="shared" si="502"/>
        <v>0.43065059022079832</v>
      </c>
      <c r="AC313" s="4">
        <f t="shared" si="503"/>
        <v>1011.7361763483663</v>
      </c>
      <c r="AD313" s="6">
        <f t="shared" si="504"/>
        <v>5.5234723526967331E-6</v>
      </c>
      <c r="AE313" s="8">
        <f t="shared" si="505"/>
        <v>27.52396602800621</v>
      </c>
      <c r="AF313" s="7">
        <f t="shared" si="506"/>
        <v>1.3823558607741024E-2</v>
      </c>
      <c r="AG313" s="9">
        <f t="shared" si="507"/>
        <v>0.43113629982115964</v>
      </c>
      <c r="AH313" s="4">
        <f t="shared" si="508"/>
        <v>1008.4369299044788</v>
      </c>
      <c r="AI313" s="6">
        <f t="shared" si="509"/>
        <v>5.5168738598089578E-6</v>
      </c>
      <c r="AJ313" s="8">
        <f t="shared" si="510"/>
        <v>27.486024693901506</v>
      </c>
      <c r="AK313" s="7">
        <f t="shared" si="511"/>
        <v>1.3807044602178492E-2</v>
      </c>
      <c r="AL313" s="9">
        <f t="shared" si="512"/>
        <v>0.43173143449699403</v>
      </c>
      <c r="AM313" s="4">
        <f t="shared" si="513"/>
        <v>1004.5378435284141</v>
      </c>
      <c r="AN313" s="6">
        <f t="shared" si="514"/>
        <v>5.509075687056829E-6</v>
      </c>
      <c r="AO313" s="8">
        <f t="shared" si="515"/>
        <v>27.441185200576761</v>
      </c>
      <c r="AP313" s="7">
        <f t="shared" si="516"/>
        <v>1.3787528165562364E-2</v>
      </c>
      <c r="AQ313" s="9">
        <f t="shared" si="517"/>
        <v>0.43243689304893745</v>
      </c>
      <c r="AR313" s="4">
        <f t="shared" si="518"/>
        <v>1000.0389218414492</v>
      </c>
      <c r="AS313" s="6">
        <f t="shared" si="519"/>
        <v>5.5000778436828986E-6</v>
      </c>
      <c r="AT313" s="8">
        <f t="shared" si="520"/>
        <v>27.389447601176663</v>
      </c>
      <c r="AU313" s="7">
        <f t="shared" si="521"/>
        <v>1.3765009321023914E-2</v>
      </c>
      <c r="AV313" s="9">
        <f t="shared" si="522"/>
        <v>0.43325374949176065</v>
      </c>
      <c r="AW313" s="4">
        <f t="shared" si="523"/>
        <v>994.94016559655847</v>
      </c>
      <c r="AX313" s="6">
        <f t="shared" si="524"/>
        <v>5.4898803311931172E-6</v>
      </c>
      <c r="AY313" s="8">
        <f t="shared" si="525"/>
        <v>27.330811904360424</v>
      </c>
      <c r="AZ313" s="7">
        <f t="shared" si="526"/>
        <v>1.3739488072332077E-2</v>
      </c>
      <c r="BA313" s="9">
        <f t="shared" si="527"/>
        <v>0.4341832548276649</v>
      </c>
      <c r="BB313" s="4">
        <f t="shared" si="528"/>
        <v>989.24157491571611</v>
      </c>
      <c r="BC313" s="6">
        <f t="shared" si="529"/>
        <v>5.478483149831433E-6</v>
      </c>
      <c r="BD313" s="8">
        <f t="shared" si="530"/>
        <v>27.265278111530733</v>
      </c>
      <c r="BE313" s="7">
        <f t="shared" si="531"/>
        <v>1.3710964420097378E-2</v>
      </c>
      <c r="BF313" s="9">
        <f t="shared" si="532"/>
        <v>0.43522684130258016</v>
      </c>
      <c r="BG313" s="4">
        <f t="shared" si="533"/>
        <v>982.94314954451363</v>
      </c>
      <c r="BH313" s="6">
        <f t="shared" si="534"/>
        <v>5.4658862990890274E-6</v>
      </c>
      <c r="BI313" s="8">
        <f t="shared" si="535"/>
        <v>27.192846219761904</v>
      </c>
      <c r="BJ313" s="7">
        <f t="shared" si="536"/>
        <v>1.3679438363046402E-2</v>
      </c>
      <c r="BK313" s="9">
        <f t="shared" si="537"/>
        <v>0.43638612794765402</v>
      </c>
      <c r="BL313" s="4">
        <f t="shared" si="538"/>
        <v>976.0448840202132</v>
      </c>
      <c r="BM313" s="6">
        <f t="shared" si="539"/>
        <v>5.4520897680404272E-6</v>
      </c>
      <c r="BN313" s="8">
        <f t="shared" si="540"/>
        <v>27.113516166232451</v>
      </c>
      <c r="BO313" s="7">
        <f t="shared" si="541"/>
        <v>1.3644909873836037E-2</v>
      </c>
      <c r="BP313" s="9">
        <f t="shared" si="542"/>
        <v>0.4376629278535516</v>
      </c>
      <c r="BQ313" s="4">
        <f t="shared" si="543"/>
        <v>968.54669032777645</v>
      </c>
      <c r="BR313" s="6">
        <f t="shared" si="544"/>
        <v>5.4370933806555537E-6</v>
      </c>
      <c r="BS313" s="8">
        <f t="shared" si="545"/>
        <v>27.027286938769429</v>
      </c>
      <c r="BT313" s="7">
        <f t="shared" si="546"/>
        <v>1.3607378511916937E-2</v>
      </c>
      <c r="BU313" s="9">
        <f t="shared" si="547"/>
        <v>0.43905926986314786</v>
      </c>
      <c r="BV313" s="4">
        <f t="shared" si="548"/>
        <v>960.44734189104713</v>
      </c>
      <c r="BW313" s="6">
        <f t="shared" si="549"/>
        <v>5.4208946837820947E-6</v>
      </c>
      <c r="BX313" s="8">
        <f t="shared" si="550"/>
        <v>26.934144431747043</v>
      </c>
      <c r="BY313" s="7">
        <f t="shared" si="551"/>
        <v>1.3566838137800651E-2</v>
      </c>
      <c r="BZ313" s="9">
        <f t="shared" si="552"/>
        <v>0.44057760586339106</v>
      </c>
      <c r="CA313" s="4">
        <f t="shared" si="553"/>
        <v>951.7322305595651</v>
      </c>
      <c r="CB313" s="6">
        <f t="shared" si="554"/>
        <v>5.4034644611191307E-6</v>
      </c>
      <c r="CC313" s="8">
        <f t="shared" si="555"/>
        <v>26.833920651434997</v>
      </c>
      <c r="CD313" s="7">
        <f t="shared" si="556"/>
        <v>1.3523215632039431E-2</v>
      </c>
      <c r="CE313" s="9">
        <f t="shared" si="557"/>
        <v>0.44222314822576286</v>
      </c>
      <c r="CF313" s="4">
        <f t="shared" si="558"/>
        <v>942.25588359399978</v>
      </c>
      <c r="CG313" s="6">
        <f t="shared" si="559"/>
        <v>5.3845117671879997E-6</v>
      </c>
      <c r="CH313" s="8">
        <f t="shared" si="560"/>
        <v>26.724942661330999</v>
      </c>
      <c r="CI313" s="7">
        <f t="shared" si="561"/>
        <v>1.3475782847261636E-2</v>
      </c>
      <c r="CJ313" s="9">
        <f t="shared" si="562"/>
        <v>0.44402642954545818</v>
      </c>
      <c r="CK313" s="4">
        <f t="shared" si="563"/>
        <v>930.84411890195565</v>
      </c>
      <c r="CL313" s="6">
        <f t="shared" si="564"/>
        <v>5.3616882378039116E-6</v>
      </c>
      <c r="CM313" s="8">
        <f t="shared" si="565"/>
        <v>26.593707367372488</v>
      </c>
      <c r="CN313" s="7">
        <f t="shared" si="566"/>
        <v>1.3418662547578702E-2</v>
      </c>
      <c r="CO313" s="9">
        <f t="shared" si="567"/>
        <v>0.44621762230402179</v>
      </c>
      <c r="CP313" s="4">
        <f t="shared" si="568"/>
        <v>910.17192261339085</v>
      </c>
      <c r="CQ313" s="6">
        <f t="shared" si="569"/>
        <v>5.3203438452267823E-6</v>
      </c>
      <c r="CR313" s="8">
        <f t="shared" si="570"/>
        <v>26.355977110053992</v>
      </c>
      <c r="CS313" s="7">
        <f t="shared" si="571"/>
        <v>1.3315190203119085E-2</v>
      </c>
      <c r="CT313" s="9">
        <f t="shared" si="572"/>
        <v>0.45024249414722567</v>
      </c>
      <c r="CU313" s="4">
        <f t="shared" si="573"/>
        <v>847.6948259940317</v>
      </c>
      <c r="CV313" s="6">
        <f t="shared" si="574"/>
        <v>5.195389651988064E-6</v>
      </c>
      <c r="CW313" s="8">
        <f t="shared" si="575"/>
        <v>25.637490498931363</v>
      </c>
      <c r="CX313" s="7">
        <f t="shared" si="576"/>
        <v>1.3002468150174419E-2</v>
      </c>
      <c r="CY313" s="9">
        <f t="shared" si="577"/>
        <v>0.46286046874254438</v>
      </c>
      <c r="CZ313" s="5">
        <f t="shared" si="578"/>
        <v>657.07776857555518</v>
      </c>
      <c r="DA313" s="6">
        <f t="shared" si="579"/>
        <v>4.8141555371511111E-6</v>
      </c>
      <c r="DB313" s="8">
        <f t="shared" si="580"/>
        <v>32.488784070054407</v>
      </c>
      <c r="DC313" s="7">
        <f t="shared" si="581"/>
        <v>1.2048355991516489E-2</v>
      </c>
      <c r="DD313" s="9">
        <f t="shared" si="582"/>
        <v>0.36525161557694535</v>
      </c>
    </row>
    <row r="314" spans="2:108" x14ac:dyDescent="0.25">
      <c r="B314">
        <v>47</v>
      </c>
      <c r="C314">
        <f t="shared" si="490"/>
        <v>4.5947889318226819E-2</v>
      </c>
      <c r="D314" s="4">
        <f t="shared" si="491"/>
        <v>1019.2438155534242</v>
      </c>
      <c r="E314" s="6">
        <f t="shared" si="429"/>
        <v>5.5384876311068491E-6</v>
      </c>
      <c r="F314" s="8">
        <f t="shared" si="492"/>
        <v>27.610303878864379</v>
      </c>
      <c r="G314" s="7">
        <f t="shared" si="426"/>
        <v>1.386113724810707E-2</v>
      </c>
      <c r="H314" s="9">
        <f t="shared" si="493"/>
        <v>0.42978812988732579</v>
      </c>
      <c r="I314" s="4">
        <f t="shared" si="494"/>
        <v>1018.9217792605639</v>
      </c>
      <c r="J314" s="6">
        <f t="shared" si="431"/>
        <v>5.537843558521129E-6</v>
      </c>
      <c r="K314" s="8">
        <f t="shared" si="495"/>
        <v>27.606600461496484</v>
      </c>
      <c r="L314" s="7">
        <f t="shared" si="433"/>
        <v>1.3859525331803733E-2</v>
      </c>
      <c r="M314" s="9">
        <f t="shared" si="496"/>
        <v>0.42984578583909572</v>
      </c>
      <c r="N314" s="4">
        <f t="shared" si="497"/>
        <v>1018.0187638811852</v>
      </c>
      <c r="O314" s="6">
        <f t="shared" si="434"/>
        <v>5.5360375277623706E-6</v>
      </c>
      <c r="P314" s="8">
        <f t="shared" si="435"/>
        <v>27.596215784633628</v>
      </c>
      <c r="Q314" s="7">
        <f t="shared" si="427"/>
        <v>1.386113724810707E-2</v>
      </c>
      <c r="R314" s="9">
        <f t="shared" si="498"/>
        <v>0.43000754024852761</v>
      </c>
      <c r="S314" s="4">
        <f t="shared" si="499"/>
        <v>1016.5184123319605</v>
      </c>
      <c r="T314" s="6">
        <f t="shared" si="436"/>
        <v>5.5330368246639213E-6</v>
      </c>
      <c r="U314" s="8">
        <f t="shared" si="437"/>
        <v>27.578961741817544</v>
      </c>
      <c r="V314" s="7">
        <f t="shared" si="438"/>
        <v>1.3847495550002711E-2</v>
      </c>
      <c r="W314" s="9">
        <f t="shared" si="500"/>
        <v>0.43027656301233375</v>
      </c>
      <c r="X314" s="4">
        <f t="shared" si="501"/>
        <v>1014.4189474356971</v>
      </c>
      <c r="Y314" s="6">
        <f t="shared" si="439"/>
        <v>5.5288378948713944E-6</v>
      </c>
      <c r="Z314" s="8">
        <f t="shared" si="440"/>
        <v>27.554817895510517</v>
      </c>
      <c r="AA314" s="7">
        <f t="shared" si="441"/>
        <v>1.3836986915511502E-2</v>
      </c>
      <c r="AB314" s="9">
        <f t="shared" si="502"/>
        <v>0.43065357625358541</v>
      </c>
      <c r="AC314" s="4">
        <f t="shared" si="503"/>
        <v>1011.7195757736531</v>
      </c>
      <c r="AD314" s="6">
        <f t="shared" si="504"/>
        <v>5.5234391515473067E-6</v>
      </c>
      <c r="AE314" s="8">
        <f t="shared" si="505"/>
        <v>27.523775121397009</v>
      </c>
      <c r="AF314" s="7">
        <f t="shared" si="506"/>
        <v>1.382347551543864E-2</v>
      </c>
      <c r="AG314" s="9">
        <f t="shared" si="507"/>
        <v>0.43113929020924197</v>
      </c>
      <c r="AH314" s="4">
        <f t="shared" si="508"/>
        <v>1008.4203458670725</v>
      </c>
      <c r="AI314" s="6">
        <f t="shared" si="509"/>
        <v>5.5168406917341452E-6</v>
      </c>
      <c r="AJ314" s="8">
        <f t="shared" si="510"/>
        <v>27.48583397747133</v>
      </c>
      <c r="AK314" s="7">
        <f t="shared" si="511"/>
        <v>1.3806961592651731E-2</v>
      </c>
      <c r="AL314" s="9">
        <f t="shared" si="512"/>
        <v>0.43173443015934321</v>
      </c>
      <c r="AM314" s="4">
        <f t="shared" si="513"/>
        <v>1004.5212794128303</v>
      </c>
      <c r="AN314" s="6">
        <f t="shared" si="514"/>
        <v>5.5090425588256612E-6</v>
      </c>
      <c r="AO314" s="8">
        <f t="shared" si="515"/>
        <v>27.440994713247548</v>
      </c>
      <c r="AP314" s="7">
        <f t="shared" si="516"/>
        <v>1.3787445255752036E-2</v>
      </c>
      <c r="AQ314" s="9">
        <f t="shared" si="517"/>
        <v>0.43243989489889484</v>
      </c>
      <c r="AR314" s="4">
        <f t="shared" si="518"/>
        <v>1000.0223811891276</v>
      </c>
      <c r="AS314" s="6">
        <f t="shared" si="519"/>
        <v>5.5000447623782564E-6</v>
      </c>
      <c r="AT314" s="8">
        <f t="shared" si="520"/>
        <v>27.389257383674966</v>
      </c>
      <c r="AU314" s="7">
        <f t="shared" si="521"/>
        <v>1.3764926528656298E-2</v>
      </c>
      <c r="AV314" s="9">
        <f t="shared" si="522"/>
        <v>0.43325675842495931</v>
      </c>
      <c r="AW314" s="4">
        <f t="shared" si="523"/>
        <v>994.92365199255505</v>
      </c>
      <c r="AX314" s="6">
        <f t="shared" si="524"/>
        <v>5.4898473039851109E-6</v>
      </c>
      <c r="AY314" s="8">
        <f t="shared" si="525"/>
        <v>27.330621997914385</v>
      </c>
      <c r="AZ314" s="7">
        <f t="shared" si="526"/>
        <v>1.3739405415351761E-2</v>
      </c>
      <c r="BA314" s="9">
        <f t="shared" si="527"/>
        <v>0.43418627174395974</v>
      </c>
      <c r="BB314" s="4">
        <f t="shared" si="528"/>
        <v>989.22509195035741</v>
      </c>
      <c r="BC314" s="6">
        <f t="shared" si="529"/>
        <v>5.4784501839007157E-6</v>
      </c>
      <c r="BD314" s="8">
        <f t="shared" si="530"/>
        <v>27.26508855742911</v>
      </c>
      <c r="BE314" s="7">
        <f t="shared" si="531"/>
        <v>1.3710881916475339E-2</v>
      </c>
      <c r="BF314" s="9">
        <f t="shared" si="532"/>
        <v>0.43522986711460832</v>
      </c>
      <c r="BG314" s="4">
        <f t="shared" si="533"/>
        <v>982.92670074016223</v>
      </c>
      <c r="BH314" s="6">
        <f t="shared" si="534"/>
        <v>5.4658534014803247E-6</v>
      </c>
      <c r="BI314" s="8">
        <f t="shared" si="535"/>
        <v>27.192657058511863</v>
      </c>
      <c r="BJ314" s="7">
        <f t="shared" si="536"/>
        <v>1.3679356030413427E-2</v>
      </c>
      <c r="BK314" s="9">
        <f t="shared" si="537"/>
        <v>0.4363891635960383</v>
      </c>
      <c r="BL314" s="4">
        <f t="shared" si="538"/>
        <v>976.0284717937418</v>
      </c>
      <c r="BM314" s="6">
        <f t="shared" si="539"/>
        <v>5.4520569435874843E-6</v>
      </c>
      <c r="BN314" s="8">
        <f t="shared" si="540"/>
        <v>27.113327425628029</v>
      </c>
      <c r="BO314" s="7">
        <f t="shared" si="541"/>
        <v>1.364482772428951E-2</v>
      </c>
      <c r="BP314" s="9">
        <f t="shared" si="542"/>
        <v>0.43766597450157968</v>
      </c>
      <c r="BQ314" s="4">
        <f t="shared" si="543"/>
        <v>968.53030206811354</v>
      </c>
      <c r="BR314" s="6">
        <f t="shared" si="544"/>
        <v>5.4370606041362273E-6</v>
      </c>
      <c r="BS314" s="8">
        <f t="shared" si="545"/>
        <v>27.027098473783305</v>
      </c>
      <c r="BT314" s="7">
        <f t="shared" si="546"/>
        <v>1.3607296482333565E-2</v>
      </c>
      <c r="BU314" s="9">
        <f t="shared" si="547"/>
        <v>0.4390623315051248</v>
      </c>
      <c r="BV314" s="4">
        <f t="shared" si="548"/>
        <v>960.43079161780202</v>
      </c>
      <c r="BW314" s="6">
        <f t="shared" si="549"/>
        <v>5.4208615832356049E-6</v>
      </c>
      <c r="BX314" s="8">
        <f t="shared" si="550"/>
        <v>26.933954103604723</v>
      </c>
      <c r="BY314" s="7">
        <f t="shared" si="551"/>
        <v>1.3566755297276587E-2</v>
      </c>
      <c r="BZ314" s="9">
        <f t="shared" si="552"/>
        <v>0.44058071919450281</v>
      </c>
      <c r="CA314" s="4">
        <f t="shared" si="553"/>
        <v>951.71367642655332</v>
      </c>
      <c r="CB314" s="6">
        <f t="shared" si="554"/>
        <v>5.4034273528531078E-6</v>
      </c>
      <c r="CC314" s="8">
        <f t="shared" si="555"/>
        <v>26.833707278905365</v>
      </c>
      <c r="CD314" s="7">
        <f t="shared" si="556"/>
        <v>1.3523122761421558E-2</v>
      </c>
      <c r="CE314" s="9">
        <f t="shared" si="557"/>
        <v>0.44222666463409283</v>
      </c>
      <c r="CF314" s="4">
        <f t="shared" si="558"/>
        <v>942.22088343692121</v>
      </c>
      <c r="CG314" s="6">
        <f t="shared" si="559"/>
        <v>5.384441766873843E-6</v>
      </c>
      <c r="CH314" s="8">
        <f t="shared" si="560"/>
        <v>26.724540159524594</v>
      </c>
      <c r="CI314" s="7">
        <f t="shared" si="561"/>
        <v>1.3475607657927189E-2</v>
      </c>
      <c r="CJ314" s="9">
        <f t="shared" si="562"/>
        <v>0.44403311708578319</v>
      </c>
      <c r="CK314" s="4">
        <f t="shared" si="563"/>
        <v>930.70661275695056</v>
      </c>
      <c r="CL314" s="6">
        <f t="shared" si="564"/>
        <v>5.3614132255139017E-6</v>
      </c>
      <c r="CM314" s="8">
        <f t="shared" si="565"/>
        <v>26.59212604670493</v>
      </c>
      <c r="CN314" s="7">
        <f t="shared" si="566"/>
        <v>1.3417974276095465E-2</v>
      </c>
      <c r="CO314" s="9">
        <f t="shared" si="567"/>
        <v>0.44624415696872438</v>
      </c>
      <c r="CP314" s="4">
        <f t="shared" si="568"/>
        <v>909.5799940063232</v>
      </c>
      <c r="CQ314" s="6">
        <f t="shared" si="569"/>
        <v>5.3191599880126462E-6</v>
      </c>
      <c r="CR314" s="8">
        <f t="shared" si="570"/>
        <v>26.349169931072716</v>
      </c>
      <c r="CS314" s="7">
        <f t="shared" si="571"/>
        <v>1.3312227371310065E-2</v>
      </c>
      <c r="CT314" s="9">
        <f t="shared" si="572"/>
        <v>0.45035881209009271</v>
      </c>
      <c r="CU314" s="4">
        <f t="shared" si="573"/>
        <v>845.90033330776259</v>
      </c>
      <c r="CV314" s="6">
        <f t="shared" si="574"/>
        <v>5.1918006666155258E-6</v>
      </c>
      <c r="CW314" s="8">
        <f t="shared" si="575"/>
        <v>25.616853833039269</v>
      </c>
      <c r="CX314" s="7">
        <f t="shared" si="576"/>
        <v>1.2993486019646441E-2</v>
      </c>
      <c r="CY314" s="9">
        <f t="shared" si="577"/>
        <v>0.4632333442295325</v>
      </c>
      <c r="CZ314" s="5">
        <f t="shared" si="578"/>
        <v>654.4089657686493</v>
      </c>
      <c r="DA314" s="6">
        <f t="shared" si="579"/>
        <v>4.8088179315372988E-6</v>
      </c>
      <c r="DB314" s="8">
        <f t="shared" si="580"/>
        <v>33.024679673680907</v>
      </c>
      <c r="DC314" s="7">
        <f t="shared" si="581"/>
        <v>1.203499760039654E-2</v>
      </c>
      <c r="DD314" s="9">
        <f t="shared" si="582"/>
        <v>0.35932463197137371</v>
      </c>
    </row>
    <row r="315" spans="2:108" x14ac:dyDescent="0.25">
      <c r="B315">
        <v>48</v>
      </c>
      <c r="C315">
        <f t="shared" si="490"/>
        <v>4.692550398457207E-2</v>
      </c>
      <c r="D315" s="4">
        <f t="shared" si="491"/>
        <v>1019.2273740071302</v>
      </c>
      <c r="E315" s="6">
        <f t="shared" si="429"/>
        <v>5.5384547480142617E-6</v>
      </c>
      <c r="F315" s="8">
        <f t="shared" si="492"/>
        <v>27.610114801081998</v>
      </c>
      <c r="G315" s="7">
        <f t="shared" si="426"/>
        <v>1.3861054951803484E-2</v>
      </c>
      <c r="H315" s="9">
        <f t="shared" si="493"/>
        <v>0.42979107313428722</v>
      </c>
      <c r="I315" s="4">
        <f t="shared" si="494"/>
        <v>1018.9052360232459</v>
      </c>
      <c r="J315" s="6">
        <f t="shared" si="431"/>
        <v>5.5378104720464924E-6</v>
      </c>
      <c r="K315" s="8">
        <f t="shared" si="495"/>
        <v>27.606410214267328</v>
      </c>
      <c r="L315" s="7">
        <f t="shared" si="433"/>
        <v>1.3859442526497205E-2</v>
      </c>
      <c r="M315" s="9">
        <f t="shared" si="496"/>
        <v>0.4298487480847874</v>
      </c>
      <c r="N315" s="4">
        <f t="shared" si="497"/>
        <v>1018.002157803416</v>
      </c>
      <c r="O315" s="6">
        <f t="shared" si="434"/>
        <v>5.5360043156068319E-6</v>
      </c>
      <c r="P315" s="8">
        <f t="shared" si="435"/>
        <v>27.596024814739284</v>
      </c>
      <c r="Q315" s="7">
        <f t="shared" si="427"/>
        <v>1.3861054951803484E-2</v>
      </c>
      <c r="R315" s="9">
        <f t="shared" si="498"/>
        <v>0.4300105159848911</v>
      </c>
      <c r="S315" s="4">
        <f t="shared" si="499"/>
        <v>1016.5017917800069</v>
      </c>
      <c r="T315" s="6">
        <f t="shared" si="436"/>
        <v>5.5330035835600143E-6</v>
      </c>
      <c r="U315" s="8">
        <f t="shared" si="437"/>
        <v>27.578770605470076</v>
      </c>
      <c r="V315" s="7">
        <f t="shared" si="438"/>
        <v>1.3847412357706507E-2</v>
      </c>
      <c r="W315" s="9">
        <f t="shared" si="500"/>
        <v>0.43027954507023009</v>
      </c>
      <c r="X315" s="4">
        <f t="shared" si="501"/>
        <v>1014.4023338457527</v>
      </c>
      <c r="Y315" s="6">
        <f t="shared" si="439"/>
        <v>5.5288046676915063E-6</v>
      </c>
      <c r="Z315" s="8">
        <f t="shared" si="440"/>
        <v>27.554626839226152</v>
      </c>
      <c r="AA315" s="7">
        <f t="shared" si="441"/>
        <v>1.383690375806285E-2</v>
      </c>
      <c r="AB315" s="9">
        <f t="shared" si="502"/>
        <v>0.43065656228829413</v>
      </c>
      <c r="AC315" s="4">
        <f t="shared" si="503"/>
        <v>1011.7029753855961</v>
      </c>
      <c r="AD315" s="6">
        <f t="shared" si="504"/>
        <v>5.5234059507711931E-6</v>
      </c>
      <c r="AE315" s="8">
        <f t="shared" si="505"/>
        <v>27.523584216934353</v>
      </c>
      <c r="AF315" s="7">
        <f t="shared" si="506"/>
        <v>1.3823392424070545E-2</v>
      </c>
      <c r="AG315" s="9">
        <f t="shared" si="507"/>
        <v>0.43114228060518306</v>
      </c>
      <c r="AH315" s="4">
        <f t="shared" si="508"/>
        <v>1008.4037620181355</v>
      </c>
      <c r="AI315" s="6">
        <f t="shared" si="509"/>
        <v>5.5168075240362717E-6</v>
      </c>
      <c r="AJ315" s="8">
        <f t="shared" si="510"/>
        <v>27.485643263208559</v>
      </c>
      <c r="AK315" s="7">
        <f t="shared" si="511"/>
        <v>1.3806878584068332E-2</v>
      </c>
      <c r="AL315" s="9">
        <f t="shared" si="512"/>
        <v>0.43173742582921976</v>
      </c>
      <c r="AM315" s="4">
        <f t="shared" si="513"/>
        <v>1004.5047154885141</v>
      </c>
      <c r="AN315" s="6">
        <f t="shared" si="514"/>
        <v>5.5090094309770286E-6</v>
      </c>
      <c r="AO315" s="8">
        <f t="shared" si="515"/>
        <v>27.440804228117912</v>
      </c>
      <c r="AP315" s="7">
        <f t="shared" si="516"/>
        <v>1.3787362346899075E-2</v>
      </c>
      <c r="AQ315" s="9">
        <f t="shared" si="517"/>
        <v>0.432442896755865</v>
      </c>
      <c r="AR315" s="4">
        <f t="shared" si="518"/>
        <v>1000.0058407292256</v>
      </c>
      <c r="AS315" s="6">
        <f t="shared" si="519"/>
        <v>5.5000116814584508E-6</v>
      </c>
      <c r="AT315" s="8">
        <f t="shared" si="520"/>
        <v>27.389067168386092</v>
      </c>
      <c r="AU315" s="7">
        <f t="shared" si="521"/>
        <v>1.3764843737251811E-2</v>
      </c>
      <c r="AV315" s="9">
        <f t="shared" si="522"/>
        <v>0.4332597673649482</v>
      </c>
      <c r="AW315" s="4">
        <f t="shared" si="523"/>
        <v>994.90713858140975</v>
      </c>
      <c r="AX315" s="6">
        <f t="shared" si="524"/>
        <v>5.4898142771628204E-6</v>
      </c>
      <c r="AY315" s="8">
        <f t="shared" si="525"/>
        <v>27.330432093686213</v>
      </c>
      <c r="AZ315" s="7">
        <f t="shared" si="526"/>
        <v>1.3739322759336776E-2</v>
      </c>
      <c r="BA315" s="9">
        <f t="shared" si="527"/>
        <v>0.43418928866694639</v>
      </c>
      <c r="BB315" s="4">
        <f t="shared" si="528"/>
        <v>989.20860917707</v>
      </c>
      <c r="BC315" s="6">
        <f t="shared" si="529"/>
        <v>5.4784172183541406E-6</v>
      </c>
      <c r="BD315" s="8">
        <f t="shared" si="530"/>
        <v>27.264899005536304</v>
      </c>
      <c r="BE315" s="7">
        <f t="shared" si="531"/>
        <v>1.3710799413814692E-2</v>
      </c>
      <c r="BF315" s="9">
        <f t="shared" si="532"/>
        <v>0.43523289293344958</v>
      </c>
      <c r="BG315" s="4">
        <f t="shared" si="533"/>
        <v>982.91025211201145</v>
      </c>
      <c r="BH315" s="6">
        <f t="shared" si="534"/>
        <v>5.4658205042240234E-6</v>
      </c>
      <c r="BI315" s="8">
        <f t="shared" si="535"/>
        <v>27.192467899288133</v>
      </c>
      <c r="BJ315" s="7">
        <f t="shared" si="536"/>
        <v>1.3679273698662406E-2</v>
      </c>
      <c r="BK315" s="9">
        <f t="shared" si="537"/>
        <v>0.43639219925413802</v>
      </c>
      <c r="BL315" s="4">
        <f t="shared" si="538"/>
        <v>976.01205952804878</v>
      </c>
      <c r="BM315" s="6">
        <f t="shared" si="539"/>
        <v>5.4520241190560977E-6</v>
      </c>
      <c r="BN315" s="8">
        <f t="shared" si="540"/>
        <v>27.113138684572561</v>
      </c>
      <c r="BO315" s="7">
        <f t="shared" si="541"/>
        <v>1.3644745574546662E-2</v>
      </c>
      <c r="BP315" s="9">
        <f t="shared" si="542"/>
        <v>0.43766902119930551</v>
      </c>
      <c r="BQ315" s="4">
        <f t="shared" si="543"/>
        <v>968.51391129701574</v>
      </c>
      <c r="BR315" s="6">
        <f t="shared" si="544"/>
        <v>5.437027822594032E-6</v>
      </c>
      <c r="BS315" s="8">
        <f t="shared" si="545"/>
        <v>27.026909979915679</v>
      </c>
      <c r="BT315" s="7">
        <f t="shared" si="546"/>
        <v>1.360721444017949E-2</v>
      </c>
      <c r="BU315" s="9">
        <f t="shared" si="547"/>
        <v>0.439065393658995</v>
      </c>
      <c r="BV315" s="4">
        <f t="shared" si="548"/>
        <v>960.4142153293933</v>
      </c>
      <c r="BW315" s="6">
        <f t="shared" si="549"/>
        <v>5.4208284306587873E-6</v>
      </c>
      <c r="BX315" s="8">
        <f t="shared" si="550"/>
        <v>26.933763476288021</v>
      </c>
      <c r="BY315" s="7">
        <f t="shared" si="551"/>
        <v>1.3566672326536558E-2</v>
      </c>
      <c r="BZ315" s="9">
        <f t="shared" si="552"/>
        <v>0.44058383746352464</v>
      </c>
      <c r="CA315" s="4">
        <f t="shared" si="553"/>
        <v>951.69491813145214</v>
      </c>
      <c r="CB315" s="6">
        <f t="shared" si="554"/>
        <v>5.4033898362629052E-6</v>
      </c>
      <c r="CC315" s="8">
        <f t="shared" si="555"/>
        <v>26.8334915585117</v>
      </c>
      <c r="CD315" s="7">
        <f t="shared" si="556"/>
        <v>1.3523028868893398E-2</v>
      </c>
      <c r="CE315" s="9">
        <f t="shared" si="557"/>
        <v>0.44223021979239102</v>
      </c>
      <c r="CF315" s="4">
        <f t="shared" si="558"/>
        <v>942.1846694629927</v>
      </c>
      <c r="CG315" s="6">
        <f t="shared" si="559"/>
        <v>5.3843693389259857E-6</v>
      </c>
      <c r="CH315" s="8">
        <f t="shared" si="560"/>
        <v>26.724123698824414</v>
      </c>
      <c r="CI315" s="7">
        <f t="shared" si="561"/>
        <v>1.3475426392969546E-2</v>
      </c>
      <c r="CJ315" s="9">
        <f t="shared" si="562"/>
        <v>0.44404003676423281</v>
      </c>
      <c r="CK315" s="4">
        <f t="shared" si="563"/>
        <v>930.56414550621014</v>
      </c>
      <c r="CL315" s="6">
        <f t="shared" si="564"/>
        <v>5.3611282910124205E-6</v>
      </c>
      <c r="CM315" s="8">
        <f t="shared" si="565"/>
        <v>26.590487673321416</v>
      </c>
      <c r="CN315" s="7">
        <f t="shared" si="566"/>
        <v>1.3417261172357619E-2</v>
      </c>
      <c r="CO315" s="9">
        <f t="shared" si="567"/>
        <v>0.44627165231060406</v>
      </c>
      <c r="CP315" s="4">
        <f t="shared" si="568"/>
        <v>908.97744128437319</v>
      </c>
      <c r="CQ315" s="6">
        <f t="shared" si="569"/>
        <v>5.3179548825687472E-6</v>
      </c>
      <c r="CR315" s="8">
        <f t="shared" si="570"/>
        <v>26.34224057477029</v>
      </c>
      <c r="CS315" s="7">
        <f t="shared" si="571"/>
        <v>1.330921136169356E-2</v>
      </c>
      <c r="CT315" s="9">
        <f t="shared" si="572"/>
        <v>0.45047727948712568</v>
      </c>
      <c r="CU315" s="4">
        <f t="shared" si="573"/>
        <v>844.10988857249663</v>
      </c>
      <c r="CV315" s="6">
        <f t="shared" si="574"/>
        <v>5.188219777144994E-6</v>
      </c>
      <c r="CW315" s="8">
        <f t="shared" si="575"/>
        <v>25.59626371858371</v>
      </c>
      <c r="CX315" s="7">
        <f t="shared" si="576"/>
        <v>1.298452415068016E-2</v>
      </c>
      <c r="CY315" s="9">
        <f t="shared" si="577"/>
        <v>0.4636059778170819</v>
      </c>
      <c r="CZ315" s="5">
        <f t="shared" si="578"/>
        <v>651.79076869357664</v>
      </c>
      <c r="DA315" s="6">
        <f t="shared" si="579"/>
        <v>4.8035815373871537E-6</v>
      </c>
      <c r="DB315" s="8">
        <f t="shared" si="580"/>
        <v>33.55041364635531</v>
      </c>
      <c r="DC315" s="7">
        <f t="shared" si="581"/>
        <v>1.2021892510553477E-2</v>
      </c>
      <c r="DD315" s="9">
        <f t="shared" si="582"/>
        <v>0.3536940257965196</v>
      </c>
    </row>
    <row r="316" spans="2:108" x14ac:dyDescent="0.25">
      <c r="B316">
        <v>49</v>
      </c>
      <c r="C316">
        <f t="shared" si="490"/>
        <v>4.7903118650917322E-2</v>
      </c>
      <c r="D316" s="4">
        <f t="shared" si="491"/>
        <v>1019.2109272690061</v>
      </c>
      <c r="E316" s="6">
        <f t="shared" si="429"/>
        <v>5.5384218545380125E-6</v>
      </c>
      <c r="F316" s="8">
        <f t="shared" si="492"/>
        <v>27.609925663593572</v>
      </c>
      <c r="G316" s="7">
        <f t="shared" si="426"/>
        <v>1.3860972629512774E-2</v>
      </c>
      <c r="H316" s="9">
        <f t="shared" si="493"/>
        <v>0.42979401735098344</v>
      </c>
      <c r="I316" s="4">
        <f t="shared" si="494"/>
        <v>1018.8886922824037</v>
      </c>
      <c r="J316" s="6">
        <f t="shared" si="431"/>
        <v>5.5377773845648074E-6</v>
      </c>
      <c r="K316" s="8">
        <f t="shared" si="495"/>
        <v>27.606219961247639</v>
      </c>
      <c r="L316" s="7">
        <f t="shared" si="433"/>
        <v>1.3859359718670344E-2</v>
      </c>
      <c r="M316" s="9">
        <f t="shared" si="496"/>
        <v>0.42985171046147092</v>
      </c>
      <c r="N316" s="4">
        <f t="shared" si="497"/>
        <v>1017.9855522273079</v>
      </c>
      <c r="O316" s="6">
        <f t="shared" si="434"/>
        <v>5.5359711044546164E-6</v>
      </c>
      <c r="P316" s="8">
        <f t="shared" si="435"/>
        <v>27.595833850614042</v>
      </c>
      <c r="Q316" s="7">
        <f t="shared" si="427"/>
        <v>1.3860972629512774E-2</v>
      </c>
      <c r="R316" s="9">
        <f t="shared" si="498"/>
        <v>0.43001349167254288</v>
      </c>
      <c r="S316" s="4">
        <f t="shared" si="499"/>
        <v>1016.4851716065367</v>
      </c>
      <c r="T316" s="6">
        <f t="shared" si="436"/>
        <v>5.5329703432130744E-6</v>
      </c>
      <c r="U316" s="8">
        <f t="shared" si="437"/>
        <v>27.578579473475173</v>
      </c>
      <c r="V316" s="7">
        <f t="shared" si="438"/>
        <v>1.3847329167304757E-2</v>
      </c>
      <c r="W316" s="9">
        <f t="shared" si="500"/>
        <v>0.4302825271015524</v>
      </c>
      <c r="X316" s="4">
        <f t="shared" si="501"/>
        <v>1014.3857204769245</v>
      </c>
      <c r="Y316" s="6">
        <f t="shared" si="439"/>
        <v>5.5287714409538498E-6</v>
      </c>
      <c r="Z316" s="8">
        <f t="shared" si="440"/>
        <v>27.554435785484628</v>
      </c>
      <c r="AA316" s="7">
        <f t="shared" si="441"/>
        <v>1.3836820601720966E-2</v>
      </c>
      <c r="AB316" s="9">
        <f t="shared" si="502"/>
        <v>0.43065954832466874</v>
      </c>
      <c r="AC316" s="4">
        <f t="shared" si="503"/>
        <v>1011.6863751846322</v>
      </c>
      <c r="AD316" s="6">
        <f t="shared" si="504"/>
        <v>5.5233727503692657E-6</v>
      </c>
      <c r="AE316" s="8">
        <f t="shared" si="505"/>
        <v>27.52339331462327</v>
      </c>
      <c r="AF316" s="7">
        <f t="shared" si="506"/>
        <v>1.3823309333638921E-2</v>
      </c>
      <c r="AG316" s="9">
        <f t="shared" si="507"/>
        <v>0.43114527100890371</v>
      </c>
      <c r="AH316" s="4">
        <f t="shared" si="508"/>
        <v>1008.3871783576845</v>
      </c>
      <c r="AI316" s="6">
        <f t="shared" si="509"/>
        <v>5.5167743567153701E-6</v>
      </c>
      <c r="AJ316" s="8">
        <f t="shared" si="510"/>
        <v>27.485452551113372</v>
      </c>
      <c r="AK316" s="7">
        <f t="shared" si="511"/>
        <v>1.3806795576428379E-2</v>
      </c>
      <c r="AL316" s="9">
        <f t="shared" si="512"/>
        <v>0.43174042150662029</v>
      </c>
      <c r="AM316" s="4">
        <f t="shared" si="513"/>
        <v>1004.4881517554445</v>
      </c>
      <c r="AN316" s="6">
        <f t="shared" si="514"/>
        <v>5.5089763035108898E-6</v>
      </c>
      <c r="AO316" s="8">
        <f t="shared" si="515"/>
        <v>27.440613745187612</v>
      </c>
      <c r="AP316" s="7">
        <f t="shared" si="516"/>
        <v>1.378727943900338E-2</v>
      </c>
      <c r="AQ316" s="9">
        <f t="shared" si="517"/>
        <v>0.43244589861985122</v>
      </c>
      <c r="AR316" s="4">
        <f t="shared" si="518"/>
        <v>999.98930046173257</v>
      </c>
      <c r="AS316" s="6">
        <f t="shared" si="519"/>
        <v>5.499978600923466E-6</v>
      </c>
      <c r="AT316" s="8">
        <f t="shared" si="520"/>
        <v>27.388876955309925</v>
      </c>
      <c r="AU316" s="7">
        <f t="shared" si="521"/>
        <v>1.376476094681041E-2</v>
      </c>
      <c r="AV316" s="9">
        <f t="shared" si="522"/>
        <v>0.43326277631172844</v>
      </c>
      <c r="AW316" s="4">
        <f t="shared" si="523"/>
        <v>994.89062536310303</v>
      </c>
      <c r="AX316" s="6">
        <f t="shared" si="524"/>
        <v>5.489781250726207E-6</v>
      </c>
      <c r="AY316" s="8">
        <f t="shared" si="525"/>
        <v>27.330242191675683</v>
      </c>
      <c r="AZ316" s="7">
        <f t="shared" si="526"/>
        <v>1.3739240104287022E-2</v>
      </c>
      <c r="BA316" s="9">
        <f t="shared" si="527"/>
        <v>0.4341923055966278</v>
      </c>
      <c r="BB316" s="4">
        <f t="shared" si="528"/>
        <v>989.19212659563289</v>
      </c>
      <c r="BC316" s="6">
        <f t="shared" si="529"/>
        <v>5.4783842531912663E-6</v>
      </c>
      <c r="BD316" s="8">
        <f t="shared" si="530"/>
        <v>27.264709455849776</v>
      </c>
      <c r="BE316" s="7">
        <f t="shared" si="531"/>
        <v>1.3710716912114326E-2</v>
      </c>
      <c r="BF316" s="9">
        <f t="shared" si="532"/>
        <v>0.43523591875914402</v>
      </c>
      <c r="BG316" s="4">
        <f t="shared" si="533"/>
        <v>982.89380365717909</v>
      </c>
      <c r="BH316" s="6">
        <f t="shared" si="534"/>
        <v>5.4657876073143584E-6</v>
      </c>
      <c r="BI316" s="8">
        <f t="shared" si="535"/>
        <v>27.19227874205756</v>
      </c>
      <c r="BJ316" s="7">
        <f t="shared" si="536"/>
        <v>1.3679191367778908E-2</v>
      </c>
      <c r="BK316" s="9">
        <f t="shared" si="537"/>
        <v>0.43639523492248478</v>
      </c>
      <c r="BL316" s="4">
        <f t="shared" si="538"/>
        <v>975.9956471907318</v>
      </c>
      <c r="BM316" s="6">
        <f t="shared" si="539"/>
        <v>5.4519912943814643E-6</v>
      </c>
      <c r="BN316" s="8">
        <f t="shared" si="540"/>
        <v>27.112949942693415</v>
      </c>
      <c r="BO316" s="7">
        <f t="shared" si="541"/>
        <v>1.3644663424445314E-2</v>
      </c>
      <c r="BP316" s="9">
        <f t="shared" si="542"/>
        <v>0.43767206795274544</v>
      </c>
      <c r="BQ316" s="4">
        <f t="shared" si="543"/>
        <v>968.49751771391482</v>
      </c>
      <c r="BR316" s="6">
        <f t="shared" si="544"/>
        <v>5.4369950354278301E-6</v>
      </c>
      <c r="BS316" s="8">
        <f t="shared" si="545"/>
        <v>27.026721453710017</v>
      </c>
      <c r="BT316" s="7">
        <f t="shared" si="546"/>
        <v>1.3607132383950251E-2</v>
      </c>
      <c r="BU316" s="9">
        <f t="shared" si="547"/>
        <v>0.43906845638093284</v>
      </c>
      <c r="BV316" s="4">
        <f t="shared" si="548"/>
        <v>960.3976108239068</v>
      </c>
      <c r="BW316" s="6">
        <f t="shared" si="549"/>
        <v>5.4207952216478144E-6</v>
      </c>
      <c r="BX316" s="8">
        <f t="shared" si="550"/>
        <v>26.933572524474926</v>
      </c>
      <c r="BY316" s="7">
        <f t="shared" si="551"/>
        <v>1.3566589214559133E-2</v>
      </c>
      <c r="BZ316" s="9">
        <f t="shared" si="552"/>
        <v>0.44058696108489009</v>
      </c>
      <c r="CA316" s="4">
        <f t="shared" si="553"/>
        <v>951.67594385908501</v>
      </c>
      <c r="CB316" s="6">
        <f t="shared" si="554"/>
        <v>5.4033518877181707E-6</v>
      </c>
      <c r="CC316" s="8">
        <f t="shared" si="555"/>
        <v>26.833273354379479</v>
      </c>
      <c r="CD316" s="7">
        <f t="shared" si="556"/>
        <v>1.3522933895315415E-2</v>
      </c>
      <c r="CE316" s="9">
        <f t="shared" si="557"/>
        <v>0.44223381594184613</v>
      </c>
      <c r="CF316" s="4">
        <f t="shared" si="558"/>
        <v>942.14720266097504</v>
      </c>
      <c r="CG316" s="6">
        <f t="shared" si="559"/>
        <v>5.3842944053219498E-6</v>
      </c>
      <c r="CH316" s="8">
        <f t="shared" si="560"/>
        <v>26.723692830601212</v>
      </c>
      <c r="CI316" s="7">
        <f t="shared" si="561"/>
        <v>1.347523885712236E-2</v>
      </c>
      <c r="CJ316" s="9">
        <f t="shared" si="562"/>
        <v>0.4440471960570328</v>
      </c>
      <c r="CK316" s="4">
        <f t="shared" si="563"/>
        <v>930.41668780748398</v>
      </c>
      <c r="CL316" s="6">
        <f t="shared" si="564"/>
        <v>5.3608333756149688E-6</v>
      </c>
      <c r="CM316" s="8">
        <f t="shared" si="565"/>
        <v>26.588791909786067</v>
      </c>
      <c r="CN316" s="7">
        <f t="shared" si="566"/>
        <v>1.3416523089495848E-2</v>
      </c>
      <c r="CO316" s="9">
        <f t="shared" si="567"/>
        <v>0.44630011434819555</v>
      </c>
      <c r="CP316" s="4">
        <f t="shared" si="568"/>
        <v>908.36454290531981</v>
      </c>
      <c r="CQ316" s="6">
        <f t="shared" si="569"/>
        <v>5.31672908581064E-6</v>
      </c>
      <c r="CR316" s="8">
        <f t="shared" si="570"/>
        <v>26.335192243411178</v>
      </c>
      <c r="CS316" s="7">
        <f t="shared" si="571"/>
        <v>1.3306143568058527E-2</v>
      </c>
      <c r="CT316" s="9">
        <f t="shared" si="572"/>
        <v>0.4505978448927711</v>
      </c>
      <c r="CU316" s="4">
        <f t="shared" si="573"/>
        <v>842.32394280629046</v>
      </c>
      <c r="CV316" s="6">
        <f t="shared" si="574"/>
        <v>5.1846478856125813E-6</v>
      </c>
      <c r="CW316" s="8">
        <f t="shared" si="575"/>
        <v>25.575725342272339</v>
      </c>
      <c r="CX316" s="7">
        <f t="shared" si="576"/>
        <v>1.2975584800795538E-2</v>
      </c>
      <c r="CY316" s="9">
        <f t="shared" si="577"/>
        <v>0.4639782727923048</v>
      </c>
      <c r="CZ316" s="5">
        <f t="shared" si="578"/>
        <v>649.22134416977087</v>
      </c>
      <c r="DA316" s="6">
        <f t="shared" si="579"/>
        <v>4.7840159363062325E-6</v>
      </c>
      <c r="DB316" s="8">
        <f t="shared" si="580"/>
        <v>34.667581019076643</v>
      </c>
      <c r="DC316" s="7">
        <f t="shared" si="581"/>
        <v>1.1972925807007701E-2</v>
      </c>
      <c r="DD316" s="9">
        <f t="shared" si="582"/>
        <v>0.34229618914535848</v>
      </c>
    </row>
    <row r="317" spans="2:108" x14ac:dyDescent="0.25">
      <c r="B317">
        <v>50</v>
      </c>
      <c r="C317">
        <f t="shared" si="490"/>
        <v>4.8880733317262573E-2</v>
      </c>
      <c r="D317" s="4">
        <f t="shared" si="491"/>
        <v>1019.1944755784133</v>
      </c>
      <c r="E317" s="6">
        <f t="shared" si="429"/>
        <v>5.5383889511568269E-6</v>
      </c>
      <c r="F317" s="8">
        <f t="shared" si="492"/>
        <v>27.609736469151752</v>
      </c>
      <c r="G317" s="7">
        <f t="shared" si="426"/>
        <v>1.3860890282433046E-2</v>
      </c>
      <c r="H317" s="9">
        <f t="shared" si="493"/>
        <v>0.42979696249460336</v>
      </c>
      <c r="I317" s="4">
        <f t="shared" si="494"/>
        <v>1018.8721480264809</v>
      </c>
      <c r="J317" s="6">
        <f t="shared" si="431"/>
        <v>5.5377442960529625E-6</v>
      </c>
      <c r="K317" s="8">
        <f t="shared" si="495"/>
        <v>27.606029702304529</v>
      </c>
      <c r="L317" s="7">
        <f t="shared" si="433"/>
        <v>1.3859276908265309E-2</v>
      </c>
      <c r="M317" s="9">
        <f t="shared" si="496"/>
        <v>0.42985467297121999</v>
      </c>
      <c r="N317" s="4">
        <f t="shared" si="497"/>
        <v>1017.968947140277</v>
      </c>
      <c r="O317" s="6">
        <f t="shared" si="434"/>
        <v>5.5359378942805545E-6</v>
      </c>
      <c r="P317" s="8">
        <f t="shared" si="435"/>
        <v>27.595642892113183</v>
      </c>
      <c r="Q317" s="7">
        <f t="shared" si="427"/>
        <v>1.3860890282433046E-2</v>
      </c>
      <c r="R317" s="9">
        <f t="shared" si="498"/>
        <v>0.43001646731373522</v>
      </c>
      <c r="S317" s="4">
        <f t="shared" si="499"/>
        <v>1016.4685518104543</v>
      </c>
      <c r="T317" s="6">
        <f t="shared" si="436"/>
        <v>5.5329371036209095E-6</v>
      </c>
      <c r="U317" s="8">
        <f t="shared" si="437"/>
        <v>27.578388345820223</v>
      </c>
      <c r="V317" s="7">
        <f t="shared" si="438"/>
        <v>1.3847245978791979E-2</v>
      </c>
      <c r="W317" s="9">
        <f t="shared" si="500"/>
        <v>0.43028550910649555</v>
      </c>
      <c r="X317" s="4">
        <f t="shared" si="501"/>
        <v>1014.3691073305855</v>
      </c>
      <c r="Y317" s="6">
        <f t="shared" si="439"/>
        <v>5.5287382146611719E-6</v>
      </c>
      <c r="Z317" s="8">
        <f t="shared" si="440"/>
        <v>27.554244734301733</v>
      </c>
      <c r="AA317" s="7">
        <f t="shared" si="441"/>
        <v>1.383673744649273E-2</v>
      </c>
      <c r="AB317" s="9">
        <f t="shared" si="502"/>
        <v>0.43066253436246166</v>
      </c>
      <c r="AC317" s="4">
        <f t="shared" si="503"/>
        <v>1011.6697751712037</v>
      </c>
      <c r="AD317" s="6">
        <f t="shared" si="504"/>
        <v>5.5233395503424078E-6</v>
      </c>
      <c r="AE317" s="8">
        <f t="shared" si="505"/>
        <v>27.523202414468841</v>
      </c>
      <c r="AF317" s="7">
        <f t="shared" si="506"/>
        <v>1.3823226244145982E-2</v>
      </c>
      <c r="AG317" s="9">
        <f t="shared" si="507"/>
        <v>0.43114826142032375</v>
      </c>
      <c r="AH317" s="4">
        <f t="shared" si="508"/>
        <v>1008.3705948857412</v>
      </c>
      <c r="AI317" s="6">
        <f t="shared" si="509"/>
        <v>5.516741189771483E-6</v>
      </c>
      <c r="AJ317" s="8">
        <f t="shared" si="510"/>
        <v>27.485261841186023</v>
      </c>
      <c r="AK317" s="7">
        <f t="shared" si="511"/>
        <v>1.3806712569731977E-2</v>
      </c>
      <c r="AL317" s="9">
        <f t="shared" si="512"/>
        <v>0.43174341719154025</v>
      </c>
      <c r="AM317" s="4">
        <f t="shared" si="513"/>
        <v>1004.4715882136011</v>
      </c>
      <c r="AN317" s="6">
        <f t="shared" si="514"/>
        <v>5.5089431764272026E-6</v>
      </c>
      <c r="AO317" s="8">
        <f t="shared" si="515"/>
        <v>27.440423264456413</v>
      </c>
      <c r="AP317" s="7">
        <f t="shared" si="516"/>
        <v>1.3787196532064842E-2</v>
      </c>
      <c r="AQ317" s="9">
        <f t="shared" si="517"/>
        <v>0.4324489004908566</v>
      </c>
      <c r="AR317" s="4">
        <f t="shared" si="518"/>
        <v>999.97276038663745</v>
      </c>
      <c r="AS317" s="6">
        <f t="shared" si="519"/>
        <v>5.4999455207732754E-6</v>
      </c>
      <c r="AT317" s="8">
        <f t="shared" si="520"/>
        <v>27.388686744446332</v>
      </c>
      <c r="AU317" s="7">
        <f t="shared" si="521"/>
        <v>1.3764678157332033E-2</v>
      </c>
      <c r="AV317" s="9">
        <f t="shared" si="522"/>
        <v>0.43326578526530168</v>
      </c>
      <c r="AW317" s="4">
        <f t="shared" si="523"/>
        <v>994.8741123376127</v>
      </c>
      <c r="AX317" s="6">
        <f t="shared" si="524"/>
        <v>5.4897482246752256E-6</v>
      </c>
      <c r="AY317" s="8">
        <f t="shared" si="525"/>
        <v>27.330052291882545</v>
      </c>
      <c r="AZ317" s="7">
        <f t="shared" si="526"/>
        <v>1.3739157450202386E-2</v>
      </c>
      <c r="BA317" s="9">
        <f t="shared" si="527"/>
        <v>0.43419532253300736</v>
      </c>
      <c r="BB317" s="4">
        <f t="shared" si="528"/>
        <v>989.17564420578935</v>
      </c>
      <c r="BC317" s="6">
        <f t="shared" si="529"/>
        <v>5.4783512884115786E-6</v>
      </c>
      <c r="BD317" s="8">
        <f t="shared" si="530"/>
        <v>27.264519908366577</v>
      </c>
      <c r="BE317" s="7">
        <f t="shared" si="531"/>
        <v>1.3710634411372963E-2</v>
      </c>
      <c r="BF317" s="9">
        <f t="shared" si="532"/>
        <v>0.43523894459173801</v>
      </c>
      <c r="BG317" s="4">
        <f t="shared" si="533"/>
        <v>982.87735537239462</v>
      </c>
      <c r="BH317" s="6">
        <f t="shared" si="534"/>
        <v>5.4657547107447898E-6</v>
      </c>
      <c r="BI317" s="8">
        <f t="shared" si="535"/>
        <v>27.192089586782537</v>
      </c>
      <c r="BJ317" s="7">
        <f t="shared" si="536"/>
        <v>1.367910903774657E-2</v>
      </c>
      <c r="BK317" s="9">
        <f t="shared" si="537"/>
        <v>0.43639827060168179</v>
      </c>
      <c r="BL317" s="4">
        <f t="shared" si="538"/>
        <v>975.97923474595507</v>
      </c>
      <c r="BM317" s="6">
        <f t="shared" si="539"/>
        <v>5.4519584694919106E-6</v>
      </c>
      <c r="BN317" s="8">
        <f t="shared" si="540"/>
        <v>27.112761199578483</v>
      </c>
      <c r="BO317" s="7">
        <f t="shared" si="541"/>
        <v>1.3644581273806085E-2</v>
      </c>
      <c r="BP317" s="9">
        <f t="shared" si="542"/>
        <v>0.43767511476855359</v>
      </c>
      <c r="BQ317" s="4">
        <f t="shared" si="543"/>
        <v>968.48112099482569</v>
      </c>
      <c r="BR317" s="6">
        <f t="shared" si="544"/>
        <v>5.4369622419896516E-6</v>
      </c>
      <c r="BS317" s="8">
        <f t="shared" si="545"/>
        <v>27.026532891440496</v>
      </c>
      <c r="BT317" s="7">
        <f t="shared" si="546"/>
        <v>1.3607050312024175E-2</v>
      </c>
      <c r="BU317" s="9">
        <f t="shared" si="547"/>
        <v>0.43907151973149072</v>
      </c>
      <c r="BV317" s="4">
        <f t="shared" si="548"/>
        <v>960.38097578893792</v>
      </c>
      <c r="BW317" s="6">
        <f t="shared" si="549"/>
        <v>5.4207619515778768E-6</v>
      </c>
      <c r="BX317" s="8">
        <f t="shared" si="550"/>
        <v>26.933381221572787</v>
      </c>
      <c r="BY317" s="7">
        <f t="shared" si="551"/>
        <v>1.356650594976983E-2</v>
      </c>
      <c r="BZ317" s="9">
        <f t="shared" si="552"/>
        <v>0.44059009049384196</v>
      </c>
      <c r="CA317" s="4">
        <f t="shared" si="553"/>
        <v>951.65674153933298</v>
      </c>
      <c r="CB317" s="6">
        <f t="shared" si="554"/>
        <v>5.4033134830786668E-6</v>
      </c>
      <c r="CC317" s="8">
        <f t="shared" si="555"/>
        <v>26.833052527702328</v>
      </c>
      <c r="CD317" s="7">
        <f t="shared" si="556"/>
        <v>1.3522837780271999E-2</v>
      </c>
      <c r="CE317" s="9">
        <f t="shared" si="557"/>
        <v>0.44223745537213449</v>
      </c>
      <c r="CF317" s="4">
        <f t="shared" si="558"/>
        <v>942.10844451203832</v>
      </c>
      <c r="CG317" s="6">
        <f t="shared" si="559"/>
        <v>5.3842168890240776E-6</v>
      </c>
      <c r="CH317" s="8">
        <f t="shared" si="560"/>
        <v>26.72324711188844</v>
      </c>
      <c r="CI317" s="7">
        <f t="shared" si="561"/>
        <v>1.3475044857583978E-2</v>
      </c>
      <c r="CJ317" s="9">
        <f t="shared" si="562"/>
        <v>0.44405460234803507</v>
      </c>
      <c r="CK317" s="4">
        <f t="shared" si="563"/>
        <v>930.26421447205666</v>
      </c>
      <c r="CL317" s="6">
        <f t="shared" si="564"/>
        <v>5.3605284289441139E-6</v>
      </c>
      <c r="CM317" s="8">
        <f t="shared" si="565"/>
        <v>26.587038466428652</v>
      </c>
      <c r="CN317" s="7">
        <f t="shared" si="566"/>
        <v>1.3415759901430872E-2</v>
      </c>
      <c r="CO317" s="9">
        <f t="shared" si="567"/>
        <v>0.44632954831361843</v>
      </c>
      <c r="CP317" s="4">
        <f t="shared" si="568"/>
        <v>907.7415757098529</v>
      </c>
      <c r="CQ317" s="6">
        <f t="shared" si="569"/>
        <v>5.3154831514197063E-6</v>
      </c>
      <c r="CR317" s="8">
        <f t="shared" si="570"/>
        <v>26.328028120663305</v>
      </c>
      <c r="CS317" s="7">
        <f t="shared" si="571"/>
        <v>1.3303025376099793E-2</v>
      </c>
      <c r="CT317" s="9">
        <f t="shared" si="572"/>
        <v>0.4507204571239623</v>
      </c>
      <c r="CU317" s="4">
        <f t="shared" si="573"/>
        <v>840.54291306412347</v>
      </c>
      <c r="CV317" s="6">
        <f t="shared" si="574"/>
        <v>5.181085826128247E-6</v>
      </c>
      <c r="CW317" s="8">
        <f t="shared" si="575"/>
        <v>25.555243500237417</v>
      </c>
      <c r="CX317" s="7">
        <f t="shared" si="576"/>
        <v>1.2966670057514182E-2</v>
      </c>
      <c r="CY317" s="9">
        <f t="shared" si="577"/>
        <v>0.46435013892971333</v>
      </c>
      <c r="CZ317" s="5">
        <f t="shared" si="578"/>
        <v>646.69894377250807</v>
      </c>
      <c r="DA317" s="6">
        <f t="shared" si="579"/>
        <v>4.8298779544397096E-6</v>
      </c>
      <c r="DB317" s="8">
        <f t="shared" si="580"/>
        <v>34.740730630597263</v>
      </c>
      <c r="DC317" s="7">
        <f t="shared" si="581"/>
        <v>1.2087704383789727E-2</v>
      </c>
      <c r="DD317" s="9">
        <f t="shared" si="582"/>
        <v>0.34157545492916674</v>
      </c>
    </row>
    <row r="318" spans="2:108" x14ac:dyDescent="0.25">
      <c r="B318">
        <v>51</v>
      </c>
      <c r="C318">
        <f t="shared" si="490"/>
        <v>4.9858347983607824E-2</v>
      </c>
      <c r="D318" s="4">
        <f t="shared" si="491"/>
        <v>1019.1780191619024</v>
      </c>
      <c r="E318" s="6">
        <f t="shared" si="429"/>
        <v>5.5383560383238048E-6</v>
      </c>
      <c r="F318" s="8">
        <f t="shared" si="492"/>
        <v>27.609547220361875</v>
      </c>
      <c r="G318" s="7">
        <f t="shared" si="426"/>
        <v>1.3860807911698265E-2</v>
      </c>
      <c r="H318" s="9">
        <f t="shared" si="493"/>
        <v>0.42979990852462679</v>
      </c>
      <c r="I318" s="4">
        <f t="shared" si="494"/>
        <v>1018.8556032456379</v>
      </c>
      <c r="J318" s="6">
        <f t="shared" si="431"/>
        <v>5.5377112064912763E-6</v>
      </c>
      <c r="K318" s="8">
        <f t="shared" si="495"/>
        <v>27.605839437324835</v>
      </c>
      <c r="L318" s="7">
        <f t="shared" si="433"/>
        <v>1.3859194095232841E-2</v>
      </c>
      <c r="M318" s="9">
        <f t="shared" si="496"/>
        <v>0.42985763561580137</v>
      </c>
      <c r="N318" s="4">
        <f t="shared" si="497"/>
        <v>1017.9523425299492</v>
      </c>
      <c r="O318" s="6">
        <f t="shared" si="434"/>
        <v>5.5359046850598985E-6</v>
      </c>
      <c r="P318" s="8">
        <f t="shared" si="435"/>
        <v>27.595451939094417</v>
      </c>
      <c r="Q318" s="7">
        <f t="shared" si="427"/>
        <v>1.3860807911698265E-2</v>
      </c>
      <c r="R318" s="9">
        <f t="shared" si="498"/>
        <v>0.43001944291068267</v>
      </c>
      <c r="S318" s="4">
        <f t="shared" si="499"/>
        <v>1016.4519323905701</v>
      </c>
      <c r="T318" s="6">
        <f t="shared" si="436"/>
        <v>5.5329038647811402E-6</v>
      </c>
      <c r="U318" s="8">
        <f t="shared" si="437"/>
        <v>27.578197222491553</v>
      </c>
      <c r="V318" s="7">
        <f t="shared" si="438"/>
        <v>1.3847162792162217E-2</v>
      </c>
      <c r="W318" s="9">
        <f t="shared" si="500"/>
        <v>0.43028849108527084</v>
      </c>
      <c r="X318" s="4">
        <f t="shared" si="501"/>
        <v>1014.3524944080644</v>
      </c>
      <c r="Y318" s="6">
        <f t="shared" si="439"/>
        <v>5.5287049888161289E-6</v>
      </c>
      <c r="Z318" s="8">
        <f t="shared" si="440"/>
        <v>27.55405368569274</v>
      </c>
      <c r="AA318" s="7">
        <f t="shared" si="441"/>
        <v>1.3836654292384785E-2</v>
      </c>
      <c r="AB318" s="9">
        <f t="shared" si="502"/>
        <v>0.43066552040143341</v>
      </c>
      <c r="AC318" s="4">
        <f t="shared" si="503"/>
        <v>1011.6531753457584</v>
      </c>
      <c r="AD318" s="6">
        <f t="shared" si="504"/>
        <v>5.5233063506915174E-6</v>
      </c>
      <c r="AE318" s="8">
        <f t="shared" si="505"/>
        <v>27.52301151647622</v>
      </c>
      <c r="AF318" s="7">
        <f t="shared" si="506"/>
        <v>1.3823143155593975E-2</v>
      </c>
      <c r="AG318" s="9">
        <f t="shared" si="507"/>
        <v>0.43115125183936198</v>
      </c>
      <c r="AH318" s="4">
        <f t="shared" si="508"/>
        <v>1008.3540116023316</v>
      </c>
      <c r="AI318" s="6">
        <f t="shared" si="509"/>
        <v>5.5167080232046635E-6</v>
      </c>
      <c r="AJ318" s="8">
        <f t="shared" si="510"/>
        <v>27.485071133426814</v>
      </c>
      <c r="AK318" s="7">
        <f t="shared" si="511"/>
        <v>1.3806629563979262E-2</v>
      </c>
      <c r="AL318" s="9">
        <f t="shared" si="512"/>
        <v>0.43174641288397436</v>
      </c>
      <c r="AM318" s="4">
        <f t="shared" si="513"/>
        <v>1004.455024862964</v>
      </c>
      <c r="AN318" s="6">
        <f t="shared" si="514"/>
        <v>5.5089100497259286E-6</v>
      </c>
      <c r="AO318" s="8">
        <f t="shared" si="515"/>
        <v>27.440232785924085</v>
      </c>
      <c r="AP318" s="7">
        <f t="shared" si="516"/>
        <v>1.3787113626083368E-2</v>
      </c>
      <c r="AQ318" s="9">
        <f t="shared" si="517"/>
        <v>0.43245190236888426</v>
      </c>
      <c r="AR318" s="4">
        <f t="shared" si="518"/>
        <v>999.9562205039291</v>
      </c>
      <c r="AS318" s="6">
        <f t="shared" si="519"/>
        <v>5.499912441007859E-6</v>
      </c>
      <c r="AT318" s="8">
        <f t="shared" si="520"/>
        <v>27.388496535795184</v>
      </c>
      <c r="AU318" s="7">
        <f t="shared" si="521"/>
        <v>1.3764595368816628E-2</v>
      </c>
      <c r="AV318" s="9">
        <f t="shared" si="522"/>
        <v>0.43326879422566922</v>
      </c>
      <c r="AW318" s="4">
        <f t="shared" si="523"/>
        <v>994.85759950491331</v>
      </c>
      <c r="AX318" s="6">
        <f t="shared" si="524"/>
        <v>5.4897151990098272E-6</v>
      </c>
      <c r="AY318" s="8">
        <f t="shared" si="525"/>
        <v>27.329862394306502</v>
      </c>
      <c r="AZ318" s="7">
        <f t="shared" si="526"/>
        <v>1.3739074797082746E-2</v>
      </c>
      <c r="BA318" s="9">
        <f t="shared" si="527"/>
        <v>0.43419833947608921</v>
      </c>
      <c r="BB318" s="4">
        <f t="shared" si="528"/>
        <v>989.15916200724223</v>
      </c>
      <c r="BC318" s="6">
        <f t="shared" si="529"/>
        <v>5.4783183240144848E-6</v>
      </c>
      <c r="BD318" s="8">
        <f t="shared" si="530"/>
        <v>27.264330363083285</v>
      </c>
      <c r="BE318" s="7">
        <f t="shared" si="531"/>
        <v>1.3710551911589115E-2</v>
      </c>
      <c r="BF318" s="9">
        <f t="shared" si="532"/>
        <v>0.43524197043128565</v>
      </c>
      <c r="BG318" s="4">
        <f t="shared" si="533"/>
        <v>982.86090725396036</v>
      </c>
      <c r="BH318" s="6">
        <f t="shared" si="534"/>
        <v>5.4657218145079214E-6</v>
      </c>
      <c r="BI318" s="8">
        <f t="shared" si="535"/>
        <v>27.191900433420543</v>
      </c>
      <c r="BJ318" s="7">
        <f t="shared" si="536"/>
        <v>1.3679026708546878E-2</v>
      </c>
      <c r="BK318" s="9">
        <f t="shared" si="537"/>
        <v>0.43640130629241086</v>
      </c>
      <c r="BL318" s="4">
        <f t="shared" si="538"/>
        <v>975.96282215420445</v>
      </c>
      <c r="BM318" s="6">
        <f t="shared" si="539"/>
        <v>5.4519256443084095E-6</v>
      </c>
      <c r="BN318" s="8">
        <f t="shared" si="540"/>
        <v>27.11257245477335</v>
      </c>
      <c r="BO318" s="7">
        <f t="shared" si="541"/>
        <v>1.3644499122431196E-2</v>
      </c>
      <c r="BP318" s="9">
        <f t="shared" si="542"/>
        <v>0.43767816165406714</v>
      </c>
      <c r="BQ318" s="4">
        <f t="shared" si="543"/>
        <v>968.46472079137527</v>
      </c>
      <c r="BR318" s="6">
        <f t="shared" si="544"/>
        <v>5.436929441582751E-6</v>
      </c>
      <c r="BS318" s="8">
        <f t="shared" si="545"/>
        <v>27.026344289100813</v>
      </c>
      <c r="BT318" s="7">
        <f t="shared" si="546"/>
        <v>1.3606968222657523E-2</v>
      </c>
      <c r="BU318" s="9">
        <f t="shared" si="547"/>
        <v>0.43907458377578112</v>
      </c>
      <c r="BV318" s="4">
        <f t="shared" si="548"/>
        <v>960.36430780070134</v>
      </c>
      <c r="BW318" s="6">
        <f t="shared" si="549"/>
        <v>5.4207286156014025E-6</v>
      </c>
      <c r="BX318" s="8">
        <f t="shared" si="550"/>
        <v>26.933189539708067</v>
      </c>
      <c r="BY318" s="7">
        <f t="shared" si="551"/>
        <v>1.3566422520036663E-2</v>
      </c>
      <c r="BZ318" s="9">
        <f t="shared" si="552"/>
        <v>0.44059322614660223</v>
      </c>
      <c r="CA318" s="4">
        <f t="shared" si="553"/>
        <v>951.63729885951409</v>
      </c>
      <c r="CB318" s="6">
        <f t="shared" si="554"/>
        <v>5.403274597719029E-6</v>
      </c>
      <c r="CC318" s="8">
        <f t="shared" si="555"/>
        <v>26.832828936884411</v>
      </c>
      <c r="CD318" s="7">
        <f t="shared" si="556"/>
        <v>1.3522740462133405E-2</v>
      </c>
      <c r="CE318" s="9">
        <f t="shared" si="557"/>
        <v>0.44224114041908175</v>
      </c>
      <c r="CF318" s="4">
        <f t="shared" si="558"/>
        <v>942.06835703105935</v>
      </c>
      <c r="CG318" s="6">
        <f t="shared" si="559"/>
        <v>5.3841367140621195E-6</v>
      </c>
      <c r="CH318" s="8">
        <f t="shared" si="560"/>
        <v>26.722786105857182</v>
      </c>
      <c r="CI318" s="7">
        <f t="shared" si="561"/>
        <v>1.3474844204224146E-2</v>
      </c>
      <c r="CJ318" s="9">
        <f t="shared" si="562"/>
        <v>0.44406226292089152</v>
      </c>
      <c r="CK318" s="4">
        <f t="shared" si="563"/>
        <v>930.10670433691405</v>
      </c>
      <c r="CL318" s="6">
        <f t="shared" si="564"/>
        <v>5.3602134086738286E-6</v>
      </c>
      <c r="CM318" s="8">
        <f t="shared" si="565"/>
        <v>26.585227099874508</v>
      </c>
      <c r="CN318" s="7">
        <f t="shared" si="566"/>
        <v>1.3414971502233619E-2</v>
      </c>
      <c r="CO318" s="9">
        <f t="shared" si="567"/>
        <v>0.44635995867697187</v>
      </c>
      <c r="CP318" s="4">
        <f t="shared" si="568"/>
        <v>907.10881454757975</v>
      </c>
      <c r="CQ318" s="6">
        <f t="shared" si="569"/>
        <v>5.3142176290951593E-6</v>
      </c>
      <c r="CR318" s="8">
        <f t="shared" si="570"/>
        <v>26.320751367297166</v>
      </c>
      <c r="CS318" s="7">
        <f t="shared" si="571"/>
        <v>1.3299858161546028E-2</v>
      </c>
      <c r="CT318" s="9">
        <f t="shared" si="572"/>
        <v>0.45084506532977664</v>
      </c>
      <c r="CU318" s="4">
        <f t="shared" si="573"/>
        <v>838.76718450209501</v>
      </c>
      <c r="CV318" s="6">
        <f t="shared" si="574"/>
        <v>5.1775343690041899E-6</v>
      </c>
      <c r="CW318" s="8">
        <f t="shared" si="575"/>
        <v>25.53482262177409</v>
      </c>
      <c r="CX318" s="7">
        <f t="shared" si="576"/>
        <v>1.2957781848691464E-2</v>
      </c>
      <c r="CY318" s="9">
        <f t="shared" si="577"/>
        <v>0.46472149211637798</v>
      </c>
      <c r="CZ318" s="5">
        <f t="shared" si="578"/>
        <v>644.2218995020994</v>
      </c>
      <c r="DA318" s="6">
        <f t="shared" si="579"/>
        <v>4.8746963963997057E-6</v>
      </c>
      <c r="DB318" s="8">
        <f t="shared" si="580"/>
        <v>34.812564914439115</v>
      </c>
      <c r="DC318" s="7">
        <f t="shared" si="581"/>
        <v>1.2199871209217785E-2</v>
      </c>
      <c r="DD318" s="9">
        <f t="shared" si="582"/>
        <v>0.34087062814484054</v>
      </c>
    </row>
    <row r="319" spans="2:108" x14ac:dyDescent="0.25">
      <c r="B319">
        <v>52</v>
      </c>
      <c r="C319">
        <f t="shared" si="490"/>
        <v>5.0835962649953076E-2</v>
      </c>
      <c r="D319" s="4">
        <f t="shared" si="491"/>
        <v>1019.161558233955</v>
      </c>
      <c r="E319" s="6">
        <f t="shared" si="429"/>
        <v>5.5383231164679107E-6</v>
      </c>
      <c r="F319" s="8">
        <f t="shared" si="492"/>
        <v>27.609357919690481</v>
      </c>
      <c r="G319" s="7">
        <f t="shared" si="426"/>
        <v>1.3860725518382003E-2</v>
      </c>
      <c r="H319" s="9">
        <f t="shared" si="493"/>
        <v>0.42980285540269203</v>
      </c>
      <c r="I319" s="4">
        <f t="shared" si="494"/>
        <v>1018.8390579316194</v>
      </c>
      <c r="J319" s="6">
        <f t="shared" si="431"/>
        <v>5.5376781158632399E-6</v>
      </c>
      <c r="K319" s="8">
        <f t="shared" si="495"/>
        <v>27.605649166213624</v>
      </c>
      <c r="L319" s="7">
        <f t="shared" si="433"/>
        <v>1.3859111279531627E-2</v>
      </c>
      <c r="M319" s="9">
        <f t="shared" si="496"/>
        <v>0.4298605983966981</v>
      </c>
      <c r="N319" s="4">
        <f t="shared" si="497"/>
        <v>1017.9357383841708</v>
      </c>
      <c r="O319" s="6">
        <f t="shared" si="434"/>
        <v>5.535871476768342E-6</v>
      </c>
      <c r="P319" s="8">
        <f t="shared" si="435"/>
        <v>27.595260991417963</v>
      </c>
      <c r="Q319" s="7">
        <f t="shared" si="427"/>
        <v>1.3860725518382003E-2</v>
      </c>
      <c r="R319" s="9">
        <f t="shared" si="498"/>
        <v>0.43002241846556072</v>
      </c>
      <c r="S319" s="4">
        <f t="shared" si="499"/>
        <v>1016.4353133456044</v>
      </c>
      <c r="T319" s="6">
        <f t="shared" si="436"/>
        <v>5.5328706266912093E-6</v>
      </c>
      <c r="U319" s="8">
        <f t="shared" si="437"/>
        <v>27.578006103474451</v>
      </c>
      <c r="V319" s="7">
        <f t="shared" si="438"/>
        <v>1.3847079607409073E-2</v>
      </c>
      <c r="W319" s="9">
        <f t="shared" si="500"/>
        <v>0.430291473038106</v>
      </c>
      <c r="X319" s="4">
        <f t="shared" si="501"/>
        <v>1014.3358817106455</v>
      </c>
      <c r="Y319" s="6">
        <f t="shared" si="439"/>
        <v>5.5286717634212916E-6</v>
      </c>
      <c r="Z319" s="8">
        <f t="shared" si="440"/>
        <v>27.553862639672424</v>
      </c>
      <c r="AA319" s="7">
        <f t="shared" si="441"/>
        <v>1.3836571139403567E-2</v>
      </c>
      <c r="AB319" s="9">
        <f t="shared" si="502"/>
        <v>0.43066850644135224</v>
      </c>
      <c r="AC319" s="4">
        <f t="shared" si="503"/>
        <v>1011.6365757087485</v>
      </c>
      <c r="AD319" s="6">
        <f t="shared" si="504"/>
        <v>5.5232731514174973E-6</v>
      </c>
      <c r="AE319" s="8">
        <f t="shared" si="505"/>
        <v>27.522820620650606</v>
      </c>
      <c r="AF319" s="7">
        <f t="shared" si="506"/>
        <v>1.3823060067985157E-2</v>
      </c>
      <c r="AG319" s="9">
        <f t="shared" si="507"/>
        <v>0.43115424226593629</v>
      </c>
      <c r="AH319" s="4">
        <f t="shared" si="508"/>
        <v>1008.3374285074867</v>
      </c>
      <c r="AI319" s="6">
        <f t="shared" si="509"/>
        <v>5.5166748570149736E-6</v>
      </c>
      <c r="AJ319" s="8">
        <f t="shared" si="510"/>
        <v>27.484880427836096</v>
      </c>
      <c r="AK319" s="7">
        <f t="shared" si="511"/>
        <v>1.3806546559170383E-2</v>
      </c>
      <c r="AL319" s="9">
        <f t="shared" si="512"/>
        <v>0.43174940858391658</v>
      </c>
      <c r="AM319" s="4">
        <f t="shared" si="513"/>
        <v>1004.4384617035143</v>
      </c>
      <c r="AN319" s="6">
        <f t="shared" si="514"/>
        <v>5.5088769234070291E-6</v>
      </c>
      <c r="AO319" s="8">
        <f t="shared" si="515"/>
        <v>27.440042309590414</v>
      </c>
      <c r="AP319" s="7">
        <f t="shared" si="516"/>
        <v>1.3787030721058862E-2</v>
      </c>
      <c r="AQ319" s="9">
        <f t="shared" si="517"/>
        <v>0.43245490425393684</v>
      </c>
      <c r="AR319" s="4">
        <f t="shared" si="518"/>
        <v>999.93968081359583</v>
      </c>
      <c r="AS319" s="6">
        <f t="shared" si="519"/>
        <v>5.4998793616271928E-6</v>
      </c>
      <c r="AT319" s="8">
        <f t="shared" si="520"/>
        <v>27.388306329356354</v>
      </c>
      <c r="AU319" s="7">
        <f t="shared" si="521"/>
        <v>1.3764512581264134E-2</v>
      </c>
      <c r="AV319" s="9">
        <f t="shared" si="522"/>
        <v>0.43327180319283265</v>
      </c>
      <c r="AW319" s="4">
        <f t="shared" si="523"/>
        <v>994.84108686497564</v>
      </c>
      <c r="AX319" s="6">
        <f t="shared" si="524"/>
        <v>5.4896821737299516E-6</v>
      </c>
      <c r="AY319" s="8">
        <f t="shared" si="525"/>
        <v>27.329672498947218</v>
      </c>
      <c r="AZ319" s="7">
        <f t="shared" si="526"/>
        <v>1.3738992144927952E-2</v>
      </c>
      <c r="BA319" s="9">
        <f t="shared" si="527"/>
        <v>0.43420135642587804</v>
      </c>
      <c r="BB319" s="4">
        <f t="shared" si="528"/>
        <v>989.14267999964898</v>
      </c>
      <c r="BC319" s="6">
        <f t="shared" si="529"/>
        <v>5.4782853599992986E-6</v>
      </c>
      <c r="BD319" s="8">
        <f t="shared" si="530"/>
        <v>27.264140819995962</v>
      </c>
      <c r="BE319" s="7">
        <f t="shared" si="531"/>
        <v>1.3710469412761063E-2</v>
      </c>
      <c r="BF319" s="9">
        <f t="shared" si="532"/>
        <v>0.43524499627784918</v>
      </c>
      <c r="BG319" s="4">
        <f t="shared" si="533"/>
        <v>982.8444592977097</v>
      </c>
      <c r="BH319" s="6">
        <f t="shared" si="534"/>
        <v>5.46568891859542E-6</v>
      </c>
      <c r="BI319" s="8">
        <f t="shared" si="535"/>
        <v>27.191711281923659</v>
      </c>
      <c r="BJ319" s="7">
        <f t="shared" si="536"/>
        <v>1.3678944380158976E-2</v>
      </c>
      <c r="BK319" s="9">
        <f t="shared" si="537"/>
        <v>0.43640434199544081</v>
      </c>
      <c r="BL319" s="4">
        <f t="shared" si="538"/>
        <v>975.94640937203519</v>
      </c>
      <c r="BM319" s="6">
        <f t="shared" si="539"/>
        <v>5.4518928187440713E-6</v>
      </c>
      <c r="BN319" s="8">
        <f t="shared" si="540"/>
        <v>27.112383707778406</v>
      </c>
      <c r="BO319" s="7">
        <f t="shared" si="541"/>
        <v>1.3644416970103187E-2</v>
      </c>
      <c r="BP319" s="9">
        <f t="shared" si="542"/>
        <v>0.43768120861735355</v>
      </c>
      <c r="BQ319" s="4">
        <f t="shared" si="543"/>
        <v>968.4483167298423</v>
      </c>
      <c r="BR319" s="6">
        <f t="shared" si="544"/>
        <v>5.4368966334596852E-6</v>
      </c>
      <c r="BS319" s="8">
        <f t="shared" si="545"/>
        <v>27.026155642393185</v>
      </c>
      <c r="BT319" s="7">
        <f t="shared" si="546"/>
        <v>1.3606886113979677E-2</v>
      </c>
      <c r="BU319" s="9">
        <f t="shared" si="547"/>
        <v>0.43907764858365572</v>
      </c>
      <c r="BV319" s="4">
        <f t="shared" si="548"/>
        <v>960.34760432332689</v>
      </c>
      <c r="BW319" s="6">
        <f t="shared" si="549"/>
        <v>5.4206952086466546E-6</v>
      </c>
      <c r="BX319" s="8">
        <f t="shared" si="550"/>
        <v>26.932997449718258</v>
      </c>
      <c r="BY319" s="7">
        <f t="shared" si="551"/>
        <v>1.3566338912666629E-2</v>
      </c>
      <c r="BZ319" s="9">
        <f t="shared" si="552"/>
        <v>0.44059636852050543</v>
      </c>
      <c r="CA319" s="4">
        <f t="shared" si="553"/>
        <v>951.61760327699471</v>
      </c>
      <c r="CB319" s="6">
        <f t="shared" si="554"/>
        <v>5.4032352065539903E-6</v>
      </c>
      <c r="CC319" s="8">
        <f t="shared" si="555"/>
        <v>26.832602437685438</v>
      </c>
      <c r="CD319" s="7">
        <f t="shared" si="556"/>
        <v>1.3522641878118899E-2</v>
      </c>
      <c r="CE319" s="9">
        <f t="shared" si="557"/>
        <v>0.44224487346228136</v>
      </c>
      <c r="CF319" s="4">
        <f t="shared" si="558"/>
        <v>942.02690280518118</v>
      </c>
      <c r="CG319" s="6">
        <f t="shared" si="559"/>
        <v>5.3840538056103625E-6</v>
      </c>
      <c r="CH319" s="8">
        <f t="shared" si="560"/>
        <v>26.722309382259581</v>
      </c>
      <c r="CI319" s="7">
        <f t="shared" si="561"/>
        <v>1.3474636709777037E-2</v>
      </c>
      <c r="CJ319" s="9">
        <f t="shared" si="562"/>
        <v>0.44407018495175005</v>
      </c>
      <c r="CK319" s="4">
        <f t="shared" si="563"/>
        <v>929.94414013569269</v>
      </c>
      <c r="CL319" s="6">
        <f t="shared" si="564"/>
        <v>5.3598882802713851E-6</v>
      </c>
      <c r="CM319" s="8">
        <f t="shared" si="565"/>
        <v>26.583357611560466</v>
      </c>
      <c r="CN319" s="7">
        <f t="shared" si="566"/>
        <v>1.3414157805479254E-2</v>
      </c>
      <c r="CO319" s="9">
        <f t="shared" si="567"/>
        <v>0.44639134917093415</v>
      </c>
      <c r="CP319" s="4">
        <f t="shared" si="568"/>
        <v>906.46653193993359</v>
      </c>
      <c r="CQ319" s="6">
        <f t="shared" si="569"/>
        <v>5.3129330638798679E-6</v>
      </c>
      <c r="CR319" s="8">
        <f t="shared" si="570"/>
        <v>26.313365117309235</v>
      </c>
      <c r="CS319" s="7">
        <f t="shared" si="571"/>
        <v>1.3296643288472503E-2</v>
      </c>
      <c r="CT319" s="9">
        <f t="shared" si="572"/>
        <v>0.45097161905422445</v>
      </c>
      <c r="CU319" s="4">
        <f t="shared" si="573"/>
        <v>836.99711232218533</v>
      </c>
      <c r="CV319" s="6">
        <f t="shared" si="574"/>
        <v>5.1739942246443711E-6</v>
      </c>
      <c r="CW319" s="8">
        <f t="shared" si="575"/>
        <v>25.514466791705132</v>
      </c>
      <c r="CX319" s="7">
        <f t="shared" si="576"/>
        <v>1.2948921952250789E-2</v>
      </c>
      <c r="CY319" s="9">
        <f t="shared" si="577"/>
        <v>0.46509225399826021</v>
      </c>
      <c r="CZ319" s="5">
        <f t="shared" si="578"/>
        <v>641.7886196841489</v>
      </c>
      <c r="DA319" s="6">
        <f t="shared" si="579"/>
        <v>4.9185150974753553E-6</v>
      </c>
      <c r="DB319" s="8">
        <f t="shared" si="580"/>
        <v>34.883130029159673</v>
      </c>
      <c r="DC319" s="7">
        <f t="shared" si="581"/>
        <v>1.2309535989587075E-2</v>
      </c>
      <c r="DD319" s="9">
        <f t="shared" si="582"/>
        <v>0.34018108064839164</v>
      </c>
    </row>
    <row r="320" spans="2:108" x14ac:dyDescent="0.25">
      <c r="B320">
        <v>53</v>
      </c>
      <c r="C320">
        <f t="shared" si="490"/>
        <v>5.1813577316298327E-2</v>
      </c>
      <c r="D320" s="4">
        <f t="shared" si="491"/>
        <v>1019.1450929976812</v>
      </c>
      <c r="E320" s="6">
        <f t="shared" si="429"/>
        <v>5.5382901859953631E-6</v>
      </c>
      <c r="F320" s="8">
        <f t="shared" si="492"/>
        <v>27.609168569473333</v>
      </c>
      <c r="G320" s="7">
        <f t="shared" si="426"/>
        <v>1.3860643103500896E-2</v>
      </c>
      <c r="H320" s="9">
        <f t="shared" si="493"/>
        <v>0.42980580309247113</v>
      </c>
      <c r="I320" s="4">
        <f t="shared" si="494"/>
        <v>1018.8225120776317</v>
      </c>
      <c r="J320" s="6">
        <f t="shared" si="431"/>
        <v>5.5376450241552637E-6</v>
      </c>
      <c r="K320" s="8">
        <f t="shared" si="495"/>
        <v>27.605458888892763</v>
      </c>
      <c r="L320" s="7">
        <f t="shared" si="433"/>
        <v>1.3859028461127652E-2</v>
      </c>
      <c r="M320" s="9">
        <f t="shared" si="496"/>
        <v>0.42986356131513159</v>
      </c>
      <c r="N320" s="4">
        <f t="shared" si="497"/>
        <v>1017.9191346910173</v>
      </c>
      <c r="O320" s="6">
        <f t="shared" si="434"/>
        <v>5.535838269382035E-6</v>
      </c>
      <c r="P320" s="8">
        <f t="shared" si="435"/>
        <v>27.595070048946699</v>
      </c>
      <c r="Q320" s="7">
        <f t="shared" si="427"/>
        <v>1.3860643103500896E-2</v>
      </c>
      <c r="R320" s="9">
        <f t="shared" si="498"/>
        <v>0.4300253939805036</v>
      </c>
      <c r="S320" s="4">
        <f t="shared" si="499"/>
        <v>1016.4186946741926</v>
      </c>
      <c r="T320" s="6">
        <f t="shared" si="436"/>
        <v>5.5328373893483853E-6</v>
      </c>
      <c r="U320" s="8">
        <f t="shared" si="437"/>
        <v>27.577814988753214</v>
      </c>
      <c r="V320" s="7">
        <f t="shared" si="438"/>
        <v>1.3846996424525705E-2</v>
      </c>
      <c r="W320" s="9">
        <f t="shared" si="500"/>
        <v>0.43029445496524393</v>
      </c>
      <c r="X320" s="4">
        <f t="shared" si="501"/>
        <v>1014.3192692395688</v>
      </c>
      <c r="Y320" s="6">
        <f t="shared" si="439"/>
        <v>5.5286385384791383E-6</v>
      </c>
      <c r="Z320" s="8">
        <f t="shared" si="440"/>
        <v>27.553671596255043</v>
      </c>
      <c r="AA320" s="7">
        <f t="shared" si="441"/>
        <v>1.383648798755528E-2</v>
      </c>
      <c r="AB320" s="9">
        <f t="shared" si="502"/>
        <v>0.43067149248199449</v>
      </c>
      <c r="AC320" s="4">
        <f t="shared" si="503"/>
        <v>1011.6199762606301</v>
      </c>
      <c r="AD320" s="6">
        <f t="shared" si="504"/>
        <v>5.5232399525212607E-6</v>
      </c>
      <c r="AE320" s="8">
        <f t="shared" si="505"/>
        <v>27.522629726997245</v>
      </c>
      <c r="AF320" s="7">
        <f t="shared" si="506"/>
        <v>1.3822976981321816E-2</v>
      </c>
      <c r="AG320" s="9">
        <f t="shared" si="507"/>
        <v>0.43115723269996403</v>
      </c>
      <c r="AH320" s="4">
        <f t="shared" si="508"/>
        <v>1008.3208456012419</v>
      </c>
      <c r="AI320" s="6">
        <f t="shared" si="509"/>
        <v>5.5166416912024836E-6</v>
      </c>
      <c r="AJ320" s="8">
        <f t="shared" si="510"/>
        <v>27.484689724414281</v>
      </c>
      <c r="AK320" s="7">
        <f t="shared" si="511"/>
        <v>1.3806463555305522E-2</v>
      </c>
      <c r="AL320" s="9">
        <f t="shared" si="512"/>
        <v>0.43175240429135986</v>
      </c>
      <c r="AM320" s="4">
        <f t="shared" si="513"/>
        <v>1004.4218987352338</v>
      </c>
      <c r="AN320" s="6">
        <f t="shared" si="514"/>
        <v>5.5088437974704684E-6</v>
      </c>
      <c r="AO320" s="8">
        <f t="shared" si="515"/>
        <v>27.439851835455187</v>
      </c>
      <c r="AP320" s="7">
        <f t="shared" si="516"/>
        <v>1.3786947816991232E-2</v>
      </c>
      <c r="AQ320" s="9">
        <f t="shared" si="517"/>
        <v>0.43245790614601726</v>
      </c>
      <c r="AR320" s="4">
        <f t="shared" si="518"/>
        <v>999.92314131562557</v>
      </c>
      <c r="AS320" s="6">
        <f t="shared" si="519"/>
        <v>5.4998462826312515E-6</v>
      </c>
      <c r="AT320" s="8">
        <f t="shared" si="520"/>
        <v>27.388116125129692</v>
      </c>
      <c r="AU320" s="7">
        <f t="shared" si="521"/>
        <v>1.3764429794674489E-2</v>
      </c>
      <c r="AV320" s="9">
        <f t="shared" si="522"/>
        <v>0.43327481216679359</v>
      </c>
      <c r="AW320" s="4">
        <f t="shared" si="523"/>
        <v>994.82457441776614</v>
      </c>
      <c r="AX320" s="6">
        <f t="shared" si="524"/>
        <v>5.4896491488355327E-6</v>
      </c>
      <c r="AY320" s="8">
        <f t="shared" si="525"/>
        <v>27.329482605804309</v>
      </c>
      <c r="AZ320" s="7">
        <f t="shared" si="526"/>
        <v>1.3738909493737838E-2</v>
      </c>
      <c r="BA320" s="9">
        <f t="shared" si="527"/>
        <v>0.43420437338237944</v>
      </c>
      <c r="BB320" s="4">
        <f t="shared" si="528"/>
        <v>989.12619818261578</v>
      </c>
      <c r="BC320" s="6">
        <f t="shared" si="529"/>
        <v>5.4782523963652324E-6</v>
      </c>
      <c r="BD320" s="8">
        <f t="shared" si="530"/>
        <v>27.26395127910008</v>
      </c>
      <c r="BE320" s="7">
        <f t="shared" si="531"/>
        <v>1.3710386914886836E-2</v>
      </c>
      <c r="BF320" s="9">
        <f t="shared" si="532"/>
        <v>0.43524802213150032</v>
      </c>
      <c r="BG320" s="4">
        <f t="shared" si="533"/>
        <v>982.82801149896318</v>
      </c>
      <c r="BH320" s="6">
        <f t="shared" si="534"/>
        <v>5.4656560229979267E-6</v>
      </c>
      <c r="BI320" s="8">
        <f t="shared" si="535"/>
        <v>27.191522132238077</v>
      </c>
      <c r="BJ320" s="7">
        <f t="shared" si="536"/>
        <v>1.3678862052559441E-2</v>
      </c>
      <c r="BK320" s="9">
        <f t="shared" si="537"/>
        <v>0.43640737771163474</v>
      </c>
      <c r="BL320" s="4">
        <f t="shared" si="538"/>
        <v>975.92999635181218</v>
      </c>
      <c r="BM320" s="6">
        <f t="shared" si="539"/>
        <v>5.4518599927036243E-6</v>
      </c>
      <c r="BN320" s="8">
        <f t="shared" si="540"/>
        <v>27.112194958045841</v>
      </c>
      <c r="BO320" s="7">
        <f t="shared" si="541"/>
        <v>1.3644334816583625E-2</v>
      </c>
      <c r="BP320" s="9">
        <f t="shared" si="542"/>
        <v>0.43768425566725871</v>
      </c>
      <c r="BQ320" s="4">
        <f t="shared" si="543"/>
        <v>968.43190841020987</v>
      </c>
      <c r="BR320" s="6">
        <f t="shared" si="544"/>
        <v>5.4368638168204196E-6</v>
      </c>
      <c r="BS320" s="8">
        <f t="shared" si="545"/>
        <v>27.025966946717411</v>
      </c>
      <c r="BT320" s="7">
        <f t="shared" si="546"/>
        <v>1.360680398398839E-2</v>
      </c>
      <c r="BU320" s="9">
        <f t="shared" si="547"/>
        <v>0.43908071422988326</v>
      </c>
      <c r="BV320" s="4">
        <f t="shared" si="548"/>
        <v>960.33086270833905</v>
      </c>
      <c r="BW320" s="6">
        <f t="shared" si="549"/>
        <v>5.420661725416678E-6</v>
      </c>
      <c r="BX320" s="8">
        <f t="shared" si="550"/>
        <v>26.932804921145898</v>
      </c>
      <c r="BY320" s="7">
        <f t="shared" si="551"/>
        <v>1.3566255114403073E-2</v>
      </c>
      <c r="BZ320" s="9">
        <f t="shared" si="552"/>
        <v>0.44059951811409831</v>
      </c>
      <c r="CA320" s="4">
        <f t="shared" si="553"/>
        <v>951.59764203198949</v>
      </c>
      <c r="CB320" s="6">
        <f t="shared" si="554"/>
        <v>5.4031952840639794E-6</v>
      </c>
      <c r="CC320" s="8">
        <f t="shared" si="555"/>
        <v>26.832372883367878</v>
      </c>
      <c r="CD320" s="7">
        <f t="shared" si="556"/>
        <v>1.3522541964360816E-2</v>
      </c>
      <c r="CE320" s="9">
        <f t="shared" si="557"/>
        <v>0.44224865692267684</v>
      </c>
      <c r="CF320" s="4">
        <f t="shared" si="558"/>
        <v>941.98404502969652</v>
      </c>
      <c r="CG320" s="6">
        <f t="shared" si="559"/>
        <v>5.3839680900593936E-6</v>
      </c>
      <c r="CH320" s="8">
        <f t="shared" si="560"/>
        <v>26.721816517841511</v>
      </c>
      <c r="CI320" s="7">
        <f t="shared" si="561"/>
        <v>1.3474422190020851E-2</v>
      </c>
      <c r="CJ320" s="9">
        <f t="shared" si="562"/>
        <v>0.44407837550246143</v>
      </c>
      <c r="CK320" s="4">
        <f t="shared" si="563"/>
        <v>929.77650836892076</v>
      </c>
      <c r="CL320" s="6">
        <f t="shared" si="564"/>
        <v>5.3595530167378421E-6</v>
      </c>
      <c r="CM320" s="8">
        <f t="shared" si="565"/>
        <v>26.581429846242585</v>
      </c>
      <c r="CN320" s="7">
        <f t="shared" si="566"/>
        <v>1.34133187435977E-2</v>
      </c>
      <c r="CO320" s="9">
        <f t="shared" si="567"/>
        <v>0.44642372281547138</v>
      </c>
      <c r="CP320" s="4">
        <f t="shared" si="568"/>
        <v>905.81499777733688</v>
      </c>
      <c r="CQ320" s="6">
        <f t="shared" si="569"/>
        <v>5.3116299955546742E-6</v>
      </c>
      <c r="CR320" s="8">
        <f t="shared" si="570"/>
        <v>26.305872474439376</v>
      </c>
      <c r="CS320" s="7">
        <f t="shared" si="571"/>
        <v>1.3293382107785247E-2</v>
      </c>
      <c r="CT320" s="9">
        <f t="shared" si="572"/>
        <v>0.45110006829267107</v>
      </c>
      <c r="CU320" s="4">
        <f t="shared" si="573"/>
        <v>835.23302360435559</v>
      </c>
      <c r="CV320" s="6">
        <f t="shared" si="574"/>
        <v>5.1704660472087115E-6</v>
      </c>
      <c r="CW320" s="8">
        <f t="shared" si="575"/>
        <v>25.494179771450089</v>
      </c>
      <c r="CX320" s="7">
        <f t="shared" si="576"/>
        <v>1.2940092005353973E-2</v>
      </c>
      <c r="CY320" s="9">
        <f t="shared" si="577"/>
        <v>0.46546235164650435</v>
      </c>
      <c r="CZ320" s="5">
        <f t="shared" si="578"/>
        <v>639.39758508840578</v>
      </c>
      <c r="DA320" s="6">
        <f t="shared" si="579"/>
        <v>4.9613754724752156E-6</v>
      </c>
      <c r="DB320" s="8">
        <f t="shared" si="580"/>
        <v>34.952470032436224</v>
      </c>
      <c r="DC320" s="7">
        <f t="shared" si="581"/>
        <v>1.2416802373471673E-2</v>
      </c>
      <c r="DD320" s="9">
        <f t="shared" si="582"/>
        <v>0.33950621683404919</v>
      </c>
    </row>
    <row r="321" spans="2:108" x14ac:dyDescent="0.25">
      <c r="B321">
        <v>54</v>
      </c>
      <c r="C321">
        <f t="shared" si="490"/>
        <v>5.2791191982643579E-2</v>
      </c>
      <c r="D321" s="4">
        <f t="shared" si="491"/>
        <v>1019.1286236454741</v>
      </c>
      <c r="E321" s="6">
        <f t="shared" si="429"/>
        <v>5.5382572472909486E-6</v>
      </c>
      <c r="F321" s="8">
        <f t="shared" si="492"/>
        <v>27.608979171922954</v>
      </c>
      <c r="G321" s="7">
        <f t="shared" si="426"/>
        <v>1.3860560668017947E-2</v>
      </c>
      <c r="H321" s="9">
        <f t="shared" si="493"/>
        <v>0.42980875155955273</v>
      </c>
      <c r="I321" s="4">
        <f t="shared" si="494"/>
        <v>1018.8059656782282</v>
      </c>
      <c r="J321" s="6">
        <f t="shared" si="431"/>
        <v>5.5376119313564564E-6</v>
      </c>
      <c r="K321" s="8">
        <f t="shared" si="495"/>
        <v>27.605268605299621</v>
      </c>
      <c r="L321" s="7">
        <f t="shared" si="433"/>
        <v>1.3858945639993665E-2</v>
      </c>
      <c r="M321" s="9">
        <f t="shared" si="496"/>
        <v>0.42986652437208195</v>
      </c>
      <c r="N321" s="4">
        <f t="shared" si="497"/>
        <v>1017.9025314388009</v>
      </c>
      <c r="O321" s="6">
        <f t="shared" si="434"/>
        <v>5.5358050628776027E-6</v>
      </c>
      <c r="P321" s="8">
        <f t="shared" si="435"/>
        <v>27.594879111546209</v>
      </c>
      <c r="Q321" s="7">
        <f t="shared" si="427"/>
        <v>1.3860560668017947E-2</v>
      </c>
      <c r="R321" s="9">
        <f t="shared" si="498"/>
        <v>0.43002836945760348</v>
      </c>
      <c r="S321" s="4">
        <f t="shared" si="499"/>
        <v>1016.4020763748888</v>
      </c>
      <c r="T321" s="6">
        <f t="shared" si="436"/>
        <v>5.5328041527497779E-6</v>
      </c>
      <c r="U321" s="8">
        <f t="shared" si="437"/>
        <v>27.577623878311222</v>
      </c>
      <c r="V321" s="7">
        <f t="shared" si="438"/>
        <v>1.3846913243504885E-2</v>
      </c>
      <c r="W321" s="9">
        <f t="shared" si="500"/>
        <v>0.43029743686694211</v>
      </c>
      <c r="X321" s="4">
        <f t="shared" si="501"/>
        <v>1014.302656996031</v>
      </c>
      <c r="Y321" s="6">
        <f t="shared" si="439"/>
        <v>5.5286053139920628E-6</v>
      </c>
      <c r="Z321" s="8">
        <f t="shared" si="440"/>
        <v>27.553480555454357</v>
      </c>
      <c r="AA321" s="7">
        <f t="shared" si="441"/>
        <v>1.3836404836845912E-2</v>
      </c>
      <c r="AB321" s="9">
        <f t="shared" si="502"/>
        <v>0.43067447852314417</v>
      </c>
      <c r="AC321" s="4">
        <f t="shared" si="503"/>
        <v>1011.6033770018627</v>
      </c>
      <c r="AD321" s="6">
        <f t="shared" si="504"/>
        <v>5.5232067540037257E-6</v>
      </c>
      <c r="AE321" s="8">
        <f t="shared" si="505"/>
        <v>27.52243883552142</v>
      </c>
      <c r="AF321" s="7">
        <f t="shared" si="506"/>
        <v>1.382289389560625E-2</v>
      </c>
      <c r="AG321" s="9">
        <f t="shared" si="507"/>
        <v>0.43116022314136182</v>
      </c>
      <c r="AH321" s="4">
        <f t="shared" si="508"/>
        <v>1008.3042628836371</v>
      </c>
      <c r="AI321" s="6">
        <f t="shared" si="509"/>
        <v>5.5166085257672748E-6</v>
      </c>
      <c r="AJ321" s="8">
        <f t="shared" si="510"/>
        <v>27.484499023161824</v>
      </c>
      <c r="AK321" s="7">
        <f t="shared" si="511"/>
        <v>1.3806380552384881E-2</v>
      </c>
      <c r="AL321" s="9">
        <f t="shared" si="512"/>
        <v>0.43175540000629647</v>
      </c>
      <c r="AM321" s="4">
        <f t="shared" si="513"/>
        <v>1004.4053359581047</v>
      </c>
      <c r="AN321" s="6">
        <f t="shared" si="514"/>
        <v>5.5088106719162101E-6</v>
      </c>
      <c r="AO321" s="8">
        <f t="shared" si="515"/>
        <v>27.439661363518205</v>
      </c>
      <c r="AP321" s="7">
        <f t="shared" si="516"/>
        <v>1.3786864913880387E-2</v>
      </c>
      <c r="AQ321" s="9">
        <f t="shared" si="517"/>
        <v>0.43246090804512799</v>
      </c>
      <c r="AR321" s="4">
        <f t="shared" si="518"/>
        <v>999.90660201000617</v>
      </c>
      <c r="AS321" s="6">
        <f t="shared" si="519"/>
        <v>5.4998132040200123E-6</v>
      </c>
      <c r="AT321" s="8">
        <f t="shared" si="520"/>
        <v>27.38792592311507</v>
      </c>
      <c r="AU321" s="7">
        <f t="shared" si="521"/>
        <v>1.3764347009047634E-2</v>
      </c>
      <c r="AV321" s="9">
        <f t="shared" si="522"/>
        <v>0.43327782114755364</v>
      </c>
      <c r="AW321" s="4">
        <f t="shared" si="523"/>
        <v>994.80806216324618</v>
      </c>
      <c r="AX321" s="6">
        <f t="shared" si="524"/>
        <v>5.4896161243264926E-6</v>
      </c>
      <c r="AY321" s="8">
        <f t="shared" si="525"/>
        <v>27.329292714877329</v>
      </c>
      <c r="AZ321" s="7">
        <f t="shared" si="526"/>
        <v>1.3738826843512209E-2</v>
      </c>
      <c r="BA321" s="9">
        <f t="shared" si="527"/>
        <v>0.43420739034559985</v>
      </c>
      <c r="BB321" s="4">
        <f t="shared" si="528"/>
        <v>989.10971655569199</v>
      </c>
      <c r="BC321" s="6">
        <f t="shared" si="529"/>
        <v>5.478219433111384E-6</v>
      </c>
      <c r="BD321" s="8">
        <f t="shared" si="530"/>
        <v>27.263761740390457</v>
      </c>
      <c r="BE321" s="7">
        <f t="shared" si="531"/>
        <v>1.371030441796418E-2</v>
      </c>
      <c r="BF321" s="9">
        <f t="shared" si="532"/>
        <v>0.43525104799232123</v>
      </c>
      <c r="BG321" s="4">
        <f t="shared" si="533"/>
        <v>982.81156385248187</v>
      </c>
      <c r="BH321" s="6">
        <f t="shared" si="534"/>
        <v>5.4656231277049647E-6</v>
      </c>
      <c r="BI321" s="8">
        <f t="shared" si="535"/>
        <v>27.191332984303543</v>
      </c>
      <c r="BJ321" s="7">
        <f t="shared" si="536"/>
        <v>1.3678779725722056E-2</v>
      </c>
      <c r="BK321" s="9">
        <f t="shared" si="537"/>
        <v>0.43641041344195947</v>
      </c>
      <c r="BL321" s="4">
        <f t="shared" si="538"/>
        <v>975.9135830414433</v>
      </c>
      <c r="BM321" s="6">
        <f t="shared" si="539"/>
        <v>5.451827166082887E-6</v>
      </c>
      <c r="BN321" s="8">
        <f t="shared" si="540"/>
        <v>27.112006204976595</v>
      </c>
      <c r="BO321" s="7">
        <f t="shared" si="541"/>
        <v>1.3644252661611773E-2</v>
      </c>
      <c r="BP321" s="9">
        <f t="shared" si="542"/>
        <v>0.43768730281345636</v>
      </c>
      <c r="BQ321" s="4">
        <f t="shared" si="543"/>
        <v>968.41549540523317</v>
      </c>
      <c r="BR321" s="6">
        <f t="shared" si="544"/>
        <v>5.4368309908104667E-6</v>
      </c>
      <c r="BS321" s="8">
        <f t="shared" si="545"/>
        <v>27.025778197160179</v>
      </c>
      <c r="BT321" s="7">
        <f t="shared" si="546"/>
        <v>1.3606721830545145E-2</v>
      </c>
      <c r="BU321" s="9">
        <f t="shared" si="547"/>
        <v>0.43908378079432392</v>
      </c>
      <c r="BV321" s="4">
        <f t="shared" si="548"/>
        <v>960.31408019431922</v>
      </c>
      <c r="BW321" s="6">
        <f t="shared" si="549"/>
        <v>5.4206281603886398E-6</v>
      </c>
      <c r="BX321" s="8">
        <f t="shared" si="550"/>
        <v>26.93261192223467</v>
      </c>
      <c r="BY321" s="7">
        <f t="shared" si="551"/>
        <v>1.3566171111424035E-2</v>
      </c>
      <c r="BZ321" s="9">
        <f t="shared" si="552"/>
        <v>0.44060267544720544</v>
      </c>
      <c r="CA321" s="4">
        <f t="shared" si="553"/>
        <v>951.57740216051002</v>
      </c>
      <c r="CB321" s="6">
        <f t="shared" si="554"/>
        <v>5.4031548043210206E-6</v>
      </c>
      <c r="CC321" s="8">
        <f t="shared" si="555"/>
        <v>26.832140124845864</v>
      </c>
      <c r="CD321" s="7">
        <f t="shared" si="556"/>
        <v>1.3522440655969373E-2</v>
      </c>
      <c r="CE321" s="9">
        <f t="shared" si="557"/>
        <v>0.44225249326011656</v>
      </c>
      <c r="CF321" s="4">
        <f t="shared" si="558"/>
        <v>941.93974754131807</v>
      </c>
      <c r="CG321" s="6">
        <f t="shared" si="559"/>
        <v>5.3838794950826375E-6</v>
      </c>
      <c r="CH321" s="8">
        <f t="shared" si="560"/>
        <v>26.721307096725155</v>
      </c>
      <c r="CI321" s="7">
        <f t="shared" si="561"/>
        <v>1.3474200463944328E-2</v>
      </c>
      <c r="CJ321" s="9">
        <f t="shared" si="562"/>
        <v>0.44408684151428407</v>
      </c>
      <c r="CK321" s="4">
        <f t="shared" si="563"/>
        <v>929.6037991740094</v>
      </c>
      <c r="CL321" s="6">
        <f t="shared" si="564"/>
        <v>5.3592075983480188E-6</v>
      </c>
      <c r="CM321" s="8">
        <f t="shared" si="565"/>
        <v>26.579443690501108</v>
      </c>
      <c r="CN321" s="7">
        <f t="shared" si="566"/>
        <v>1.3412454267222871E-2</v>
      </c>
      <c r="CO321" s="9">
        <f t="shared" si="567"/>
        <v>0.446457081942567</v>
      </c>
      <c r="CP321" s="4">
        <f t="shared" si="568"/>
        <v>905.15447904814391</v>
      </c>
      <c r="CQ321" s="6">
        <f t="shared" si="569"/>
        <v>5.3103089580962885E-6</v>
      </c>
      <c r="CR321" s="8">
        <f t="shared" si="570"/>
        <v>26.298276509053654</v>
      </c>
      <c r="CS321" s="7">
        <f t="shared" si="571"/>
        <v>1.3290075955864327E-2</v>
      </c>
      <c r="CT321" s="9">
        <f t="shared" si="572"/>
        <v>0.45123036354236429</v>
      </c>
      <c r="CU321" s="4">
        <f t="shared" si="573"/>
        <v>833.47521903238135</v>
      </c>
      <c r="CV321" s="6">
        <f t="shared" si="574"/>
        <v>5.1669504380647631E-6</v>
      </c>
      <c r="CW321" s="8">
        <f t="shared" si="575"/>
        <v>25.473965018872384</v>
      </c>
      <c r="CX321" s="7">
        <f t="shared" si="576"/>
        <v>1.2931293513039703E-2</v>
      </c>
      <c r="CY321" s="9">
        <f t="shared" si="577"/>
        <v>0.46583171724254718</v>
      </c>
      <c r="CZ321" s="5">
        <f t="shared" si="578"/>
        <v>637.04734525440426</v>
      </c>
      <c r="DA321" s="6">
        <f t="shared" si="579"/>
        <v>5.003316673796736E-6</v>
      </c>
      <c r="DB321" s="8">
        <f t="shared" si="580"/>
        <v>35.020626987622272</v>
      </c>
      <c r="DC321" s="7">
        <f t="shared" si="581"/>
        <v>1.2521768347323979E-2</v>
      </c>
      <c r="DD321" s="9">
        <f t="shared" si="582"/>
        <v>0.33884547166765561</v>
      </c>
    </row>
    <row r="322" spans="2:108" x14ac:dyDescent="0.25">
      <c r="B322">
        <v>55</v>
      </c>
      <c r="C322">
        <f t="shared" si="490"/>
        <v>5.376880664898883E-2</v>
      </c>
      <c r="D322" s="4">
        <f t="shared" si="491"/>
        <v>1019.1121503596264</v>
      </c>
      <c r="E322" s="6">
        <f t="shared" si="429"/>
        <v>5.5382243007192532E-6</v>
      </c>
      <c r="F322" s="8">
        <f t="shared" si="492"/>
        <v>27.608789729135701</v>
      </c>
      <c r="G322" s="7">
        <f t="shared" si="426"/>
        <v>1.386047821284561E-2</v>
      </c>
      <c r="H322" s="9">
        <f t="shared" si="493"/>
        <v>0.42981170077133202</v>
      </c>
      <c r="I322" s="4">
        <f t="shared" si="494"/>
        <v>1018.7894187292023</v>
      </c>
      <c r="J322" s="6">
        <f t="shared" si="431"/>
        <v>5.5375788374584053E-6</v>
      </c>
      <c r="K322" s="8">
        <f t="shared" si="495"/>
        <v>27.605078315385825</v>
      </c>
      <c r="L322" s="7">
        <f t="shared" si="433"/>
        <v>1.3858862816108607E-2</v>
      </c>
      <c r="M322" s="9">
        <f t="shared" si="496"/>
        <v>0.4298694875683074</v>
      </c>
      <c r="N322" s="4">
        <f t="shared" si="497"/>
        <v>1017.8859286160759</v>
      </c>
      <c r="O322" s="6">
        <f t="shared" si="434"/>
        <v>5.5357718572321526E-6</v>
      </c>
      <c r="P322" s="8">
        <f t="shared" si="435"/>
        <v>27.594688179084873</v>
      </c>
      <c r="Q322" s="7">
        <f t="shared" si="427"/>
        <v>1.386047821284561E-2</v>
      </c>
      <c r="R322" s="9">
        <f t="shared" si="498"/>
        <v>0.43003134489890915</v>
      </c>
      <c r="S322" s="4">
        <f t="shared" si="499"/>
        <v>1016.3854584461707</v>
      </c>
      <c r="T322" s="6">
        <f t="shared" si="436"/>
        <v>5.5327709168923422E-6</v>
      </c>
      <c r="U322" s="8">
        <f t="shared" si="437"/>
        <v>27.577432772130962</v>
      </c>
      <c r="V322" s="7">
        <f t="shared" si="438"/>
        <v>1.384683006433899E-2</v>
      </c>
      <c r="W322" s="9">
        <f t="shared" si="500"/>
        <v>0.43030041874347191</v>
      </c>
      <c r="X322" s="4">
        <f t="shared" si="501"/>
        <v>1014.286044981185</v>
      </c>
      <c r="Y322" s="6">
        <f t="shared" si="439"/>
        <v>5.5285720899623706E-6</v>
      </c>
      <c r="Z322" s="8">
        <f t="shared" si="440"/>
        <v>27.553289517283627</v>
      </c>
      <c r="AA322" s="7">
        <f t="shared" si="441"/>
        <v>1.3836321687281234E-2</v>
      </c>
      <c r="AB322" s="9">
        <f t="shared" si="502"/>
        <v>0.43067746456459327</v>
      </c>
      <c r="AC322" s="4">
        <f t="shared" si="503"/>
        <v>1011.5867779329086</v>
      </c>
      <c r="AD322" s="6">
        <f t="shared" si="504"/>
        <v>5.5231735558658182E-6</v>
      </c>
      <c r="AE322" s="8">
        <f t="shared" si="505"/>
        <v>27.522247946228447</v>
      </c>
      <c r="AF322" s="7">
        <f t="shared" si="506"/>
        <v>1.3822810810840774E-2</v>
      </c>
      <c r="AG322" s="9">
        <f t="shared" si="507"/>
        <v>0.43116321359004595</v>
      </c>
      <c r="AH322" s="4">
        <f t="shared" si="508"/>
        <v>1008.2876803547167</v>
      </c>
      <c r="AI322" s="6">
        <f t="shared" si="509"/>
        <v>5.5165753607094335E-6</v>
      </c>
      <c r="AJ322" s="8">
        <f t="shared" si="510"/>
        <v>27.484308324079244</v>
      </c>
      <c r="AK322" s="7">
        <f t="shared" si="511"/>
        <v>1.3806297550408674E-2</v>
      </c>
      <c r="AL322" s="9">
        <f t="shared" si="512"/>
        <v>0.43175839572871777</v>
      </c>
      <c r="AM322" s="4">
        <f t="shared" si="513"/>
        <v>1004.3887733721106</v>
      </c>
      <c r="AN322" s="6">
        <f t="shared" si="514"/>
        <v>5.508777546744222E-6</v>
      </c>
      <c r="AO322" s="8">
        <f t="shared" si="515"/>
        <v>27.439470893779273</v>
      </c>
      <c r="AP322" s="7">
        <f t="shared" si="516"/>
        <v>1.3786782011726246E-2</v>
      </c>
      <c r="AQ322" s="9">
        <f t="shared" si="517"/>
        <v>0.43246390995127165</v>
      </c>
      <c r="AR322" s="4">
        <f t="shared" si="518"/>
        <v>999.89006289672466</v>
      </c>
      <c r="AS322" s="6">
        <f t="shared" si="519"/>
        <v>5.4997801257934497E-6</v>
      </c>
      <c r="AT322" s="8">
        <f t="shared" si="520"/>
        <v>27.387735723312332</v>
      </c>
      <c r="AU322" s="7">
        <f t="shared" si="521"/>
        <v>1.3764264224383508E-2</v>
      </c>
      <c r="AV322" s="9">
        <f t="shared" si="522"/>
        <v>0.43328083013511454</v>
      </c>
      <c r="AW322" s="4">
        <f t="shared" si="523"/>
        <v>994.79155010137163</v>
      </c>
      <c r="AX322" s="6">
        <f t="shared" si="524"/>
        <v>5.4895831002027441E-6</v>
      </c>
      <c r="AY322" s="8">
        <f t="shared" si="525"/>
        <v>27.329102826165773</v>
      </c>
      <c r="AZ322" s="7">
        <f t="shared" si="526"/>
        <v>1.3738744194250847E-2</v>
      </c>
      <c r="BA322" s="9">
        <f t="shared" si="527"/>
        <v>0.43421040731554666</v>
      </c>
      <c r="BB322" s="4">
        <f t="shared" si="528"/>
        <v>989.09323511836294</v>
      </c>
      <c r="BC322" s="6">
        <f t="shared" si="529"/>
        <v>5.478186470236726E-6</v>
      </c>
      <c r="BD322" s="8">
        <f t="shared" si="530"/>
        <v>27.263572203861173</v>
      </c>
      <c r="BE322" s="7">
        <f t="shared" si="531"/>
        <v>1.3710221921990522E-2</v>
      </c>
      <c r="BF322" s="9">
        <f t="shared" si="532"/>
        <v>0.43525407386040582</v>
      </c>
      <c r="BG322" s="4">
        <f t="shared" si="533"/>
        <v>982.79511635241795</v>
      </c>
      <c r="BH322" s="6">
        <f t="shared" si="534"/>
        <v>5.4655902327048364E-6</v>
      </c>
      <c r="BI322" s="8">
        <f t="shared" si="535"/>
        <v>27.191143838052806</v>
      </c>
      <c r="BJ322" s="7">
        <f t="shared" si="536"/>
        <v>1.3678697399617544E-2</v>
      </c>
      <c r="BK322" s="9">
        <f t="shared" si="537"/>
        <v>0.43641344918749397</v>
      </c>
      <c r="BL322" s="4">
        <f t="shared" si="538"/>
        <v>975.89716938410629</v>
      </c>
      <c r="BM322" s="6">
        <f t="shared" si="539"/>
        <v>5.4517943387682136E-6</v>
      </c>
      <c r="BN322" s="8">
        <f t="shared" si="540"/>
        <v>27.111817447917222</v>
      </c>
      <c r="BO322" s="7">
        <f t="shared" si="541"/>
        <v>1.3644170504903214E-2</v>
      </c>
      <c r="BP322" s="9">
        <f t="shared" si="542"/>
        <v>0.43769035006649881</v>
      </c>
      <c r="BQ322" s="4">
        <f t="shared" si="543"/>
        <v>968.39907725952446</v>
      </c>
      <c r="BR322" s="6">
        <f t="shared" si="544"/>
        <v>5.4367981545190491E-6</v>
      </c>
      <c r="BS322" s="8">
        <f t="shared" si="545"/>
        <v>27.02558938848453</v>
      </c>
      <c r="BT322" s="7">
        <f t="shared" si="546"/>
        <v>1.3606639651370545E-2</v>
      </c>
      <c r="BU322" s="9">
        <f t="shared" si="547"/>
        <v>0.43908684836210049</v>
      </c>
      <c r="BV322" s="4">
        <f t="shared" si="548"/>
        <v>960.29725390674707</v>
      </c>
      <c r="BW322" s="6">
        <f t="shared" si="549"/>
        <v>5.4205945078134946E-6</v>
      </c>
      <c r="BX322" s="8">
        <f t="shared" si="550"/>
        <v>26.93241841992759</v>
      </c>
      <c r="BY322" s="7">
        <f t="shared" si="551"/>
        <v>1.356608688934142E-2</v>
      </c>
      <c r="BZ322" s="9">
        <f t="shared" si="552"/>
        <v>0.4406058410609604</v>
      </c>
      <c r="CA322" s="4">
        <f t="shared" si="553"/>
        <v>951.55687050742392</v>
      </c>
      <c r="CB322" s="6">
        <f t="shared" si="554"/>
        <v>5.4031137410148482E-6</v>
      </c>
      <c r="CC322" s="8">
        <f t="shared" si="555"/>
        <v>26.831904010835373</v>
      </c>
      <c r="CD322" s="7">
        <f t="shared" si="556"/>
        <v>1.3522337887098045E-2</v>
      </c>
      <c r="CE322" s="9">
        <f t="shared" si="557"/>
        <v>0.4422563849708871</v>
      </c>
      <c r="CF322" s="4">
        <f t="shared" si="558"/>
        <v>941.89397484890674</v>
      </c>
      <c r="CG322" s="6">
        <f t="shared" si="559"/>
        <v>5.3837879496978148E-6</v>
      </c>
      <c r="CH322" s="8">
        <f t="shared" si="560"/>
        <v>26.720780710762426</v>
      </c>
      <c r="CI322" s="7">
        <f t="shared" si="561"/>
        <v>1.347397135390058E-2</v>
      </c>
      <c r="CJ322" s="9">
        <f t="shared" si="562"/>
        <v>0.44409558980207314</v>
      </c>
      <c r="CK322" s="4">
        <f t="shared" si="563"/>
        <v>929.42600619540826</v>
      </c>
      <c r="CL322" s="6">
        <f t="shared" si="564"/>
        <v>5.3588520123908172E-6</v>
      </c>
      <c r="CM322" s="8">
        <f t="shared" si="565"/>
        <v>26.577399071247193</v>
      </c>
      <c r="CN322" s="7">
        <f t="shared" si="566"/>
        <v>1.3411564344542791E-2</v>
      </c>
      <c r="CO322" s="9">
        <f t="shared" si="567"/>
        <v>0.44649142822089694</v>
      </c>
      <c r="CP322" s="4">
        <f t="shared" si="568"/>
        <v>904.48523959704619</v>
      </c>
      <c r="CQ322" s="6">
        <f t="shared" si="569"/>
        <v>5.308970479194093E-6</v>
      </c>
      <c r="CR322" s="8">
        <f t="shared" si="570"/>
        <v>26.290580255366031</v>
      </c>
      <c r="CS322" s="7">
        <f t="shared" si="571"/>
        <v>1.3286726153354553E-2</v>
      </c>
      <c r="CT322" s="9">
        <f t="shared" si="572"/>
        <v>0.45136245584750356</v>
      </c>
      <c r="CU322" s="4">
        <f t="shared" si="573"/>
        <v>831.72397451945756</v>
      </c>
      <c r="CV322" s="6">
        <f t="shared" si="574"/>
        <v>5.1634479490389158E-6</v>
      </c>
      <c r="CW322" s="8">
        <f t="shared" si="575"/>
        <v>25.45382570697376</v>
      </c>
      <c r="CX322" s="7">
        <f t="shared" si="576"/>
        <v>1.2922527856360326E-2</v>
      </c>
      <c r="CY322" s="9">
        <f t="shared" si="577"/>
        <v>0.46620028778097311</v>
      </c>
      <c r="CZ322" s="5">
        <f t="shared" si="578"/>
        <v>634.73651501270786</v>
      </c>
      <c r="DA322" s="6">
        <f t="shared" si="579"/>
        <v>5.0443757377075613E-6</v>
      </c>
      <c r="DB322" s="8">
        <f t="shared" si="580"/>
        <v>35.08764106463147</v>
      </c>
      <c r="DC322" s="7">
        <f t="shared" si="581"/>
        <v>1.2624526601571991E-2</v>
      </c>
      <c r="DD322" s="9">
        <f t="shared" si="582"/>
        <v>0.33819830885352609</v>
      </c>
    </row>
    <row r="323" spans="2:108" x14ac:dyDescent="0.25">
      <c r="B323">
        <v>56</v>
      </c>
      <c r="C323">
        <f t="shared" si="490"/>
        <v>5.4746421315334082E-2</v>
      </c>
      <c r="D323" s="4">
        <f t="shared" si="491"/>
        <v>1019.095673312909</v>
      </c>
      <c r="E323" s="6">
        <f t="shared" si="429"/>
        <v>5.5381913466258179E-6</v>
      </c>
      <c r="F323" s="8">
        <f t="shared" si="492"/>
        <v>27.608600243098451</v>
      </c>
      <c r="G323" s="7">
        <f t="shared" si="426"/>
        <v>1.3860395738848659E-2</v>
      </c>
      <c r="H323" s="9">
        <f t="shared" si="493"/>
        <v>0.42981465069690689</v>
      </c>
      <c r="I323" s="4">
        <f t="shared" si="494"/>
        <v>1018.7728712274888</v>
      </c>
      <c r="J323" s="6">
        <f t="shared" si="431"/>
        <v>5.5375457424549787E-6</v>
      </c>
      <c r="K323" s="8">
        <f t="shared" si="495"/>
        <v>27.604888019116121</v>
      </c>
      <c r="L323" s="7">
        <f t="shared" si="433"/>
        <v>1.3858779989457131E-2</v>
      </c>
      <c r="M323" s="9">
        <f t="shared" si="496"/>
        <v>0.42987245090436177</v>
      </c>
      <c r="N323" s="4">
        <f t="shared" si="497"/>
        <v>1017.8693262116444</v>
      </c>
      <c r="O323" s="6">
        <f t="shared" si="434"/>
        <v>5.5357386524232897E-6</v>
      </c>
      <c r="P323" s="8">
        <f t="shared" si="435"/>
        <v>27.594497251433911</v>
      </c>
      <c r="Q323" s="7">
        <f t="shared" si="427"/>
        <v>1.3860395738848659E-2</v>
      </c>
      <c r="R323" s="9">
        <f t="shared" si="498"/>
        <v>0.43003432030642513</v>
      </c>
      <c r="S323" s="4">
        <f t="shared" si="499"/>
        <v>1016.3688408864435</v>
      </c>
      <c r="T323" s="6">
        <f t="shared" si="436"/>
        <v>5.5327376817728873E-6</v>
      </c>
      <c r="U323" s="8">
        <f t="shared" si="437"/>
        <v>27.577241670194098</v>
      </c>
      <c r="V323" s="7">
        <f t="shared" si="438"/>
        <v>1.3846746887020034E-2</v>
      </c>
      <c r="W323" s="9">
        <f t="shared" si="500"/>
        <v>0.43030340059511751</v>
      </c>
      <c r="X323" s="4">
        <f t="shared" si="501"/>
        <v>1014.2694331961405</v>
      </c>
      <c r="Y323" s="6">
        <f t="shared" si="439"/>
        <v>5.528538866392282E-6</v>
      </c>
      <c r="Z323" s="8">
        <f t="shared" si="440"/>
        <v>27.553098481755615</v>
      </c>
      <c r="AA323" s="7">
        <f t="shared" si="441"/>
        <v>1.3836238538866804E-2</v>
      </c>
      <c r="AB323" s="9">
        <f t="shared" si="502"/>
        <v>0.43068045060614141</v>
      </c>
      <c r="AC323" s="4">
        <f t="shared" si="503"/>
        <v>1011.5701790542323</v>
      </c>
      <c r="AD323" s="6">
        <f t="shared" si="504"/>
        <v>5.5231403581084649E-6</v>
      </c>
      <c r="AE323" s="8">
        <f t="shared" si="505"/>
        <v>27.522057059123672</v>
      </c>
      <c r="AF323" s="7">
        <f t="shared" si="506"/>
        <v>1.3822727727027711E-2</v>
      </c>
      <c r="AG323" s="9">
        <f t="shared" si="507"/>
        <v>0.43116620404593192</v>
      </c>
      <c r="AH323" s="4">
        <f t="shared" si="508"/>
        <v>1008.2710980145296</v>
      </c>
      <c r="AI323" s="6">
        <f t="shared" si="509"/>
        <v>5.5165421960290598E-6</v>
      </c>
      <c r="AJ323" s="8">
        <f t="shared" si="510"/>
        <v>27.484117627167088</v>
      </c>
      <c r="AK323" s="7">
        <f t="shared" si="511"/>
        <v>1.3806214549377152E-2</v>
      </c>
      <c r="AL323" s="9">
        <f t="shared" si="512"/>
        <v>0.43176139145861459</v>
      </c>
      <c r="AM323" s="4">
        <f t="shared" si="513"/>
        <v>1004.3722109772355</v>
      </c>
      <c r="AN323" s="6">
        <f t="shared" si="514"/>
        <v>5.5087444219544718E-6</v>
      </c>
      <c r="AO323" s="8">
        <f t="shared" si="515"/>
        <v>27.439280426238206</v>
      </c>
      <c r="AP323" s="7">
        <f t="shared" si="516"/>
        <v>1.3786699110528733E-2</v>
      </c>
      <c r="AQ323" s="9">
        <f t="shared" si="517"/>
        <v>0.43246691186445047</v>
      </c>
      <c r="AR323" s="4">
        <f t="shared" si="518"/>
        <v>999.87352397576785</v>
      </c>
      <c r="AS323" s="6">
        <f t="shared" si="519"/>
        <v>5.4997470479515366E-6</v>
      </c>
      <c r="AT323" s="8">
        <f t="shared" si="520"/>
        <v>27.387545525721329</v>
      </c>
      <c r="AU323" s="7">
        <f t="shared" si="521"/>
        <v>1.3764181440682043E-2</v>
      </c>
      <c r="AV323" s="9">
        <f t="shared" si="522"/>
        <v>0.4332838391294781</v>
      </c>
      <c r="AW323" s="4">
        <f t="shared" si="523"/>
        <v>994.7750382320919</v>
      </c>
      <c r="AX323" s="6">
        <f t="shared" si="524"/>
        <v>5.4895500764641839E-6</v>
      </c>
      <c r="AY323" s="8">
        <f t="shared" si="525"/>
        <v>27.328912939669056</v>
      </c>
      <c r="AZ323" s="7">
        <f t="shared" si="526"/>
        <v>1.373866154595349E-2</v>
      </c>
      <c r="BA323" s="9">
        <f t="shared" si="527"/>
        <v>0.4342134242922287</v>
      </c>
      <c r="BB323" s="4">
        <f t="shared" si="528"/>
        <v>989.07675387004338</v>
      </c>
      <c r="BC323" s="6">
        <f t="shared" si="529"/>
        <v>5.4781535077400869E-6</v>
      </c>
      <c r="BD323" s="8">
        <f t="shared" si="530"/>
        <v>27.263382669505496</v>
      </c>
      <c r="BE323" s="7">
        <f t="shared" si="531"/>
        <v>1.3710139426962928E-2</v>
      </c>
      <c r="BF323" s="9">
        <f t="shared" si="532"/>
        <v>0.43525709973586102</v>
      </c>
      <c r="BG323" s="4">
        <f t="shared" si="533"/>
        <v>982.77866899226296</v>
      </c>
      <c r="BH323" s="6">
        <f t="shared" si="534"/>
        <v>5.4655573379845263E-6</v>
      </c>
      <c r="BI323" s="8">
        <f t="shared" si="535"/>
        <v>27.190954693411022</v>
      </c>
      <c r="BJ323" s="7">
        <f t="shared" si="536"/>
        <v>1.3678615074213333E-2</v>
      </c>
      <c r="BK323" s="9">
        <f t="shared" si="537"/>
        <v>0.43641648494943935</v>
      </c>
      <c r="BL323" s="4">
        <f t="shared" si="538"/>
        <v>975.88075531796892</v>
      </c>
      <c r="BM323" s="6">
        <f t="shared" si="539"/>
        <v>5.4517615106359383E-6</v>
      </c>
      <c r="BN323" s="8">
        <f t="shared" si="540"/>
        <v>27.111628686156642</v>
      </c>
      <c r="BO323" s="7">
        <f t="shared" si="541"/>
        <v>1.3644088346148445E-2</v>
      </c>
      <c r="BP323" s="9">
        <f t="shared" si="542"/>
        <v>0.43769339743786934</v>
      </c>
      <c r="BQ323" s="4">
        <f t="shared" si="543"/>
        <v>968.38265348865707</v>
      </c>
      <c r="BR323" s="6">
        <f t="shared" si="544"/>
        <v>5.4367653069773146E-6</v>
      </c>
      <c r="BS323" s="8">
        <f t="shared" si="545"/>
        <v>27.025400515119557</v>
      </c>
      <c r="BT323" s="7">
        <f t="shared" si="546"/>
        <v>1.3606557444039848E-2</v>
      </c>
      <c r="BU323" s="9">
        <f t="shared" si="547"/>
        <v>0.43908991702376632</v>
      </c>
      <c r="BV323" s="4">
        <f t="shared" si="548"/>
        <v>960.28038085801882</v>
      </c>
      <c r="BW323" s="6">
        <f t="shared" si="549"/>
        <v>5.4205607617160381E-6</v>
      </c>
      <c r="BX323" s="8">
        <f t="shared" si="550"/>
        <v>26.932224379867215</v>
      </c>
      <c r="BY323" s="7">
        <f t="shared" si="551"/>
        <v>1.3566002433201116E-2</v>
      </c>
      <c r="BZ323" s="9">
        <f t="shared" si="552"/>
        <v>0.44060901551780424</v>
      </c>
      <c r="CA323" s="4">
        <f t="shared" si="553"/>
        <v>951.53603373958845</v>
      </c>
      <c r="CB323" s="6">
        <f t="shared" si="554"/>
        <v>5.4030720674791771E-6</v>
      </c>
      <c r="CC323" s="8">
        <f t="shared" si="555"/>
        <v>26.831664388005265</v>
      </c>
      <c r="CD323" s="7">
        <f t="shared" si="556"/>
        <v>1.3522233591009288E-2</v>
      </c>
      <c r="CE323" s="9">
        <f t="shared" si="557"/>
        <v>0.44226033458523334</v>
      </c>
      <c r="CF323" s="4">
        <f t="shared" si="558"/>
        <v>941.84669216172881</v>
      </c>
      <c r="CG323" s="6">
        <f t="shared" si="559"/>
        <v>5.3836933843234585E-6</v>
      </c>
      <c r="CH323" s="8">
        <f t="shared" si="560"/>
        <v>26.720236959859882</v>
      </c>
      <c r="CI323" s="7">
        <f t="shared" si="561"/>
        <v>1.3473734685748518E-2</v>
      </c>
      <c r="CJ323" s="9">
        <f t="shared" si="562"/>
        <v>0.44410462704894088</v>
      </c>
      <c r="CK323" s="4">
        <f t="shared" si="563"/>
        <v>929.24312645529517</v>
      </c>
      <c r="CL323" s="6">
        <f t="shared" si="564"/>
        <v>5.358486252910591E-6</v>
      </c>
      <c r="CM323" s="8">
        <f t="shared" si="565"/>
        <v>26.575295954235894</v>
      </c>
      <c r="CN323" s="7">
        <f t="shared" si="566"/>
        <v>1.3410648960652298E-2</v>
      </c>
      <c r="CO323" s="9">
        <f t="shared" si="567"/>
        <v>0.44652676268037789</v>
      </c>
      <c r="CP323" s="4">
        <f t="shared" si="568"/>
        <v>903.80753991077484</v>
      </c>
      <c r="CQ323" s="6">
        <f t="shared" si="569"/>
        <v>5.3076150798215499E-6</v>
      </c>
      <c r="CR323" s="8">
        <f t="shared" si="570"/>
        <v>26.282786708973909</v>
      </c>
      <c r="CS323" s="7">
        <f t="shared" si="571"/>
        <v>1.328333400409285E-2</v>
      </c>
      <c r="CT323" s="9">
        <f t="shared" si="572"/>
        <v>0.45149629683926218</v>
      </c>
      <c r="CU323" s="4">
        <f t="shared" si="573"/>
        <v>829.97954273927576</v>
      </c>
      <c r="CV323" s="6">
        <f t="shared" si="574"/>
        <v>5.1599590854785519E-6</v>
      </c>
      <c r="CW323" s="8">
        <f t="shared" si="575"/>
        <v>25.433764741501669</v>
      </c>
      <c r="CX323" s="7">
        <f t="shared" si="576"/>
        <v>1.2913796300045473E-2</v>
      </c>
      <c r="CY323" s="9">
        <f t="shared" si="577"/>
        <v>0.46656800478910415</v>
      </c>
      <c r="CZ323" s="5">
        <f t="shared" si="578"/>
        <v>632.46377119117062</v>
      </c>
      <c r="DA323" s="6">
        <f t="shared" si="579"/>
        <v>5.0845877198287036E-6</v>
      </c>
      <c r="DB323" s="8">
        <f t="shared" si="580"/>
        <v>35.15355063545605</v>
      </c>
      <c r="DC323" s="7">
        <f t="shared" si="581"/>
        <v>1.2725164869692161E-2</v>
      </c>
      <c r="DD323" s="9">
        <f t="shared" si="582"/>
        <v>0.33756421912468793</v>
      </c>
    </row>
    <row r="324" spans="2:108" x14ac:dyDescent="0.25">
      <c r="B324">
        <v>57</v>
      </c>
      <c r="C324">
        <f t="shared" si="490"/>
        <v>5.5724035981679333E-2</v>
      </c>
      <c r="D324" s="4">
        <f t="shared" si="491"/>
        <v>1019.0791926691153</v>
      </c>
      <c r="E324" s="6">
        <f t="shared" si="429"/>
        <v>5.5381583853382312E-6</v>
      </c>
      <c r="F324" s="8">
        <f t="shared" si="492"/>
        <v>27.608410715694824</v>
      </c>
      <c r="G324" s="7">
        <f t="shared" si="426"/>
        <v>1.3860313246846953E-2</v>
      </c>
      <c r="H324" s="9">
        <f t="shared" si="493"/>
        <v>0.42981760130698093</v>
      </c>
      <c r="I324" s="4">
        <f t="shared" si="494"/>
        <v>1018.7563231710708</v>
      </c>
      <c r="J324" s="6">
        <f t="shared" si="431"/>
        <v>5.5375126463421423E-6</v>
      </c>
      <c r="K324" s="8">
        <f t="shared" si="495"/>
        <v>27.604697716467314</v>
      </c>
      <c r="L324" s="7">
        <f t="shared" si="433"/>
        <v>1.3858697160029141E-2</v>
      </c>
      <c r="M324" s="9">
        <f t="shared" si="496"/>
        <v>0.42987541438061122</v>
      </c>
      <c r="N324" s="4">
        <f t="shared" si="497"/>
        <v>1017.8527242145594</v>
      </c>
      <c r="O324" s="6">
        <f t="shared" si="434"/>
        <v>5.5357054484291192E-6</v>
      </c>
      <c r="P324" s="8">
        <f t="shared" si="435"/>
        <v>27.594306328467432</v>
      </c>
      <c r="Q324" s="7">
        <f t="shared" si="427"/>
        <v>1.3860313246846953E-2</v>
      </c>
      <c r="R324" s="9">
        <f t="shared" si="498"/>
        <v>0.43003729568211108</v>
      </c>
      <c r="S324" s="4">
        <f t="shared" si="499"/>
        <v>1016.3522236940444</v>
      </c>
      <c r="T324" s="6">
        <f t="shared" si="436"/>
        <v>5.5327044473880894E-6</v>
      </c>
      <c r="U324" s="8">
        <f t="shared" si="437"/>
        <v>27.577050572481511</v>
      </c>
      <c r="V324" s="7">
        <f t="shared" si="438"/>
        <v>1.3846663711539701E-2</v>
      </c>
      <c r="W324" s="9">
        <f t="shared" si="500"/>
        <v>0.43030638242217534</v>
      </c>
      <c r="X324" s="4">
        <f t="shared" si="501"/>
        <v>1014.2528216419646</v>
      </c>
      <c r="Y324" s="6">
        <f t="shared" si="439"/>
        <v>5.5285056432839296E-6</v>
      </c>
      <c r="Z324" s="8">
        <f t="shared" si="440"/>
        <v>27.552907448882593</v>
      </c>
      <c r="AA324" s="7">
        <f t="shared" si="441"/>
        <v>1.3836155391607957E-2</v>
      </c>
      <c r="AB324" s="9">
        <f t="shared" si="502"/>
        <v>0.4306834366475959</v>
      </c>
      <c r="AC324" s="4">
        <f t="shared" si="503"/>
        <v>1011.5535803663</v>
      </c>
      <c r="AD324" s="6">
        <f t="shared" si="504"/>
        <v>5.5231071607325999E-6</v>
      </c>
      <c r="AE324" s="8">
        <f t="shared" si="505"/>
        <v>27.521866174212448</v>
      </c>
      <c r="AF324" s="7">
        <f t="shared" si="506"/>
        <v>1.3822644644169393E-2</v>
      </c>
      <c r="AG324" s="9">
        <f t="shared" si="507"/>
        <v>0.43116919450893548</v>
      </c>
      <c r="AH324" s="4">
        <f t="shared" si="508"/>
        <v>1008.2545158631287</v>
      </c>
      <c r="AI324" s="6">
        <f t="shared" si="509"/>
        <v>5.5165090317262578E-6</v>
      </c>
      <c r="AJ324" s="8">
        <f t="shared" si="510"/>
        <v>27.48392693242598</v>
      </c>
      <c r="AK324" s="7">
        <f t="shared" si="511"/>
        <v>1.3806131549290578E-2</v>
      </c>
      <c r="AL324" s="9">
        <f t="shared" si="512"/>
        <v>0.43176438719597654</v>
      </c>
      <c r="AM324" s="4">
        <f t="shared" si="513"/>
        <v>1004.3556487734644</v>
      </c>
      <c r="AN324" s="6">
        <f t="shared" si="514"/>
        <v>5.5087112975469293E-6</v>
      </c>
      <c r="AO324" s="8">
        <f t="shared" si="515"/>
        <v>27.43908996089484</v>
      </c>
      <c r="AP324" s="7">
        <f t="shared" si="516"/>
        <v>1.3786616210287764E-2</v>
      </c>
      <c r="AQ324" s="9">
        <f t="shared" si="517"/>
        <v>0.43246991378466648</v>
      </c>
      <c r="AR324" s="4">
        <f t="shared" si="518"/>
        <v>999.85698524712177</v>
      </c>
      <c r="AS324" s="6">
        <f t="shared" si="519"/>
        <v>5.4997139704942434E-6</v>
      </c>
      <c r="AT324" s="8">
        <f t="shared" si="520"/>
        <v>27.387355330341897</v>
      </c>
      <c r="AU324" s="7">
        <f t="shared" si="521"/>
        <v>1.3764098657943162E-2</v>
      </c>
      <c r="AV324" s="9">
        <f t="shared" si="522"/>
        <v>0.43328684813064638</v>
      </c>
      <c r="AW324" s="4">
        <f t="shared" si="523"/>
        <v>994.75852655534914</v>
      </c>
      <c r="AX324" s="6">
        <f t="shared" si="524"/>
        <v>5.4895170531106984E-6</v>
      </c>
      <c r="AY324" s="8">
        <f t="shared" si="525"/>
        <v>27.328723055386515</v>
      </c>
      <c r="AZ324" s="7">
        <f t="shared" si="526"/>
        <v>1.373857889861986E-2</v>
      </c>
      <c r="BA324" s="9">
        <f t="shared" si="527"/>
        <v>0.43421644127565578</v>
      </c>
      <c r="BB324" s="4">
        <f t="shared" si="528"/>
        <v>989.06027281006959</v>
      </c>
      <c r="BC324" s="6">
        <f t="shared" si="529"/>
        <v>5.4781205456201395E-6</v>
      </c>
      <c r="BD324" s="8">
        <f t="shared" si="530"/>
        <v>27.263193137315799</v>
      </c>
      <c r="BE324" s="7">
        <f t="shared" si="531"/>
        <v>1.3710056932878079E-2</v>
      </c>
      <c r="BF324" s="9">
        <f t="shared" si="532"/>
        <v>0.435260125618808</v>
      </c>
      <c r="BG324" s="4">
        <f t="shared" si="533"/>
        <v>982.76222176479303</v>
      </c>
      <c r="BH324" s="6">
        <f t="shared" si="534"/>
        <v>5.4655244435295865E-6</v>
      </c>
      <c r="BI324" s="8">
        <f t="shared" si="535"/>
        <v>27.190765550295119</v>
      </c>
      <c r="BJ324" s="7">
        <f t="shared" si="536"/>
        <v>1.367853274947326E-2</v>
      </c>
      <c r="BK324" s="9">
        <f t="shared" si="537"/>
        <v>0.43641952072912865</v>
      </c>
      <c r="BL324" s="4">
        <f t="shared" si="538"/>
        <v>975.86434077590434</v>
      </c>
      <c r="BM324" s="6">
        <f t="shared" si="539"/>
        <v>5.4517286815518098E-6</v>
      </c>
      <c r="BN324" s="8">
        <f t="shared" si="540"/>
        <v>27.111439918922898</v>
      </c>
      <c r="BO324" s="7">
        <f t="shared" si="541"/>
        <v>1.3644006185011482E-2</v>
      </c>
      <c r="BP324" s="9">
        <f t="shared" si="542"/>
        <v>0.43769644494003485</v>
      </c>
      <c r="BQ324" s="4">
        <f t="shared" si="543"/>
        <v>968.36622357829083</v>
      </c>
      <c r="BR324" s="6">
        <f t="shared" si="544"/>
        <v>5.4367324471565821E-6</v>
      </c>
      <c r="BS324" s="8">
        <f t="shared" si="545"/>
        <v>27.025211571150344</v>
      </c>
      <c r="BT324" s="7">
        <f t="shared" si="546"/>
        <v>1.3606475205978585E-2</v>
      </c>
      <c r="BU324" s="9">
        <f t="shared" si="547"/>
        <v>0.43909298687546927</v>
      </c>
      <c r="BV324" s="4">
        <f t="shared" si="548"/>
        <v>960.26345794763745</v>
      </c>
      <c r="BW324" s="6">
        <f t="shared" si="549"/>
        <v>5.4205269158952752E-6</v>
      </c>
      <c r="BX324" s="8">
        <f t="shared" si="550"/>
        <v>26.932029766397832</v>
      </c>
      <c r="BY324" s="7">
        <f t="shared" si="551"/>
        <v>1.3565917727483941E-2</v>
      </c>
      <c r="BZ324" s="9">
        <f t="shared" si="552"/>
        <v>0.44061219940145113</v>
      </c>
      <c r="CA324" s="4">
        <f t="shared" si="553"/>
        <v>951.51487835902333</v>
      </c>
      <c r="CB324" s="6">
        <f t="shared" si="554"/>
        <v>5.4030297567180473E-6</v>
      </c>
      <c r="CC324" s="8">
        <f t="shared" si="555"/>
        <v>26.831421101128768</v>
      </c>
      <c r="CD324" s="7">
        <f t="shared" si="556"/>
        <v>1.3522127700140489E-2</v>
      </c>
      <c r="CE324" s="9">
        <f t="shared" si="557"/>
        <v>0.44226434466487069</v>
      </c>
      <c r="CF324" s="4">
        <f t="shared" si="558"/>
        <v>941.79786541531837</v>
      </c>
      <c r="CG324" s="6">
        <f t="shared" si="559"/>
        <v>5.3835957308306369E-6</v>
      </c>
      <c r="CH324" s="8">
        <f t="shared" si="560"/>
        <v>26.71967545227616</v>
      </c>
      <c r="CI324" s="7">
        <f t="shared" si="561"/>
        <v>1.3473490288982305E-2</v>
      </c>
      <c r="CJ324" s="9">
        <f t="shared" si="562"/>
        <v>0.44411395980137264</v>
      </c>
      <c r="CK324" s="4">
        <f t="shared" si="563"/>
        <v>929.05516022513177</v>
      </c>
      <c r="CL324" s="6">
        <f t="shared" si="564"/>
        <v>5.3581103204502638E-6</v>
      </c>
      <c r="CM324" s="8">
        <f t="shared" si="565"/>
        <v>26.573134342589015</v>
      </c>
      <c r="CN324" s="7">
        <f t="shared" si="566"/>
        <v>1.3409708116910165E-2</v>
      </c>
      <c r="CO324" s="9">
        <f t="shared" si="567"/>
        <v>0.44656308573652964</v>
      </c>
      <c r="CP324" s="4">
        <f t="shared" si="568"/>
        <v>903.12163692907473</v>
      </c>
      <c r="CQ324" s="6">
        <f t="shared" si="569"/>
        <v>5.3062432738581493E-6</v>
      </c>
      <c r="CR324" s="8">
        <f t="shared" si="570"/>
        <v>26.274898824684357</v>
      </c>
      <c r="CS324" s="7">
        <f t="shared" si="571"/>
        <v>1.3279900794162096E-2</v>
      </c>
      <c r="CT324" s="9">
        <f t="shared" si="572"/>
        <v>0.45163183877114144</v>
      </c>
      <c r="CU324" s="4">
        <f t="shared" si="573"/>
        <v>828.24215456795343</v>
      </c>
      <c r="CV324" s="6">
        <f t="shared" si="574"/>
        <v>5.1564843091359075E-6</v>
      </c>
      <c r="CW324" s="8">
        <f t="shared" si="575"/>
        <v>25.413784777531461</v>
      </c>
      <c r="CX324" s="7">
        <f t="shared" si="576"/>
        <v>1.2905099999719486E-2</v>
      </c>
      <c r="CY324" s="9">
        <f t="shared" si="577"/>
        <v>0.46693481406237614</v>
      </c>
      <c r="CZ324" s="5">
        <f t="shared" si="578"/>
        <v>630.22784949619836</v>
      </c>
      <c r="DA324" s="6">
        <f t="shared" si="579"/>
        <v>5.1239858207168002E-6</v>
      </c>
      <c r="DB324" s="8">
        <f t="shared" si="580"/>
        <v>35.218392364610246</v>
      </c>
      <c r="DC324" s="7">
        <f t="shared" si="581"/>
        <v>1.2823766242503304E-2</v>
      </c>
      <c r="DD324" s="9">
        <f t="shared" si="582"/>
        <v>0.33694271864726622</v>
      </c>
    </row>
    <row r="325" spans="2:108" x14ac:dyDescent="0.25">
      <c r="B325">
        <v>58</v>
      </c>
      <c r="C325">
        <f t="shared" si="490"/>
        <v>5.6701650648024585E-2</v>
      </c>
      <c r="D325" s="4">
        <f t="shared" si="491"/>
        <v>1019.0627085835736</v>
      </c>
      <c r="E325" s="6">
        <f t="shared" si="429"/>
        <v>5.5381254171671473E-6</v>
      </c>
      <c r="F325" s="8">
        <f t="shared" si="492"/>
        <v>27.608221148711095</v>
      </c>
      <c r="G325" s="7">
        <f t="shared" si="426"/>
        <v>1.3860230737617963E-2</v>
      </c>
      <c r="H325" s="9">
        <f t="shared" si="493"/>
        <v>0.42982055257377189</v>
      </c>
      <c r="I325" s="4">
        <f t="shared" si="494"/>
        <v>1018.7397745588941</v>
      </c>
      <c r="J325" s="6">
        <f t="shared" si="431"/>
        <v>5.5374795491177886E-6</v>
      </c>
      <c r="K325" s="8">
        <f t="shared" si="495"/>
        <v>27.604507407427281</v>
      </c>
      <c r="L325" s="7">
        <f t="shared" si="433"/>
        <v>1.3858614327819367E-2</v>
      </c>
      <c r="M325" s="9">
        <f t="shared" si="496"/>
        <v>0.42987837799724948</v>
      </c>
      <c r="N325" s="4">
        <f t="shared" si="497"/>
        <v>1017.8361226141278</v>
      </c>
      <c r="O325" s="6">
        <f t="shared" si="434"/>
        <v>5.5356722452282561E-6</v>
      </c>
      <c r="P325" s="8">
        <f t="shared" si="435"/>
        <v>27.594115410062471</v>
      </c>
      <c r="Q325" s="7">
        <f t="shared" si="427"/>
        <v>1.3860230737617963E-2</v>
      </c>
      <c r="R325" s="9">
        <f t="shared" si="498"/>
        <v>0.43004027102788123</v>
      </c>
      <c r="S325" s="4">
        <f t="shared" si="499"/>
        <v>1016.3356068672463</v>
      </c>
      <c r="T325" s="6">
        <f t="shared" si="436"/>
        <v>5.5326712137344928E-6</v>
      </c>
      <c r="U325" s="8">
        <f t="shared" si="437"/>
        <v>27.576859478973333</v>
      </c>
      <c r="V325" s="7">
        <f t="shared" si="438"/>
        <v>1.3846580537889341E-2</v>
      </c>
      <c r="W325" s="9">
        <f t="shared" si="500"/>
        <v>0.43030936422495353</v>
      </c>
      <c r="X325" s="4">
        <f t="shared" si="501"/>
        <v>1014.2362103196816</v>
      </c>
      <c r="Y325" s="6">
        <f t="shared" si="439"/>
        <v>5.5284724206393642E-6</v>
      </c>
      <c r="Z325" s="8">
        <f t="shared" si="440"/>
        <v>27.55271641867634</v>
      </c>
      <c r="AA325" s="7">
        <f t="shared" si="441"/>
        <v>1.3836072245509827E-2</v>
      </c>
      <c r="AB325" s="9">
        <f t="shared" si="502"/>
        <v>0.43068642268877172</v>
      </c>
      <c r="AC325" s="4">
        <f t="shared" si="503"/>
        <v>1011.536981869579</v>
      </c>
      <c r="AD325" s="6">
        <f t="shared" si="504"/>
        <v>5.5230739637391584E-6</v>
      </c>
      <c r="AE325" s="8">
        <f t="shared" si="505"/>
        <v>27.521675291500159</v>
      </c>
      <c r="AF325" s="7">
        <f t="shared" si="506"/>
        <v>1.3822561562268167E-2</v>
      </c>
      <c r="AG325" s="9">
        <f t="shared" si="507"/>
        <v>0.43117218497897158</v>
      </c>
      <c r="AH325" s="4">
        <f t="shared" si="508"/>
        <v>1008.2379339005715</v>
      </c>
      <c r="AI325" s="6">
        <f t="shared" si="509"/>
        <v>5.5164758678011435E-6</v>
      </c>
      <c r="AJ325" s="8">
        <f t="shared" si="510"/>
        <v>27.483736239856572</v>
      </c>
      <c r="AK325" s="7">
        <f t="shared" si="511"/>
        <v>1.3806048550149238E-2</v>
      </c>
      <c r="AL325" s="9">
        <f t="shared" si="512"/>
        <v>0.43176738294079287</v>
      </c>
      <c r="AM325" s="4">
        <f t="shared" si="513"/>
        <v>1004.3390867607833</v>
      </c>
      <c r="AN325" s="6">
        <f t="shared" si="514"/>
        <v>5.5086781735215671E-6</v>
      </c>
      <c r="AO325" s="8">
        <f t="shared" si="515"/>
        <v>27.438899497749006</v>
      </c>
      <c r="AP325" s="7">
        <f t="shared" si="516"/>
        <v>1.3786533311003279E-2</v>
      </c>
      <c r="AQ325" s="9">
        <f t="shared" si="517"/>
        <v>0.43247291571192176</v>
      </c>
      <c r="AR325" s="4">
        <f t="shared" si="518"/>
        <v>999.84044671077197</v>
      </c>
      <c r="AS325" s="6">
        <f t="shared" si="519"/>
        <v>5.4996808934215447E-6</v>
      </c>
      <c r="AT325" s="8">
        <f t="shared" si="520"/>
        <v>27.387165137173877</v>
      </c>
      <c r="AU325" s="7">
        <f t="shared" si="521"/>
        <v>1.3764015876166803E-2</v>
      </c>
      <c r="AV325" s="9">
        <f t="shared" si="522"/>
        <v>0.43328985713862128</v>
      </c>
      <c r="AW325" s="4">
        <f t="shared" si="523"/>
        <v>994.74201507107716</v>
      </c>
      <c r="AX325" s="6">
        <f t="shared" si="524"/>
        <v>5.4894840301421546E-6</v>
      </c>
      <c r="AY325" s="8">
        <f t="shared" si="525"/>
        <v>27.328533173317389</v>
      </c>
      <c r="AZ325" s="7">
        <f t="shared" si="526"/>
        <v>1.3738496252249622E-2</v>
      </c>
      <c r="BA325" s="9">
        <f t="shared" si="527"/>
        <v>0.43421945826583941</v>
      </c>
      <c r="BB325" s="4">
        <f t="shared" si="528"/>
        <v>989.04379193769114</v>
      </c>
      <c r="BC325" s="6">
        <f t="shared" si="529"/>
        <v>5.4780875838753819E-6</v>
      </c>
      <c r="BD325" s="8">
        <f t="shared" si="530"/>
        <v>27.263003607283448</v>
      </c>
      <c r="BE325" s="7">
        <f t="shared" si="531"/>
        <v>1.3709974439732214E-2</v>
      </c>
      <c r="BF325" s="9">
        <f t="shared" si="532"/>
        <v>0.43526315150938405</v>
      </c>
      <c r="BG325" s="4">
        <f t="shared" si="533"/>
        <v>982.74577466201174</v>
      </c>
      <c r="BH325" s="6">
        <f t="shared" si="534"/>
        <v>5.4654915493240242E-6</v>
      </c>
      <c r="BI325" s="8">
        <f t="shared" si="535"/>
        <v>27.190576408613133</v>
      </c>
      <c r="BJ325" s="7">
        <f t="shared" si="536"/>
        <v>1.3678450425357305E-2</v>
      </c>
      <c r="BK325" s="9">
        <f t="shared" si="537"/>
        <v>0.43642255652803791</v>
      </c>
      <c r="BL325" s="4">
        <f t="shared" si="538"/>
        <v>975.84792568519993</v>
      </c>
      <c r="BM325" s="6">
        <f t="shared" si="539"/>
        <v>5.4516958513704E-6</v>
      </c>
      <c r="BN325" s="8">
        <f t="shared" si="540"/>
        <v>27.111251145379796</v>
      </c>
      <c r="BO325" s="7">
        <f t="shared" si="541"/>
        <v>1.3643924021128359E-2</v>
      </c>
      <c r="BP325" s="9">
        <f t="shared" si="542"/>
        <v>0.43769949258649982</v>
      </c>
      <c r="BQ325" s="4">
        <f t="shared" si="543"/>
        <v>968.34978698331975</v>
      </c>
      <c r="BR325" s="6">
        <f t="shared" si="544"/>
        <v>5.4366995739666399E-6</v>
      </c>
      <c r="BS325" s="8">
        <f t="shared" si="545"/>
        <v>27.025022550308176</v>
      </c>
      <c r="BT325" s="7">
        <f t="shared" si="546"/>
        <v>1.3606392934458283E-2</v>
      </c>
      <c r="BU325" s="9">
        <f t="shared" si="547"/>
        <v>0.43909605801911089</v>
      </c>
      <c r="BV325" s="4">
        <f t="shared" si="548"/>
        <v>960.2464819625726</v>
      </c>
      <c r="BW325" s="6">
        <f t="shared" si="549"/>
        <v>5.4204929639251455E-6</v>
      </c>
      <c r="BX325" s="8">
        <f t="shared" si="550"/>
        <v>26.931834542569582</v>
      </c>
      <c r="BY325" s="7">
        <f t="shared" si="551"/>
        <v>1.3565832756107427E-2</v>
      </c>
      <c r="BZ325" s="9">
        <f t="shared" si="552"/>
        <v>0.44061539331682309</v>
      </c>
      <c r="CA325" s="4">
        <f t="shared" si="553"/>
        <v>951.49339071609154</v>
      </c>
      <c r="CB325" s="6">
        <f t="shared" si="554"/>
        <v>5.4029867814321833E-6</v>
      </c>
      <c r="CC325" s="8">
        <f t="shared" si="555"/>
        <v>26.831173993235051</v>
      </c>
      <c r="CD325" s="7">
        <f t="shared" si="556"/>
        <v>1.3522020146169928E-2</v>
      </c>
      <c r="CE325" s="9">
        <f t="shared" si="557"/>
        <v>0.44226841780049658</v>
      </c>
      <c r="CF325" s="4">
        <f t="shared" si="558"/>
        <v>941.74746129502148</v>
      </c>
      <c r="CG325" s="6">
        <f t="shared" si="559"/>
        <v>5.3834949225900434E-6</v>
      </c>
      <c r="CH325" s="8">
        <f t="shared" si="560"/>
        <v>26.719095804892746</v>
      </c>
      <c r="CI325" s="7">
        <f t="shared" si="561"/>
        <v>1.3473237996849203E-2</v>
      </c>
      <c r="CJ325" s="9">
        <f t="shared" si="562"/>
        <v>0.44412359446478406</v>
      </c>
      <c r="CK325" s="4">
        <f t="shared" si="563"/>
        <v>928.86211089838253</v>
      </c>
      <c r="CL325" s="6">
        <f t="shared" si="564"/>
        <v>5.3577242217967658E-6</v>
      </c>
      <c r="CM325" s="8">
        <f t="shared" si="565"/>
        <v>26.570914275331397</v>
      </c>
      <c r="CN325" s="7">
        <f t="shared" si="566"/>
        <v>1.3408741830301996E-2</v>
      </c>
      <c r="CO325" s="9">
        <f t="shared" si="567"/>
        <v>0.44660039721459288</v>
      </c>
      <c r="CP325" s="4">
        <f t="shared" si="568"/>
        <v>902.42778387905719</v>
      </c>
      <c r="CQ325" s="6">
        <f t="shared" si="569"/>
        <v>5.3048555677581149E-6</v>
      </c>
      <c r="CR325" s="8">
        <f t="shared" si="570"/>
        <v>26.266919514609157</v>
      </c>
      <c r="CS325" s="7">
        <f t="shared" si="571"/>
        <v>1.3276427791062011E-2</v>
      </c>
      <c r="CT325" s="9">
        <f t="shared" si="572"/>
        <v>0.45176903455001388</v>
      </c>
      <c r="CU325" s="4">
        <f t="shared" si="573"/>
        <v>826.51202044189461</v>
      </c>
      <c r="CV325" s="6">
        <f t="shared" si="574"/>
        <v>5.1530240408837895E-6</v>
      </c>
      <c r="CW325" s="8">
        <f t="shared" si="575"/>
        <v>25.393888235081789</v>
      </c>
      <c r="CX325" s="7">
        <f t="shared" si="576"/>
        <v>1.2896440008698022E-2</v>
      </c>
      <c r="CY325" s="9">
        <f t="shared" si="577"/>
        <v>0.46730066541460774</v>
      </c>
      <c r="CZ325" s="5">
        <f t="shared" si="578"/>
        <v>628.02754155952528</v>
      </c>
      <c r="DA325" s="6">
        <f t="shared" si="579"/>
        <v>5.1626015023598451E-6</v>
      </c>
      <c r="DB325" s="8">
        <f t="shared" si="580"/>
        <v>35.282201294773763</v>
      </c>
      <c r="DC325" s="7">
        <f t="shared" si="581"/>
        <v>1.2920409459719716E-2</v>
      </c>
      <c r="DD325" s="9">
        <f t="shared" si="582"/>
        <v>0.33633334753054811</v>
      </c>
    </row>
    <row r="326" spans="2:108" x14ac:dyDescent="0.25">
      <c r="B326">
        <v>59</v>
      </c>
      <c r="C326">
        <f t="shared" si="490"/>
        <v>5.7679265314369836E-2</v>
      </c>
      <c r="D326" s="4">
        <f t="shared" si="491"/>
        <v>1019.0462212036279</v>
      </c>
      <c r="E326" s="6">
        <f t="shared" si="429"/>
        <v>5.5380924424072567E-6</v>
      </c>
      <c r="F326" s="8">
        <f t="shared" si="492"/>
        <v>27.608031543841719</v>
      </c>
      <c r="G326" s="7">
        <f t="shared" si="426"/>
        <v>1.3860148211899211E-2</v>
      </c>
      <c r="H326" s="9">
        <f t="shared" si="493"/>
        <v>0.42982350447092532</v>
      </c>
      <c r="I326" s="4">
        <f t="shared" si="494"/>
        <v>1018.7232253907868</v>
      </c>
      <c r="J326" s="6">
        <f t="shared" si="431"/>
        <v>5.5374464507815737E-6</v>
      </c>
      <c r="K326" s="8">
        <f t="shared" si="495"/>
        <v>27.604317091994048</v>
      </c>
      <c r="L326" s="7">
        <f t="shared" si="433"/>
        <v>1.3858531492826943E-2</v>
      </c>
      <c r="M326" s="9">
        <f t="shared" si="496"/>
        <v>0.42988134175431231</v>
      </c>
      <c r="N326" s="4">
        <f t="shared" si="497"/>
        <v>1017.8195213999121</v>
      </c>
      <c r="O326" s="6">
        <f t="shared" si="434"/>
        <v>5.5356390427998244E-6</v>
      </c>
      <c r="P326" s="8">
        <f t="shared" si="435"/>
        <v>27.593924496098989</v>
      </c>
      <c r="Q326" s="7">
        <f t="shared" si="427"/>
        <v>1.3860148211899211E-2</v>
      </c>
      <c r="R326" s="9">
        <f t="shared" si="498"/>
        <v>0.43004324634560415</v>
      </c>
      <c r="S326" s="4">
        <f t="shared" si="499"/>
        <v>1016.3189904042624</v>
      </c>
      <c r="T326" s="6">
        <f t="shared" si="436"/>
        <v>5.5326379808085255E-6</v>
      </c>
      <c r="U326" s="8">
        <f t="shared" si="437"/>
        <v>27.576668389649015</v>
      </c>
      <c r="V326" s="7">
        <f t="shared" si="438"/>
        <v>1.3846497366060013E-2</v>
      </c>
      <c r="W326" s="9">
        <f t="shared" si="500"/>
        <v>0.43031234600377088</v>
      </c>
      <c r="X326" s="4">
        <f t="shared" si="501"/>
        <v>1014.2195992302742</v>
      </c>
      <c r="Y326" s="6">
        <f t="shared" si="439"/>
        <v>5.5284391984605492E-6</v>
      </c>
      <c r="Z326" s="8">
        <f t="shared" si="440"/>
        <v>27.552525391148151</v>
      </c>
      <c r="AA326" s="7">
        <f t="shared" si="441"/>
        <v>1.3835989100577329E-2</v>
      </c>
      <c r="AB326" s="9">
        <f t="shared" si="502"/>
        <v>0.43068940872949146</v>
      </c>
      <c r="AC326" s="4">
        <f t="shared" si="503"/>
        <v>1011.5203835645374</v>
      </c>
      <c r="AD326" s="6">
        <f t="shared" si="504"/>
        <v>5.5230407671290756E-6</v>
      </c>
      <c r="AE326" s="8">
        <f t="shared" si="505"/>
        <v>27.52148441099218</v>
      </c>
      <c r="AF326" s="7">
        <f t="shared" si="506"/>
        <v>1.3822478481326369E-2</v>
      </c>
      <c r="AG326" s="9">
        <f t="shared" si="507"/>
        <v>0.43117517545595552</v>
      </c>
      <c r="AH326" s="4">
        <f t="shared" si="508"/>
        <v>1008.2213521269193</v>
      </c>
      <c r="AI326" s="6">
        <f t="shared" si="509"/>
        <v>5.516442704253839E-6</v>
      </c>
      <c r="AJ326" s="8">
        <f t="shared" si="510"/>
        <v>27.483545549459571</v>
      </c>
      <c r="AK326" s="7">
        <f t="shared" si="511"/>
        <v>1.3805965551953443E-2</v>
      </c>
      <c r="AL326" s="9">
        <f t="shared" si="512"/>
        <v>0.43177037869305185</v>
      </c>
      <c r="AM326" s="4">
        <f t="shared" si="513"/>
        <v>1004.3225249391789</v>
      </c>
      <c r="AN326" s="6">
        <f t="shared" si="514"/>
        <v>5.5086450498783583E-6</v>
      </c>
      <c r="AO326" s="8">
        <f t="shared" si="515"/>
        <v>27.438709036800557</v>
      </c>
      <c r="AP326" s="7">
        <f t="shared" si="516"/>
        <v>1.3786450412675205E-2</v>
      </c>
      <c r="AQ326" s="9">
        <f t="shared" si="517"/>
        <v>0.43247591764621812</v>
      </c>
      <c r="AR326" s="4">
        <f t="shared" si="518"/>
        <v>999.82390836670299</v>
      </c>
      <c r="AS326" s="6">
        <f t="shared" si="519"/>
        <v>5.4996478167334065E-6</v>
      </c>
      <c r="AT326" s="8">
        <f t="shared" si="520"/>
        <v>27.386974946217084</v>
      </c>
      <c r="AU326" s="7">
        <f t="shared" si="521"/>
        <v>1.3763933095352881E-2</v>
      </c>
      <c r="AV326" s="9">
        <f t="shared" si="522"/>
        <v>0.43329286615340512</v>
      </c>
      <c r="AW326" s="4">
        <f t="shared" si="523"/>
        <v>994.72550377920072</v>
      </c>
      <c r="AX326" s="6">
        <f t="shared" si="524"/>
        <v>5.4894510075584018E-6</v>
      </c>
      <c r="AY326" s="8">
        <f t="shared" si="525"/>
        <v>27.328343293460808</v>
      </c>
      <c r="AZ326" s="7">
        <f t="shared" si="526"/>
        <v>1.3738413606842397E-2</v>
      </c>
      <c r="BA326" s="9">
        <f t="shared" si="527"/>
        <v>0.4342224752627929</v>
      </c>
      <c r="BB326" s="4">
        <f t="shared" si="528"/>
        <v>989.02731125206196</v>
      </c>
      <c r="BC326" s="6">
        <f t="shared" si="529"/>
        <v>5.4780546225041253E-6</v>
      </c>
      <c r="BD326" s="8">
        <f t="shared" si="530"/>
        <v>27.262814079398712</v>
      </c>
      <c r="BE326" s="7">
        <f t="shared" si="531"/>
        <v>1.3709891947521109E-2</v>
      </c>
      <c r="BF326" s="9">
        <f t="shared" si="532"/>
        <v>0.43526617740774393</v>
      </c>
      <c r="BG326" s="4">
        <f t="shared" si="533"/>
        <v>982.72932767508996</v>
      </c>
      <c r="BH326" s="6">
        <f t="shared" si="534"/>
        <v>5.4654586553501804E-6</v>
      </c>
      <c r="BI326" s="8">
        <f t="shared" si="535"/>
        <v>27.190387268263535</v>
      </c>
      <c r="BJ326" s="7">
        <f t="shared" si="536"/>
        <v>1.3678368101821268E-2</v>
      </c>
      <c r="BK326" s="9">
        <f t="shared" si="537"/>
        <v>0.43642559234779654</v>
      </c>
      <c r="BL326" s="4">
        <f t="shared" si="538"/>
        <v>975.83150996726192</v>
      </c>
      <c r="BM326" s="6">
        <f t="shared" si="539"/>
        <v>5.4516630199345243E-6</v>
      </c>
      <c r="BN326" s="8">
        <f t="shared" si="540"/>
        <v>27.11106236462351</v>
      </c>
      <c r="BO326" s="7">
        <f t="shared" si="541"/>
        <v>1.3643841854105693E-2</v>
      </c>
      <c r="BP326" s="9">
        <f t="shared" si="542"/>
        <v>0.43770254039186152</v>
      </c>
      <c r="BQ326" s="4">
        <f t="shared" si="543"/>
        <v>968.33334312704483</v>
      </c>
      <c r="BR326" s="6">
        <f t="shared" si="544"/>
        <v>5.43666668625409E-6</v>
      </c>
      <c r="BS326" s="8">
        <f t="shared" si="545"/>
        <v>27.024833445961015</v>
      </c>
      <c r="BT326" s="7">
        <f t="shared" si="546"/>
        <v>1.3606310626592349E-2</v>
      </c>
      <c r="BU326" s="9">
        <f t="shared" si="547"/>
        <v>0.43909913056250172</v>
      </c>
      <c r="BV326" s="4">
        <f t="shared" si="548"/>
        <v>960.2294495777852</v>
      </c>
      <c r="BW326" s="6">
        <f t="shared" si="549"/>
        <v>5.4204588991555713E-6</v>
      </c>
      <c r="BX326" s="8">
        <f t="shared" si="550"/>
        <v>26.93163867014453</v>
      </c>
      <c r="BY326" s="7">
        <f t="shared" si="551"/>
        <v>1.3565747502428473E-2</v>
      </c>
      <c r="BZ326" s="9">
        <f t="shared" si="552"/>
        <v>0.44061859788995217</v>
      </c>
      <c r="CA326" s="4">
        <f t="shared" si="553"/>
        <v>951.47155702265707</v>
      </c>
      <c r="CB326" s="6">
        <f t="shared" si="554"/>
        <v>5.4029431140453144E-6</v>
      </c>
      <c r="CC326" s="8">
        <f t="shared" si="555"/>
        <v>26.830922905760556</v>
      </c>
      <c r="CD326" s="7">
        <f t="shared" si="556"/>
        <v>1.3521910860082647E-2</v>
      </c>
      <c r="CE326" s="9">
        <f t="shared" si="557"/>
        <v>0.44227255660930553</v>
      </c>
      <c r="CF326" s="4">
        <f t="shared" si="558"/>
        <v>941.69544725730179</v>
      </c>
      <c r="CG326" s="6">
        <f t="shared" si="559"/>
        <v>5.3833908945146041E-6</v>
      </c>
      <c r="CH326" s="8">
        <f t="shared" si="560"/>
        <v>26.718497643458967</v>
      </c>
      <c r="CI326" s="7">
        <f t="shared" si="561"/>
        <v>1.3472977646456216E-2</v>
      </c>
      <c r="CJ326" s="9">
        <f t="shared" si="562"/>
        <v>0.44413353729950422</v>
      </c>
      <c r="CK326" s="4">
        <f t="shared" si="563"/>
        <v>928.6639848646571</v>
      </c>
      <c r="CL326" s="6">
        <f t="shared" si="564"/>
        <v>5.3573279697293145E-6</v>
      </c>
      <c r="CM326" s="8">
        <f t="shared" si="565"/>
        <v>26.568635825943556</v>
      </c>
      <c r="CN326" s="7">
        <f t="shared" si="566"/>
        <v>1.3407750132810259E-2</v>
      </c>
      <c r="CO326" s="9">
        <f t="shared" si="567"/>
        <v>0.44663869637335696</v>
      </c>
      <c r="CP326" s="4">
        <f t="shared" si="568"/>
        <v>901.72623013116231</v>
      </c>
      <c r="CQ326" s="6">
        <f t="shared" si="569"/>
        <v>5.3034524602623253E-6</v>
      </c>
      <c r="CR326" s="8">
        <f t="shared" si="570"/>
        <v>26.258851646508365</v>
      </c>
      <c r="CS326" s="7">
        <f t="shared" si="571"/>
        <v>1.3272916242988176E-2</v>
      </c>
      <c r="CT326" s="9">
        <f t="shared" si="572"/>
        <v>0.45190783776318699</v>
      </c>
      <c r="CU326" s="4">
        <f t="shared" si="573"/>
        <v>824.78933163637544</v>
      </c>
      <c r="CV326" s="6">
        <f t="shared" si="574"/>
        <v>5.1495786632727514E-6</v>
      </c>
      <c r="CW326" s="8">
        <f t="shared" si="575"/>
        <v>25.374077313818319</v>
      </c>
      <c r="CX326" s="7">
        <f t="shared" si="576"/>
        <v>1.2887817284387882E-2</v>
      </c>
      <c r="CY326" s="9">
        <f t="shared" si="577"/>
        <v>0.4676655124423203</v>
      </c>
      <c r="CZ326" s="5">
        <f t="shared" si="578"/>
        <v>625.86169214153426</v>
      </c>
      <c r="DA326" s="6">
        <f t="shared" si="579"/>
        <v>5.2004645963259183E-6</v>
      </c>
      <c r="DB326" s="8">
        <f t="shared" si="580"/>
        <v>35.345010927895501</v>
      </c>
      <c r="DC326" s="7">
        <f t="shared" si="581"/>
        <v>1.3015169180614286E-2</v>
      </c>
      <c r="DD326" s="9">
        <f t="shared" si="582"/>
        <v>0.33573566843495822</v>
      </c>
    </row>
    <row r="327" spans="2:108" x14ac:dyDescent="0.25">
      <c r="B327">
        <v>60</v>
      </c>
      <c r="C327">
        <f t="shared" si="490"/>
        <v>5.8656879980715088E-2</v>
      </c>
      <c r="D327" s="4">
        <f t="shared" si="491"/>
        <v>1019.0297306690908</v>
      </c>
      <c r="E327" s="6">
        <f t="shared" si="429"/>
        <v>5.5380594613381819E-6</v>
      </c>
      <c r="F327" s="8">
        <f t="shared" si="492"/>
        <v>27.607841902694545</v>
      </c>
      <c r="G327" s="7">
        <f t="shared" si="426"/>
        <v>1.38600656703905E-2</v>
      </c>
      <c r="H327" s="9">
        <f t="shared" si="493"/>
        <v>0.42982645697343375</v>
      </c>
      <c r="I327" s="4">
        <f t="shared" si="494"/>
        <v>1018.7066756673852</v>
      </c>
      <c r="J327" s="6">
        <f t="shared" si="431"/>
        <v>5.5374133513347707E-6</v>
      </c>
      <c r="K327" s="8">
        <f t="shared" si="495"/>
        <v>27.604126770174929</v>
      </c>
      <c r="L327" s="7">
        <f t="shared" si="433"/>
        <v>1.3858448655055059E-2</v>
      </c>
      <c r="M327" s="9">
        <f t="shared" si="496"/>
        <v>0.42988430565169078</v>
      </c>
      <c r="N327" s="4">
        <f t="shared" si="497"/>
        <v>1017.8029205617316</v>
      </c>
      <c r="O327" s="6">
        <f t="shared" si="434"/>
        <v>5.5356058411234638E-6</v>
      </c>
      <c r="P327" s="8">
        <f t="shared" si="435"/>
        <v>27.593733586459912</v>
      </c>
      <c r="Q327" s="7">
        <f t="shared" si="427"/>
        <v>1.38600656703905E-2</v>
      </c>
      <c r="R327" s="9">
        <f t="shared" si="498"/>
        <v>0.43004622163710249</v>
      </c>
      <c r="S327" s="4">
        <f t="shared" si="499"/>
        <v>1016.3023743032501</v>
      </c>
      <c r="T327" s="6">
        <f t="shared" si="436"/>
        <v>5.532604748606501E-6</v>
      </c>
      <c r="U327" s="8">
        <f t="shared" si="437"/>
        <v>27.576477304487376</v>
      </c>
      <c r="V327" s="7">
        <f t="shared" si="438"/>
        <v>1.3846414196042491E-2</v>
      </c>
      <c r="W327" s="9">
        <f t="shared" si="500"/>
        <v>0.43031532775895603</v>
      </c>
      <c r="X327" s="4">
        <f t="shared" si="501"/>
        <v>1014.2029883746832</v>
      </c>
      <c r="Y327" s="6">
        <f t="shared" si="439"/>
        <v>5.5284059767493666E-6</v>
      </c>
      <c r="Z327" s="8">
        <f t="shared" si="440"/>
        <v>27.552334366308855</v>
      </c>
      <c r="AA327" s="7">
        <f t="shared" si="441"/>
        <v>1.383590595681517E-2</v>
      </c>
      <c r="AB327" s="9">
        <f t="shared" si="502"/>
        <v>0.43069239476958504</v>
      </c>
      <c r="AC327" s="4">
        <f t="shared" si="503"/>
        <v>1011.5037854516435</v>
      </c>
      <c r="AD327" s="6">
        <f t="shared" si="504"/>
        <v>5.5230075709032874E-6</v>
      </c>
      <c r="AE327" s="8">
        <f t="shared" si="505"/>
        <v>27.5212935326939</v>
      </c>
      <c r="AF327" s="7">
        <f t="shared" si="506"/>
        <v>1.3822395401346343E-2</v>
      </c>
      <c r="AG327" s="9">
        <f t="shared" si="507"/>
        <v>0.43117816593980229</v>
      </c>
      <c r="AH327" s="4">
        <f t="shared" si="508"/>
        <v>1008.2047705422375</v>
      </c>
      <c r="AI327" s="6">
        <f t="shared" si="509"/>
        <v>5.5164095410844755E-6</v>
      </c>
      <c r="AJ327" s="8">
        <f t="shared" si="510"/>
        <v>27.483354861235732</v>
      </c>
      <c r="AK327" s="7">
        <f t="shared" si="511"/>
        <v>1.3805882554703516E-2</v>
      </c>
      <c r="AL327" s="9">
        <f t="shared" si="512"/>
        <v>0.43177337445274111</v>
      </c>
      <c r="AM327" s="4">
        <f t="shared" si="513"/>
        <v>1004.3059633086391</v>
      </c>
      <c r="AN327" s="6">
        <f t="shared" si="514"/>
        <v>5.508611926617279E-6</v>
      </c>
      <c r="AO327" s="8">
        <f t="shared" si="515"/>
        <v>27.438518578049347</v>
      </c>
      <c r="AP327" s="7">
        <f t="shared" si="516"/>
        <v>1.3786367515303485E-2</v>
      </c>
      <c r="AQ327" s="9">
        <f t="shared" si="517"/>
        <v>0.43247891958755724</v>
      </c>
      <c r="AR327" s="4">
        <f t="shared" si="518"/>
        <v>999.80737021489881</v>
      </c>
      <c r="AS327" s="6">
        <f t="shared" si="519"/>
        <v>5.4996147404297976E-6</v>
      </c>
      <c r="AT327" s="8">
        <f t="shared" si="520"/>
        <v>27.386784757471336</v>
      </c>
      <c r="AU327" s="7">
        <f t="shared" si="521"/>
        <v>1.3763850315501321E-2</v>
      </c>
      <c r="AV327" s="9">
        <f t="shared" si="522"/>
        <v>0.43329587517500023</v>
      </c>
      <c r="AW327" s="4">
        <f t="shared" si="523"/>
        <v>994.70899267963398</v>
      </c>
      <c r="AX327" s="6">
        <f t="shared" si="524"/>
        <v>5.489417985359268E-6</v>
      </c>
      <c r="AY327" s="8">
        <f t="shared" si="525"/>
        <v>27.328153415815791</v>
      </c>
      <c r="AZ327" s="7">
        <f t="shared" si="526"/>
        <v>1.3738330962397755E-2</v>
      </c>
      <c r="BA327" s="9">
        <f t="shared" si="527"/>
        <v>0.43422549226653123</v>
      </c>
      <c r="BB327" s="4">
        <f t="shared" si="528"/>
        <v>989.01083075223096</v>
      </c>
      <c r="BC327" s="6">
        <f t="shared" si="529"/>
        <v>5.4780216615044619E-6</v>
      </c>
      <c r="BD327" s="8">
        <f t="shared" si="530"/>
        <v>27.262624553650653</v>
      </c>
      <c r="BE327" s="7">
        <f t="shared" si="531"/>
        <v>1.3709809456239987E-2</v>
      </c>
      <c r="BF327" s="9">
        <f t="shared" si="532"/>
        <v>0.43526920331406177</v>
      </c>
      <c r="BG327" s="4">
        <f t="shared" si="533"/>
        <v>982.71288079430349</v>
      </c>
      <c r="BH327" s="6">
        <f t="shared" si="534"/>
        <v>5.4654257615886074E-6</v>
      </c>
      <c r="BI327" s="8">
        <f t="shared" si="535"/>
        <v>27.190198129134487</v>
      </c>
      <c r="BJ327" s="7">
        <f t="shared" si="536"/>
        <v>1.3678285778816482E-2</v>
      </c>
      <c r="BK327" s="9">
        <f t="shared" si="537"/>
        <v>0.43642862819019973</v>
      </c>
      <c r="BL327" s="4">
        <f t="shared" si="538"/>
        <v>975.81509353731553</v>
      </c>
      <c r="BM327" s="6">
        <f t="shared" si="539"/>
        <v>5.4516301870746312E-6</v>
      </c>
      <c r="BN327" s="8">
        <f t="shared" si="540"/>
        <v>27.110873575679129</v>
      </c>
      <c r="BO327" s="7">
        <f t="shared" si="541"/>
        <v>1.3643759683519144E-2</v>
      </c>
      <c r="BP327" s="9">
        <f t="shared" si="542"/>
        <v>0.43770558837186568</v>
      </c>
      <c r="BQ327" s="4">
        <f t="shared" si="543"/>
        <v>968.3168914003727</v>
      </c>
      <c r="BR327" s="6">
        <f t="shared" si="544"/>
        <v>5.4366337828007457E-6</v>
      </c>
      <c r="BS327" s="8">
        <f t="shared" si="545"/>
        <v>27.024644251104284</v>
      </c>
      <c r="BT327" s="7">
        <f t="shared" si="546"/>
        <v>1.3606228279332026E-2</v>
      </c>
      <c r="BU327" s="9">
        <f t="shared" si="547"/>
        <v>0.43910220461951149</v>
      </c>
      <c r="BV327" s="4">
        <f t="shared" si="548"/>
        <v>960.21235735691209</v>
      </c>
      <c r="BW327" s="6">
        <f t="shared" si="549"/>
        <v>5.4204247147138246E-6</v>
      </c>
      <c r="BX327" s="8">
        <f t="shared" si="550"/>
        <v>26.93144210960449</v>
      </c>
      <c r="BY327" s="7">
        <f t="shared" si="551"/>
        <v>1.3565661949246747E-2</v>
      </c>
      <c r="BZ327" s="9">
        <f t="shared" si="552"/>
        <v>0.44062181376785431</v>
      </c>
      <c r="CA327" s="4">
        <f t="shared" si="553"/>
        <v>951.44936336519072</v>
      </c>
      <c r="CB327" s="6">
        <f t="shared" si="554"/>
        <v>5.4028987267303815E-6</v>
      </c>
      <c r="CC327" s="8">
        <f t="shared" si="555"/>
        <v>26.83066767869969</v>
      </c>
      <c r="CD327" s="7">
        <f t="shared" si="556"/>
        <v>1.3521799772236047E-2</v>
      </c>
      <c r="CE327" s="9">
        <f t="shared" si="557"/>
        <v>0.44227676373251534</v>
      </c>
      <c r="CF327" s="4">
        <f t="shared" si="558"/>
        <v>941.64179154888723</v>
      </c>
      <c r="CG327" s="6">
        <f t="shared" si="559"/>
        <v>5.3832835830977756E-6</v>
      </c>
      <c r="CH327" s="8">
        <f t="shared" si="560"/>
        <v>26.717880602812201</v>
      </c>
      <c r="CI327" s="7">
        <f t="shared" si="561"/>
        <v>1.3472709078865924E-2</v>
      </c>
      <c r="CJ327" s="9">
        <f t="shared" si="562"/>
        <v>0.44414379441716934</v>
      </c>
      <c r="CK327" s="4">
        <f t="shared" si="563"/>
        <v>928.46079138551113</v>
      </c>
      <c r="CL327" s="6">
        <f t="shared" si="564"/>
        <v>5.356921582771022E-6</v>
      </c>
      <c r="CM327" s="8">
        <f t="shared" si="565"/>
        <v>26.566299100933378</v>
      </c>
      <c r="CN327" s="7">
        <f t="shared" si="566"/>
        <v>1.3406733070792622E-2</v>
      </c>
      <c r="CO327" s="9">
        <f t="shared" si="567"/>
        <v>0.44667798192865255</v>
      </c>
      <c r="CP327" s="4">
        <f t="shared" si="568"/>
        <v>901.01722107507942</v>
      </c>
      <c r="CQ327" s="6">
        <f t="shared" si="569"/>
        <v>5.3020344421501591E-6</v>
      </c>
      <c r="CR327" s="8">
        <f t="shared" si="570"/>
        <v>26.25069804236341</v>
      </c>
      <c r="CS327" s="7">
        <f t="shared" si="571"/>
        <v>1.3269367378210967E-2</v>
      </c>
      <c r="CT327" s="9">
        <f t="shared" si="572"/>
        <v>0.45204820270179463</v>
      </c>
      <c r="CU327" s="4">
        <f t="shared" si="573"/>
        <v>823.07426146937905</v>
      </c>
      <c r="CV327" s="6">
        <f t="shared" si="574"/>
        <v>5.1461485229387583E-6</v>
      </c>
      <c r="CW327" s="8">
        <f t="shared" si="575"/>
        <v>25.354354006897857</v>
      </c>
      <c r="CX327" s="7">
        <f t="shared" si="576"/>
        <v>1.2879232694312659E-2</v>
      </c>
      <c r="CY327" s="9">
        <f t="shared" si="577"/>
        <v>0.46802931230231698</v>
      </c>
      <c r="CZ327" s="5">
        <f t="shared" si="578"/>
        <v>623.7291964826336</v>
      </c>
      <c r="DA327" s="6">
        <f t="shared" si="579"/>
        <v>5.237603404237506E-6</v>
      </c>
      <c r="DB327" s="8">
        <f t="shared" si="580"/>
        <v>35.406853302003626</v>
      </c>
      <c r="DC327" s="7">
        <f t="shared" si="581"/>
        <v>1.3108116235474952E-2</v>
      </c>
      <c r="DD327" s="9">
        <f t="shared" si="582"/>
        <v>0.33514926527081085</v>
      </c>
    </row>
    <row r="328" spans="2:108" x14ac:dyDescent="0.25">
      <c r="B328">
        <v>61</v>
      </c>
      <c r="C328">
        <f t="shared" si="490"/>
        <v>5.9634494647060339E-2</v>
      </c>
      <c r="D328" s="4">
        <f t="shared" si="491"/>
        <v>1019.0132371126692</v>
      </c>
      <c r="E328" s="6">
        <f t="shared" si="429"/>
        <v>5.538026474225339E-6</v>
      </c>
      <c r="F328" s="8">
        <f t="shared" si="492"/>
        <v>27.607652226795693</v>
      </c>
      <c r="G328" s="7">
        <f t="shared" si="426"/>
        <v>1.3859983113756094E-2</v>
      </c>
      <c r="H328" s="9">
        <f t="shared" si="493"/>
        <v>0.42982941005756081</v>
      </c>
      <c r="I328" s="4">
        <f t="shared" si="494"/>
        <v>1018.6901253900644</v>
      </c>
      <c r="J328" s="6">
        <f t="shared" si="431"/>
        <v>5.537380250780129E-6</v>
      </c>
      <c r="K328" s="8">
        <f t="shared" si="495"/>
        <v>27.603936441985738</v>
      </c>
      <c r="L328" s="7">
        <f t="shared" si="433"/>
        <v>1.3858365814510594E-2</v>
      </c>
      <c r="M328" s="9">
        <f t="shared" si="496"/>
        <v>0.42988726968914348</v>
      </c>
      <c r="N328" s="4">
        <f t="shared" si="497"/>
        <v>1017.7863200896628</v>
      </c>
      <c r="O328" s="6">
        <f t="shared" si="434"/>
        <v>5.535572640179326E-6</v>
      </c>
      <c r="P328" s="8">
        <f t="shared" si="435"/>
        <v>27.593542681031121</v>
      </c>
      <c r="Q328" s="7">
        <f t="shared" si="427"/>
        <v>1.3859983113756094E-2</v>
      </c>
      <c r="R328" s="9">
        <f t="shared" si="498"/>
        <v>0.43004919690415289</v>
      </c>
      <c r="S328" s="4">
        <f t="shared" si="499"/>
        <v>1016.2857585623143</v>
      </c>
      <c r="T328" s="6">
        <f t="shared" si="436"/>
        <v>5.5325715171246291E-6</v>
      </c>
      <c r="U328" s="8">
        <f t="shared" si="437"/>
        <v>27.576286223466614</v>
      </c>
      <c r="V328" s="7">
        <f t="shared" si="438"/>
        <v>1.3846331027827292E-2</v>
      </c>
      <c r="W328" s="9">
        <f t="shared" si="500"/>
        <v>0.43031830949084743</v>
      </c>
      <c r="X328" s="4">
        <f t="shared" si="501"/>
        <v>1014.1863777538084</v>
      </c>
      <c r="Y328" s="6">
        <f t="shared" si="439"/>
        <v>5.5283727555076174E-6</v>
      </c>
      <c r="Z328" s="8">
        <f t="shared" si="440"/>
        <v>27.552143344168798</v>
      </c>
      <c r="AA328" s="7">
        <f t="shared" si="441"/>
        <v>1.383582281422786E-2</v>
      </c>
      <c r="AB328" s="9">
        <f t="shared" si="502"/>
        <v>0.43069538080888981</v>
      </c>
      <c r="AC328" s="4">
        <f t="shared" si="503"/>
        <v>1011.4871875313652</v>
      </c>
      <c r="AD328" s="6">
        <f t="shared" si="504"/>
        <v>5.5229743750627306E-6</v>
      </c>
      <c r="AE328" s="8">
        <f t="shared" si="505"/>
        <v>27.521102656610701</v>
      </c>
      <c r="AF328" s="7">
        <f t="shared" si="506"/>
        <v>1.3822312322330431E-2</v>
      </c>
      <c r="AG328" s="9">
        <f t="shared" si="507"/>
        <v>0.43118115643042698</v>
      </c>
      <c r="AH328" s="4">
        <f t="shared" si="508"/>
        <v>1008.1881891465955</v>
      </c>
      <c r="AI328" s="6">
        <f t="shared" si="509"/>
        <v>5.5163763782931919E-6</v>
      </c>
      <c r="AJ328" s="8">
        <f t="shared" si="510"/>
        <v>27.483164175185848</v>
      </c>
      <c r="AK328" s="7">
        <f t="shared" si="511"/>
        <v>1.380579955839981E-2</v>
      </c>
      <c r="AL328" s="9">
        <f t="shared" si="512"/>
        <v>0.43177637021984766</v>
      </c>
      <c r="AM328" s="4">
        <f t="shared" si="513"/>
        <v>1004.2894018691524</v>
      </c>
      <c r="AN328" s="6">
        <f t="shared" si="514"/>
        <v>5.5085788037383048E-6</v>
      </c>
      <c r="AO328" s="8">
        <f t="shared" si="515"/>
        <v>27.438328121495253</v>
      </c>
      <c r="AP328" s="7">
        <f t="shared" si="516"/>
        <v>1.3786284618888056E-2</v>
      </c>
      <c r="AQ328" s="9">
        <f t="shared" si="517"/>
        <v>0.43248192153594045</v>
      </c>
      <c r="AR328" s="4">
        <f t="shared" si="518"/>
        <v>999.79083225534237</v>
      </c>
      <c r="AS328" s="6">
        <f t="shared" si="519"/>
        <v>5.4995816645106849E-6</v>
      </c>
      <c r="AT328" s="8">
        <f t="shared" si="520"/>
        <v>27.386594570936438</v>
      </c>
      <c r="AU328" s="7">
        <f t="shared" si="521"/>
        <v>1.3763767536612032E-2</v>
      </c>
      <c r="AV328" s="9">
        <f t="shared" si="522"/>
        <v>0.43329888420340906</v>
      </c>
      <c r="AW328" s="4">
        <f t="shared" si="523"/>
        <v>994.69248177227939</v>
      </c>
      <c r="AX328" s="6">
        <f t="shared" si="524"/>
        <v>5.4893849635445593E-6</v>
      </c>
      <c r="AY328" s="8">
        <f t="shared" si="525"/>
        <v>27.327963540381212</v>
      </c>
      <c r="AZ328" s="7">
        <f t="shared" si="526"/>
        <v>1.3738248318915212E-2</v>
      </c>
      <c r="BA328" s="9">
        <f t="shared" si="527"/>
        <v>0.43422850927707163</v>
      </c>
      <c r="BB328" s="4">
        <f t="shared" si="528"/>
        <v>988.99435043713174</v>
      </c>
      <c r="BC328" s="6">
        <f t="shared" si="529"/>
        <v>5.4779887008742642E-6</v>
      </c>
      <c r="BD328" s="8">
        <f t="shared" si="530"/>
        <v>27.262435030027014</v>
      </c>
      <c r="BE328" s="7">
        <f t="shared" si="531"/>
        <v>1.3709726965883523E-2</v>
      </c>
      <c r="BF328" s="9">
        <f t="shared" si="532"/>
        <v>0.4352722292285327</v>
      </c>
      <c r="BG328" s="4">
        <f t="shared" si="533"/>
        <v>982.69643400896712</v>
      </c>
      <c r="BH328" s="6">
        <f t="shared" si="534"/>
        <v>5.4653928680179344E-6</v>
      </c>
      <c r="BI328" s="8">
        <f t="shared" si="535"/>
        <v>27.19000899110312</v>
      </c>
      <c r="BJ328" s="7">
        <f t="shared" si="536"/>
        <v>1.3678203456289459E-2</v>
      </c>
      <c r="BK328" s="9">
        <f t="shared" si="537"/>
        <v>0.43643166405721961</v>
      </c>
      <c r="BL328" s="4">
        <f t="shared" si="538"/>
        <v>975.79867630410081</v>
      </c>
      <c r="BM328" s="6">
        <f t="shared" si="539"/>
        <v>5.451597352608202E-6</v>
      </c>
      <c r="BN328" s="8">
        <f t="shared" si="540"/>
        <v>27.110684777497159</v>
      </c>
      <c r="BO328" s="7">
        <f t="shared" si="541"/>
        <v>1.3643677508911932E-2</v>
      </c>
      <c r="BP328" s="9">
        <f t="shared" si="542"/>
        <v>0.43770863654346298</v>
      </c>
      <c r="BQ328" s="4">
        <f t="shared" si="543"/>
        <v>968.30043116104207</v>
      </c>
      <c r="BR328" s="6">
        <f t="shared" si="544"/>
        <v>5.436600862322084E-6</v>
      </c>
      <c r="BS328" s="8">
        <f t="shared" si="545"/>
        <v>27.024454958351981</v>
      </c>
      <c r="BT328" s="7">
        <f t="shared" si="546"/>
        <v>1.3606145889462556E-2</v>
      </c>
      <c r="BU328" s="9">
        <f t="shared" si="547"/>
        <v>0.43910528031021395</v>
      </c>
      <c r="BV328" s="4">
        <f t="shared" si="548"/>
        <v>960.19520175310652</v>
      </c>
      <c r="BW328" s="6">
        <f t="shared" si="549"/>
        <v>5.420390403506213E-6</v>
      </c>
      <c r="BX328" s="8">
        <f t="shared" si="550"/>
        <v>26.931244820160725</v>
      </c>
      <c r="BY328" s="7">
        <f t="shared" si="551"/>
        <v>1.3565576078808907E-2</v>
      </c>
      <c r="BZ328" s="9">
        <f t="shared" si="552"/>
        <v>0.44062504161837251</v>
      </c>
      <c r="CA328" s="4">
        <f t="shared" si="553"/>
        <v>951.42679571779797</v>
      </c>
      <c r="CB328" s="6">
        <f t="shared" si="554"/>
        <v>5.4028535914355971E-6</v>
      </c>
      <c r="CC328" s="8">
        <f t="shared" si="555"/>
        <v>26.830408150754678</v>
      </c>
      <c r="CD328" s="7">
        <f t="shared" si="556"/>
        <v>1.3521686812425101E-2</v>
      </c>
      <c r="CE328" s="9">
        <f t="shared" si="557"/>
        <v>0.44228104183290701</v>
      </c>
      <c r="CF328" s="4">
        <f t="shared" si="558"/>
        <v>941.58646322383856</v>
      </c>
      <c r="CG328" s="6">
        <f t="shared" si="559"/>
        <v>5.3831729264476779E-6</v>
      </c>
      <c r="CH328" s="8">
        <f t="shared" si="560"/>
        <v>26.717244327074141</v>
      </c>
      <c r="CI328" s="7">
        <f t="shared" si="561"/>
        <v>1.3472432139181919E-2</v>
      </c>
      <c r="CJ328" s="9">
        <f t="shared" si="562"/>
        <v>0.44415437177751149</v>
      </c>
      <c r="CK328" s="4">
        <f t="shared" si="563"/>
        <v>928.25254247210717</v>
      </c>
      <c r="CL328" s="6">
        <f t="shared" si="564"/>
        <v>5.3565050849442144E-6</v>
      </c>
      <c r="CM328" s="8">
        <f t="shared" si="565"/>
        <v>26.563904238429231</v>
      </c>
      <c r="CN328" s="7">
        <f t="shared" si="566"/>
        <v>1.3405690704369616E-2</v>
      </c>
      <c r="CO328" s="9">
        <f t="shared" si="567"/>
        <v>0.44671825207647226</v>
      </c>
      <c r="CP328" s="4">
        <f t="shared" si="568"/>
        <v>900.3009980140813</v>
      </c>
      <c r="CQ328" s="6">
        <f t="shared" si="569"/>
        <v>5.3006019960281636E-6</v>
      </c>
      <c r="CR328" s="8">
        <f t="shared" si="570"/>
        <v>26.242461477161932</v>
      </c>
      <c r="CS328" s="7">
        <f t="shared" si="571"/>
        <v>1.3265782404546679E-2</v>
      </c>
      <c r="CT328" s="9">
        <f t="shared" si="572"/>
        <v>0.45219008438080577</v>
      </c>
      <c r="CU328" s="4">
        <f t="shared" si="573"/>
        <v>821.36696643494997</v>
      </c>
      <c r="CV328" s="6">
        <f t="shared" si="574"/>
        <v>5.1427339328699E-6</v>
      </c>
      <c r="CW328" s="8">
        <f t="shared" si="575"/>
        <v>25.334720114001925</v>
      </c>
      <c r="CX328" s="7">
        <f t="shared" si="576"/>
        <v>1.2870687021785626E-2</v>
      </c>
      <c r="CY328" s="9">
        <f t="shared" si="577"/>
        <v>0.46839202550177406</v>
      </c>
      <c r="CZ328" s="5">
        <f t="shared" si="578"/>
        <v>621.62899779466068</v>
      </c>
      <c r="DA328" s="6">
        <f t="shared" si="579"/>
        <v>5.2740447911834963E-6</v>
      </c>
      <c r="DB328" s="8">
        <f t="shared" si="580"/>
        <v>35.467759063954837</v>
      </c>
      <c r="DC328" s="7">
        <f t="shared" si="581"/>
        <v>1.3199317859386279E-2</v>
      </c>
      <c r="DD328" s="9">
        <f t="shared" si="582"/>
        <v>0.33457374198128192</v>
      </c>
    </row>
    <row r="329" spans="2:108" x14ac:dyDescent="0.25">
      <c r="B329">
        <v>62</v>
      </c>
      <c r="C329">
        <f t="shared" si="490"/>
        <v>6.061210931340559E-2</v>
      </c>
      <c r="D329" s="4">
        <f t="shared" si="491"/>
        <v>1018.9967406603652</v>
      </c>
      <c r="E329" s="6">
        <f t="shared" si="429"/>
        <v>5.5379934813207313E-6</v>
      </c>
      <c r="F329" s="8">
        <f t="shared" si="492"/>
        <v>27.6074625175942</v>
      </c>
      <c r="G329" s="7">
        <f t="shared" si="426"/>
        <v>1.3859900542626672E-2</v>
      </c>
      <c r="H329" s="9">
        <f t="shared" si="493"/>
        <v>0.42983236370076899</v>
      </c>
      <c r="I329" s="4">
        <f t="shared" si="494"/>
        <v>1018.6735745608739</v>
      </c>
      <c r="J329" s="6">
        <f t="shared" si="431"/>
        <v>5.5373471491217484E-6</v>
      </c>
      <c r="K329" s="8">
        <f t="shared" si="495"/>
        <v>27.60374610745005</v>
      </c>
      <c r="L329" s="7">
        <f t="shared" si="433"/>
        <v>1.3858282971203806E-2</v>
      </c>
      <c r="M329" s="9">
        <f t="shared" si="496"/>
        <v>0.42989023386630826</v>
      </c>
      <c r="N329" s="4">
        <f t="shared" si="497"/>
        <v>1017.7697199740386</v>
      </c>
      <c r="O329" s="6">
        <f t="shared" si="434"/>
        <v>5.5355394399480774E-6</v>
      </c>
      <c r="P329" s="8">
        <f t="shared" si="435"/>
        <v>27.593351779701443</v>
      </c>
      <c r="Q329" s="7">
        <f t="shared" si="427"/>
        <v>1.3859900542626672E-2</v>
      </c>
      <c r="R329" s="9">
        <f t="shared" si="498"/>
        <v>0.43005217214848601</v>
      </c>
      <c r="S329" s="4">
        <f t="shared" si="499"/>
        <v>1016.2691431795121</v>
      </c>
      <c r="T329" s="6">
        <f t="shared" si="436"/>
        <v>5.5325382863590244E-6</v>
      </c>
      <c r="U329" s="8">
        <f t="shared" si="437"/>
        <v>27.576095146564388</v>
      </c>
      <c r="V329" s="7">
        <f t="shared" si="438"/>
        <v>1.3846247861404688E-2</v>
      </c>
      <c r="W329" s="9">
        <f t="shared" si="500"/>
        <v>0.43032129119979179</v>
      </c>
      <c r="X329" s="4">
        <f t="shared" si="501"/>
        <v>1014.169767368509</v>
      </c>
      <c r="Y329" s="6">
        <f t="shared" si="439"/>
        <v>5.5283395347370183E-6</v>
      </c>
      <c r="Z329" s="8">
        <f t="shared" si="440"/>
        <v>27.551952324737854</v>
      </c>
      <c r="AA329" s="7">
        <f t="shared" si="441"/>
        <v>1.3835739672819692E-2</v>
      </c>
      <c r="AB329" s="9">
        <f t="shared" si="502"/>
        <v>0.43069836684725044</v>
      </c>
      <c r="AC329" s="4">
        <f t="shared" si="503"/>
        <v>1011.4705898041698</v>
      </c>
      <c r="AD329" s="6">
        <f t="shared" si="504"/>
        <v>5.5229411796083396E-6</v>
      </c>
      <c r="AE329" s="8">
        <f t="shared" si="505"/>
        <v>27.520911782747952</v>
      </c>
      <c r="AF329" s="7">
        <f t="shared" si="506"/>
        <v>1.3822229244280976E-2</v>
      </c>
      <c r="AG329" s="9">
        <f t="shared" si="507"/>
        <v>0.43118414692774487</v>
      </c>
      <c r="AH329" s="4">
        <f t="shared" si="508"/>
        <v>1008.1716079400666</v>
      </c>
      <c r="AI329" s="6">
        <f t="shared" si="509"/>
        <v>5.5163432158801331E-6</v>
      </c>
      <c r="AJ329" s="8">
        <f t="shared" si="510"/>
        <v>27.482973491310766</v>
      </c>
      <c r="AK329" s="7">
        <f t="shared" si="511"/>
        <v>1.3805716563042683E-2</v>
      </c>
      <c r="AL329" s="9">
        <f t="shared" si="512"/>
        <v>0.43177936599435757</v>
      </c>
      <c r="AM329" s="4">
        <f t="shared" si="513"/>
        <v>1004.2728406207084</v>
      </c>
      <c r="AN329" s="6">
        <f t="shared" si="514"/>
        <v>5.508545681241417E-6</v>
      </c>
      <c r="AO329" s="8">
        <f t="shared" si="515"/>
        <v>27.438137667138143</v>
      </c>
      <c r="AP329" s="7">
        <f t="shared" si="516"/>
        <v>1.3786201723428872E-2</v>
      </c>
      <c r="AQ329" s="9">
        <f t="shared" si="517"/>
        <v>0.4324849234913693</v>
      </c>
      <c r="AR329" s="4">
        <f t="shared" si="518"/>
        <v>999.77429448801524</v>
      </c>
      <c r="AS329" s="6">
        <f t="shared" si="519"/>
        <v>5.4995485889760311E-6</v>
      </c>
      <c r="AT329" s="8">
        <f t="shared" si="520"/>
        <v>27.386404386612174</v>
      </c>
      <c r="AU329" s="7">
        <f t="shared" si="521"/>
        <v>1.3763684758684931E-2</v>
      </c>
      <c r="AV329" s="9">
        <f t="shared" si="522"/>
        <v>0.43330189323863444</v>
      </c>
      <c r="AW329" s="4">
        <f t="shared" si="523"/>
        <v>994.67597105702657</v>
      </c>
      <c r="AX329" s="6">
        <f t="shared" si="524"/>
        <v>5.4893519421140537E-6</v>
      </c>
      <c r="AY329" s="8">
        <f t="shared" si="525"/>
        <v>27.327773667155803</v>
      </c>
      <c r="AZ329" s="7">
        <f t="shared" si="526"/>
        <v>1.373816567639421E-2</v>
      </c>
      <c r="BA329" s="9">
        <f t="shared" si="527"/>
        <v>0.43423152629443373</v>
      </c>
      <c r="BB329" s="4">
        <f t="shared" si="528"/>
        <v>988.97787030557197</v>
      </c>
      <c r="BC329" s="6">
        <f t="shared" si="529"/>
        <v>5.4779557406111443E-6</v>
      </c>
      <c r="BD329" s="8">
        <f t="shared" si="530"/>
        <v>27.262245508514077</v>
      </c>
      <c r="BE329" s="7">
        <f t="shared" si="531"/>
        <v>1.3709644476445744E-2</v>
      </c>
      <c r="BF329" s="9">
        <f t="shared" si="532"/>
        <v>0.43527525515137522</v>
      </c>
      <c r="BG329" s="4">
        <f t="shared" si="533"/>
        <v>982.67998730736713</v>
      </c>
      <c r="BH329" s="6">
        <f t="shared" si="534"/>
        <v>5.4653599746147351E-6</v>
      </c>
      <c r="BI329" s="8">
        <f t="shared" si="535"/>
        <v>27.189819854034724</v>
      </c>
      <c r="BJ329" s="7">
        <f t="shared" si="536"/>
        <v>1.367812113418157E-2</v>
      </c>
      <c r="BK329" s="9">
        <f t="shared" si="537"/>
        <v>0.4364346999510188</v>
      </c>
      <c r="BL329" s="4">
        <f t="shared" si="538"/>
        <v>975.7822581695649</v>
      </c>
      <c r="BM329" s="6">
        <f t="shared" si="539"/>
        <v>5.45156451633913E-6</v>
      </c>
      <c r="BN329" s="8">
        <f t="shared" si="540"/>
        <v>27.110495968949998</v>
      </c>
      <c r="BO329" s="7">
        <f t="shared" si="541"/>
        <v>1.3643595329793257E-2</v>
      </c>
      <c r="BP329" s="9">
        <f t="shared" si="542"/>
        <v>0.43771168492486628</v>
      </c>
      <c r="BQ329" s="4">
        <f t="shared" si="543"/>
        <v>968.28396173287933</v>
      </c>
      <c r="BR329" s="6">
        <f t="shared" si="544"/>
        <v>5.4365679234657592E-6</v>
      </c>
      <c r="BS329" s="8">
        <f t="shared" si="545"/>
        <v>27.024265559928111</v>
      </c>
      <c r="BT329" s="7">
        <f t="shared" si="546"/>
        <v>1.3606063453599423E-2</v>
      </c>
      <c r="BU329" s="9">
        <f t="shared" si="547"/>
        <v>0.43910835776102647</v>
      </c>
      <c r="BV329" s="4">
        <f t="shared" si="548"/>
        <v>960.17797911002879</v>
      </c>
      <c r="BW329" s="6">
        <f t="shared" si="549"/>
        <v>5.4203559582200578E-6</v>
      </c>
      <c r="BX329" s="8">
        <f t="shared" si="550"/>
        <v>26.93104675976533</v>
      </c>
      <c r="BY329" s="7">
        <f t="shared" si="551"/>
        <v>1.3565489872813561E-2</v>
      </c>
      <c r="BZ329" s="9">
        <f t="shared" si="552"/>
        <v>0.4406282821299925</v>
      </c>
      <c r="CA329" s="4">
        <f t="shared" si="553"/>
        <v>951.40383995514321</v>
      </c>
      <c r="CB329" s="6">
        <f t="shared" si="554"/>
        <v>5.4028076799102866E-6</v>
      </c>
      <c r="CC329" s="8">
        <f t="shared" si="555"/>
        <v>26.830144159484146</v>
      </c>
      <c r="CD329" s="7">
        <f t="shared" si="556"/>
        <v>1.3521571909947025E-2</v>
      </c>
      <c r="CE329" s="9">
        <f t="shared" si="557"/>
        <v>0.44228539359238589</v>
      </c>
      <c r="CF329" s="4">
        <f t="shared" si="558"/>
        <v>941.52943215862103</v>
      </c>
      <c r="CG329" s="6">
        <f t="shared" si="559"/>
        <v>5.3830588643172427E-6</v>
      </c>
      <c r="CH329" s="8">
        <f t="shared" si="560"/>
        <v>26.716588469824138</v>
      </c>
      <c r="CI329" s="7">
        <f t="shared" si="561"/>
        <v>1.3472146676624254E-2</v>
      </c>
      <c r="CJ329" s="9">
        <f t="shared" si="562"/>
        <v>0.44416527518552634</v>
      </c>
      <c r="CK329" s="4">
        <f t="shared" si="563"/>
        <v>928.03925276491589</v>
      </c>
      <c r="CL329" s="6">
        <f t="shared" si="564"/>
        <v>5.3560785055298324E-6</v>
      </c>
      <c r="CM329" s="8">
        <f t="shared" si="565"/>
        <v>26.561451406796532</v>
      </c>
      <c r="CN329" s="7">
        <f t="shared" si="566"/>
        <v>1.3404623106822451E-2</v>
      </c>
      <c r="CO329" s="9">
        <f t="shared" si="567"/>
        <v>0.44675950451568636</v>
      </c>
      <c r="CP329" s="4">
        <f t="shared" si="568"/>
        <v>899.57779807633187</v>
      </c>
      <c r="CQ329" s="6">
        <f t="shared" si="569"/>
        <v>5.2991555961526644E-6</v>
      </c>
      <c r="CR329" s="8">
        <f t="shared" si="570"/>
        <v>26.234144677877815</v>
      </c>
      <c r="CS329" s="7">
        <f t="shared" si="571"/>
        <v>1.326216250891356E-2</v>
      </c>
      <c r="CT329" s="9">
        <f t="shared" si="572"/>
        <v>0.45233343855591762</v>
      </c>
      <c r="CU329" s="4">
        <f t="shared" si="573"/>
        <v>819.66758727009687</v>
      </c>
      <c r="CV329" s="6">
        <f t="shared" si="574"/>
        <v>5.1393351745401935E-6</v>
      </c>
      <c r="CW329" s="8">
        <f t="shared" si="575"/>
        <v>25.315177253606112</v>
      </c>
      <c r="CX329" s="7">
        <f t="shared" si="576"/>
        <v>1.2862180971249988E-2</v>
      </c>
      <c r="CY329" s="9">
        <f t="shared" si="577"/>
        <v>0.46875361570014368</v>
      </c>
      <c r="CZ329" s="5">
        <f t="shared" si="578"/>
        <v>619.56008488471707</v>
      </c>
      <c r="DA329" s="6">
        <f t="shared" si="579"/>
        <v>5.3098142726266372E-6</v>
      </c>
      <c r="DB329" s="8">
        <f t="shared" si="580"/>
        <v>35.527757538343202</v>
      </c>
      <c r="DC329" s="7">
        <f t="shared" si="581"/>
        <v>1.3288837909732209E-2</v>
      </c>
      <c r="DD329" s="9">
        <f t="shared" si="582"/>
        <v>0.33400872140356547</v>
      </c>
    </row>
    <row r="330" spans="2:108" x14ac:dyDescent="0.25">
      <c r="B330">
        <v>63</v>
      </c>
      <c r="C330">
        <f t="shared" si="490"/>
        <v>6.1589723979750842E-2</v>
      </c>
      <c r="D330" s="4">
        <f t="shared" si="491"/>
        <v>1018.9802414318519</v>
      </c>
      <c r="E330" s="6">
        <f t="shared" si="429"/>
        <v>5.5379604828637049E-6</v>
      </c>
      <c r="F330" s="8">
        <f t="shared" si="492"/>
        <v>27.607272776466296</v>
      </c>
      <c r="G330" s="7">
        <f t="shared" si="426"/>
        <v>1.385981795760125E-2</v>
      </c>
      <c r="H330" s="9">
        <f t="shared" si="493"/>
        <v>0.42983531788165313</v>
      </c>
      <c r="I330" s="4">
        <f t="shared" si="494"/>
        <v>1018.6570231824779</v>
      </c>
      <c r="J330" s="6">
        <f t="shared" si="431"/>
        <v>5.5373140463649567E-6</v>
      </c>
      <c r="K330" s="8">
        <f t="shared" si="495"/>
        <v>27.603555766598497</v>
      </c>
      <c r="L330" s="7">
        <f t="shared" si="433"/>
        <v>1.3858200125148035E-2</v>
      </c>
      <c r="M330" s="9">
        <f t="shared" si="496"/>
        <v>0.42989319818271304</v>
      </c>
      <c r="N330" s="4">
        <f t="shared" si="497"/>
        <v>1017.7531202054478</v>
      </c>
      <c r="O330" s="6">
        <f t="shared" si="434"/>
        <v>5.5355062404108969E-6</v>
      </c>
      <c r="P330" s="8">
        <f t="shared" si="435"/>
        <v>27.593160882362646</v>
      </c>
      <c r="Q330" s="7">
        <f t="shared" si="427"/>
        <v>1.385981795760125E-2</v>
      </c>
      <c r="R330" s="9">
        <f t="shared" si="498"/>
        <v>0.43005514737178707</v>
      </c>
      <c r="S330" s="4">
        <f t="shared" si="499"/>
        <v>1016.2525281528557</v>
      </c>
      <c r="T330" s="6">
        <f t="shared" si="436"/>
        <v>5.5325050563057117E-6</v>
      </c>
      <c r="U330" s="8">
        <f t="shared" si="437"/>
        <v>27.57590407375784</v>
      </c>
      <c r="V330" s="7">
        <f t="shared" si="438"/>
        <v>1.3846164696764734E-2</v>
      </c>
      <c r="W330" s="9">
        <f t="shared" si="500"/>
        <v>0.430324272886144</v>
      </c>
      <c r="X330" s="4">
        <f t="shared" si="501"/>
        <v>1014.1531572196043</v>
      </c>
      <c r="Y330" s="6">
        <f t="shared" si="439"/>
        <v>5.5283063144392085E-6</v>
      </c>
      <c r="Z330" s="8">
        <f t="shared" si="440"/>
        <v>27.551761308025448</v>
      </c>
      <c r="AA330" s="7">
        <f t="shared" si="441"/>
        <v>1.3835656532594772E-2</v>
      </c>
      <c r="AB330" s="9">
        <f t="shared" si="502"/>
        <v>0.43070135288451877</v>
      </c>
      <c r="AC330" s="4">
        <f t="shared" si="503"/>
        <v>1011.4539922705235</v>
      </c>
      <c r="AD330" s="6">
        <f t="shared" si="504"/>
        <v>5.5229079845410476E-6</v>
      </c>
      <c r="AE330" s="8">
        <f t="shared" si="505"/>
        <v>27.52072091111102</v>
      </c>
      <c r="AF330" s="7">
        <f t="shared" si="506"/>
        <v>1.382214616720031E-2</v>
      </c>
      <c r="AG330" s="9">
        <f t="shared" si="507"/>
        <v>0.43118713743167131</v>
      </c>
      <c r="AH330" s="4">
        <f t="shared" si="508"/>
        <v>1008.1550269227276</v>
      </c>
      <c r="AI330" s="6">
        <f t="shared" si="509"/>
        <v>5.5163100538454557E-6</v>
      </c>
      <c r="AJ330" s="8">
        <f t="shared" si="510"/>
        <v>27.482782809611365</v>
      </c>
      <c r="AK330" s="7">
        <f t="shared" si="511"/>
        <v>1.3805633568632528E-2</v>
      </c>
      <c r="AL330" s="9">
        <f t="shared" si="512"/>
        <v>0.43178236177625656</v>
      </c>
      <c r="AM330" s="4">
        <f t="shared" si="513"/>
        <v>1004.2562795632979</v>
      </c>
      <c r="AN330" s="6">
        <f t="shared" si="514"/>
        <v>5.5085125591265969E-6</v>
      </c>
      <c r="AO330" s="8">
        <f t="shared" si="515"/>
        <v>27.437947214977925</v>
      </c>
      <c r="AP330" s="7">
        <f t="shared" si="516"/>
        <v>1.3786118828925888E-2</v>
      </c>
      <c r="AQ330" s="9">
        <f t="shared" si="517"/>
        <v>0.43248792545384468</v>
      </c>
      <c r="AR330" s="4">
        <f t="shared" si="518"/>
        <v>999.75775691289812</v>
      </c>
      <c r="AS330" s="6">
        <f t="shared" si="519"/>
        <v>5.4995155138257964E-6</v>
      </c>
      <c r="AT330" s="8">
        <f t="shared" si="520"/>
        <v>27.38621420449833</v>
      </c>
      <c r="AU330" s="7">
        <f t="shared" si="521"/>
        <v>1.3763601981719909E-2</v>
      </c>
      <c r="AV330" s="9">
        <f t="shared" si="522"/>
        <v>0.43330490228067925</v>
      </c>
      <c r="AW330" s="4">
        <f t="shared" si="523"/>
        <v>994.65946053375046</v>
      </c>
      <c r="AX330" s="6">
        <f t="shared" si="524"/>
        <v>5.4893189210675014E-6</v>
      </c>
      <c r="AY330" s="8">
        <f t="shared" si="525"/>
        <v>27.327583796138128</v>
      </c>
      <c r="AZ330" s="7">
        <f t="shared" si="526"/>
        <v>1.3738083034834127E-2</v>
      </c>
      <c r="BA330" s="9">
        <f t="shared" si="527"/>
        <v>0.4342345433186397</v>
      </c>
      <c r="BB330" s="4">
        <f t="shared" si="528"/>
        <v>988.96139035622139</v>
      </c>
      <c r="BC330" s="6">
        <f t="shared" si="529"/>
        <v>5.4779227807124434E-6</v>
      </c>
      <c r="BD330" s="8">
        <f t="shared" si="530"/>
        <v>27.262055989096545</v>
      </c>
      <c r="BE330" s="7">
        <f t="shared" si="531"/>
        <v>1.3709561987919993E-2</v>
      </c>
      <c r="BF330" s="9">
        <f t="shared" si="532"/>
        <v>0.43527828108283306</v>
      </c>
      <c r="BG330" s="4">
        <f t="shared" si="533"/>
        <v>982.6635406766901</v>
      </c>
      <c r="BH330" s="6">
        <f t="shared" si="534"/>
        <v>5.4653270813533808E-6</v>
      </c>
      <c r="BI330" s="8">
        <f t="shared" si="535"/>
        <v>27.189630717781935</v>
      </c>
      <c r="BJ330" s="7">
        <f t="shared" si="536"/>
        <v>1.3678038812428676E-2</v>
      </c>
      <c r="BK330" s="9">
        <f t="shared" si="537"/>
        <v>0.43643773587396284</v>
      </c>
      <c r="BL330" s="4">
        <f t="shared" si="538"/>
        <v>975.76583902855157</v>
      </c>
      <c r="BM330" s="6">
        <f t="shared" si="539"/>
        <v>5.4515316780571029E-6</v>
      </c>
      <c r="BN330" s="8">
        <f t="shared" si="540"/>
        <v>27.11030714882834</v>
      </c>
      <c r="BO330" s="7">
        <f t="shared" si="541"/>
        <v>1.3643513145636771E-2</v>
      </c>
      <c r="BP330" s="9">
        <f t="shared" si="542"/>
        <v>0.43771473353560847</v>
      </c>
      <c r="BQ330" s="4">
        <f t="shared" si="543"/>
        <v>968.26748240508391</v>
      </c>
      <c r="BR330" s="6">
        <f t="shared" si="544"/>
        <v>5.4365349648101681E-6</v>
      </c>
      <c r="BS330" s="8">
        <f t="shared" si="545"/>
        <v>27.024076047658465</v>
      </c>
      <c r="BT330" s="7">
        <f t="shared" si="546"/>
        <v>1.3605980968184795E-2</v>
      </c>
      <c r="BU330" s="9">
        <f t="shared" si="547"/>
        <v>0.4391114371048439</v>
      </c>
      <c r="BV330" s="4">
        <f t="shared" si="548"/>
        <v>960.1606856629827</v>
      </c>
      <c r="BW330" s="6">
        <f t="shared" si="549"/>
        <v>5.4203213713259664E-6</v>
      </c>
      <c r="BX330" s="8">
        <f t="shared" si="550"/>
        <v>26.930847885124301</v>
      </c>
      <c r="BY330" s="7">
        <f t="shared" si="551"/>
        <v>1.3565403312416948E-2</v>
      </c>
      <c r="BZ330" s="9">
        <f t="shared" si="552"/>
        <v>0.44063153601163074</v>
      </c>
      <c r="CA330" s="4">
        <f t="shared" si="553"/>
        <v>951.38048186524782</v>
      </c>
      <c r="CB330" s="6">
        <f t="shared" si="554"/>
        <v>5.4027609637304966E-6</v>
      </c>
      <c r="CC330" s="8">
        <f t="shared" si="555"/>
        <v>26.829875541450349</v>
      </c>
      <c r="CD330" s="7">
        <f t="shared" si="556"/>
        <v>1.352145499366538E-2</v>
      </c>
      <c r="CE330" s="9">
        <f t="shared" si="557"/>
        <v>0.44228982170956521</v>
      </c>
      <c r="CF330" s="4">
        <f t="shared" si="558"/>
        <v>941.47066906526049</v>
      </c>
      <c r="CG330" s="6">
        <f t="shared" si="559"/>
        <v>5.3829413381305214E-6</v>
      </c>
      <c r="CH330" s="8">
        <f t="shared" si="560"/>
        <v>26.715912694250495</v>
      </c>
      <c r="CI330" s="7">
        <f t="shared" si="561"/>
        <v>1.3471852544595278E-2</v>
      </c>
      <c r="CJ330" s="9">
        <f t="shared" si="562"/>
        <v>0.4441765102890044</v>
      </c>
      <c r="CK330" s="4">
        <f t="shared" si="563"/>
        <v>927.8209394156105</v>
      </c>
      <c r="CL330" s="6">
        <f t="shared" si="564"/>
        <v>5.3556418788312219E-6</v>
      </c>
      <c r="CM330" s="8">
        <f t="shared" si="565"/>
        <v>26.558940803279519</v>
      </c>
      <c r="CN330" s="7">
        <f t="shared" si="566"/>
        <v>1.3403530364001895E-2</v>
      </c>
      <c r="CO330" s="9">
        <f t="shared" si="567"/>
        <v>0.44680173647032656</v>
      </c>
      <c r="CP330" s="4">
        <f t="shared" si="568"/>
        <v>898.84785414182272</v>
      </c>
      <c r="CQ330" s="6">
        <f t="shared" si="569"/>
        <v>5.2976957082836461E-6</v>
      </c>
      <c r="CR330" s="8">
        <f t="shared" si="570"/>
        <v>26.225750322630958</v>
      </c>
      <c r="CS330" s="7">
        <f t="shared" si="571"/>
        <v>1.3258508856966111E-2</v>
      </c>
      <c r="CT330" s="9">
        <f t="shared" si="572"/>
        <v>0.45247822173758295</v>
      </c>
      <c r="CU330" s="4">
        <f t="shared" si="573"/>
        <v>817.97624995904675</v>
      </c>
      <c r="CV330" s="6">
        <f t="shared" si="574"/>
        <v>5.1359524999180933E-6</v>
      </c>
      <c r="CW330" s="8">
        <f t="shared" si="575"/>
        <v>25.295726874529038</v>
      </c>
      <c r="CX330" s="7">
        <f t="shared" si="576"/>
        <v>1.2853715173305566E-2</v>
      </c>
      <c r="CY330" s="9">
        <f t="shared" si="577"/>
        <v>0.46911404952220148</v>
      </c>
      <c r="CZ330" s="5">
        <f t="shared" si="578"/>
        <v>617.52148990425451</v>
      </c>
      <c r="DA330" s="6">
        <f t="shared" si="579"/>
        <v>5.3449360953151111E-6</v>
      </c>
      <c r="DB330" s="8">
        <f t="shared" si="580"/>
        <v>35.586876792776614</v>
      </c>
      <c r="DC330" s="7">
        <f t="shared" si="581"/>
        <v>1.3376737068692923E-2</v>
      </c>
      <c r="DD330" s="9">
        <f t="shared" si="582"/>
        <v>0.33345384420266305</v>
      </c>
    </row>
    <row r="331" spans="2:108" x14ac:dyDescent="0.25">
      <c r="B331">
        <v>64</v>
      </c>
      <c r="C331">
        <f t="shared" si="490"/>
        <v>6.2567338646096093E-2</v>
      </c>
      <c r="D331" s="4">
        <f t="shared" si="491"/>
        <v>1018.9637395408291</v>
      </c>
      <c r="E331" s="6">
        <f t="shared" si="429"/>
        <v>5.5379274790816584E-6</v>
      </c>
      <c r="F331" s="8">
        <f t="shared" si="492"/>
        <v>27.607083004719534</v>
      </c>
      <c r="G331" s="7">
        <f t="shared" ref="G331:G394" si="583">($E331*$M$8)/($D$6^2)</f>
        <v>1.3859735359248934E-2</v>
      </c>
      <c r="H331" s="9">
        <f t="shared" si="493"/>
        <v>0.42983827257987606</v>
      </c>
      <c r="I331" s="4">
        <f t="shared" si="494"/>
        <v>1018.6404712580996</v>
      </c>
      <c r="J331" s="6">
        <f t="shared" si="431"/>
        <v>5.5372809425161997E-6</v>
      </c>
      <c r="K331" s="8">
        <f t="shared" si="495"/>
        <v>27.603365419468147</v>
      </c>
      <c r="L331" s="7">
        <f t="shared" si="433"/>
        <v>1.3858117276359409E-2</v>
      </c>
      <c r="M331" s="9">
        <f t="shared" si="496"/>
        <v>0.42989616263778535</v>
      </c>
      <c r="N331" s="4">
        <f t="shared" si="497"/>
        <v>1017.7365207747334</v>
      </c>
      <c r="O331" s="6">
        <f t="shared" si="434"/>
        <v>5.5354730415494674E-6</v>
      </c>
      <c r="P331" s="8">
        <f t="shared" si="435"/>
        <v>27.592969988909434</v>
      </c>
      <c r="Q331" s="7">
        <f t="shared" ref="Q331:Q394" si="584">($E331*$M$8)/($D$6^2)</f>
        <v>1.3859735359248934E-2</v>
      </c>
      <c r="R331" s="9">
        <f t="shared" si="498"/>
        <v>0.43005812257569542</v>
      </c>
      <c r="S331" s="4">
        <f t="shared" si="499"/>
        <v>1016.2359134803165</v>
      </c>
      <c r="T331" s="6">
        <f t="shared" si="436"/>
        <v>5.5324718269606328E-6</v>
      </c>
      <c r="U331" s="8">
        <f t="shared" si="437"/>
        <v>27.575713005023637</v>
      </c>
      <c r="V331" s="7">
        <f t="shared" si="438"/>
        <v>1.3846081533897273E-2</v>
      </c>
      <c r="W331" s="9">
        <f t="shared" si="500"/>
        <v>0.43032725455026644</v>
      </c>
      <c r="X331" s="4">
        <f t="shared" si="501"/>
        <v>1014.1365473078738</v>
      </c>
      <c r="Y331" s="6">
        <f t="shared" si="439"/>
        <v>5.5282730946157482E-6</v>
      </c>
      <c r="Z331" s="8">
        <f t="shared" si="440"/>
        <v>27.551570294040548</v>
      </c>
      <c r="AA331" s="7">
        <f t="shared" si="441"/>
        <v>1.3835573393557005E-2</v>
      </c>
      <c r="AB331" s="9">
        <f t="shared" si="502"/>
        <v>0.43070433892055365</v>
      </c>
      <c r="AC331" s="4">
        <f t="shared" si="503"/>
        <v>1011.4373949308909</v>
      </c>
      <c r="AD331" s="6">
        <f t="shared" si="504"/>
        <v>5.5228747898617823E-6</v>
      </c>
      <c r="AE331" s="8">
        <f t="shared" si="505"/>
        <v>27.520530041705243</v>
      </c>
      <c r="AF331" s="7">
        <f t="shared" si="506"/>
        <v>1.3822063091090757E-2</v>
      </c>
      <c r="AG331" s="9">
        <f t="shared" si="507"/>
        <v>0.43119012794212208</v>
      </c>
      <c r="AH331" s="4">
        <f t="shared" si="508"/>
        <v>1008.1384460946593</v>
      </c>
      <c r="AI331" s="6">
        <f t="shared" si="509"/>
        <v>5.5162768921893191E-6</v>
      </c>
      <c r="AJ331" s="8">
        <f t="shared" si="510"/>
        <v>27.482592130088584</v>
      </c>
      <c r="AK331" s="7">
        <f t="shared" si="511"/>
        <v>1.3805550575169745E-2</v>
      </c>
      <c r="AL331" s="9">
        <f t="shared" si="512"/>
        <v>0.43178535756552922</v>
      </c>
      <c r="AM331" s="4">
        <f t="shared" si="513"/>
        <v>1004.2397186969122</v>
      </c>
      <c r="AN331" s="6">
        <f t="shared" si="514"/>
        <v>5.5084794373938251E-6</v>
      </c>
      <c r="AO331" s="8">
        <f t="shared" si="515"/>
        <v>27.437756765014491</v>
      </c>
      <c r="AP331" s="7">
        <f t="shared" si="516"/>
        <v>1.3786035935379052E-2</v>
      </c>
      <c r="AQ331" s="9">
        <f t="shared" si="517"/>
        <v>0.4324909274233677</v>
      </c>
      <c r="AR331" s="4">
        <f t="shared" si="518"/>
        <v>999.74121952997007</v>
      </c>
      <c r="AS331" s="6">
        <f t="shared" si="519"/>
        <v>5.4994824390599402E-6</v>
      </c>
      <c r="AT331" s="8">
        <f t="shared" si="520"/>
        <v>27.386024024594654</v>
      </c>
      <c r="AU331" s="7">
        <f t="shared" si="521"/>
        <v>1.3763519205716872E-2</v>
      </c>
      <c r="AV331" s="9">
        <f t="shared" si="522"/>
        <v>0.43330791132954677</v>
      </c>
      <c r="AW331" s="4">
        <f t="shared" si="523"/>
        <v>994.64295020230986</v>
      </c>
      <c r="AX331" s="6">
        <f t="shared" si="524"/>
        <v>5.4892859004046202E-6</v>
      </c>
      <c r="AY331" s="8">
        <f t="shared" si="525"/>
        <v>27.327393927326561</v>
      </c>
      <c r="AZ331" s="7">
        <f t="shared" si="526"/>
        <v>1.3738000394234255E-2</v>
      </c>
      <c r="BA331" s="9">
        <f t="shared" si="527"/>
        <v>0.43423756034971484</v>
      </c>
      <c r="BB331" s="4">
        <f t="shared" si="528"/>
        <v>988.94491058760013</v>
      </c>
      <c r="BC331" s="6">
        <f t="shared" si="529"/>
        <v>5.4778898211752011E-6</v>
      </c>
      <c r="BD331" s="8">
        <f t="shared" si="530"/>
        <v>27.261866471757401</v>
      </c>
      <c r="BE331" s="7">
        <f t="shared" si="531"/>
        <v>1.3709479500298861E-2</v>
      </c>
      <c r="BF331" s="9">
        <f t="shared" si="532"/>
        <v>0.43528130702317736</v>
      </c>
      <c r="BG331" s="4">
        <f t="shared" si="533"/>
        <v>982.6470941029495</v>
      </c>
      <c r="BH331" s="6">
        <f t="shared" si="534"/>
        <v>5.465294188205899E-6</v>
      </c>
      <c r="BI331" s="8">
        <f t="shared" si="535"/>
        <v>27.189441582183917</v>
      </c>
      <c r="BJ331" s="7">
        <f t="shared" si="536"/>
        <v>1.3677956490960772E-2</v>
      </c>
      <c r="BK331" s="9">
        <f t="shared" si="537"/>
        <v>0.43644077182863378</v>
      </c>
      <c r="BL331" s="4">
        <f t="shared" si="538"/>
        <v>975.74941876848789</v>
      </c>
      <c r="BM331" s="6">
        <f t="shared" si="539"/>
        <v>5.4514988375369767E-6</v>
      </c>
      <c r="BN331" s="8">
        <f t="shared" si="540"/>
        <v>27.11011831583761</v>
      </c>
      <c r="BO331" s="7">
        <f t="shared" si="541"/>
        <v>1.3643430955879006E-2</v>
      </c>
      <c r="BP331" s="9">
        <f t="shared" si="542"/>
        <v>0.43771778239660042</v>
      </c>
      <c r="BQ331" s="4">
        <f t="shared" si="543"/>
        <v>968.25099243154614</v>
      </c>
      <c r="BR331" s="6">
        <f t="shared" si="544"/>
        <v>5.4365019848630926E-6</v>
      </c>
      <c r="BS331" s="8">
        <f t="shared" si="545"/>
        <v>27.023886412962781</v>
      </c>
      <c r="BT331" s="7">
        <f t="shared" si="546"/>
        <v>1.3605898429484108E-2</v>
      </c>
      <c r="BU331" s="9">
        <f t="shared" si="547"/>
        <v>0.43911451848116684</v>
      </c>
      <c r="BV331" s="4">
        <f t="shared" si="548"/>
        <v>960.1433175401919</v>
      </c>
      <c r="BW331" s="6">
        <f t="shared" si="549"/>
        <v>5.4202866350803846E-6</v>
      </c>
      <c r="BX331" s="8">
        <f t="shared" si="550"/>
        <v>26.930648151712205</v>
      </c>
      <c r="BY331" s="7">
        <f t="shared" si="551"/>
        <v>1.3565316378239323E-2</v>
      </c>
      <c r="BZ331" s="9">
        <f t="shared" si="552"/>
        <v>0.44063480399239635</v>
      </c>
      <c r="CA331" s="4">
        <f t="shared" si="553"/>
        <v>951.35670716213986</v>
      </c>
      <c r="CB331" s="6">
        <f t="shared" si="554"/>
        <v>5.4027134143242795E-6</v>
      </c>
      <c r="CC331" s="8">
        <f t="shared" si="555"/>
        <v>26.829602132364606</v>
      </c>
      <c r="CD331" s="7">
        <f t="shared" si="556"/>
        <v>1.352133599207333E-2</v>
      </c>
      <c r="CE331" s="9">
        <f t="shared" si="557"/>
        <v>0.44229432889737924</v>
      </c>
      <c r="CF331" s="4">
        <f t="shared" si="558"/>
        <v>941.4101455026638</v>
      </c>
      <c r="CG331" s="6">
        <f t="shared" si="559"/>
        <v>5.3828202910053282E-6</v>
      </c>
      <c r="CH331" s="8">
        <f t="shared" si="560"/>
        <v>26.715216673280633</v>
      </c>
      <c r="CI331" s="7">
        <f t="shared" si="561"/>
        <v>1.3471549600736316E-2</v>
      </c>
      <c r="CJ331" s="9">
        <f t="shared" si="562"/>
        <v>0.44418808257641135</v>
      </c>
      <c r="CK331" s="4">
        <f t="shared" si="563"/>
        <v>927.59762197128896</v>
      </c>
      <c r="CL331" s="6">
        <f t="shared" si="564"/>
        <v>5.3551952439425789E-6</v>
      </c>
      <c r="CM331" s="8">
        <f t="shared" si="565"/>
        <v>26.556372652669822</v>
      </c>
      <c r="CN331" s="7">
        <f t="shared" si="566"/>
        <v>1.340241257374874E-2</v>
      </c>
      <c r="CO331" s="9">
        <f t="shared" si="567"/>
        <v>0.44684494471141195</v>
      </c>
      <c r="CP331" s="4">
        <f t="shared" si="568"/>
        <v>898.11139478368432</v>
      </c>
      <c r="CQ331" s="6">
        <f t="shared" si="569"/>
        <v>5.2962227895673687E-6</v>
      </c>
      <c r="CR331" s="8">
        <f t="shared" si="570"/>
        <v>26.217281040012367</v>
      </c>
      <c r="CS331" s="7">
        <f t="shared" si="571"/>
        <v>1.325482259280133E-2</v>
      </c>
      <c r="CT331" s="9">
        <f t="shared" si="572"/>
        <v>0.45262439120240294</v>
      </c>
      <c r="CU331" s="4">
        <f t="shared" si="573"/>
        <v>816.29306667843775</v>
      </c>
      <c r="CV331" s="6">
        <f t="shared" si="574"/>
        <v>5.1325861333568755E-6</v>
      </c>
      <c r="CW331" s="8">
        <f t="shared" si="575"/>
        <v>25.276370266802033</v>
      </c>
      <c r="CX331" s="7">
        <f t="shared" si="576"/>
        <v>1.2845290189439862E-2</v>
      </c>
      <c r="CY331" s="9">
        <f t="shared" si="577"/>
        <v>0.46947329638161922</v>
      </c>
      <c r="CZ331" s="5">
        <f t="shared" si="578"/>
        <v>615.51228621661994</v>
      </c>
      <c r="DA331" s="6">
        <f t="shared" si="579"/>
        <v>5.379433312662524E-6</v>
      </c>
      <c r="DB331" s="8">
        <f t="shared" si="580"/>
        <v>35.64514369971802</v>
      </c>
      <c r="DC331" s="7">
        <f t="shared" si="581"/>
        <v>1.3463073031897865E-2</v>
      </c>
      <c r="DD331" s="9">
        <f t="shared" si="582"/>
        <v>0.3329087678726842</v>
      </c>
    </row>
    <row r="332" spans="2:108" x14ac:dyDescent="0.25">
      <c r="B332">
        <v>65</v>
      </c>
      <c r="C332">
        <f t="shared" si="490"/>
        <v>6.3544953312441338E-2</v>
      </c>
      <c r="D332" s="4">
        <f t="shared" si="491"/>
        <v>1018.9472350953559</v>
      </c>
      <c r="E332" s="6">
        <f t="shared" ref="E332" si="585">IF($D332&gt;=650,((0.00002*$D332)+0.035)/10000,IF($D332&lt;650,((-0.0000000000003*($D332^4))+(0.0000000004*($D332^3))-(0.0000002*($D332^2))-(0.0001*$D332)+0.1409)/10000))</f>
        <v>5.5378944701907133E-6</v>
      </c>
      <c r="F332" s="8">
        <f t="shared" si="492"/>
        <v>27.606893203596591</v>
      </c>
      <c r="G332" s="7">
        <f t="shared" si="583"/>
        <v>1.385965274811061E-2</v>
      </c>
      <c r="H332" s="9">
        <f t="shared" si="493"/>
        <v>0.42984122777610972</v>
      </c>
      <c r="I332" s="4">
        <f t="shared" si="494"/>
        <v>1018.6239187914698</v>
      </c>
      <c r="J332" s="6">
        <f t="shared" ref="J332" si="586">IF($I332&gt;=650,((0.00002*$I332)+0.035)/10000,IF($I332&lt;650,((-0.0000000000003*($I332^4))+(0.0000000004*($I332^3))-(0.0000002*($I332^2))-(0.0001*$I332)+0.1409)/10000))</f>
        <v>5.5372478375829398E-6</v>
      </c>
      <c r="K332" s="8">
        <f t="shared" si="495"/>
        <v>27.603175066101901</v>
      </c>
      <c r="L332" s="7">
        <f t="shared" ref="L332" si="587">($J332*$M$8)/($D$6^2)</f>
        <v>1.3858034424856603E-2</v>
      </c>
      <c r="M332" s="9">
        <f t="shared" si="496"/>
        <v>0.42989912723086199</v>
      </c>
      <c r="N332" s="4">
        <f t="shared" si="497"/>
        <v>1017.7199216729908</v>
      </c>
      <c r="O332" s="6">
        <f t="shared" ref="O332" si="588">IF($N332&gt;=650,((0.00002*$N332)+0.035)/10000,IF($N332&lt;650,((-0.0000000000003*($N332^4))+(0.0000000004*($N332^3))-(0.0000002*($N332^2))-(0.0001*$N332)+0.1409)/10000))</f>
        <v>5.5354398433459827E-6</v>
      </c>
      <c r="P332" s="8">
        <f t="shared" ref="P332" si="589">IF($N332&lt;650,(53.495-(0.029*$N332)),IF($N332&lt;700,((0.00000000000000006*($N332^2))-(0.2008*$N332) + 164.43),IF($N332&lt;1250,((0.0115*$N332)+ 15.889))))</f>
        <v>27.592779099239394</v>
      </c>
      <c r="Q332" s="7">
        <f t="shared" si="584"/>
        <v>1.385965274811061E-2</v>
      </c>
      <c r="R332" s="9">
        <f t="shared" si="498"/>
        <v>0.43006109776180557</v>
      </c>
      <c r="S332" s="4">
        <f t="shared" si="499"/>
        <v>1016.2192991598284</v>
      </c>
      <c r="T332" s="6">
        <f t="shared" ref="T332" si="590">IF($S332&gt;=650,((0.00002*$S332)+0.035)/10000,IF($S332&lt;650,((-0.0000000000003*($S332^4))+(0.0000000004*($S332^3))-(0.0000002*($S332^2))-(0.0001*$S332)+0.1409)/10000))</f>
        <v>5.5324385983196569E-6</v>
      </c>
      <c r="U332" s="8">
        <f t="shared" ref="U332" si="591">IF($S332&lt;650,(53.495-(0.029*$S332)),IF($S332&lt;700,((0.00000000000000006*($S332^2))-(0.2008*$S332) + 164.43),IF($S332&lt;1250,((0.0115*$S332)+ 15.889))))</f>
        <v>27.575521940338028</v>
      </c>
      <c r="V332" s="7">
        <f t="shared" ref="V332" si="592">($T332*$M$8)/($D$6^2)</f>
        <v>1.3845998372791966E-2</v>
      </c>
      <c r="W332" s="9">
        <f t="shared" si="500"/>
        <v>0.43033023619252786</v>
      </c>
      <c r="X332" s="4">
        <f t="shared" si="501"/>
        <v>1014.1199376340584</v>
      </c>
      <c r="Y332" s="6">
        <f t="shared" ref="Y332" si="593">IF($X332&gt;=650,((0.00002*$X332)+0.035)/10000,IF($X332&lt;650,((-0.0000000000003*($X332^4))+(0.0000000004*($X332^3))-(0.0000002*($X332^2))-(0.0001*$X332)+0.1409)/10000))</f>
        <v>5.528239875268117E-6</v>
      </c>
      <c r="Z332" s="8">
        <f t="shared" ref="Z332" si="594">IF($X332&lt;650,(53.495-(0.029*$X332)),IF($X332&lt;700,((0.00000000000000006*($X332^2))-(0.2008*$X332) + 164.43),IF($X332&lt;1250,((0.0115*$X332)+ 15.889))))</f>
        <v>27.551379282791672</v>
      </c>
      <c r="AA332" s="7">
        <f t="shared" ref="AA332" si="595">($Y332*$M$8)/($D$6^2)</f>
        <v>1.3835490255710093E-2</v>
      </c>
      <c r="AB332" s="9">
        <f t="shared" si="502"/>
        <v>0.43070732495522107</v>
      </c>
      <c r="AC332" s="4">
        <f t="shared" si="503"/>
        <v>1011.4207977857347</v>
      </c>
      <c r="AD332" s="6">
        <f t="shared" si="504"/>
        <v>5.5228415955714704E-6</v>
      </c>
      <c r="AE332" s="8">
        <f t="shared" si="505"/>
        <v>27.520339174535948</v>
      </c>
      <c r="AF332" s="7">
        <f t="shared" si="506"/>
        <v>1.3821980015954635E-2</v>
      </c>
      <c r="AG332" s="9">
        <f t="shared" si="507"/>
        <v>0.43119311845901315</v>
      </c>
      <c r="AH332" s="4">
        <f t="shared" si="508"/>
        <v>1008.1218654559458</v>
      </c>
      <c r="AI332" s="6">
        <f t="shared" si="509"/>
        <v>5.5162437309118918E-6</v>
      </c>
      <c r="AJ332" s="8">
        <f t="shared" si="510"/>
        <v>27.482401452743375</v>
      </c>
      <c r="AK332" s="7">
        <f t="shared" si="511"/>
        <v>1.3805467582654754E-2</v>
      </c>
      <c r="AL332" s="9">
        <f t="shared" si="512"/>
        <v>0.43178835336216009</v>
      </c>
      <c r="AM332" s="4">
        <f t="shared" si="513"/>
        <v>1004.2231580215439</v>
      </c>
      <c r="AN332" s="6">
        <f t="shared" si="514"/>
        <v>5.5084463160430881E-6</v>
      </c>
      <c r="AO332" s="8">
        <f t="shared" si="515"/>
        <v>27.437566317247754</v>
      </c>
      <c r="AP332" s="7">
        <f t="shared" si="516"/>
        <v>1.3785953042788334E-2</v>
      </c>
      <c r="AQ332" s="9">
        <f t="shared" si="517"/>
        <v>0.43249392939993914</v>
      </c>
      <c r="AR332" s="4">
        <f t="shared" si="518"/>
        <v>999.72468233920858</v>
      </c>
      <c r="AS332" s="6">
        <f t="shared" si="519"/>
        <v>5.4994493646784176E-6</v>
      </c>
      <c r="AT332" s="8">
        <f t="shared" si="520"/>
        <v>27.385833846900898</v>
      </c>
      <c r="AU332" s="7">
        <f t="shared" si="521"/>
        <v>1.3763436430675702E-2</v>
      </c>
      <c r="AV332" s="9">
        <f t="shared" si="522"/>
        <v>0.43331092038524044</v>
      </c>
      <c r="AW332" s="4">
        <f t="shared" si="523"/>
        <v>994.62644006254584</v>
      </c>
      <c r="AX332" s="6">
        <f t="shared" si="524"/>
        <v>5.4892528801250927E-6</v>
      </c>
      <c r="AY332" s="8">
        <f t="shared" si="525"/>
        <v>27.327204060719275</v>
      </c>
      <c r="AZ332" s="7">
        <f t="shared" si="526"/>
        <v>1.3737917754593799E-2</v>
      </c>
      <c r="BA332" s="9">
        <f t="shared" si="527"/>
        <v>0.43424057738768757</v>
      </c>
      <c r="BB332" s="4">
        <f t="shared" si="528"/>
        <v>988.92843099806532</v>
      </c>
      <c r="BC332" s="6">
        <f t="shared" si="529"/>
        <v>5.4778568619961309E-6</v>
      </c>
      <c r="BD332" s="8">
        <f t="shared" si="530"/>
        <v>27.26167695647775</v>
      </c>
      <c r="BE332" s="7">
        <f t="shared" si="531"/>
        <v>1.3709397013574126E-2</v>
      </c>
      <c r="BF332" s="9">
        <f t="shared" si="532"/>
        <v>0.43528433297270935</v>
      </c>
      <c r="BG332" s="4">
        <f t="shared" si="533"/>
        <v>982.63064757091001</v>
      </c>
      <c r="BH332" s="6">
        <f t="shared" si="534"/>
        <v>5.4652612951418203E-6</v>
      </c>
      <c r="BI332" s="8">
        <f t="shared" si="535"/>
        <v>27.189252447065464</v>
      </c>
      <c r="BJ332" s="7">
        <f t="shared" si="536"/>
        <v>1.3677874169701598E-2</v>
      </c>
      <c r="BK332" s="9">
        <f t="shared" si="537"/>
        <v>0.43644380781784453</v>
      </c>
      <c r="BL332" s="4">
        <f t="shared" si="538"/>
        <v>975.73299726906885</v>
      </c>
      <c r="BM332" s="6">
        <f t="shared" si="539"/>
        <v>5.4514659945381382E-6</v>
      </c>
      <c r="BN332" s="8">
        <f t="shared" si="540"/>
        <v>27.109929468594292</v>
      </c>
      <c r="BO332" s="7">
        <f t="shared" si="541"/>
        <v>1.364334875991779E-2</v>
      </c>
      <c r="BP332" s="9">
        <f t="shared" si="542"/>
        <v>0.43772083153019015</v>
      </c>
      <c r="BQ332" s="4">
        <f t="shared" si="543"/>
        <v>968.23449103019675</v>
      </c>
      <c r="BR332" s="6">
        <f t="shared" si="544"/>
        <v>5.4364689820603942E-6</v>
      </c>
      <c r="BS332" s="8">
        <f t="shared" si="545"/>
        <v>27.023696646847263</v>
      </c>
      <c r="BT332" s="7">
        <f t="shared" si="546"/>
        <v>1.36058158335828E-2</v>
      </c>
      <c r="BU332" s="9">
        <f t="shared" si="547"/>
        <v>0.4391176020362233</v>
      </c>
      <c r="BV332" s="4">
        <f t="shared" si="548"/>
        <v>960.12587076421073</v>
      </c>
      <c r="BW332" s="6">
        <f t="shared" si="549"/>
        <v>5.4202517415284213E-6</v>
      </c>
      <c r="BX332" s="8">
        <f t="shared" si="550"/>
        <v>26.930447513788422</v>
      </c>
      <c r="BY332" s="7">
        <f t="shared" si="551"/>
        <v>1.3565229050372033E-2</v>
      </c>
      <c r="BZ332" s="9">
        <f t="shared" si="552"/>
        <v>0.44063808682132721</v>
      </c>
      <c r="CA332" s="4">
        <f t="shared" si="553"/>
        <v>951.33250149833577</v>
      </c>
      <c r="CB332" s="6">
        <f t="shared" si="554"/>
        <v>5.4026650029966722E-6</v>
      </c>
      <c r="CC332" s="8">
        <f t="shared" si="555"/>
        <v>26.829323767230861</v>
      </c>
      <c r="CD332" s="7">
        <f t="shared" si="556"/>
        <v>1.3521214833356181E-2</v>
      </c>
      <c r="CE332" s="9">
        <f t="shared" si="557"/>
        <v>0.44229891788072773</v>
      </c>
      <c r="CF332" s="4">
        <f t="shared" si="558"/>
        <v>941.34783388618416</v>
      </c>
      <c r="CG332" s="6">
        <f t="shared" si="559"/>
        <v>5.3826956677723693E-6</v>
      </c>
      <c r="CH332" s="8">
        <f t="shared" si="560"/>
        <v>26.714500089691118</v>
      </c>
      <c r="CI332" s="7">
        <f t="shared" si="561"/>
        <v>1.3471237706975525E-2</v>
      </c>
      <c r="CJ332" s="9">
        <f t="shared" si="562"/>
        <v>0.4441999973750998</v>
      </c>
      <c r="CK332" s="4">
        <f t="shared" si="563"/>
        <v>927.36932226113572</v>
      </c>
      <c r="CL332" s="6">
        <f t="shared" si="564"/>
        <v>5.3547386445222726E-6</v>
      </c>
      <c r="CM332" s="8">
        <f t="shared" si="565"/>
        <v>26.553747206003059</v>
      </c>
      <c r="CN332" s="7">
        <f t="shared" si="566"/>
        <v>1.3401269845326504E-2</v>
      </c>
      <c r="CO332" s="9">
        <f t="shared" si="567"/>
        <v>0.44688912557829868</v>
      </c>
      <c r="CP332" s="4">
        <f t="shared" si="568"/>
        <v>897.36864422270048</v>
      </c>
      <c r="CQ332" s="6">
        <f t="shared" si="569"/>
        <v>5.2947372884454013E-6</v>
      </c>
      <c r="CR332" s="8">
        <f t="shared" si="570"/>
        <v>26.208739408561055</v>
      </c>
      <c r="CS332" s="7">
        <f t="shared" si="571"/>
        <v>1.3251104838731039E-2</v>
      </c>
      <c r="CT332" s="9">
        <f t="shared" si="572"/>
        <v>0.45277190500210374</v>
      </c>
      <c r="CU332" s="4">
        <f t="shared" si="573"/>
        <v>814.61813668683681</v>
      </c>
      <c r="CV332" s="6">
        <f t="shared" si="574"/>
        <v>5.1292362733736742E-6</v>
      </c>
      <c r="CW332" s="8">
        <f t="shared" si="575"/>
        <v>25.257108571898623</v>
      </c>
      <c r="CX332" s="7">
        <f t="shared" si="576"/>
        <v>1.2836906516480423E-2</v>
      </c>
      <c r="CY332" s="9">
        <f t="shared" si="577"/>
        <v>0.46983132831446928</v>
      </c>
      <c r="CZ332" s="5">
        <f t="shared" si="578"/>
        <v>613.53158637663694</v>
      </c>
      <c r="DA332" s="6">
        <f t="shared" si="579"/>
        <v>5.4133278550206679E-6</v>
      </c>
      <c r="DB332" s="8">
        <f t="shared" si="580"/>
        <v>35.702583995077525</v>
      </c>
      <c r="DC332" s="7">
        <f t="shared" si="581"/>
        <v>1.3547900684296925E-2</v>
      </c>
      <c r="DD332" s="9">
        <f t="shared" si="582"/>
        <v>0.33237316580094028</v>
      </c>
    </row>
    <row r="333" spans="2:108" x14ac:dyDescent="0.25">
      <c r="B333">
        <v>66</v>
      </c>
      <c r="C333">
        <f>$B333*$M$8</f>
        <v>6.4522567978786596E-2</v>
      </c>
      <c r="D333" s="4">
        <f t="shared" ref="D333:D337" si="596">D332+(4*$H$7*(I332-D332))</f>
        <v>1018.9307281981651</v>
      </c>
      <c r="E333" s="6">
        <f t="shared" si="429"/>
        <v>5.5378614563963308E-6</v>
      </c>
      <c r="F333" s="8">
        <f t="shared" ref="F333:F337" si="597">IF($D333&lt;650,(53.495-(0.029*D333)),IF(D333&lt;700,((0.00000000000000006*(D333^2))-(0.2008*D333) + 164.43),IF(D333&lt;1250,((0.0115*D333)+ 15.889))))</f>
        <v>27.606703374278897</v>
      </c>
      <c r="G333" s="7">
        <f t="shared" si="583"/>
        <v>1.3859570124700484E-2</v>
      </c>
      <c r="H333" s="9">
        <f>($C$263*$D$6)/F333</f>
        <v>0.42984418345197872</v>
      </c>
      <c r="I333" s="4">
        <f>I332+(G333*(D332+N332-(2*I332))+((G333/(2*$I$18))*(N332-D332)))</f>
        <v>1018.6073657867788</v>
      </c>
      <c r="J333" s="6">
        <f t="shared" si="431"/>
        <v>5.5372147315735576E-6</v>
      </c>
      <c r="K333" s="8">
        <f t="shared" ref="K333:K337" si="598">IF($I333&lt;650,(53.495-(0.029*I333)),IF(I333&lt;700,((0.00000000000000006*(I333^2))-(0.2008*I333) + 164.43),IF(I333&lt;1250,((0.0115*I333)+ 15.889))))</f>
        <v>27.602984706547957</v>
      </c>
      <c r="L333" s="7">
        <f t="shared" si="433"/>
        <v>1.3857951570660594E-2</v>
      </c>
      <c r="M333" s="9">
        <f>($C$263*$D$6)/K333</f>
        <v>0.42990209196119716</v>
      </c>
      <c r="N333" s="4">
        <f>N332+(L333*(I332+S332-(2*N332))+((L333/(2*N$18))*(S332-I332)))</f>
        <v>1017.7033228915652</v>
      </c>
      <c r="O333" s="6">
        <f t="shared" si="434"/>
        <v>5.5354066457831309E-6</v>
      </c>
      <c r="P333" s="8">
        <f t="shared" si="435"/>
        <v>27.592588213252998</v>
      </c>
      <c r="Q333" s="7">
        <f t="shared" si="584"/>
        <v>1.3859570124700484E-2</v>
      </c>
      <c r="R333" s="9">
        <f>($C$263*$D$6)/P333</f>
        <v>0.43006407293166721</v>
      </c>
      <c r="S333" s="4">
        <f>S332+(Q333*(N332+X332-(2*S332))+((Q333/(2*S$18))*(X332-N332)))</f>
        <v>1016.2026851892909</v>
      </c>
      <c r="T333" s="6">
        <f t="shared" si="436"/>
        <v>5.5324053703785818E-6</v>
      </c>
      <c r="U333" s="8">
        <f t="shared" si="437"/>
        <v>27.575330879676844</v>
      </c>
      <c r="V333" s="7">
        <f t="shared" si="438"/>
        <v>1.3845915213438295E-2</v>
      </c>
      <c r="W333" s="9">
        <f>($C$263*$D$6)/U333</f>
        <v>0.4303332178133038</v>
      </c>
      <c r="X333" s="4">
        <f>X332+(V333*(S332+AC332-(2*X332))+((V333/(2*X$18))*(AC332-S332)))</f>
        <v>1014.1033281988603</v>
      </c>
      <c r="Y333" s="6">
        <f t="shared" si="439"/>
        <v>5.5282066563977212E-6</v>
      </c>
      <c r="Z333" s="8">
        <f t="shared" si="440"/>
        <v>27.551188274286893</v>
      </c>
      <c r="AA333" s="7">
        <f t="shared" si="441"/>
        <v>1.3835407119057551E-2</v>
      </c>
      <c r="AB333" s="9">
        <f>($C$263*$D$6)/Z333</f>
        <v>0.43071031098839385</v>
      </c>
      <c r="AC333" s="4">
        <f>AC332+(AA333*(X332+AH332-(2*AC332))+((AA333/(2*AC$18))*(AH332-X332)))</f>
        <v>1011.4042008355153</v>
      </c>
      <c r="AD333" s="6">
        <f t="shared" ref="AD333:AD337" si="599">IF(AC333&gt;=650,((0.00002*AC333)+0.035)/10000,IF(AC333&lt;650,((-0.0000000000003*(AC333^4))+(0.0000000004*(AC333^3))-(0.0000002*(AC333^2))-(0.0001*AC333)+0.1409)/10000))</f>
        <v>5.5228084016710307E-6</v>
      </c>
      <c r="AE333" s="8">
        <f t="shared" ref="AE333:AE337" si="600">IF(AC333&lt;650,(53.495-(0.029*AC333)),IF(AC333&lt;700,((0.00000000000000006*(AC333^2))-(0.2008*AC333) + 164.43),IF(AC333&lt;1250,((0.0115*AC333)+ 15.889))))</f>
        <v>27.520148309608423</v>
      </c>
      <c r="AF333" s="7">
        <f t="shared" ref="AF333:AF337" si="601">(AD333*$M$8)/($D$6^2)</f>
        <v>1.3821896941794242E-2</v>
      </c>
      <c r="AG333" s="9">
        <f>($C$263*$D$6)/AE333</f>
        <v>0.43119610898226096</v>
      </c>
      <c r="AH333" s="4">
        <f>AH332+(AF333*(AC332+AM332-(2*AH332))+((AF333/(2*AH$18))*(AM332-AC332)))</f>
        <v>1008.1052850066745</v>
      </c>
      <c r="AI333" s="6">
        <f t="shared" ref="AI333:AI337" si="602">IF(AH333&gt;=650,((0.00002*AH333)+0.035)/10000,IF(AH333&lt;650,((-0.0000000000003*(AH333^4))+(0.0000000004*(AH333^3))-(0.0000002*(AH333^2))-(0.0001*AH333)+0.1409)/10000))</f>
        <v>5.5162105700133499E-6</v>
      </c>
      <c r="AJ333" s="8">
        <f t="shared" ref="AJ333:AJ337" si="603">IF(AH333&lt;650,(53.495-(0.029*AH333)),IF(AH333&lt;700,((0.00000000000000006*(AH333^2))-(0.2008*AH333) + 164.43),IF(AH333&lt;1250,((0.0115*AH333)+ 15.889))))</f>
        <v>27.482210777576757</v>
      </c>
      <c r="AK333" s="7">
        <f t="shared" ref="AK333:AK337" si="604">(AI333*$M$8)/($D$6^2)</f>
        <v>1.3805384591088E-2</v>
      </c>
      <c r="AL333" s="9">
        <f>($C$263*$D$6)/AJ333</f>
        <v>0.4317913491661326</v>
      </c>
      <c r="AM333" s="4">
        <f>AM332+(AK333*(AH332+AR332-(2*AM332))+((AK333/(2*AM$18))*(AR332-AH332)))</f>
        <v>1004.2065975371864</v>
      </c>
      <c r="AN333" s="6">
        <f t="shared" ref="AN333:AN337" si="605">IF(AM333&gt;=650,((0.00002*AM333)+0.035)/10000,IF(AM333&lt;650,((-0.0000000000003*(AM333^4))+(0.0000000004*(AM333^3))-(0.0000002*(AM333^2))-(0.0001*AM333)+0.1409)/10000))</f>
        <v>5.5084131950743739E-6</v>
      </c>
      <c r="AO333" s="8">
        <f t="shared" ref="AO333:AO337" si="606">IF(AM333&lt;650,(53.495-(0.029*AM333)),IF(AM333&lt;700,((0.00000000000000006*(AM333^2))-(0.2008*AM333) + 164.43),IF(AM333&lt;1250,((0.0115*AM333)+ 15.889))))</f>
        <v>27.437375871677645</v>
      </c>
      <c r="AP333" s="7">
        <f t="shared" ref="AP333:AP337" si="607">(AN333*$M$8)/($D$6^2)</f>
        <v>1.3785870151153701E-2</v>
      </c>
      <c r="AQ333" s="9">
        <f>($C$263*$D$6)/AO333</f>
        <v>0.43249693138355955</v>
      </c>
      <c r="AR333" s="4">
        <f>AR332+(AP333*(AM332+AW332-(2*AR332))+((AP333/(2*AR$18))*(AW332-AM332)))</f>
        <v>999.70814534058945</v>
      </c>
      <c r="AS333" s="6">
        <f t="shared" ref="AS333:AS337" si="608">IF(AR333&gt;=650,((0.00002*AR333)+0.035)/10000,IF(AR333&lt;650,((-0.0000000000003*(AR333^4))+(0.0000000004*(AR333^3))-(0.0000002*(AR333^2))-(0.0001*AR333)+0.1409)/10000))</f>
        <v>5.4994162906811795E-6</v>
      </c>
      <c r="AT333" s="8">
        <f t="shared" ref="AT333:AT337" si="609">IF(AR333&lt;650,(53.495-(0.029*AR333)),IF(AR333&lt;700,((0.00000000000000006*(AR333^2))-(0.2008*AR333) + 164.43),IF(AR333&lt;1250,((0.0115*AR333)+ 15.889))))</f>
        <v>27.38564367141678</v>
      </c>
      <c r="AU333" s="7">
        <f t="shared" ref="AU333:AU337" si="610">(AS333*$M$8)/($D$6^2)</f>
        <v>1.3763353656596278E-2</v>
      </c>
      <c r="AV333" s="9">
        <f>($C$263*$D$6)/AT333</f>
        <v>0.43331392944776415</v>
      </c>
      <c r="AW333" s="4">
        <f>AW332+(AU333*(AR332+BB332-(2*AW332))+((AU333/(2*AW$18))*(BB332-AR332)))</f>
        <v>994.60993011427956</v>
      </c>
      <c r="AX333" s="6">
        <f t="shared" ref="AX333:AX337" si="611">IF(AW333&gt;=650,((0.00002*AW333)+0.035)/10000,IF(AW333&lt;650,((-0.0000000000003*(AW333^4))+(0.0000000004*(AW333^3))-(0.0000002*(AW333^2))-(0.0001*AW333)+0.1409)/10000))</f>
        <v>5.4892198602285603E-6</v>
      </c>
      <c r="AY333" s="8">
        <f t="shared" ref="AY333:AY337" si="612">IF(AW333&lt;650,(53.495-(0.029*AW333)),IF(AW333&lt;700,((0.00000000000000006*(AW333^2))-(0.2008*AW333) + 164.43),IF(AW333&lt;1250,((0.0115*AW333)+ 15.889))))</f>
        <v>27.327014196314217</v>
      </c>
      <c r="AZ333" s="7">
        <f t="shared" ref="AZ333:AZ337" si="613">(AX333*$M$8)/($D$6^2)</f>
        <v>1.3737835115911862E-2</v>
      </c>
      <c r="BA333" s="9">
        <f>($C$263*$D$6)/AY333</f>
        <v>0.43424359443258992</v>
      </c>
      <c r="BB333" s="4">
        <f>BB332+(AZ333*(AW332+BG332-(2*BB332))+((AZ333/(2*BB$18))*(BG332-AW332)))</f>
        <v>988.9119515857974</v>
      </c>
      <c r="BC333" s="6">
        <f t="shared" ref="BC333:BC337" si="614">IF(BB333&gt;=650,((0.00002*BB333)+0.035)/10000,IF(BB333&lt;650,((-0.0000000000003*(BB333^4))+(0.0000000004*(BB333^3))-(0.0000002*(BB333^2))-(0.0001*BB333)+0.1409)/10000))</f>
        <v>5.4778239031715956E-6</v>
      </c>
      <c r="BD333" s="8">
        <f t="shared" ref="BD333:BD337" si="615">IF(BB333&lt;650,(53.495-(0.029*BB333)),IF(BB333&lt;700,((0.00000000000000006*(BB333^2))-(0.2008*BB333) + 164.43),IF(BB333&lt;1250,((0.0115*BB333)+ 15.889))))</f>
        <v>27.261487443236668</v>
      </c>
      <c r="BE333" s="7">
        <f t="shared" ref="BE333:BE337" si="616">(BC333*$M$8)/($D$6^2)</f>
        <v>1.3709314527736684E-2</v>
      </c>
      <c r="BF333" s="9">
        <f>($C$263*$D$6)/BD333</f>
        <v>0.43528735893176262</v>
      </c>
      <c r="BG333" s="4">
        <f>BG332+(BE333*(BB332+BL332-(2*BG332))+((BE333/(2*BG$18))*(BL332-BB332)))</f>
        <v>982.61420106400828</v>
      </c>
      <c r="BH333" s="6">
        <f t="shared" ref="BH333:BH337" si="617">IF(BG333&gt;=650,((0.00002*BG333)+0.035)/10000,IF(BG333&lt;650,((-0.0000000000003*(BG333^4))+(0.0000000004*(BG333^3))-(0.0000002*(BG333^2))-(0.0001*BG333)+0.1409)/10000))</f>
        <v>5.4652284021280164E-6</v>
      </c>
      <c r="BI333" s="8">
        <f t="shared" ref="BI333:BI337" si="618">IF(BG333&lt;650,(53.495-(0.029*BG333)),IF(BG333&lt;700,((0.00000000000000006*(BG333^2))-(0.2008*BG333) + 164.43),IF(BG333&lt;1250,((0.0115*BG333)+ 15.889))))</f>
        <v>27.189063312236094</v>
      </c>
      <c r="BJ333" s="7">
        <f t="shared" ref="BJ333:BJ337" si="619">(BH333*$M$8)/($D$6^2)</f>
        <v>1.3677791848568249E-2</v>
      </c>
      <c r="BK333" s="9">
        <f>($C$263*$D$6)/BI333</f>
        <v>0.43644684384465332</v>
      </c>
      <c r="BL333" s="4">
        <f>BL332+(BJ333*(BG332+BQ332-(2*BL332))+((BJ333/(2*BL$18))*(BQ332-BG332)))</f>
        <v>975.71657440194019</v>
      </c>
      <c r="BM333" s="6">
        <f t="shared" ref="BM333:BM337" si="620">IF(BL333&gt;=650,((0.00002*BL333)+0.035)/10000,IF(BL333&lt;650,((-0.0000000000003*(BL333^4))+(0.0000000004*(BL333^3))-(0.0000002*(BL333^2))-(0.0001*BL333)+0.1409)/10000))</f>
        <v>5.4514331488038813E-6</v>
      </c>
      <c r="BN333" s="8">
        <f t="shared" ref="BN333:BN337" si="621">IF(BL333&lt;650,(53.495-(0.029*BL333)),IF(BL333&lt;700,((0.00000000000000006*(BL333^2))-(0.2008*BL333) + 164.43),IF(BL333&lt;1250,((0.0115*BL333)+ 15.889))))</f>
        <v>27.109740605622314</v>
      </c>
      <c r="BO333" s="7">
        <f t="shared" ref="BO333:BO337" si="622">(BM333*$M$8)/($D$6^2)</f>
        <v>1.3643266557110656E-2</v>
      </c>
      <c r="BP333" s="9">
        <f>($C$263*$D$6)/BN333</f>
        <v>0.43772388096022125</v>
      </c>
      <c r="BQ333" s="4">
        <f>BQ332+(BO333*(BL332+BV332-(2*BQ332))+((BO333/(2*BQ$18))*(BV332-BL332)))</f>
        <v>968.21797738239093</v>
      </c>
      <c r="BR333" s="6">
        <f t="shared" ref="BR333:BR337" si="623">IF(BQ333&gt;=650,((0.00002*BQ333)+0.035)/10000,IF(BQ333&lt;650,((-0.0000000000003*(BQ333^4))+(0.0000000004*(BQ333^3))-(0.0000002*(BQ333^2))-(0.0001*BQ333)+0.1409)/10000))</f>
        <v>5.4364359547647826E-6</v>
      </c>
      <c r="BS333" s="8">
        <f t="shared" ref="BS333:BS337" si="624">IF(BQ333&lt;650,(53.495-(0.029*BQ333)),IF(BQ333&lt;700,((0.00000000000000006*(BQ333^2))-(0.2008*BQ333) + 164.43),IF(BQ333&lt;1250,((0.0115*BQ333)+ 15.889))))</f>
        <v>27.023506739897496</v>
      </c>
      <c r="BT333" s="7">
        <f t="shared" ref="BT333:BT337" si="625">(BR333*$M$8)/($D$6^2)</f>
        <v>1.3605733176383236E-2</v>
      </c>
      <c r="BU333" s="9">
        <f>($C$263*$D$6)/BS333</f>
        <v>0.43912068792308451</v>
      </c>
      <c r="BV333" s="4">
        <f>BV332+(BT333*(BQ332+CA332-(2*BV332))+((BT333/(2*BV$18))*(CA332-BQ332)))</f>
        <v>960.108341253464</v>
      </c>
      <c r="BW333" s="6">
        <f t="shared" ref="BW333:BW337" si="626">IF(BV333&gt;=650,((0.00002*BV333)+0.035)/10000,IF(BV333&lt;650,((-0.0000000000003*(BV333^4))+(0.0000000004*(BV333^3))-(0.0000002*(BV333^2))-(0.0001*BV333)+0.1409)/10000))</f>
        <v>5.4202166825069284E-6</v>
      </c>
      <c r="BX333" s="8">
        <f t="shared" ref="BX333:BX337" si="627">IF(BV333&lt;650,(53.495-(0.029*BV333)),IF(BV333&lt;700,((0.00000000000000006*(BV333^2))-(0.2008*BV333) + 164.43),IF(BV333&lt;1250,((0.0115*BV333)+ 15.889))))</f>
        <v>26.930245924414834</v>
      </c>
      <c r="BY333" s="7">
        <f t="shared" ref="BY333:BY337" si="628">(BW333*$M$8)/($D$6^2)</f>
        <v>1.3565141308385219E-2</v>
      </c>
      <c r="BZ333" s="9">
        <f>($C$263*$D$6)/BX333</f>
        <v>0.44064138526710267</v>
      </c>
      <c r="CA333" s="4">
        <f>CA332+(BY333*(BV332+CF332-(2*CA332))+((BY333/(2*CA$18))*(CF332-BV332)))</f>
        <v>951.30785047713664</v>
      </c>
      <c r="CB333" s="6">
        <f t="shared" ref="CB333:CB337" si="629">IF(CA333&gt;=650,((0.00002*CA333)+0.035)/10000,IF(CA333&lt;650,((-0.0000000000003*(CA333^4))+(0.0000000004*(CA333^3))-(0.0000002*(CA333^2))-(0.0001*CA333)+0.1409)/10000))</f>
        <v>5.4026157009542736E-6</v>
      </c>
      <c r="CC333" s="8">
        <f t="shared" ref="CC333:CC337" si="630">IF(CA333&lt;650,(53.495-(0.029*CA333)),IF(CA333&lt;700,((0.00000000000000006*(CA333^2))-(0.2008*CA333) + 164.43),IF(CA333&lt;1250,((0.0115*CA333)+ 15.889))))</f>
        <v>26.829040280487071</v>
      </c>
      <c r="CD333" s="7">
        <f t="shared" ref="CD333:CD337" si="631">(CB333*$M$8)/($D$6^2)</f>
        <v>1.3521091445452875E-2</v>
      </c>
      <c r="CE333" s="9">
        <f>($C$263*$D$6)/CC333</f>
        <v>0.4423035913941557</v>
      </c>
      <c r="CF333" s="4">
        <f>CF332+(CD333*(CA332+CK332-(2*CF332))+((CD333/(2*CF$18))*(CK332-CA332)))</f>
        <v>941.28370749551095</v>
      </c>
      <c r="CG333" s="6">
        <f t="shared" ref="CG333:CG337" si="632">IF(CF333&gt;=650,((0.00002*CF333)+0.035)/10000,IF(CF333&lt;650,((-0.0000000000003*(CF333^4))+(0.0000000004*(CF333^3))-(0.0000002*(CF333^2))-(0.0001*CF333)+0.1409)/10000))</f>
        <v>5.3825674149910223E-6</v>
      </c>
      <c r="CH333" s="8">
        <f t="shared" ref="CH333:CH337" si="633">IF(CF333&lt;650,(53.495-(0.029*CF333)),IF(CF333&lt;700,((0.00000000000000006*(CF333^2))-(0.2008*CF333) + 164.43),IF(CF333&lt;1250,((0.0115*CF333)+ 15.889))))</f>
        <v>26.713762636198375</v>
      </c>
      <c r="CI333" s="7">
        <f t="shared" ref="CI333:CI337" si="634">(CG333*$M$8)/($D$6^2)</f>
        <v>1.3470916729567413E-2</v>
      </c>
      <c r="CJ333" s="9">
        <f>($C$263*$D$6)/CH333</f>
        <v>0.44421225984983997</v>
      </c>
      <c r="CK333" s="4">
        <f>CK332+(CI333*(CF332+CP332-(2*CK332))+((CI333/(2*CK$18))*(CP332-CF332)))</f>
        <v>927.13606428561866</v>
      </c>
      <c r="CL333" s="6">
        <f t="shared" ref="CL333:CL337" si="635">IF(CK333&gt;=650,((0.00002*CK333)+0.035)/10000,IF(CK333&lt;650,((-0.0000000000003*(CK333^4))+(0.0000000004*(CK333^3))-(0.0000002*(CK333^2))-(0.0001*CK333)+0.1409)/10000))</f>
        <v>5.3542721285712376E-6</v>
      </c>
      <c r="CM333" s="8">
        <f t="shared" ref="CM333:CM337" si="636">IF(CK333&lt;650,(53.495-(0.029*CK333)),IF(CK333&lt;700,((0.00000000000000006*(CK333^2))-(0.2008*CK333) + 164.43),IF(CK333&lt;1250,((0.0115*CK333)+ 15.889))))</f>
        <v>26.551064739284612</v>
      </c>
      <c r="CN333" s="7">
        <f t="shared" ref="CN333:CN337" si="637">(CL333*$M$8)/($D$6^2)</f>
        <v>1.3400102298866816E-2</v>
      </c>
      <c r="CO333" s="9">
        <f>($C$263*$D$6)/CM333</f>
        <v>0.44693427499953547</v>
      </c>
      <c r="CP333" s="4">
        <f>CP332+(CN333*(CK332+CU332-(2*CP332))+((CN333/(2*CP$18))*(CU332-CK332)))</f>
        <v>896.61982229393675</v>
      </c>
      <c r="CQ333" s="6">
        <f t="shared" ref="CQ333:CQ337" si="638">IF(CP333&gt;=650,((0.00002*CP333)+0.035)/10000,IF(CP333&lt;650,((-0.0000000000003*(CP333^4))+(0.0000000004*(CP333^3))-(0.0000002*(CP333^2))-(0.0001*CP333)+0.1409)/10000))</f>
        <v>5.2932396445878745E-6</v>
      </c>
      <c r="CR333" s="8">
        <f t="shared" ref="CR333:CR337" si="639">IF(CP333&lt;650,(53.495-(0.029*CP333)),IF(CP333&lt;700,((0.00000000000000006*(CP333^2))-(0.2008*CP333) + 164.43),IF(CP333&lt;1250,((0.0115*CP333)+ 15.889))))</f>
        <v>26.200127956380271</v>
      </c>
      <c r="CS333" s="7">
        <f t="shared" ref="CS333:CS337" si="640">(CQ333*$M$8)/($D$6^2)</f>
        <v>1.3247356695114834E-2</v>
      </c>
      <c r="CT333" s="9">
        <f>($C$263*$D$6)/CR333</f>
        <v>0.45292072197029637</v>
      </c>
      <c r="CU333" s="4">
        <f>CU332+(CS333*(CP332+CZ332-(2*CU332))+((CS333/(2*CU$18))*(CZ332-CP332)))</f>
        <v>812.95154716177524</v>
      </c>
      <c r="CV333" s="6">
        <f t="shared" ref="CV333:CV337" si="641">IF(CU333&gt;=650,((0.00002*CU333)+0.035)/10000,IF(CU333&lt;650,((-0.0000000000003*(CU333^4))+(0.0000000004*(CU333^3))-(0.0000002*(CU333^2))-(0.0001*CU333)+0.1409)/10000))</f>
        <v>5.1259030943235513E-6</v>
      </c>
      <c r="CW333" s="8">
        <f t="shared" ref="CW333:CW337" si="642">IF(CU333&lt;650,(53.495-(0.029*CU333)),IF(CU333&lt;700,((0.00000000000000006*(CU333^2))-(0.2008*CU333) + 164.43),IF(CU333&lt;1250,((0.0115*CU333)+ 15.889))))</f>
        <v>25.237942792360414</v>
      </c>
      <c r="CX333" s="7">
        <f t="shared" ref="CX333:CX337" si="643">(CV333*$M$8)/($D$6^2)</f>
        <v>1.2828564590784538E-2</v>
      </c>
      <c r="CY333" s="9">
        <f>($C$263*$D$6)/CW333</f>
        <v>0.47018811982210934</v>
      </c>
      <c r="CZ333" s="5">
        <f>CZ332+((2*$CX333)*(CU332-CZ332))+((2*$CX333*$CY333)*($C$14-CZ332))+((($CX333*$CY333)/$C$5)*($C$14-CZ332))+(((CZ332-$C$14)*$CX333*($D$6^2))/($CW333*($D$4/(2*$C$8))))</f>
        <v>611.5785402161531</v>
      </c>
      <c r="DA333" s="6">
        <f t="shared" ref="DA333:DA337" si="644">IF(CZ333&gt;=650,((0.00002*CZ333)+0.035)/10000,IF(CZ333&lt;650,((-0.0000000000003*(CZ333^4))+(0.0000000004*(CZ333^3))-(0.0000002*(CZ333^2))-(0.0001*CZ333)+0.1409)/10000))</f>
        <v>5.4466405952330929E-6</v>
      </c>
      <c r="DB333" s="8">
        <f t="shared" ref="DB333:DB337" si="645">IF(CZ333&lt;650,(53.495-(0.029*CZ333)),IF(CZ333&lt;700,((0.00000000000000006*(CZ333^2))-(0.2008*CZ333) + 164.43),IF(CZ333&lt;1250,((0.0115*CZ333)+ 15.889))))</f>
        <v>35.759222333731557</v>
      </c>
      <c r="DC333" s="7">
        <f t="shared" ref="DC333:DC337" si="646">(DA333*$M$8)/($D$6^2)</f>
        <v>1.3631272264220931E-2</v>
      </c>
      <c r="DD333" s="9">
        <f>($C$263*$D$6)/DB333</f>
        <v>0.33184672639047275</v>
      </c>
    </row>
    <row r="334" spans="2:108" x14ac:dyDescent="0.25">
      <c r="B334">
        <v>67</v>
      </c>
      <c r="C334">
        <f t="shared" si="490"/>
        <v>6.5500182645131855E-2</v>
      </c>
      <c r="D334" s="4">
        <f t="shared" si="596"/>
        <v>1018.9142189469582</v>
      </c>
      <c r="E334" s="6">
        <f t="shared" ref="E334:E397" si="647">IF($D334&gt;=650,((0.00002*$D334)+0.035)/10000,IF($D334&lt;650,((-0.0000000000003*($D334^4))+(0.0000000004*($D334^3))-(0.0000002*($D334^2))-(0.0001*$D334)+0.1409)/10000))</f>
        <v>5.5378284378939174E-6</v>
      </c>
      <c r="F334" s="8">
        <f t="shared" si="597"/>
        <v>27.606513517890019</v>
      </c>
      <c r="G334" s="7">
        <f t="shared" si="583"/>
        <v>1.3859487489507601E-2</v>
      </c>
      <c r="H334" s="9">
        <f t="shared" ref="H334:H337" si="648">($C$263*$D$6)/F334</f>
        <v>0.42984713959000748</v>
      </c>
      <c r="I334" s="4">
        <f t="shared" ref="I334:I337" si="649">I333+(G334*(D333+N333-(2*I333))+((G334/(2*$I$18))*(N333-D333)))</f>
        <v>1018.5908122486321</v>
      </c>
      <c r="J334" s="6">
        <f t="shared" ref="J334:J397" si="650">IF($I334&gt;=650,((0.00002*$I334)+0.035)/10000,IF($I334&lt;650,((-0.0000000000003*($I334^4))+(0.0000000004*($I334^3))-(0.0000002*($I334^2))-(0.0001*$I334)+0.1409)/10000))</f>
        <v>5.5371816244972646E-6</v>
      </c>
      <c r="K334" s="8">
        <f t="shared" si="598"/>
        <v>27.602794340859269</v>
      </c>
      <c r="L334" s="7">
        <f t="shared" ref="L334:L397" si="651">($J334*$M$8)/($D$6^2)</f>
        <v>1.3857868713794434E-2</v>
      </c>
      <c r="M334" s="9">
        <f t="shared" ref="M334:M337" si="652">($C$263*$D$6)/K334</f>
        <v>0.42990505682797092</v>
      </c>
      <c r="N334" s="4">
        <f t="shared" ref="N334:N337" si="653">N333+(L334*(I333+S333-(2*N333))+((L334/(2*N$18))*(S333-I333)))</f>
        <v>1017.686724422049</v>
      </c>
      <c r="O334" s="6">
        <f t="shared" ref="O334:O397" si="654">IF($N334&gt;=650,((0.00002*$N334)+0.035)/10000,IF($N334&lt;650,((-0.0000000000003*($N334^4))+(0.0000000004*($N334^3))-(0.0000002*($N334^2))-(0.0001*$N334)+0.1409)/10000))</f>
        <v>5.5353734488440986E-6</v>
      </c>
      <c r="P334" s="8">
        <f t="shared" ref="P334:P397" si="655">IF($N334&lt;650,(53.495-(0.029*$N334)),IF($N334&lt;700,((0.00000000000000006*($N334^2))-(0.2008*$N334) + 164.43),IF($N334&lt;1250,((0.0115*$N334)+ 15.889))))</f>
        <v>27.592397330853565</v>
      </c>
      <c r="Q334" s="7">
        <f t="shared" si="584"/>
        <v>1.3859487489507601E-2</v>
      </c>
      <c r="R334" s="9">
        <f t="shared" ref="R334:R337" si="656">($C$263*$D$6)/P334</f>
        <v>0.43006704808678575</v>
      </c>
      <c r="S334" s="4">
        <f t="shared" ref="S334:S337" si="657">S333+(Q334*(N333+X333-(2*S333))+((Q334/(2*S$18))*(X333-N333)))</f>
        <v>1016.1860715665728</v>
      </c>
      <c r="T334" s="6">
        <f t="shared" ref="T334:T397" si="658">IF($S334&gt;=650,((0.00002*$S334)+0.035)/10000,IF($S334&lt;650,((-0.0000000000003*($S334^4))+(0.0000000004*($S334^3))-(0.0000002*($S334^2))-(0.0001*$S334)+0.1409)/10000))</f>
        <v>5.532372143133146E-6</v>
      </c>
      <c r="U334" s="8">
        <f t="shared" ref="U334:U397" si="659">IF($S334&lt;650,(53.495-(0.029*$S334)),IF($S334&lt;700,((0.00000000000000006*($S334^2))-(0.2008*$S334) + 164.43),IF($S334&lt;1250,((0.0115*$S334)+ 15.889))))</f>
        <v>27.575139823015586</v>
      </c>
      <c r="V334" s="7">
        <f t="shared" ref="V334:V397" si="660">($T334*$M$8)/($D$6^2)</f>
        <v>1.3845832055825598E-2</v>
      </c>
      <c r="W334" s="9">
        <f t="shared" ref="W334:W337" si="661">($C$263*$D$6)/U334</f>
        <v>0.4303361994129748</v>
      </c>
      <c r="X334" s="4">
        <f t="shared" ref="X334:X337" si="662">X333+(V334*(S333+AC333-(2*X333))+((V334/(2*X$18))*(AC333-S333)))</f>
        <v>1014.0867190029442</v>
      </c>
      <c r="Y334" s="6">
        <f t="shared" ref="Y334:Y397" si="663">IF($X334&gt;=650,((0.00002*$X334)+0.035)/10000,IF($X334&lt;650,((-0.0000000000003*($X334^4))+(0.0000000004*($X334^3))-(0.0000002*($X334^2))-(0.0001*$X334)+0.1409)/10000))</f>
        <v>5.5281734380058889E-6</v>
      </c>
      <c r="Z334" s="8">
        <f t="shared" ref="Z334:Z397" si="664">IF($X334&lt;650,(53.495-(0.029*$X334)),IF($X334&lt;700,((0.00000000000000006*($X334^2))-(0.2008*$X334) + 164.43),IF($X334&lt;1250,((0.0115*$X334)+ 15.889))))</f>
        <v>27.550997268533855</v>
      </c>
      <c r="AA334" s="7">
        <f t="shared" ref="AA334:AA397" si="665">($Y334*$M$8)/($D$6^2)</f>
        <v>1.383532398360271E-2</v>
      </c>
      <c r="AB334" s="9">
        <f t="shared" ref="AB334:AB337" si="666">($C$263*$D$6)/Z334</f>
        <v>0.43071329701995165</v>
      </c>
      <c r="AC334" s="4">
        <f t="shared" ref="AC334:AC337" si="667">AC333+(AA334*(X333+AH333-(2*AC333))+((AA334/(2*AC$18))*(AH333-X333)))</f>
        <v>1011.3876040806904</v>
      </c>
      <c r="AD334" s="6">
        <f t="shared" si="599"/>
        <v>5.5227752081613807E-6</v>
      </c>
      <c r="AE334" s="8">
        <f t="shared" si="600"/>
        <v>27.51995744692794</v>
      </c>
      <c r="AF334" s="7">
        <f t="shared" si="601"/>
        <v>1.3821813868611877E-2</v>
      </c>
      <c r="AG334" s="9">
        <f t="shared" ref="AG334:AG337" si="668">($C$263*$D$6)/AE334</f>
        <v>0.43119909951178242</v>
      </c>
      <c r="AH334" s="4">
        <f t="shared" ref="AH334:AH337" si="669">AH333+(AF334*(AC333+AM333-(2*AH333))+((AF334/(2*AH$18))*(AM333-AC333)))</f>
        <v>1008.0887047469364</v>
      </c>
      <c r="AI334" s="6">
        <f t="shared" si="602"/>
        <v>5.5161774094938731E-6</v>
      </c>
      <c r="AJ334" s="8">
        <f t="shared" si="603"/>
        <v>27.482020104589768</v>
      </c>
      <c r="AK334" s="7">
        <f t="shared" si="604"/>
        <v>1.380530160046993E-2</v>
      </c>
      <c r="AL334" s="9">
        <f t="shared" ref="AL334:AL337" si="670">($C$263*$D$6)/AJ334</f>
        <v>0.43179434497742991</v>
      </c>
      <c r="AM334" s="4">
        <f t="shared" ref="AM334:AM337" si="671">AM333+(AK334*(AH333+AR333-(2*AM333))+((AK334/(2*AM$18))*(AR333-AH333)))</f>
        <v>1004.1900372438342</v>
      </c>
      <c r="AN334" s="6">
        <f t="shared" si="605"/>
        <v>5.508380074487669E-6</v>
      </c>
      <c r="AO334" s="8">
        <f t="shared" si="606"/>
        <v>27.43718542830409</v>
      </c>
      <c r="AP334" s="7">
        <f t="shared" si="607"/>
        <v>1.3785787260475121E-2</v>
      </c>
      <c r="AQ334" s="9">
        <f t="shared" ref="AQ334:AQ337" si="672">($C$263*$D$6)/AO334</f>
        <v>0.43249993337422948</v>
      </c>
      <c r="AR334" s="4">
        <f t="shared" ref="AR334:AR337" si="673">AR333+(AP334*(AM333+AW333-(2*AR333))+((AP334/(2*AR$18))*(AW333-AM333)))</f>
        <v>999.6916085340863</v>
      </c>
      <c r="AS334" s="6">
        <f t="shared" si="608"/>
        <v>5.4993832170681733E-6</v>
      </c>
      <c r="AT334" s="8">
        <f t="shared" si="609"/>
        <v>27.385453498141992</v>
      </c>
      <c r="AU334" s="7">
        <f t="shared" si="610"/>
        <v>1.376327088347847E-2</v>
      </c>
      <c r="AV334" s="9">
        <f t="shared" ref="AV334:AV337" si="674">($C$263*$D$6)/AT334</f>
        <v>0.43331693851712205</v>
      </c>
      <c r="AW334" s="4">
        <f t="shared" ref="AW334:AW337" si="675">AW333+(AU334*(AR333+BB333-(2*AW333))+((AU334/(2*AW$18))*(BB333-AR333)))</f>
        <v>994.59342035731038</v>
      </c>
      <c r="AX334" s="6">
        <f t="shared" si="611"/>
        <v>5.4891868407146218E-6</v>
      </c>
      <c r="AY334" s="8">
        <f t="shared" si="612"/>
        <v>27.32682433410907</v>
      </c>
      <c r="AZ334" s="7">
        <f t="shared" si="613"/>
        <v>1.3737752478187443E-2</v>
      </c>
      <c r="BA334" s="9">
        <f t="shared" ref="BA334:BA337" si="676">($C$263*$D$6)/AY334</f>
        <v>0.43424661148445814</v>
      </c>
      <c r="BB334" s="4">
        <f t="shared" ref="BB334:BB337" si="677">BB333+(AZ334*(AW333+BG333-(2*BB333))+((AZ334/(2*BB$18))*(BG333-AW333)))</f>
        <v>988.89547234878557</v>
      </c>
      <c r="BC334" s="6">
        <f t="shared" si="614"/>
        <v>5.4777909446975719E-6</v>
      </c>
      <c r="BD334" s="8">
        <f t="shared" si="615"/>
        <v>27.261297932011033</v>
      </c>
      <c r="BE334" s="7">
        <f t="shared" si="616"/>
        <v>1.3709232042776465E-2</v>
      </c>
      <c r="BF334" s="9">
        <f t="shared" ref="BF334:BF337" si="678">($C$263*$D$6)/BD334</f>
        <v>0.43529038490070582</v>
      </c>
      <c r="BG334" s="4">
        <f t="shared" ref="BG334:BG337" si="679">BG333+(BE334*(BB333+BL333-(2*BG333))+((BE334/(2*BG$18))*(BL333-BB333)))</f>
        <v>982.59775456427224</v>
      </c>
      <c r="BH334" s="6">
        <f t="shared" si="617"/>
        <v>5.4651955091285452E-6</v>
      </c>
      <c r="BI334" s="8">
        <f t="shared" si="618"/>
        <v>27.188874177489129</v>
      </c>
      <c r="BJ334" s="7">
        <f t="shared" si="619"/>
        <v>1.367770952747077E-2</v>
      </c>
      <c r="BK334" s="9">
        <f t="shared" ref="BK334:BK337" si="680">($C$263*$D$6)/BI334</f>
        <v>0.43644987991237849</v>
      </c>
      <c r="BL334" s="4">
        <f t="shared" ref="BL334:BL337" si="681">BL333+(BJ334*(BG333+BQ333-(2*BL333))+((BJ334/(2*BL$18))*(BQ333-BG333)))</f>
        <v>975.70015003038054</v>
      </c>
      <c r="BM334" s="6">
        <f t="shared" si="620"/>
        <v>5.4514003000607617E-6</v>
      </c>
      <c r="BN334" s="8">
        <f t="shared" si="621"/>
        <v>27.109551725349377</v>
      </c>
      <c r="BO334" s="7">
        <f t="shared" si="622"/>
        <v>1.3643184346773262E-2</v>
      </c>
      <c r="BP334" s="9">
        <f t="shared" ref="BP334:BP337" si="682">($C$263*$D$6)/BN334</f>
        <v>0.43772693071209268</v>
      </c>
      <c r="BQ334" s="4">
        <f t="shared" ref="BQ334:BQ337" si="683">BQ333+(BO334*(BL333+BV333-(2*BQ333))+((BO334/(2*BQ$18))*(BV333-BL333)))</f>
        <v>968.20145063232587</v>
      </c>
      <c r="BR334" s="6">
        <f t="shared" si="623"/>
        <v>5.4364029012646525E-6</v>
      </c>
      <c r="BS334" s="8">
        <f t="shared" si="624"/>
        <v>27.023316682271748</v>
      </c>
      <c r="BT334" s="7">
        <f t="shared" si="625"/>
        <v>1.3605650453601792E-2</v>
      </c>
      <c r="BU334" s="9">
        <f t="shared" ref="BU334:BU337" si="684">($C$263*$D$6)/BS334</f>
        <v>0.43912377630177407</v>
      </c>
      <c r="BV334" s="4">
        <f t="shared" ref="BV334:BV337" si="685">BV333+(BT334*(BQ333+CA333-(2*BV333))+((BT334/(2*BV$18))*(CA333-BQ333)))</f>
        <v>960.09072482391014</v>
      </c>
      <c r="BW334" s="6">
        <f t="shared" si="626"/>
        <v>5.4201814496478203E-6</v>
      </c>
      <c r="BX334" s="8">
        <f t="shared" si="627"/>
        <v>26.930043335474966</v>
      </c>
      <c r="BY334" s="7">
        <f t="shared" si="628"/>
        <v>1.3565053131336128E-2</v>
      </c>
      <c r="BZ334" s="9">
        <f t="shared" ref="BZ334:BZ337" si="686">($C$263*$D$6)/BX334</f>
        <v>0.44064470011773216</v>
      </c>
      <c r="CA334" s="4">
        <f t="shared" ref="CA334:CA337" si="687">CA333+(BY334*(BV333+CF333-(2*CA333))+((BY334/(2*CA$18))*(CF333-BV333)))</f>
        <v>951.28273966472068</v>
      </c>
      <c r="CB334" s="6">
        <f t="shared" si="629"/>
        <v>5.402565479329442E-6</v>
      </c>
      <c r="CC334" s="8">
        <f t="shared" si="630"/>
        <v>26.828751506144286</v>
      </c>
      <c r="CD334" s="7">
        <f t="shared" si="631"/>
        <v>1.3520965756116545E-2</v>
      </c>
      <c r="CE334" s="9">
        <f t="shared" ref="CE334:CE337" si="688">($C$263*$D$6)/CC334</f>
        <v>0.44230835217957232</v>
      </c>
      <c r="CF334" s="4">
        <f t="shared" ref="CF334:CF337" si="689">CF333+(CD334*(CA333+CK333-(2*CF333))+((CD334/(2*CF$18))*(CK333-CA333)))</f>
        <v>941.21774048096177</v>
      </c>
      <c r="CG334" s="6">
        <f t="shared" si="632"/>
        <v>5.3824354809619239E-6</v>
      </c>
      <c r="CH334" s="8">
        <f t="shared" si="633"/>
        <v>26.713004015531059</v>
      </c>
      <c r="CI334" s="7">
        <f t="shared" si="634"/>
        <v>1.3470586539124311E-2</v>
      </c>
      <c r="CJ334" s="9">
        <f t="shared" ref="CJ334:CJ337" si="690">($C$263*$D$6)/CH334</f>
        <v>0.44422487500165148</v>
      </c>
      <c r="CK334" s="4">
        <f t="shared" ref="CK334:CK337" si="691">CK333+(CI334*(CF333+CP333-(2*CK333))+((CI334/(2*CK$18))*(CP333-CF333)))</f>
        <v>926.89787410829899</v>
      </c>
      <c r="CL334" s="6">
        <f t="shared" si="635"/>
        <v>5.3537957482165987E-6</v>
      </c>
      <c r="CM334" s="8">
        <f t="shared" si="636"/>
        <v>26.548325552245437</v>
      </c>
      <c r="CN334" s="7">
        <f t="shared" si="637"/>
        <v>1.3398910064827893E-2</v>
      </c>
      <c r="CO334" s="9">
        <f t="shared" ref="CO334:CO337" si="692">($C$263*$D$6)/CM334</f>
        <v>0.44698038851321198</v>
      </c>
      <c r="CP334" s="4">
        <f t="shared" ref="CP334:CP337" si="693">CP333+(CN334*(CK333+CU333-(2*CP333))+((CN334/(2*CP$18))*(CU333-CK333)))</f>
        <v>895.86514442446537</v>
      </c>
      <c r="CQ334" s="6">
        <f t="shared" si="638"/>
        <v>5.2917302888489306E-6</v>
      </c>
      <c r="CR334" s="8">
        <f t="shared" si="639"/>
        <v>26.191449160881351</v>
      </c>
      <c r="CS334" s="7">
        <f t="shared" si="640"/>
        <v>1.3243579240248597E-2</v>
      </c>
      <c r="CT334" s="9">
        <f t="shared" ref="CT334:CT337" si="694">($C$263*$D$6)/CR334</f>
        <v>0.45307080172720704</v>
      </c>
      <c r="CU334" s="4">
        <f t="shared" ref="CU334:CU337" si="695">CU333+(CS334*(CP333+CZ333-(2*CU333))+((CS334/(2*CU$18))*(CZ333-CP333)))</f>
        <v>811.29337398731627</v>
      </c>
      <c r="CV334" s="6">
        <f t="shared" si="641"/>
        <v>5.1225867479746336E-6</v>
      </c>
      <c r="CW334" s="8">
        <f t="shared" si="642"/>
        <v>25.218873800854137</v>
      </c>
      <c r="CX334" s="7">
        <f t="shared" si="643"/>
        <v>1.2820264792181318E-2</v>
      </c>
      <c r="CY334" s="9">
        <f t="shared" ref="CY334:CY337" si="696">($C$263*$D$6)/CW334</f>
        <v>0.47054364772292051</v>
      </c>
      <c r="CZ334" s="5">
        <f t="shared" ref="CZ334:CZ337" si="697">CZ333+((2*$CX334)*(CU333-CZ333))+((2*$CX334*$CY334)*($C$14-CZ333))+((($CX334*$CY334)/$C$5)*($C$14-CZ333))+(((CZ333-$C$14)*$CX334*($D$6^2))/($CW334*($D$4/(2*$C$8))))</f>
        <v>609.65233302981369</v>
      </c>
      <c r="DA334" s="6">
        <f t="shared" si="644"/>
        <v>5.4793914098247162E-6</v>
      </c>
      <c r="DB334" s="8">
        <f t="shared" si="645"/>
        <v>35.815082342135398</v>
      </c>
      <c r="DC334" s="7">
        <f t="shared" si="646"/>
        <v>1.3713237516520515E-2</v>
      </c>
      <c r="DD334" s="9">
        <f t="shared" ref="DD334:DD337" si="698">($C$263*$D$6)/DB334</f>
        <v>0.33132915223699522</v>
      </c>
    </row>
    <row r="335" spans="2:108" x14ac:dyDescent="0.25">
      <c r="B335">
        <v>68</v>
      </c>
      <c r="C335">
        <f t="shared" ref="C335:C398" si="699">$B335*$M$8</f>
        <v>6.6477797311477099E-2</v>
      </c>
      <c r="D335" s="4">
        <f t="shared" si="596"/>
        <v>1018.8977074346839</v>
      </c>
      <c r="E335" s="6">
        <f t="shared" si="647"/>
        <v>5.5377954148693686E-6</v>
      </c>
      <c r="F335" s="8">
        <f t="shared" si="597"/>
        <v>27.606323635498864</v>
      </c>
      <c r="G335" s="7">
        <f t="shared" si="583"/>
        <v>1.3859404842997199E-2</v>
      </c>
      <c r="H335" s="9">
        <f t="shared" si="648"/>
        <v>0.42985009617357051</v>
      </c>
      <c r="I335" s="4">
        <f t="shared" si="649"/>
        <v>1018.5742581820093</v>
      </c>
      <c r="J335" s="6">
        <f t="shared" si="650"/>
        <v>5.5371485163640193E-6</v>
      </c>
      <c r="K335" s="8">
        <f t="shared" si="598"/>
        <v>27.602603969093106</v>
      </c>
      <c r="L335" s="7">
        <f t="shared" si="651"/>
        <v>1.3857785854283045E-2</v>
      </c>
      <c r="M335" s="9">
        <f t="shared" si="652"/>
        <v>0.42990802183029614</v>
      </c>
      <c r="N335" s="4">
        <f t="shared" si="653"/>
        <v>1017.6701262562786</v>
      </c>
      <c r="O335" s="6">
        <f t="shared" si="654"/>
        <v>5.5353402525125575E-6</v>
      </c>
      <c r="P335" s="8">
        <f t="shared" si="655"/>
        <v>27.592206451947206</v>
      </c>
      <c r="Q335" s="7">
        <f t="shared" si="584"/>
        <v>1.3859404842997199E-2</v>
      </c>
      <c r="R335" s="9">
        <f t="shared" si="656"/>
        <v>0.43007002322862309</v>
      </c>
      <c r="S335" s="4">
        <f t="shared" si="657"/>
        <v>1016.1694582895148</v>
      </c>
      <c r="T335" s="6">
        <f t="shared" si="658"/>
        <v>5.5323389165790297E-6</v>
      </c>
      <c r="U335" s="8">
        <f t="shared" si="659"/>
        <v>27.574948770329421</v>
      </c>
      <c r="V335" s="7">
        <f t="shared" si="660"/>
        <v>1.3845748899943059E-2</v>
      </c>
      <c r="W335" s="9">
        <f t="shared" si="661"/>
        <v>0.4303391809919267</v>
      </c>
      <c r="X335" s="4">
        <f t="shared" si="662"/>
        <v>1014.0701100469378</v>
      </c>
      <c r="Y335" s="6">
        <f t="shared" si="663"/>
        <v>5.5281402200938761E-6</v>
      </c>
      <c r="Z335" s="8">
        <f t="shared" si="664"/>
        <v>27.550806265539784</v>
      </c>
      <c r="AA335" s="7">
        <f t="shared" si="665"/>
        <v>1.383524084934871E-2</v>
      </c>
      <c r="AB335" s="9">
        <f t="shared" si="666"/>
        <v>0.43071628304978049</v>
      </c>
      <c r="AC335" s="4">
        <f t="shared" si="667"/>
        <v>1011.3710075217147</v>
      </c>
      <c r="AD335" s="6">
        <f t="shared" si="599"/>
        <v>5.52274201504343E-6</v>
      </c>
      <c r="AE335" s="8">
        <f t="shared" si="600"/>
        <v>27.519766586499717</v>
      </c>
      <c r="AF335" s="7">
        <f t="shared" si="601"/>
        <v>1.3821730796409817E-2</v>
      </c>
      <c r="AG335" s="9">
        <f t="shared" si="668"/>
        <v>0.4312020900474951</v>
      </c>
      <c r="AH335" s="4">
        <f t="shared" si="669"/>
        <v>1008.0721246768254</v>
      </c>
      <c r="AI335" s="6">
        <f t="shared" si="602"/>
        <v>5.516144249353651E-6</v>
      </c>
      <c r="AJ335" s="8">
        <f t="shared" si="603"/>
        <v>27.481829433783492</v>
      </c>
      <c r="AK335" s="7">
        <f t="shared" si="604"/>
        <v>1.3805218610801017E-2</v>
      </c>
      <c r="AL335" s="9">
        <f t="shared" si="670"/>
        <v>0.43179734079603438</v>
      </c>
      <c r="AM335" s="4">
        <f t="shared" si="671"/>
        <v>1004.1734771414826</v>
      </c>
      <c r="AN335" s="6">
        <f t="shared" si="605"/>
        <v>5.5083469542829659E-6</v>
      </c>
      <c r="AO335" s="8">
        <f t="shared" si="606"/>
        <v>27.436994987127051</v>
      </c>
      <c r="AP335" s="7">
        <f t="shared" si="607"/>
        <v>1.3785704370752572E-2</v>
      </c>
      <c r="AQ335" s="9">
        <f t="shared" si="672"/>
        <v>0.43250293537194895</v>
      </c>
      <c r="AR335" s="4">
        <f t="shared" si="673"/>
        <v>999.67507191967047</v>
      </c>
      <c r="AS335" s="6">
        <f t="shared" si="608"/>
        <v>5.4993501438393422E-6</v>
      </c>
      <c r="AT335" s="8">
        <f t="shared" si="609"/>
        <v>27.38526332707621</v>
      </c>
      <c r="AU335" s="7">
        <f t="shared" si="610"/>
        <v>1.3763188111322135E-2</v>
      </c>
      <c r="AV335" s="9">
        <f t="shared" si="674"/>
        <v>0.43331994759331882</v>
      </c>
      <c r="AW335" s="4">
        <f t="shared" si="675"/>
        <v>994.57691079141364</v>
      </c>
      <c r="AX335" s="6">
        <f t="shared" si="611"/>
        <v>5.4891538215828273E-6</v>
      </c>
      <c r="AY335" s="8">
        <f t="shared" si="612"/>
        <v>27.326634474101255</v>
      </c>
      <c r="AZ335" s="7">
        <f t="shared" si="613"/>
        <v>1.3737669841419411E-2</v>
      </c>
      <c r="BA335" s="9">
        <f t="shared" si="676"/>
        <v>0.43424962854333266</v>
      </c>
      <c r="BB335" s="4">
        <f t="shared" si="677"/>
        <v>988.87899328481251</v>
      </c>
      <c r="BC335" s="6">
        <f t="shared" si="614"/>
        <v>5.4777579865696256E-6</v>
      </c>
      <c r="BD335" s="8">
        <f t="shared" si="615"/>
        <v>27.261108422775344</v>
      </c>
      <c r="BE335" s="7">
        <f t="shared" si="616"/>
        <v>1.3709149558682368E-2</v>
      </c>
      <c r="BF335" s="9">
        <f t="shared" si="678"/>
        <v>0.43529341087994577</v>
      </c>
      <c r="BG335" s="4">
        <f t="shared" si="679"/>
        <v>982.58130805223686</v>
      </c>
      <c r="BH335" s="6">
        <f t="shared" si="617"/>
        <v>5.4651626161044744E-6</v>
      </c>
      <c r="BI335" s="8">
        <f t="shared" si="618"/>
        <v>27.188685042600724</v>
      </c>
      <c r="BJ335" s="7">
        <f t="shared" si="619"/>
        <v>1.3677627206311724E-2</v>
      </c>
      <c r="BK335" s="9">
        <f t="shared" si="680"/>
        <v>0.43645291602461422</v>
      </c>
      <c r="BL335" s="4">
        <f t="shared" si="681"/>
        <v>975.68372400898249</v>
      </c>
      <c r="BM335" s="6">
        <f t="shared" si="620"/>
        <v>5.4513674480179661E-6</v>
      </c>
      <c r="BN335" s="8">
        <f t="shared" si="621"/>
        <v>27.1093628261033</v>
      </c>
      <c r="BO335" s="7">
        <f t="shared" si="622"/>
        <v>1.3643102128177789E-2</v>
      </c>
      <c r="BP335" s="9">
        <f t="shared" si="682"/>
        <v>0.43772998081281722</v>
      </c>
      <c r="BQ335" s="4">
        <f t="shared" si="683"/>
        <v>968.18490988649444</v>
      </c>
      <c r="BR335" s="6">
        <f t="shared" si="623"/>
        <v>5.4363698197729888E-6</v>
      </c>
      <c r="BS335" s="8">
        <f t="shared" si="624"/>
        <v>27.023126463694688</v>
      </c>
      <c r="BT335" s="7">
        <f t="shared" si="625"/>
        <v>1.3605567660766118E-2</v>
      </c>
      <c r="BU335" s="9">
        <f t="shared" si="684"/>
        <v>0.43912686733937084</v>
      </c>
      <c r="BV335" s="4">
        <f t="shared" si="685"/>
        <v>960.0730171908217</v>
      </c>
      <c r="BW335" s="6">
        <f t="shared" si="626"/>
        <v>5.4201460343816442E-6</v>
      </c>
      <c r="BX335" s="8">
        <f t="shared" si="627"/>
        <v>26.929839697694447</v>
      </c>
      <c r="BY335" s="7">
        <f t="shared" si="628"/>
        <v>1.3564964497778045E-2</v>
      </c>
      <c r="BZ335" s="9">
        <f t="shared" si="686"/>
        <v>0.44064803218022258</v>
      </c>
      <c r="CA335" s="4">
        <f t="shared" si="687"/>
        <v>951.2571546020182</v>
      </c>
      <c r="CB335" s="6">
        <f t="shared" si="629"/>
        <v>5.4025143092040372E-6</v>
      </c>
      <c r="CC335" s="8">
        <f t="shared" si="630"/>
        <v>26.828457277923206</v>
      </c>
      <c r="CD335" s="7">
        <f t="shared" si="631"/>
        <v>1.3520837692973955E-2</v>
      </c>
      <c r="CE335" s="9">
        <f t="shared" si="688"/>
        <v>0.44231320298401039</v>
      </c>
      <c r="CF335" s="4">
        <f t="shared" si="689"/>
        <v>941.14990786825319</v>
      </c>
      <c r="CG335" s="6">
        <f t="shared" si="632"/>
        <v>5.382299815736507E-6</v>
      </c>
      <c r="CH335" s="8">
        <f t="shared" si="633"/>
        <v>26.712223940484911</v>
      </c>
      <c r="CI335" s="7">
        <f t="shared" si="634"/>
        <v>1.3470247010640264E-2</v>
      </c>
      <c r="CJ335" s="9">
        <f t="shared" si="690"/>
        <v>0.44423784766692409</v>
      </c>
      <c r="CK335" s="4">
        <f t="shared" si="691"/>
        <v>926.65477975031729</v>
      </c>
      <c r="CL335" s="6">
        <f t="shared" si="635"/>
        <v>5.3533095595006351E-6</v>
      </c>
      <c r="CM335" s="8">
        <f t="shared" si="636"/>
        <v>26.545529967128648</v>
      </c>
      <c r="CN335" s="7">
        <f t="shared" si="637"/>
        <v>1.3397693283466388E-2</v>
      </c>
      <c r="CO335" s="9">
        <f t="shared" si="692"/>
        <v>0.447027461286789</v>
      </c>
      <c r="CP335" s="4">
        <f t="shared" si="693"/>
        <v>895.10482162123901</v>
      </c>
      <c r="CQ335" s="6">
        <f t="shared" si="638"/>
        <v>5.2902096432424786E-6</v>
      </c>
      <c r="CR335" s="8">
        <f t="shared" si="639"/>
        <v>26.182705448644249</v>
      </c>
      <c r="CS335" s="7">
        <f t="shared" si="640"/>
        <v>1.3239773530303815E-2</v>
      </c>
      <c r="CT335" s="9">
        <f t="shared" si="694"/>
        <v>0.45322210468255314</v>
      </c>
      <c r="CU335" s="4">
        <f t="shared" si="695"/>
        <v>809.64368249499694</v>
      </c>
      <c r="CV335" s="6">
        <f t="shared" si="641"/>
        <v>5.1192873649899941E-6</v>
      </c>
      <c r="CW335" s="8">
        <f t="shared" si="642"/>
        <v>25.199902348692461</v>
      </c>
      <c r="CX335" s="7">
        <f t="shared" si="643"/>
        <v>1.2812007447680395E-2</v>
      </c>
      <c r="CY335" s="9">
        <f t="shared" si="696"/>
        <v>0.47089789101240764</v>
      </c>
      <c r="CZ335" s="5">
        <f t="shared" si="697"/>
        <v>607.75218385563346</v>
      </c>
      <c r="DA335" s="6">
        <f t="shared" si="644"/>
        <v>5.5115992361529895E-6</v>
      </c>
      <c r="DB335" s="8">
        <f t="shared" si="645"/>
        <v>35.870186668186626</v>
      </c>
      <c r="DC335" s="7">
        <f t="shared" si="646"/>
        <v>1.3793843835597945E-2</v>
      </c>
      <c r="DD335" s="9">
        <f t="shared" si="698"/>
        <v>0.33082015935652781</v>
      </c>
    </row>
    <row r="336" spans="2:108" x14ac:dyDescent="0.25">
      <c r="B336">
        <v>69</v>
      </c>
      <c r="C336">
        <f t="shared" si="699"/>
        <v>6.7455411977822344E-2</v>
      </c>
      <c r="D336" s="4">
        <f t="shared" si="596"/>
        <v>1018.8811937497995</v>
      </c>
      <c r="E336" s="6">
        <f t="shared" si="647"/>
        <v>5.5377623874995993E-6</v>
      </c>
      <c r="F336" s="8">
        <f t="shared" si="597"/>
        <v>27.606133728122693</v>
      </c>
      <c r="G336" s="7">
        <f t="shared" si="583"/>
        <v>1.385932218561204E-2</v>
      </c>
      <c r="H336" s="9">
        <f t="shared" si="648"/>
        <v>0.42985305318684569</v>
      </c>
      <c r="I336" s="4">
        <f t="shared" si="649"/>
        <v>1018.5577035922256</v>
      </c>
      <c r="J336" s="6">
        <f t="shared" si="650"/>
        <v>5.537115407184452E-6</v>
      </c>
      <c r="K336" s="8">
        <f t="shared" si="598"/>
        <v>27.602413591310594</v>
      </c>
      <c r="L336" s="7">
        <f t="shared" si="651"/>
        <v>1.3857702992153035E-2</v>
      </c>
      <c r="M336" s="9">
        <f t="shared" si="652"/>
        <v>0.42991098696722557</v>
      </c>
      <c r="N336" s="4">
        <f t="shared" si="653"/>
        <v>1017.6535283863315</v>
      </c>
      <c r="O336" s="6">
        <f t="shared" si="654"/>
        <v>5.535307056772663E-6</v>
      </c>
      <c r="P336" s="8">
        <f t="shared" si="655"/>
        <v>27.592015576442812</v>
      </c>
      <c r="Q336" s="7">
        <f t="shared" si="584"/>
        <v>1.385932218561204E-2</v>
      </c>
      <c r="R336" s="9">
        <f t="shared" si="656"/>
        <v>0.43007299835859797</v>
      </c>
      <c r="S336" s="4">
        <f t="shared" si="657"/>
        <v>1016.152845355933</v>
      </c>
      <c r="T336" s="6">
        <f t="shared" si="658"/>
        <v>5.5323056907118664E-6</v>
      </c>
      <c r="U336" s="8">
        <f t="shared" si="659"/>
        <v>27.57475772159323</v>
      </c>
      <c r="V336" s="7">
        <f t="shared" si="660"/>
        <v>1.3845665745779756E-2</v>
      </c>
      <c r="W336" s="9">
        <f t="shared" si="661"/>
        <v>0.43034216255054969</v>
      </c>
      <c r="X336" s="4">
        <f t="shared" si="662"/>
        <v>1014.0535013314321</v>
      </c>
      <c r="Y336" s="6">
        <f t="shared" si="663"/>
        <v>5.5281070026628645E-6</v>
      </c>
      <c r="Z336" s="8">
        <f t="shared" si="664"/>
        <v>27.550615265311471</v>
      </c>
      <c r="AA336" s="7">
        <f t="shared" si="665"/>
        <v>1.3835157716298506E-2</v>
      </c>
      <c r="AB336" s="9">
        <f t="shared" si="666"/>
        <v>0.43071926907777325</v>
      </c>
      <c r="AC336" s="4">
        <f t="shared" si="667"/>
        <v>1011.3544111590394</v>
      </c>
      <c r="AD336" s="6">
        <f t="shared" si="599"/>
        <v>5.5227088223180792E-6</v>
      </c>
      <c r="AE336" s="8">
        <f t="shared" si="600"/>
        <v>27.519575728328952</v>
      </c>
      <c r="AF336" s="7">
        <f t="shared" si="601"/>
        <v>1.3821647725190312E-2</v>
      </c>
      <c r="AG336" s="9">
        <f t="shared" si="668"/>
        <v>0.431205080589317</v>
      </c>
      <c r="AH336" s="4">
        <f t="shared" si="669"/>
        <v>1008.0555447964387</v>
      </c>
      <c r="AI336" s="6">
        <f t="shared" si="602"/>
        <v>5.5161110895928776E-6</v>
      </c>
      <c r="AJ336" s="8">
        <f t="shared" si="603"/>
        <v>27.481638765159044</v>
      </c>
      <c r="AK336" s="7">
        <f t="shared" si="604"/>
        <v>1.3805135622081747E-2</v>
      </c>
      <c r="AL336" s="9">
        <f t="shared" si="670"/>
        <v>0.4318003366219279</v>
      </c>
      <c r="AM336" s="4">
        <f t="shared" si="671"/>
        <v>1004.1569172301278</v>
      </c>
      <c r="AN336" s="6">
        <f t="shared" si="605"/>
        <v>5.5083138344602559E-6</v>
      </c>
      <c r="AO336" s="8">
        <f t="shared" si="606"/>
        <v>27.436804548146469</v>
      </c>
      <c r="AP336" s="7">
        <f t="shared" si="607"/>
        <v>1.3785621481986038E-2</v>
      </c>
      <c r="AQ336" s="9">
        <f t="shared" si="672"/>
        <v>0.43250593737671839</v>
      </c>
      <c r="AR336" s="4">
        <f t="shared" si="673"/>
        <v>999.65853549731082</v>
      </c>
      <c r="AS336" s="6">
        <f t="shared" si="608"/>
        <v>5.499317070994622E-6</v>
      </c>
      <c r="AT336" s="8">
        <f t="shared" si="609"/>
        <v>27.385073158219072</v>
      </c>
      <c r="AU336" s="7">
        <f t="shared" si="610"/>
        <v>1.3763105340127112E-2</v>
      </c>
      <c r="AV336" s="9">
        <f t="shared" si="674"/>
        <v>0.43332295667635951</v>
      </c>
      <c r="AW336" s="4">
        <f t="shared" si="675"/>
        <v>994.56040141633832</v>
      </c>
      <c r="AX336" s="6">
        <f t="shared" si="611"/>
        <v>5.489120802832677E-6</v>
      </c>
      <c r="AY336" s="8">
        <f t="shared" si="612"/>
        <v>27.32644461628789</v>
      </c>
      <c r="AZ336" s="7">
        <f t="shared" si="613"/>
        <v>1.3737587205606517E-2</v>
      </c>
      <c r="BA336" s="9">
        <f t="shared" si="676"/>
        <v>0.43425264560925864</v>
      </c>
      <c r="BB336" s="4">
        <f t="shared" si="677"/>
        <v>988.86251439143814</v>
      </c>
      <c r="BC336" s="6">
        <f t="shared" si="614"/>
        <v>5.4777250287828768E-6</v>
      </c>
      <c r="BD336" s="8">
        <f t="shared" si="615"/>
        <v>27.260918915501538</v>
      </c>
      <c r="BE336" s="7">
        <f t="shared" si="616"/>
        <v>1.3709067075442187E-2</v>
      </c>
      <c r="BF336" s="9">
        <f t="shared" si="678"/>
        <v>0.43529643686993008</v>
      </c>
      <c r="BG336" s="4">
        <f t="shared" si="679"/>
        <v>982.56486150685816</v>
      </c>
      <c r="BH336" s="6">
        <f t="shared" si="617"/>
        <v>5.4651297230137168E-6</v>
      </c>
      <c r="BI336" s="8">
        <f t="shared" si="618"/>
        <v>27.188495907328868</v>
      </c>
      <c r="BJ336" s="7">
        <f t="shared" si="619"/>
        <v>1.3677544884985782E-2</v>
      </c>
      <c r="BK336" s="9">
        <f t="shared" si="680"/>
        <v>0.43645595218524652</v>
      </c>
      <c r="BL336" s="4">
        <f t="shared" si="681"/>
        <v>975.66729618333363</v>
      </c>
      <c r="BM336" s="6">
        <f t="shared" si="620"/>
        <v>5.4513345923666678E-6</v>
      </c>
      <c r="BN336" s="8">
        <f t="shared" si="621"/>
        <v>27.109173906108335</v>
      </c>
      <c r="BO336" s="7">
        <f t="shared" si="622"/>
        <v>1.3643019900551339E-2</v>
      </c>
      <c r="BP336" s="9">
        <f t="shared" si="682"/>
        <v>0.43773303129108182</v>
      </c>
      <c r="BQ336" s="4">
        <f t="shared" si="683"/>
        <v>968.16835421317444</v>
      </c>
      <c r="BR336" s="6">
        <f t="shared" si="623"/>
        <v>5.4363367084263495E-6</v>
      </c>
      <c r="BS336" s="8">
        <f t="shared" si="624"/>
        <v>27.022936073451504</v>
      </c>
      <c r="BT336" s="7">
        <f t="shared" si="625"/>
        <v>1.3605484793212589E-2</v>
      </c>
      <c r="BU336" s="9">
        <f t="shared" si="684"/>
        <v>0.43912996121010472</v>
      </c>
      <c r="BV336" s="4">
        <f t="shared" si="685"/>
        <v>960.05521397067776</v>
      </c>
      <c r="BW336" s="6">
        <f t="shared" si="626"/>
        <v>5.4201104279413558E-6</v>
      </c>
      <c r="BX336" s="8">
        <f t="shared" si="627"/>
        <v>26.929634960662796</v>
      </c>
      <c r="BY336" s="7">
        <f t="shared" si="628"/>
        <v>1.3564875385769743E-2</v>
      </c>
      <c r="BZ336" s="9">
        <f t="shared" si="686"/>
        <v>0.44065138228022371</v>
      </c>
      <c r="CA336" s="4">
        <f t="shared" si="687"/>
        <v>951.23108081635428</v>
      </c>
      <c r="CB336" s="6">
        <f t="shared" si="629"/>
        <v>5.4024621616327097E-6</v>
      </c>
      <c r="CC336" s="8">
        <f t="shared" si="630"/>
        <v>26.828157429388071</v>
      </c>
      <c r="CD336" s="7">
        <f t="shared" si="631"/>
        <v>1.3520707183583763E-2</v>
      </c>
      <c r="CE336" s="9">
        <f t="shared" si="688"/>
        <v>0.44231814655743079</v>
      </c>
      <c r="CF336" s="4">
        <f t="shared" si="689"/>
        <v>941.08018556182685</v>
      </c>
      <c r="CG336" s="6">
        <f t="shared" si="632"/>
        <v>5.3821603711236535E-6</v>
      </c>
      <c r="CH336" s="8">
        <f t="shared" si="633"/>
        <v>26.711422133961008</v>
      </c>
      <c r="CI336" s="7">
        <f t="shared" si="634"/>
        <v>1.3469898023507672E-2</v>
      </c>
      <c r="CJ336" s="9">
        <f t="shared" si="690"/>
        <v>0.44425118251681106</v>
      </c>
      <c r="CK336" s="4">
        <f t="shared" si="691"/>
        <v>926.40681108760509</v>
      </c>
      <c r="CL336" s="6">
        <f t="shared" si="635"/>
        <v>5.3528136221752108E-6</v>
      </c>
      <c r="CM336" s="8">
        <f t="shared" si="636"/>
        <v>26.54267832750746</v>
      </c>
      <c r="CN336" s="7">
        <f t="shared" si="637"/>
        <v>1.3396452104322906E-2</v>
      </c>
      <c r="CO336" s="9">
        <f t="shared" si="692"/>
        <v>0.44707548813640208</v>
      </c>
      <c r="CP336" s="4">
        <f t="shared" si="693"/>
        <v>894.33906046823256</v>
      </c>
      <c r="CQ336" s="6">
        <f t="shared" si="638"/>
        <v>5.2886781209364662E-6</v>
      </c>
      <c r="CR336" s="8">
        <f t="shared" si="639"/>
        <v>26.173899195384674</v>
      </c>
      <c r="CS336" s="7">
        <f t="shared" si="640"/>
        <v>1.323594059931324E-2</v>
      </c>
      <c r="CT336" s="9">
        <f t="shared" si="694"/>
        <v>0.45337459203672525</v>
      </c>
      <c r="CU336" s="4">
        <f t="shared" si="695"/>
        <v>808.00252816082661</v>
      </c>
      <c r="CV336" s="6">
        <f t="shared" si="641"/>
        <v>5.1160050563216543E-6</v>
      </c>
      <c r="CW336" s="8">
        <f t="shared" si="642"/>
        <v>25.181029073849505</v>
      </c>
      <c r="CX336" s="7">
        <f t="shared" si="643"/>
        <v>1.2803792834960673E-2</v>
      </c>
      <c r="CY336" s="9">
        <f t="shared" si="696"/>
        <v>0.47125083073119284</v>
      </c>
      <c r="CZ336" s="5">
        <f t="shared" si="697"/>
        <v>605.87734384523924</v>
      </c>
      <c r="DA336" s="6">
        <f t="shared" si="644"/>
        <v>5.5432821258191099E-6</v>
      </c>
      <c r="DB336" s="8">
        <f t="shared" si="645"/>
        <v>35.92455702848806</v>
      </c>
      <c r="DC336" s="7">
        <f t="shared" si="646"/>
        <v>1.3873136399079026E-2</v>
      </c>
      <c r="DD336" s="9">
        <f t="shared" si="698"/>
        <v>0.33031947646028698</v>
      </c>
    </row>
    <row r="337" spans="2:108" x14ac:dyDescent="0.25">
      <c r="B337">
        <v>70</v>
      </c>
      <c r="C337">
        <f t="shared" si="699"/>
        <v>6.8433026644167602E-2</v>
      </c>
      <c r="D337" s="4">
        <f t="shared" si="596"/>
        <v>1018.8646779765177</v>
      </c>
      <c r="E337" s="6">
        <f t="shared" si="647"/>
        <v>5.537729355953036E-6</v>
      </c>
      <c r="F337" s="8">
        <f t="shared" si="597"/>
        <v>27.605943796729953</v>
      </c>
      <c r="G337" s="7">
        <f t="shared" si="583"/>
        <v>1.3859239517773648E-2</v>
      </c>
      <c r="H337" s="9">
        <f t="shared" si="648"/>
        <v>0.42985601061477013</v>
      </c>
      <c r="I337" s="4">
        <f t="shared" si="649"/>
        <v>1018.5411484848966</v>
      </c>
      <c r="J337" s="6">
        <f t="shared" si="650"/>
        <v>5.5370822969697935E-6</v>
      </c>
      <c r="K337" s="8">
        <f t="shared" si="598"/>
        <v>27.602223207576309</v>
      </c>
      <c r="L337" s="7">
        <f t="shared" si="651"/>
        <v>1.3857620127432507E-2</v>
      </c>
      <c r="M337" s="9">
        <f t="shared" si="652"/>
        <v>0.42991395223775808</v>
      </c>
      <c r="N337" s="4">
        <f t="shared" si="653"/>
        <v>1017.6369308045217</v>
      </c>
      <c r="O337" s="6">
        <f t="shared" si="654"/>
        <v>5.5352738616090439E-6</v>
      </c>
      <c r="P337" s="8">
        <f t="shared" si="655"/>
        <v>27.591824704251998</v>
      </c>
      <c r="Q337" s="7">
        <f t="shared" si="584"/>
        <v>1.3859239517773648E-2</v>
      </c>
      <c r="R337" s="9">
        <f t="shared" si="656"/>
        <v>0.43007597347808668</v>
      </c>
      <c r="S337" s="4">
        <f t="shared" si="657"/>
        <v>1016.1362327636217</v>
      </c>
      <c r="T337" s="6">
        <f t="shared" si="658"/>
        <v>5.532272465527244E-6</v>
      </c>
      <c r="U337" s="8">
        <f t="shared" si="659"/>
        <v>27.57456667678165</v>
      </c>
      <c r="V337" s="7">
        <f t="shared" si="660"/>
        <v>1.3845582593324642E-2</v>
      </c>
      <c r="W337" s="9">
        <f t="shared" si="661"/>
        <v>0.43034514408923796</v>
      </c>
      <c r="X337" s="4">
        <f t="shared" si="662"/>
        <v>1014.0368928569825</v>
      </c>
      <c r="Y337" s="6">
        <f t="shared" si="663"/>
        <v>5.5280737857139655E-6</v>
      </c>
      <c r="Z337" s="8">
        <f t="shared" si="664"/>
        <v>27.550424267855298</v>
      </c>
      <c r="AA337" s="7">
        <f t="shared" si="665"/>
        <v>1.3835074584454883E-2</v>
      </c>
      <c r="AB337" s="9">
        <f t="shared" si="666"/>
        <v>0.43072225510382928</v>
      </c>
      <c r="AC337" s="4">
        <f t="shared" si="667"/>
        <v>1011.3378149931123</v>
      </c>
      <c r="AD337" s="6">
        <f t="shared" si="599"/>
        <v>5.5226756299862251E-6</v>
      </c>
      <c r="AE337" s="8">
        <f t="shared" si="600"/>
        <v>27.51938487242079</v>
      </c>
      <c r="AF337" s="7">
        <f t="shared" si="601"/>
        <v>1.3821564654955609E-2</v>
      </c>
      <c r="AG337" s="9">
        <f t="shared" si="668"/>
        <v>0.43120807113716692</v>
      </c>
      <c r="AH337" s="4">
        <f t="shared" si="669"/>
        <v>1008.0389651058764</v>
      </c>
      <c r="AI337" s="6">
        <f t="shared" si="602"/>
        <v>5.5160779302117529E-6</v>
      </c>
      <c r="AJ337" s="8">
        <f t="shared" si="603"/>
        <v>27.481448098717578</v>
      </c>
      <c r="AK337" s="7">
        <f t="shared" si="604"/>
        <v>1.3805052634312621E-2</v>
      </c>
      <c r="AL337" s="9">
        <f t="shared" si="670"/>
        <v>0.43180333245509184</v>
      </c>
      <c r="AM337" s="4">
        <f t="shared" si="671"/>
        <v>1004.1403575097669</v>
      </c>
      <c r="AN337" s="6">
        <f t="shared" si="605"/>
        <v>5.5082807150195341E-6</v>
      </c>
      <c r="AO337" s="8">
        <f t="shared" si="606"/>
        <v>27.436614111362317</v>
      </c>
      <c r="AP337" s="7">
        <f t="shared" si="607"/>
        <v>1.3785538594175499E-2</v>
      </c>
      <c r="AQ337" s="9">
        <f t="shared" si="672"/>
        <v>0.43250893938853757</v>
      </c>
      <c r="AR337" s="4">
        <f t="shared" si="673"/>
        <v>999.64199926697336</v>
      </c>
      <c r="AS337" s="6">
        <f t="shared" si="608"/>
        <v>5.4992839985339473E-6</v>
      </c>
      <c r="AT337" s="8">
        <f t="shared" si="609"/>
        <v>27.384882991570194</v>
      </c>
      <c r="AU337" s="7">
        <f t="shared" si="610"/>
        <v>1.3763022569893237E-2</v>
      </c>
      <c r="AV337" s="9">
        <f t="shared" si="674"/>
        <v>0.43332596576624965</v>
      </c>
      <c r="AW337" s="4">
        <f t="shared" si="675"/>
        <v>994.54389223180442</v>
      </c>
      <c r="AX337" s="6">
        <f t="shared" si="611"/>
        <v>5.4890877844636093E-6</v>
      </c>
      <c r="AY337" s="8">
        <f t="shared" si="612"/>
        <v>27.326254760665748</v>
      </c>
      <c r="AZ337" s="7">
        <f t="shared" si="613"/>
        <v>1.3737504570747358E-2</v>
      </c>
      <c r="BA337" s="9">
        <f t="shared" si="676"/>
        <v>0.43425566268228677</v>
      </c>
      <c r="BB337" s="4">
        <f t="shared" si="677"/>
        <v>988.84603566598264</v>
      </c>
      <c r="BC337" s="6">
        <f t="shared" si="614"/>
        <v>5.4776920713319664E-6</v>
      </c>
      <c r="BD337" s="8">
        <f t="shared" si="615"/>
        <v>27.260729410158799</v>
      </c>
      <c r="BE337" s="7">
        <f t="shared" si="616"/>
        <v>1.3708984593042506E-2</v>
      </c>
      <c r="BF337" s="9">
        <f t="shared" si="678"/>
        <v>0.4352994628711504</v>
      </c>
      <c r="BG337" s="4">
        <f t="shared" si="679"/>
        <v>982.54841490542469</v>
      </c>
      <c r="BH337" s="6">
        <f t="shared" si="617"/>
        <v>5.4650968298108501E-6</v>
      </c>
      <c r="BI337" s="8">
        <f t="shared" si="618"/>
        <v>27.188306771412385</v>
      </c>
      <c r="BJ337" s="7">
        <f t="shared" si="619"/>
        <v>1.3677462563379266E-2</v>
      </c>
      <c r="BK337" s="9">
        <f t="shared" si="680"/>
        <v>0.43645898839846914</v>
      </c>
      <c r="BL337" s="4">
        <f t="shared" si="681"/>
        <v>975.65086638969808</v>
      </c>
      <c r="BM337" s="6">
        <f t="shared" si="620"/>
        <v>5.4513017327793971E-6</v>
      </c>
      <c r="BN337" s="8">
        <f t="shared" si="621"/>
        <v>27.108984963481525</v>
      </c>
      <c r="BO337" s="7">
        <f t="shared" si="622"/>
        <v>1.3642937663074358E-2</v>
      </c>
      <c r="BP337" s="9">
        <f t="shared" si="682"/>
        <v>0.43773608217730586</v>
      </c>
      <c r="BQ337" s="4">
        <f t="shared" si="683"/>
        <v>968.15178264195458</v>
      </c>
      <c r="BR337" s="6">
        <f t="shared" si="623"/>
        <v>5.4363035652839094E-6</v>
      </c>
      <c r="BS337" s="8">
        <f t="shared" si="624"/>
        <v>27.022745500382477</v>
      </c>
      <c r="BT337" s="7">
        <f t="shared" si="625"/>
        <v>1.3605401846083916E-2</v>
      </c>
      <c r="BU337" s="9">
        <f t="shared" si="684"/>
        <v>0.43913305809544556</v>
      </c>
      <c r="BV337" s="4">
        <f t="shared" si="685"/>
        <v>960.03731068316188</v>
      </c>
      <c r="BW337" s="6">
        <f t="shared" si="626"/>
        <v>5.4200746213663241E-6</v>
      </c>
      <c r="BX337" s="8">
        <f t="shared" si="627"/>
        <v>26.929429072856358</v>
      </c>
      <c r="BY337" s="7">
        <f t="shared" si="628"/>
        <v>1.3564785772885514E-2</v>
      </c>
      <c r="BZ337" s="9">
        <f t="shared" si="686"/>
        <v>0.44065475126165499</v>
      </c>
      <c r="CA337" s="4">
        <f t="shared" si="687"/>
        <v>951.20450383284674</v>
      </c>
      <c r="CB337" s="6">
        <f t="shared" si="629"/>
        <v>5.4024090076656945E-6</v>
      </c>
      <c r="CC337" s="8">
        <f t="shared" si="630"/>
        <v>26.827851794077738</v>
      </c>
      <c r="CD337" s="7">
        <f t="shared" si="631"/>
        <v>1.3520574155493577E-2</v>
      </c>
      <c r="CE337" s="9">
        <f t="shared" si="688"/>
        <v>0.44232318565057277</v>
      </c>
      <c r="CF337" s="4">
        <f t="shared" si="689"/>
        <v>941.00855034680399</v>
      </c>
      <c r="CG337" s="6">
        <f t="shared" si="632"/>
        <v>5.3820171006936083E-6</v>
      </c>
      <c r="CH337" s="8">
        <f t="shared" si="633"/>
        <v>26.710598328988247</v>
      </c>
      <c r="CI337" s="7">
        <f t="shared" si="634"/>
        <v>1.346953946152709E-2</v>
      </c>
      <c r="CJ337" s="9">
        <f t="shared" si="690"/>
        <v>0.44426488405688158</v>
      </c>
      <c r="CK337" s="4">
        <f t="shared" si="691"/>
        <v>926.15399975085859</v>
      </c>
      <c r="CL337" s="6">
        <f t="shared" si="635"/>
        <v>5.3523079995017183E-6</v>
      </c>
      <c r="CM337" s="8">
        <f t="shared" si="636"/>
        <v>26.539770997134873</v>
      </c>
      <c r="CN337" s="7">
        <f t="shared" si="637"/>
        <v>1.3395186685721323E-2</v>
      </c>
      <c r="CO337" s="9">
        <f t="shared" si="692"/>
        <v>0.44712446354563373</v>
      </c>
      <c r="CP337" s="4">
        <f t="shared" si="693"/>
        <v>893.56806313203151</v>
      </c>
      <c r="CQ337" s="6">
        <f t="shared" si="638"/>
        <v>5.2871361262640639E-6</v>
      </c>
      <c r="CR337" s="8">
        <f t="shared" si="639"/>
        <v>26.16503272601836</v>
      </c>
      <c r="CS337" s="7">
        <f t="shared" si="640"/>
        <v>1.3232081459198894E-2</v>
      </c>
      <c r="CT337" s="9">
        <f t="shared" si="694"/>
        <v>0.45352822578042634</v>
      </c>
      <c r="CU337" s="4">
        <f t="shared" si="695"/>
        <v>806.3699572608715</v>
      </c>
      <c r="CV337" s="6">
        <f t="shared" si="641"/>
        <v>5.1127399145217443E-6</v>
      </c>
      <c r="CW337" s="8">
        <f t="shared" si="642"/>
        <v>25.16225450850002</v>
      </c>
      <c r="CX337" s="7">
        <f t="shared" si="643"/>
        <v>1.2795621185651774E-2</v>
      </c>
      <c r="CY337" s="9">
        <f t="shared" si="696"/>
        <v>0.47160244984046512</v>
      </c>
      <c r="CZ337" s="5">
        <f t="shared" si="697"/>
        <v>604.02709471893456</v>
      </c>
      <c r="DA337" s="6">
        <f t="shared" si="644"/>
        <v>5.5744572946131706E-6</v>
      </c>
      <c r="DB337" s="8">
        <f t="shared" si="645"/>
        <v>35.978214253150895</v>
      </c>
      <c r="DC337" s="7">
        <f t="shared" si="646"/>
        <v>1.3951158292810515E-2</v>
      </c>
      <c r="DD337" s="9">
        <f t="shared" si="698"/>
        <v>0.32982684427364678</v>
      </c>
    </row>
    <row r="338" spans="2:108" x14ac:dyDescent="0.25">
      <c r="B338">
        <v>71</v>
      </c>
      <c r="C338">
        <f t="shared" si="699"/>
        <v>6.9410641310512861E-2</v>
      </c>
      <c r="D338" s="4">
        <f t="shared" ref="D338:D401" si="700">D337+(4*$H$7*(I337-D337))</f>
        <v>1018.8481601950381</v>
      </c>
      <c r="E338" s="6">
        <f t="shared" si="647"/>
        <v>5.5376963203900762E-6</v>
      </c>
      <c r="F338" s="8">
        <f t="shared" ref="F338:F401" si="701">IF($D338&lt;650,(53.495-(0.029*D338)),IF(D338&lt;700,((0.00000000000000006*(D338^2))-(0.2008*D338) + 164.43),IF(D338&lt;1250,((0.0115*D338)+ 15.889))))</f>
        <v>27.605753842242937</v>
      </c>
      <c r="G338" s="7">
        <f t="shared" si="583"/>
        <v>1.3859156839883447E-2</v>
      </c>
      <c r="H338" s="9">
        <f t="shared" ref="H338:H401" si="702">($C$263*$D$6)/F338</f>
        <v>0.42985896844299876</v>
      </c>
      <c r="I338" s="4">
        <f t="shared" ref="I338:I401" si="703">I337+(G338*(D337+N337-(2*I337))+((G338/(2*$I$18))*(N337-D337)))</f>
        <v>1018.5245928659053</v>
      </c>
      <c r="J338" s="6">
        <f t="shared" si="650"/>
        <v>5.5370491857318116E-6</v>
      </c>
      <c r="K338" s="8">
        <f t="shared" ref="K338:K401" si="704">IF($I338&lt;650,(53.495-(0.029*I338)),IF(I338&lt;700,((0.00000000000000006*(I338^2))-(0.2008*I338) + 164.43),IF(I338&lt;1250,((0.0115*I338)+ 15.889))))</f>
        <v>27.602032817957912</v>
      </c>
      <c r="L338" s="7">
        <f t="shared" si="651"/>
        <v>1.3857537260150914E-2</v>
      </c>
      <c r="M338" s="9">
        <f t="shared" ref="M338:M401" si="705">($C$263*$D$6)/K338</f>
        <v>0.4299169176408445</v>
      </c>
      <c r="N338" s="4">
        <f t="shared" ref="N338:N401" si="706">N337+(L338*(I337+S337-(2*N337))+((L338/(2*N$18))*(S337-I337)))</f>
        <v>1017.6203335033971</v>
      </c>
      <c r="O338" s="6">
        <f t="shared" si="654"/>
        <v>5.5352406670067943E-6</v>
      </c>
      <c r="P338" s="8">
        <f t="shared" si="655"/>
        <v>27.591633835289066</v>
      </c>
      <c r="Q338" s="7">
        <f t="shared" si="584"/>
        <v>1.3859156839883447E-2</v>
      </c>
      <c r="R338" s="9">
        <f t="shared" ref="R338:R401" si="707">($C$263*$D$6)/P338</f>
        <v>0.43007894858842372</v>
      </c>
      <c r="S338" s="4">
        <f t="shared" ref="S338:S401" si="708">S337+(Q338*(N337+X337-(2*S337))+((Q338/(2*S$18))*(X337-N337)))</f>
        <v>1016.1196205103561</v>
      </c>
      <c r="T338" s="6">
        <f t="shared" si="658"/>
        <v>5.532239241020713E-6</v>
      </c>
      <c r="U338" s="8">
        <f t="shared" si="659"/>
        <v>27.574375635869096</v>
      </c>
      <c r="V338" s="7">
        <f t="shared" si="660"/>
        <v>1.3845499442566583E-2</v>
      </c>
      <c r="W338" s="9">
        <f t="shared" ref="W338:W401" si="709">($C$263*$D$6)/U338</f>
        <v>0.43034812560838914</v>
      </c>
      <c r="X338" s="4">
        <f t="shared" ref="X338:X401" si="710">X337+(V338*(S337+AC337-(2*X337))+((V338/(2*X$18))*(AC337-S337)))</f>
        <v>1014.0202846241091</v>
      </c>
      <c r="Y338" s="6">
        <f t="shared" si="663"/>
        <v>5.5280405692482191E-6</v>
      </c>
      <c r="Z338" s="8">
        <f t="shared" si="664"/>
        <v>27.550233273177255</v>
      </c>
      <c r="AA338" s="7">
        <f t="shared" si="665"/>
        <v>1.3834991453820446E-2</v>
      </c>
      <c r="AB338" s="9">
        <f t="shared" ref="AB338:AB401" si="711">($C$263*$D$6)/Z338</f>
        <v>0.43072524112785393</v>
      </c>
      <c r="AC338" s="4">
        <f t="shared" ref="AC338:AC401" si="712">AC337+(AA338*(X337+AH337-(2*AC337))+((AA338/(2*AC$18))*(AH337-X337)))</f>
        <v>1011.321219024377</v>
      </c>
      <c r="AD338" s="6">
        <f t="shared" ref="AD338:AD401" si="713">IF(AC338&gt;=650,((0.00002*AC338)+0.035)/10000,IF(AC338&lt;650,((-0.0000000000003*(AC338^4))+(0.0000000004*(AC338^3))-(0.0000002*(AC338^2))-(0.0001*AC338)+0.1409)/10000))</f>
        <v>5.5226424380487538E-6</v>
      </c>
      <c r="AE338" s="8">
        <f t="shared" ref="AE338:AE401" si="714">IF(AC338&lt;650,(53.495-(0.029*AC338)),IF(AC338&lt;700,((0.00000000000000006*(AC338^2))-(0.2008*AC338) + 164.43),IF(AC338&lt;1250,((0.0115*AC338)+ 15.889))))</f>
        <v>27.519194018780333</v>
      </c>
      <c r="AF338" s="7">
        <f t="shared" ref="AF338:AF401" si="715">(AD338*$M$8)/($D$6^2)</f>
        <v>1.3821481585707925E-2</v>
      </c>
      <c r="AG338" s="9">
        <f t="shared" ref="AG338:AG401" si="716">($C$263*$D$6)/AE338</f>
        <v>0.43121106169096418</v>
      </c>
      <c r="AH338" s="4">
        <f t="shared" ref="AH338:AH401" si="717">AH337+(AF338*(AC337+AM337-(2*AH337))+((AF338/(2*AH$18))*(AM337-AC337)))</f>
        <v>1008.0223856052415</v>
      </c>
      <c r="AI338" s="6">
        <f t="shared" ref="AI338:AI401" si="718">IF(AH338&gt;=650,((0.00002*AH338)+0.035)/10000,IF(AH338&lt;650,((-0.0000000000003*(AH338^4))+(0.0000000004*(AH338^3))-(0.0000002*(AH338^2))-(0.0001*AH338)+0.1409)/10000))</f>
        <v>5.5160447712104835E-6</v>
      </c>
      <c r="AJ338" s="8">
        <f t="shared" ref="AJ338:AJ401" si="719">IF(AH338&lt;650,(53.495-(0.029*AH338)),IF(AH338&lt;700,((0.00000000000000006*(AH338^2))-(0.2008*AH338) + 164.43),IF(AH338&lt;1250,((0.0115*AH338)+ 15.889))))</f>
        <v>27.481257434460275</v>
      </c>
      <c r="AK338" s="7">
        <f t="shared" ref="AK338:AK401" si="720">(AI338*$M$8)/($D$6^2)</f>
        <v>1.3804969647494159E-2</v>
      </c>
      <c r="AL338" s="9">
        <f t="shared" ref="AL338:AL401" si="721">($C$263*$D$6)/AJ338</f>
        <v>0.43180632829550708</v>
      </c>
      <c r="AM338" s="4">
        <f t="shared" ref="AM338:AM401" si="722">AM337+(AK338*(AH337+AR337-(2*AM337))+((AK338/(2*AM$18))*(AR337-AH337)))</f>
        <v>1004.1237979803979</v>
      </c>
      <c r="AN338" s="6">
        <f t="shared" ref="AN338:AN401" si="723">IF(AM338&gt;=650,((0.00002*AM338)+0.035)/10000,IF(AM338&lt;650,((-0.0000000000003*(AM338^4))+(0.0000000004*(AM338^3))-(0.0000002*(AM338^2))-(0.0001*AM338)+0.1409)/10000))</f>
        <v>5.5082475959607963E-6</v>
      </c>
      <c r="AO338" s="8">
        <f t="shared" ref="AO338:AO401" si="724">IF(AM338&lt;650,(53.495-(0.029*AM338)),IF(AM338&lt;700,((0.00000000000000006*(AM338^2))-(0.2008*AM338) + 164.43),IF(AM338&lt;1250,((0.0115*AM338)+ 15.889))))</f>
        <v>27.436423676774574</v>
      </c>
      <c r="AP338" s="7">
        <f t="shared" ref="AP338:AP401" si="725">(AN338*$M$8)/($D$6^2)</f>
        <v>1.3785455707320954E-2</v>
      </c>
      <c r="AQ338" s="9">
        <f t="shared" ref="AQ338:AQ401" si="726">($C$263*$D$6)/AO338</f>
        <v>0.43251194140740629</v>
      </c>
      <c r="AR338" s="4">
        <f t="shared" ref="AR338:AR401" si="727">AR337+(AP338*(AM337+AW337-(2*AR337))+((AP338/(2*AR$18))*(AW337-AM337)))</f>
        <v>999.62546322862079</v>
      </c>
      <c r="AS338" s="6">
        <f t="shared" ref="AS338:AS401" si="728">IF(AR338&gt;=650,((0.00002*AR338)+0.035)/10000,IF(AR338&lt;650,((-0.0000000000003*(AR338^4))+(0.0000000004*(AR338^3))-(0.0000002*(AR338^2))-(0.0001*AR338)+0.1409)/10000))</f>
        <v>5.499250926457242E-6</v>
      </c>
      <c r="AT338" s="8">
        <f t="shared" ref="AT338:AT401" si="729">IF(AR338&lt;650,(53.495-(0.029*AR338)),IF(AR338&lt;700,((0.00000000000000006*(AR338^2))-(0.2008*AR338) + 164.43),IF(AR338&lt;1250,((0.0115*AR338)+ 15.889))))</f>
        <v>27.384692827129136</v>
      </c>
      <c r="AU338" s="7">
        <f t="shared" ref="AU338:AU401" si="730">(AS338*$M$8)/($D$6^2)</f>
        <v>1.3762939800620318E-2</v>
      </c>
      <c r="AV338" s="9">
        <f t="shared" ref="AV338:AV401" si="731">($C$263*$D$6)/AT338</f>
        <v>0.43332897486299565</v>
      </c>
      <c r="AW338" s="4">
        <f t="shared" ref="AW338:AW401" si="732">AW337+(AU338*(AR337+BB337-(2*AW337))+((AU338/(2*AW$18))*(BB337-AR337)))</f>
        <v>994.5273832375002</v>
      </c>
      <c r="AX338" s="6">
        <f t="shared" ref="AX338:AX401" si="733">IF(AW338&gt;=650,((0.00002*AW338)+0.035)/10000,IF(AW338&lt;650,((-0.0000000000003*(AW338^4))+(0.0000000004*(AW338^3))-(0.0000002*(AW338^2))-(0.0001*AW338)+0.1409)/10000))</f>
        <v>5.489054766475001E-6</v>
      </c>
      <c r="AY338" s="8">
        <f t="shared" ref="AY338:AY401" si="734">IF(AW338&lt;650,(53.495-(0.029*AW338)),IF(AW338&lt;700,((0.00000000000000006*(AW338^2))-(0.2008*AW338) + 164.43),IF(AW338&lt;1250,((0.0115*AW338)+ 15.889))))</f>
        <v>27.326064907231249</v>
      </c>
      <c r="AZ338" s="7">
        <f t="shared" ref="AZ338:AZ401" si="735">(AX338*$M$8)/($D$6^2)</f>
        <v>1.3737421936840372E-2</v>
      </c>
      <c r="BA338" s="9">
        <f t="shared" ref="BA338:BA401" si="736">($C$263*$D$6)/AY338</f>
        <v>0.43425867976247345</v>
      </c>
      <c r="BB338" s="4">
        <f t="shared" ref="BB338:BB401" si="737">BB337+(AZ338*(AW337+BG337-(2*BB337))+((AZ338/(2*BB$18))*(BG337-AW337)))</f>
        <v>988.82955710550857</v>
      </c>
      <c r="BC338" s="6">
        <f t="shared" ref="BC338:BC401" si="738">IF(BB338&gt;=650,((0.00002*BB338)+0.035)/10000,IF(BB338&lt;650,((-0.0000000000003*(BB338^4))+(0.0000000004*(BB338^3))-(0.0000002*(BB338^2))-(0.0001*BB338)+0.1409)/10000))</f>
        <v>5.4776591142110177E-6</v>
      </c>
      <c r="BD338" s="8">
        <f t="shared" ref="BD338:BD401" si="739">IF(BB338&lt;650,(53.495-(0.029*BB338)),IF(BB338&lt;700,((0.00000000000000006*(BB338^2))-(0.2008*BB338) + 164.43),IF(BB338&lt;1250,((0.0115*BB338)+ 15.889))))</f>
        <v>27.260539906713348</v>
      </c>
      <c r="BE338" s="7">
        <f t="shared" ref="BE338:BE401" si="740">(BC338*$M$8)/($D$6^2)</f>
        <v>1.3708902111468619E-2</v>
      </c>
      <c r="BF338" s="9">
        <f t="shared" ref="BF338:BF401" si="741">($C$263*$D$6)/BD338</f>
        <v>0.43530248888414574</v>
      </c>
      <c r="BG338" s="4">
        <f t="shared" ref="BG338:BG401" si="742">BG337+(BE338*(BB337+BL337-(2*BG337))+((BE338/(2*BG$18))*(BL337-BB337)))</f>
        <v>982.53196822346638</v>
      </c>
      <c r="BH338" s="6">
        <f t="shared" ref="BH338:BH401" si="743">IF(BG338&gt;=650,((0.00002*BG338)+0.035)/10000,IF(BG338&lt;650,((-0.0000000000003*(BG338^4))+(0.0000000004*(BG338^3))-(0.0000002*(BG338^2))-(0.0001*BG338)+0.1409)/10000))</f>
        <v>5.4650639364469327E-6</v>
      </c>
      <c r="BI338" s="8">
        <f t="shared" ref="BI338:BI401" si="744">IF(BG338&lt;650,(53.495-(0.029*BG338)),IF(BG338&lt;700,((0.00000000000000006*(BG338^2))-(0.2008*BG338) + 164.43),IF(BG338&lt;1250,((0.0115*BG338)+ 15.889))))</f>
        <v>27.188117634569863</v>
      </c>
      <c r="BJ338" s="7">
        <f t="shared" ref="BJ338:BJ401" si="745">(BH338*$M$8)/($D$6^2)</f>
        <v>1.3677380241369689E-2</v>
      </c>
      <c r="BK338" s="9">
        <f t="shared" ref="BK338:BK401" si="746">($C$263*$D$6)/BI338</f>
        <v>0.43646202466880113</v>
      </c>
      <c r="BL338" s="4">
        <f t="shared" ref="BL338:BL401" si="747">BL337+(BJ338*(BG337+BQ337-(2*BL337))+((BJ338/(2*BL$18))*(BQ337-BG337)))</f>
        <v>975.63443445469863</v>
      </c>
      <c r="BM338" s="6">
        <f t="shared" ref="BM338:BM401" si="748">IF(BL338&gt;=650,((0.00002*BL338)+0.035)/10000,IF(BL338&lt;650,((-0.0000000000003*(BL338^4))+(0.0000000004*(BL338^3))-(0.0000002*(BL338^2))-(0.0001*BL338)+0.1409)/10000))</f>
        <v>5.4512688689093982E-6</v>
      </c>
      <c r="BN338" s="8">
        <f t="shared" ref="BN338:BN401" si="749">IF(BL338&lt;650,(53.495-(0.029*BL338)),IF(BL338&lt;700,((0.00000000000000006*(BL338^2))-(0.2008*BL338) + 164.43),IF(BL338&lt;1250,((0.0115*BL338)+ 15.889))))</f>
        <v>27.108795996229034</v>
      </c>
      <c r="BO338" s="7">
        <f t="shared" ref="BO338:BO401" si="750">(BM338*$M$8)/($D$6^2)</f>
        <v>1.3642855414879021E-2</v>
      </c>
      <c r="BP338" s="9">
        <f t="shared" ref="BP338:BP401" si="751">($C$263*$D$6)/BN338</f>
        <v>0.43773913350370108</v>
      </c>
      <c r="BQ338" s="4">
        <f t="shared" ref="BQ338:BQ401" si="752">BQ337+(BO338*(BL337+BV337-(2*BQ337))+((BO338/(2*BQ$18))*(BV337-BL337)))</f>
        <v>968.13519416329734</v>
      </c>
      <c r="BR338" s="6">
        <f t="shared" ref="BR338:BR401" si="753">IF(BQ338&gt;=650,((0.00002*BQ338)+0.035)/10000,IF(BQ338&lt;650,((-0.0000000000003*(BQ338^4))+(0.0000000004*(BQ338^3))-(0.0000002*(BQ338^2))-(0.0001*BQ338)+0.1409)/10000))</f>
        <v>5.4362703883265952E-6</v>
      </c>
      <c r="BS338" s="8">
        <f t="shared" ref="BS338:BS401" si="754">IF(BQ338&lt;650,(53.495-(0.029*BQ338)),IF(BQ338&lt;700,((0.00000000000000006*(BQ338^2))-(0.2008*BQ338) + 164.43),IF(BQ338&lt;1250,((0.0115*BQ338)+ 15.889))))</f>
        <v>27.022554732877918</v>
      </c>
      <c r="BT338" s="7">
        <f t="shared" ref="BT338:BT401" si="755">(BR338*$M$8)/($D$6^2)</f>
        <v>1.3605318814326974E-2</v>
      </c>
      <c r="BU338" s="9">
        <f t="shared" ref="BU338:BU401" si="756">($C$263*$D$6)/BS338</f>
        <v>0.43913615818418589</v>
      </c>
      <c r="BV338" s="4">
        <f t="shared" ref="BV338:BV401" si="757">BV337+(BT338*(BQ337+CA337-(2*BV337))+((BT338/(2*BV$18))*(CA337-BQ337)))</f>
        <v>960.01930275326038</v>
      </c>
      <c r="BW338" s="6">
        <f t="shared" ref="BW338:BW401" si="758">IF(BV338&gt;=650,((0.00002*BV338)+0.035)/10000,IF(BV338&lt;650,((-0.0000000000003*(BV338^4))+(0.0000000004*(BV338^3))-(0.0000002*(BV338^2))-(0.0001*BV338)+0.1409)/10000))</f>
        <v>5.4200386055065214E-6</v>
      </c>
      <c r="BX338" s="8">
        <f t="shared" ref="BX338:BX401" si="759">IF(BV338&lt;650,(53.495-(0.029*BV338)),IF(BV338&lt;700,((0.00000000000000006*(BV338^2))-(0.2008*BV338) + 164.43),IF(BV338&lt;1250,((0.0115*BV338)+ 15.889))))</f>
        <v>26.929221981662494</v>
      </c>
      <c r="BY338" s="7">
        <f t="shared" ref="BY338:BY401" si="760">(BW338*$M$8)/($D$6^2)</f>
        <v>1.3564695636225638E-2</v>
      </c>
      <c r="BZ338" s="9">
        <f t="shared" ref="BZ338:BZ401" si="761">($C$263*$D$6)/BX338</f>
        <v>0.44065813998631187</v>
      </c>
      <c r="CA338" s="4">
        <f t="shared" ref="CA338:CA401" si="762">CA337+(BY338*(BV337+CF337-(2*CA337))+((BY338/(2*CA$18))*(CF337-BV337)))</f>
        <v>951.17740918554898</v>
      </c>
      <c r="CB338" s="6">
        <f t="shared" ref="CB338:CB401" si="763">IF(CA338&gt;=650,((0.00002*CA338)+0.035)/10000,IF(CA338&lt;650,((-0.0000000000003*(CA338^4))+(0.0000000004*(CA338^3))-(0.0000002*(CA338^2))-(0.0001*CA338)+0.1409)/10000))</f>
        <v>5.4023548183710982E-6</v>
      </c>
      <c r="CC338" s="8">
        <f t="shared" ref="CC338:CC401" si="764">IF(CA338&lt;650,(53.495-(0.029*CA338)),IF(CA338&lt;700,((0.00000000000000006*(CA338^2))-(0.2008*CA338) + 164.43),IF(CA338&lt;1250,((0.0115*CA338)+ 15.889))))</f>
        <v>26.827540205633813</v>
      </c>
      <c r="CD338" s="7">
        <f t="shared" ref="CD338:CD401" si="765">(CB338*$M$8)/($D$6^2)</f>
        <v>1.3520438536295738E-2</v>
      </c>
      <c r="CE338" s="9">
        <f t="shared" ref="CE338:CE401" si="766">($C$263*$D$6)/CC338</f>
        <v>0.44232832301285319</v>
      </c>
      <c r="CF338" s="4">
        <f t="shared" ref="CF338:CF401" si="767">CF337+(CD338*(CA337+CK337-(2*CF337))+((CD338/(2*CF$18))*(CK337-CA337)))</f>
        <v>940.93497988964089</v>
      </c>
      <c r="CG338" s="6">
        <f t="shared" ref="CG338:CG401" si="768">IF(CF338&gt;=650,((0.00002*CF338)+0.035)/10000,IF(CF338&lt;650,((-0.0000000000003*(CF338^4))+(0.0000000004*(CF338^3))-(0.0000002*(CF338^2))-(0.0001*CF338)+0.1409)/10000))</f>
        <v>5.3818699597792831E-6</v>
      </c>
      <c r="CH338" s="8">
        <f t="shared" ref="CH338:CH401" si="769">IF(CF338&lt;650,(53.495-(0.029*CF338)),IF(CF338&lt;700,((0.00000000000000006*(CF338^2))-(0.2008*CF338) + 164.43),IF(CF338&lt;1250,((0.0115*CF338)+ 15.889))))</f>
        <v>26.709752268730867</v>
      </c>
      <c r="CI338" s="7">
        <f t="shared" ref="CI338:CI401" si="770">(CG338*$M$8)/($D$6^2)</f>
        <v>1.3469171212910478E-2</v>
      </c>
      <c r="CJ338" s="9">
        <f t="shared" ref="CJ338:CJ401" si="771">($C$263*$D$6)/CH338</f>
        <v>0.44427895662701883</v>
      </c>
      <c r="CK338" s="4">
        <f t="shared" ref="CK338:CK401" si="772">CK337+(CI338*(CF337+CP337-(2*CK337))+((CI338/(2*CK$18))*(CP337-CF337)))</f>
        <v>925.89637902830009</v>
      </c>
      <c r="CL338" s="6">
        <f t="shared" ref="CL338:CL401" si="773">IF(CK338&gt;=650,((0.00002*CK338)+0.035)/10000,IF(CK338&lt;650,((-0.0000000000003*(CK338^4))+(0.0000000004*(CK338^3))-(0.0000002*(CK338^2))-(0.0001*CK338)+0.1409)/10000))</f>
        <v>5.3517927580566008E-6</v>
      </c>
      <c r="CM338" s="8">
        <f t="shared" ref="CM338:CM401" si="774">IF(CK338&lt;650,(53.495-(0.029*CK338)),IF(CK338&lt;700,((0.00000000000000006*(CK338^2))-(0.2008*CK338) + 164.43),IF(CK338&lt;1250,((0.0115*CK338)+ 15.889))))</f>
        <v>26.53680835882545</v>
      </c>
      <c r="CN338" s="7">
        <f t="shared" ref="CN338:CN401" si="775">(CL338*$M$8)/($D$6^2)</f>
        <v>1.3393897194282078E-2</v>
      </c>
      <c r="CO338" s="9">
        <f t="shared" ref="CO338:CO401" si="776">($C$263*$D$6)/CM338</f>
        <v>0.44717438168374846</v>
      </c>
      <c r="CP338" s="4">
        <f t="shared" ref="CP338:CP401" si="777">CP337+(CN338*(CK337+CU337-(2*CP337))+((CN338/(2*CP$18))*(CU337-CK337)))</f>
        <v>892.79202737510275</v>
      </c>
      <c r="CQ338" s="6">
        <f t="shared" ref="CQ338:CQ401" si="778">IF(CP338&gt;=650,((0.00002*CP338)+0.035)/10000,IF(CP338&lt;650,((-0.0000000000003*(CP338^4))+(0.0000000004*(CP338^3))-(0.0000002*(CP338^2))-(0.0001*CP338)+0.1409)/10000))</f>
        <v>5.2855840547502059E-6</v>
      </c>
      <c r="CR338" s="8">
        <f t="shared" ref="CR338:CR401" si="779">IF(CP338&lt;650,(53.495-(0.029*CP338)),IF(CP338&lt;700,((0.00000000000000006*(CP338^2))-(0.2008*CP338) + 164.43),IF(CP338&lt;1250,((0.0115*CP338)+ 15.889))))</f>
        <v>26.156108314813679</v>
      </c>
      <c r="CS338" s="7">
        <f t="shared" ref="CS338:CS401" si="780">(CQ338*$M$8)/($D$6^2)</f>
        <v>1.3228197099838471E-2</v>
      </c>
      <c r="CT338" s="9">
        <f t="shared" ref="CT338:CT401" si="781">($C$263*$D$6)/CR338</f>
        <v>0.45368296869290697</v>
      </c>
      <c r="CU338" s="4">
        <f t="shared" ref="CU338:CU401" si="782">CU337+(CS338*(CP337+CZ337-(2*CU337))+((CS338/(2*CU$18))*(CZ337-CP337)))</f>
        <v>804.74600748781108</v>
      </c>
      <c r="CV338" s="6">
        <f t="shared" ref="CV338:CV401" si="783">IF(CU338&gt;=650,((0.00002*CU338)+0.035)/10000,IF(CU338&lt;650,((-0.0000000000003*(CU338^4))+(0.0000000004*(CU338^3))-(0.0000002*(CU338^2))-(0.0001*CU338)+0.1409)/10000))</f>
        <v>5.1094920149756227E-6</v>
      </c>
      <c r="CW338" s="8">
        <f t="shared" ref="CW338:CW401" si="784">IF(CU338&lt;650,(53.495-(0.029*CU338)),IF(CU338&lt;700,((0.00000000000000006*(CU338^2))-(0.2008*CU338) + 164.43),IF(CU338&lt;1250,((0.0115*CU338)+ 15.889))))</f>
        <v>25.143579086109824</v>
      </c>
      <c r="CX338" s="7">
        <f t="shared" ref="CX338:CX401" si="785">(CV338*$M$8)/($D$6^2)</f>
        <v>1.2787492688420145E-2</v>
      </c>
      <c r="CY338" s="9">
        <f t="shared" ref="CY338:CY401" si="786">($C$263*$D$6)/CW338</f>
        <v>0.471952733104469</v>
      </c>
      <c r="CZ338" s="5">
        <f t="shared" ref="CZ338:CZ401" si="787">CZ337+((2*$CX338)*(CU337-CZ337))+((2*$CX338*$CY338)*($C$14-CZ337))+((($CX338*$CY338)/$C$5)*($C$14-CZ337))+(((CZ337-$C$14)*$CX338*($D$6^2))/($CW338*($D$4/(2*$C$8))))</f>
        <v>602.20074730100112</v>
      </c>
      <c r="DA338" s="6">
        <f t="shared" ref="DA338:DA401" si="788">IF(CZ338&gt;=650,((0.00002*CZ338)+0.035)/10000,IF(CZ338&lt;650,((-0.0000000000003*(CZ338^4))+(0.0000000004*(CZ338^3))-(0.0000002*(CZ338^2))-(0.0001*CZ338)+0.1409)/10000))</f>
        <v>5.6051411692450539E-6</v>
      </c>
      <c r="DB338" s="8">
        <f t="shared" ref="DB338:DB401" si="789">IF(CZ338&lt;650,(53.495-(0.029*CZ338)),IF(CZ338&lt;700,((0.00000000000000006*(CZ338^2))-(0.2008*CZ338) + 164.43),IF(CZ338&lt;1250,((0.0115*CZ338)+ 15.889))))</f>
        <v>36.031178328270968</v>
      </c>
      <c r="DC338" s="7">
        <f t="shared" ref="DC338:DC401" si="790">(DA338*$M$8)/($D$6^2)</f>
        <v>1.4027950627813212E-2</v>
      </c>
      <c r="DD338" s="9">
        <f t="shared" ref="DD338:DD401" si="791">($C$263*$D$6)/DB338</f>
        <v>0.32934201489622339</v>
      </c>
    </row>
    <row r="339" spans="2:108" x14ac:dyDescent="0.25">
      <c r="B339">
        <v>72</v>
      </c>
      <c r="C339">
        <f t="shared" si="699"/>
        <v>7.0388255976858105E-2</v>
      </c>
      <c r="D339" s="4">
        <f t="shared" si="700"/>
        <v>1018.8316404817663</v>
      </c>
      <c r="E339" s="6">
        <f t="shared" si="647"/>
        <v>5.5376632809635323E-6</v>
      </c>
      <c r="F339" s="8">
        <f t="shared" si="701"/>
        <v>27.605563865540311</v>
      </c>
      <c r="G339" s="7">
        <f t="shared" si="583"/>
        <v>1.3859074152323875E-2</v>
      </c>
      <c r="H339" s="9">
        <f t="shared" si="702"/>
        <v>0.42986192665786505</v>
      </c>
      <c r="I339" s="4">
        <f t="shared" si="703"/>
        <v>1018.5080367413723</v>
      </c>
      <c r="J339" s="6">
        <f t="shared" si="650"/>
        <v>5.5370160734827451E-6</v>
      </c>
      <c r="K339" s="8">
        <f t="shared" si="704"/>
        <v>27.601842422525781</v>
      </c>
      <c r="L339" s="7">
        <f t="shared" si="651"/>
        <v>1.3857454390338888E-2</v>
      </c>
      <c r="M339" s="9">
        <f t="shared" si="705"/>
        <v>0.42991988317539331</v>
      </c>
      <c r="N339" s="4">
        <f t="shared" si="706"/>
        <v>1017.6037364757343</v>
      </c>
      <c r="O339" s="6">
        <f t="shared" si="654"/>
        <v>5.5352074729514695E-6</v>
      </c>
      <c r="P339" s="8">
        <f t="shared" si="655"/>
        <v>27.591442969470943</v>
      </c>
      <c r="Q339" s="7">
        <f t="shared" si="584"/>
        <v>1.3859074152323875E-2</v>
      </c>
      <c r="R339" s="9">
        <f t="shared" si="707"/>
        <v>0.43008192369090281</v>
      </c>
      <c r="S339" s="4">
        <f t="shared" si="708"/>
        <v>1016.1030085938949</v>
      </c>
      <c r="T339" s="6">
        <f t="shared" si="658"/>
        <v>5.5322060171877909E-6</v>
      </c>
      <c r="U339" s="8">
        <f t="shared" si="659"/>
        <v>27.574184598829788</v>
      </c>
      <c r="V339" s="7">
        <f t="shared" si="660"/>
        <v>1.384541629349436E-2</v>
      </c>
      <c r="W339" s="9">
        <f t="shared" si="709"/>
        <v>0.43035110710840385</v>
      </c>
      <c r="X339" s="4">
        <f t="shared" si="710"/>
        <v>1014.0036766332977</v>
      </c>
      <c r="Y339" s="6">
        <f t="shared" si="663"/>
        <v>5.5280073532665961E-6</v>
      </c>
      <c r="Z339" s="8">
        <f t="shared" si="664"/>
        <v>27.55004228128292</v>
      </c>
      <c r="AA339" s="7">
        <f t="shared" si="665"/>
        <v>1.3834908324397618E-2</v>
      </c>
      <c r="AB339" s="9">
        <f t="shared" si="711"/>
        <v>0.43072822714975917</v>
      </c>
      <c r="AC339" s="4">
        <f t="shared" si="712"/>
        <v>1011.3046232532731</v>
      </c>
      <c r="AD339" s="6">
        <f t="shared" si="713"/>
        <v>5.5226092465065462E-6</v>
      </c>
      <c r="AE339" s="8">
        <f t="shared" si="714"/>
        <v>27.519003167412642</v>
      </c>
      <c r="AF339" s="7">
        <f t="shared" si="715"/>
        <v>1.3821398517449464E-2</v>
      </c>
      <c r="AG339" s="9">
        <f t="shared" si="716"/>
        <v>0.43121405225062898</v>
      </c>
      <c r="AH339" s="4">
        <f t="shared" si="717"/>
        <v>1008.0058062946397</v>
      </c>
      <c r="AI339" s="6">
        <f t="shared" si="718"/>
        <v>5.5160116125892795E-6</v>
      </c>
      <c r="AJ339" s="8">
        <f t="shared" si="719"/>
        <v>27.481066772388356</v>
      </c>
      <c r="AK339" s="7">
        <f t="shared" si="720"/>
        <v>1.3804886661626882E-2</v>
      </c>
      <c r="AL339" s="9">
        <f t="shared" si="721"/>
        <v>0.43180932414315387</v>
      </c>
      <c r="AM339" s="4">
        <f t="shared" si="722"/>
        <v>1004.1072386420195</v>
      </c>
      <c r="AN339" s="6">
        <f t="shared" si="723"/>
        <v>5.5082144772840397E-6</v>
      </c>
      <c r="AO339" s="8">
        <f t="shared" si="724"/>
        <v>27.436233244383224</v>
      </c>
      <c r="AP339" s="7">
        <f t="shared" si="725"/>
        <v>1.3785372821422387E-2</v>
      </c>
      <c r="AQ339" s="9">
        <f t="shared" si="726"/>
        <v>0.43251494343332419</v>
      </c>
      <c r="AR339" s="4">
        <f t="shared" si="727"/>
        <v>999.6089273822123</v>
      </c>
      <c r="AS339" s="6">
        <f t="shared" si="728"/>
        <v>5.4992178547644256E-6</v>
      </c>
      <c r="AT339" s="8">
        <f t="shared" si="729"/>
        <v>27.384502664895443</v>
      </c>
      <c r="AU339" s="7">
        <f t="shared" si="730"/>
        <v>1.3762857032308156E-2</v>
      </c>
      <c r="AV339" s="9">
        <f t="shared" si="731"/>
        <v>0.43333198396660405</v>
      </c>
      <c r="AW339" s="4">
        <f t="shared" si="732"/>
        <v>994.51087443307961</v>
      </c>
      <c r="AX339" s="6">
        <f t="shared" si="733"/>
        <v>5.4890217488661598E-6</v>
      </c>
      <c r="AY339" s="8">
        <f t="shared" si="734"/>
        <v>27.325875055980415</v>
      </c>
      <c r="AZ339" s="7">
        <f t="shared" si="735"/>
        <v>1.3737339303883824E-2</v>
      </c>
      <c r="BA339" s="9">
        <f t="shared" si="736"/>
        <v>0.43426169684988125</v>
      </c>
      <c r="BB339" s="4">
        <f t="shared" si="737"/>
        <v>988.81307870680234</v>
      </c>
      <c r="BC339" s="6">
        <f t="shared" si="738"/>
        <v>5.4776261574136051E-6</v>
      </c>
      <c r="BD339" s="8">
        <f t="shared" si="739"/>
        <v>27.260350405128229</v>
      </c>
      <c r="BE339" s="7">
        <f t="shared" si="740"/>
        <v>1.3708819630704442E-2</v>
      </c>
      <c r="BF339" s="9">
        <f t="shared" si="741"/>
        <v>0.43530551490950581</v>
      </c>
      <c r="BG339" s="4">
        <f t="shared" si="742"/>
        <v>982.51552143466108</v>
      </c>
      <c r="BH339" s="6">
        <f t="shared" si="743"/>
        <v>5.4650310428693225E-6</v>
      </c>
      <c r="BI339" s="8">
        <f t="shared" si="744"/>
        <v>27.1879284964986</v>
      </c>
      <c r="BJ339" s="7">
        <f t="shared" si="745"/>
        <v>1.3677297918825304E-2</v>
      </c>
      <c r="BK339" s="9">
        <f t="shared" si="746"/>
        <v>0.43646506100110338</v>
      </c>
      <c r="BL339" s="4">
        <f t="shared" si="747"/>
        <v>975.61800019500004</v>
      </c>
      <c r="BM339" s="6">
        <f t="shared" si="748"/>
        <v>5.45123600039E-6</v>
      </c>
      <c r="BN339" s="8">
        <f t="shared" si="749"/>
        <v>27.108607002242501</v>
      </c>
      <c r="BO339" s="7">
        <f t="shared" si="750"/>
        <v>1.3642773155047661E-2</v>
      </c>
      <c r="BP339" s="9">
        <f t="shared" si="751"/>
        <v>0.43774218530433012</v>
      </c>
      <c r="BQ339" s="4">
        <f t="shared" si="752"/>
        <v>968.11858772813969</v>
      </c>
      <c r="BR339" s="6">
        <f t="shared" si="753"/>
        <v>5.4362371754562793E-6</v>
      </c>
      <c r="BS339" s="8">
        <f t="shared" si="754"/>
        <v>27.022363758873606</v>
      </c>
      <c r="BT339" s="7">
        <f t="shared" si="755"/>
        <v>1.3605235692690796E-2</v>
      </c>
      <c r="BU339" s="9">
        <f t="shared" si="756"/>
        <v>0.4391392616725156</v>
      </c>
      <c r="BV339" s="4">
        <f t="shared" si="757"/>
        <v>960.0011855134544</v>
      </c>
      <c r="BW339" s="6">
        <f t="shared" si="758"/>
        <v>5.4200023710269094E-6</v>
      </c>
      <c r="BX339" s="8">
        <f t="shared" si="759"/>
        <v>26.929013633404725</v>
      </c>
      <c r="BY339" s="7">
        <f t="shared" si="760"/>
        <v>1.3564604952427376E-2</v>
      </c>
      <c r="BZ339" s="9">
        <f t="shared" si="761"/>
        <v>0.44066154933345647</v>
      </c>
      <c r="CA339" s="4">
        <f t="shared" si="762"/>
        <v>951.1497824283266</v>
      </c>
      <c r="CB339" s="6">
        <f t="shared" si="763"/>
        <v>5.402299564856654E-6</v>
      </c>
      <c r="CC339" s="8">
        <f t="shared" si="764"/>
        <v>26.827222497925753</v>
      </c>
      <c r="CD339" s="7">
        <f t="shared" si="765"/>
        <v>1.3520300253681752E-2</v>
      </c>
      <c r="CE339" s="9">
        <f t="shared" si="766"/>
        <v>0.44233356139031565</v>
      </c>
      <c r="CF339" s="4">
        <f t="shared" si="767"/>
        <v>940.85945273755658</v>
      </c>
      <c r="CG339" s="6">
        <f t="shared" si="768"/>
        <v>5.3817189054751134E-6</v>
      </c>
      <c r="CH339" s="8">
        <f t="shared" si="769"/>
        <v>26.708883706481899</v>
      </c>
      <c r="CI339" s="7">
        <f t="shared" si="770"/>
        <v>1.3468793170278361E-2</v>
      </c>
      <c r="CJ339" s="9">
        <f t="shared" si="771"/>
        <v>0.44429340440154874</v>
      </c>
      <c r="CK339" s="4">
        <f t="shared" si="772"/>
        <v>925.63398377124156</v>
      </c>
      <c r="CL339" s="6">
        <f t="shared" si="773"/>
        <v>5.3512679675424834E-6</v>
      </c>
      <c r="CM339" s="8">
        <f t="shared" si="774"/>
        <v>26.533790813369279</v>
      </c>
      <c r="CN339" s="7">
        <f t="shared" si="775"/>
        <v>1.3392583804449477E-2</v>
      </c>
      <c r="CO339" s="9">
        <f t="shared" si="776"/>
        <v>0.44722523642339185</v>
      </c>
      <c r="CP339" s="4">
        <f t="shared" si="777"/>
        <v>892.01114657603819</v>
      </c>
      <c r="CQ339" s="6">
        <f t="shared" si="778"/>
        <v>5.2840222931520772E-6</v>
      </c>
      <c r="CR339" s="8">
        <f t="shared" si="779"/>
        <v>26.147128185624439</v>
      </c>
      <c r="CS339" s="7">
        <f t="shared" si="780"/>
        <v>1.3224288489166691E-2</v>
      </c>
      <c r="CT339" s="9">
        <f t="shared" si="781"/>
        <v>0.45383878433892733</v>
      </c>
      <c r="CU339" s="4">
        <f t="shared" si="782"/>
        <v>803.13070853071736</v>
      </c>
      <c r="CV339" s="6">
        <f t="shared" si="783"/>
        <v>5.1062614170614351E-6</v>
      </c>
      <c r="CW339" s="8">
        <f t="shared" si="784"/>
        <v>25.125003148103247</v>
      </c>
      <c r="CX339" s="7">
        <f t="shared" si="785"/>
        <v>1.2779407491871092E-2</v>
      </c>
      <c r="CY339" s="9">
        <f t="shared" si="786"/>
        <v>0.47230166697964127</v>
      </c>
      <c r="CZ339" s="5">
        <f t="shared" si="787"/>
        <v>600.39764013090826</v>
      </c>
      <c r="DA339" s="6">
        <f t="shared" si="788"/>
        <v>5.6353494310922753E-6</v>
      </c>
      <c r="DB339" s="8">
        <f t="shared" si="789"/>
        <v>36.08346843620366</v>
      </c>
      <c r="DC339" s="7">
        <f t="shared" si="790"/>
        <v>1.4103552649769412E-2</v>
      </c>
      <c r="DD339" s="9">
        <f t="shared" si="791"/>
        <v>0.32886475120035275</v>
      </c>
    </row>
    <row r="340" spans="2:108" x14ac:dyDescent="0.25">
      <c r="B340">
        <v>73</v>
      </c>
      <c r="C340">
        <f t="shared" si="699"/>
        <v>7.136587064320335E-2</v>
      </c>
      <c r="D340" s="4">
        <f t="shared" si="700"/>
        <v>1018.8151189095194</v>
      </c>
      <c r="E340" s="6">
        <f t="shared" si="647"/>
        <v>5.537630237819039E-6</v>
      </c>
      <c r="F340" s="8">
        <f t="shared" si="701"/>
        <v>27.60537386745947</v>
      </c>
      <c r="G340" s="7">
        <f t="shared" si="583"/>
        <v>1.3858991455459418E-2</v>
      </c>
      <c r="H340" s="9">
        <f t="shared" si="702"/>
        <v>0.42986488524634436</v>
      </c>
      <c r="I340" s="4">
        <f t="shared" si="703"/>
        <v>1018.4914801176268</v>
      </c>
      <c r="J340" s="6">
        <f t="shared" si="650"/>
        <v>5.5369829602352538E-6</v>
      </c>
      <c r="K340" s="8">
        <f t="shared" si="704"/>
        <v>27.601652021352706</v>
      </c>
      <c r="L340" s="7">
        <f t="shared" si="651"/>
        <v>1.3857371518028109E-2</v>
      </c>
      <c r="M340" s="9">
        <f t="shared" si="705"/>
        <v>0.42992284884027532</v>
      </c>
      <c r="N340" s="4">
        <f t="shared" si="706"/>
        <v>1017.5871397145353</v>
      </c>
      <c r="O340" s="6">
        <f t="shared" si="654"/>
        <v>5.5351742794290708E-6</v>
      </c>
      <c r="P340" s="8">
        <f t="shared" si="655"/>
        <v>27.591252106717157</v>
      </c>
      <c r="Q340" s="7">
        <f t="shared" si="584"/>
        <v>1.3858991455459418E-2</v>
      </c>
      <c r="R340" s="9">
        <f t="shared" si="707"/>
        <v>0.43008489878677708</v>
      </c>
      <c r="S340" s="4">
        <f t="shared" si="708"/>
        <v>1016.0863970119829</v>
      </c>
      <c r="T340" s="6">
        <f t="shared" si="658"/>
        <v>5.5321727940239663E-6</v>
      </c>
      <c r="U340" s="8">
        <f t="shared" si="659"/>
        <v>27.573993565637799</v>
      </c>
      <c r="V340" s="7">
        <f t="shared" si="660"/>
        <v>1.3845333146096685E-2</v>
      </c>
      <c r="W340" s="9">
        <f t="shared" si="709"/>
        <v>0.43035408858968516</v>
      </c>
      <c r="X340" s="4">
        <f t="shared" si="710"/>
        <v>1013.9870688850003</v>
      </c>
      <c r="Y340" s="6">
        <f t="shared" si="663"/>
        <v>5.5279741377700012E-6</v>
      </c>
      <c r="Z340" s="8">
        <f t="shared" si="664"/>
        <v>27.5498512921775</v>
      </c>
      <c r="AA340" s="7">
        <f t="shared" si="665"/>
        <v>1.3834825196188668E-2</v>
      </c>
      <c r="AB340" s="9">
        <f t="shared" si="711"/>
        <v>0.4307312131694625</v>
      </c>
      <c r="AC340" s="4">
        <f t="shared" si="712"/>
        <v>1011.2880276802356</v>
      </c>
      <c r="AD340" s="6">
        <f t="shared" si="713"/>
        <v>5.5225760553604713E-6</v>
      </c>
      <c r="AE340" s="8">
        <f t="shared" si="714"/>
        <v>27.518812318322709</v>
      </c>
      <c r="AF340" s="7">
        <f t="shared" si="715"/>
        <v>1.3821315450182404E-2</v>
      </c>
      <c r="AG340" s="9">
        <f t="shared" si="716"/>
        <v>0.43121704281608236</v>
      </c>
      <c r="AH340" s="4">
        <f t="shared" si="717"/>
        <v>1007.9892271741793</v>
      </c>
      <c r="AI340" s="6">
        <f t="shared" si="718"/>
        <v>5.5159784543483594E-6</v>
      </c>
      <c r="AJ340" s="8">
        <f t="shared" si="719"/>
        <v>27.480876112503061</v>
      </c>
      <c r="AK340" s="7">
        <f t="shared" si="720"/>
        <v>1.3804803676711341E-2</v>
      </c>
      <c r="AL340" s="9">
        <f t="shared" si="721"/>
        <v>0.43181231999801212</v>
      </c>
      <c r="AM340" s="4">
        <f t="shared" si="722"/>
        <v>1004.0906794946314</v>
      </c>
      <c r="AN340" s="6">
        <f t="shared" si="723"/>
        <v>5.5081813589892637E-6</v>
      </c>
      <c r="AO340" s="8">
        <f t="shared" si="724"/>
        <v>27.436042814188262</v>
      </c>
      <c r="AP340" s="7">
        <f t="shared" si="725"/>
        <v>1.3785289936479803E-2</v>
      </c>
      <c r="AQ340" s="9">
        <f t="shared" si="726"/>
        <v>0.4325179454662908</v>
      </c>
      <c r="AR340" s="4">
        <f t="shared" si="727"/>
        <v>999.59239172770322</v>
      </c>
      <c r="AS340" s="6">
        <f t="shared" si="728"/>
        <v>5.4991847834554066E-6</v>
      </c>
      <c r="AT340" s="8">
        <f t="shared" si="729"/>
        <v>27.384312504868586</v>
      </c>
      <c r="AU340" s="7">
        <f t="shared" si="730"/>
        <v>1.3762774264956522E-2</v>
      </c>
      <c r="AV340" s="9">
        <f t="shared" si="731"/>
        <v>0.43333499307708273</v>
      </c>
      <c r="AW340" s="4">
        <f t="shared" si="732"/>
        <v>994.4943658181586</v>
      </c>
      <c r="AX340" s="6">
        <f t="shared" si="733"/>
        <v>5.4889887316363176E-6</v>
      </c>
      <c r="AY340" s="8">
        <f t="shared" si="734"/>
        <v>27.325685206908823</v>
      </c>
      <c r="AZ340" s="7">
        <f t="shared" si="735"/>
        <v>1.3737256671875798E-2</v>
      </c>
      <c r="BA340" s="9">
        <f t="shared" si="736"/>
        <v>0.43426471394457988</v>
      </c>
      <c r="BB340" s="4">
        <f t="shared" si="737"/>
        <v>988.79660046635445</v>
      </c>
      <c r="BC340" s="6">
        <f t="shared" si="738"/>
        <v>5.4775932009327092E-6</v>
      </c>
      <c r="BD340" s="8">
        <f t="shared" si="739"/>
        <v>27.260160905363076</v>
      </c>
      <c r="BE340" s="7">
        <f t="shared" si="740"/>
        <v>1.3708737150732411E-2</v>
      </c>
      <c r="BF340" s="9">
        <f t="shared" si="741"/>
        <v>0.4353085409478748</v>
      </c>
      <c r="BG340" s="4">
        <f t="shared" si="742"/>
        <v>982.49907451073943</v>
      </c>
      <c r="BH340" s="6">
        <f t="shared" si="743"/>
        <v>5.4649981490214792E-6</v>
      </c>
      <c r="BI340" s="8">
        <f t="shared" si="744"/>
        <v>27.1877393568735</v>
      </c>
      <c r="BJ340" s="7">
        <f t="shared" si="745"/>
        <v>1.3677215595604607E-2</v>
      </c>
      <c r="BK340" s="9">
        <f t="shared" si="746"/>
        <v>0.43646809740059667</v>
      </c>
      <c r="BL340" s="4">
        <f t="shared" si="747"/>
        <v>975.60156341699474</v>
      </c>
      <c r="BM340" s="6">
        <f t="shared" si="748"/>
        <v>5.4512031268339905E-6</v>
      </c>
      <c r="BN340" s="8">
        <f t="shared" si="749"/>
        <v>27.108417979295439</v>
      </c>
      <c r="BO340" s="7">
        <f t="shared" si="750"/>
        <v>1.3642690882611209E-2</v>
      </c>
      <c r="BP340" s="9">
        <f t="shared" si="751"/>
        <v>0.43774523761516521</v>
      </c>
      <c r="BQ340" s="4">
        <f t="shared" si="752"/>
        <v>968.10196224753111</v>
      </c>
      <c r="BR340" s="6">
        <f t="shared" si="753"/>
        <v>5.4362039244950628E-6</v>
      </c>
      <c r="BS340" s="8">
        <f t="shared" si="754"/>
        <v>27.022172565846606</v>
      </c>
      <c r="BT340" s="7">
        <f t="shared" si="755"/>
        <v>1.3605152475724767E-2</v>
      </c>
      <c r="BU340" s="9">
        <f t="shared" si="756"/>
        <v>0.43914236876409046</v>
      </c>
      <c r="BV340" s="4">
        <f t="shared" si="757"/>
        <v>959.98295420600061</v>
      </c>
      <c r="BW340" s="6">
        <f t="shared" si="758"/>
        <v>5.4199659084120013E-6</v>
      </c>
      <c r="BX340" s="8">
        <f t="shared" si="759"/>
        <v>26.928803973369007</v>
      </c>
      <c r="BY340" s="7">
        <f t="shared" si="760"/>
        <v>1.356451369767638E-2</v>
      </c>
      <c r="BZ340" s="9">
        <f t="shared" si="761"/>
        <v>0.44066498019938966</v>
      </c>
      <c r="CA340" s="4">
        <f t="shared" si="762"/>
        <v>951.12160914545984</v>
      </c>
      <c r="CB340" s="6">
        <f t="shared" si="763"/>
        <v>5.4022432182909198E-6</v>
      </c>
      <c r="CC340" s="8">
        <f t="shared" si="764"/>
        <v>26.826898505172785</v>
      </c>
      <c r="CD340" s="7">
        <f t="shared" si="765"/>
        <v>1.3520159235495358E-2</v>
      </c>
      <c r="CE340" s="9">
        <f t="shared" si="766"/>
        <v>0.44233890352363225</v>
      </c>
      <c r="CF340" s="4">
        <f t="shared" si="767"/>
        <v>940.7819483167998</v>
      </c>
      <c r="CG340" s="6">
        <f t="shared" si="768"/>
        <v>5.3815638966335999E-6</v>
      </c>
      <c r="CH340" s="8">
        <f t="shared" si="769"/>
        <v>26.707992405643196</v>
      </c>
      <c r="CI340" s="7">
        <f t="shared" si="770"/>
        <v>1.3468405230651157E-2</v>
      </c>
      <c r="CJ340" s="9">
        <f t="shared" si="771"/>
        <v>0.4443082313895888</v>
      </c>
      <c r="CK340" s="4">
        <f t="shared" si="772"/>
        <v>925.36685030245701</v>
      </c>
      <c r="CL340" s="6">
        <f t="shared" si="773"/>
        <v>5.3507337006049146E-6</v>
      </c>
      <c r="CM340" s="8">
        <f t="shared" si="774"/>
        <v>26.530718778478253</v>
      </c>
      <c r="CN340" s="7">
        <f t="shared" si="775"/>
        <v>1.3391246698033066E-2</v>
      </c>
      <c r="CO340" s="9">
        <f t="shared" si="776"/>
        <v>0.44727702135775083</v>
      </c>
      <c r="CP340" s="4">
        <f t="shared" si="777"/>
        <v>891.22560975611111</v>
      </c>
      <c r="CQ340" s="6">
        <f t="shared" si="778"/>
        <v>5.2824512195122229E-6</v>
      </c>
      <c r="CR340" s="8">
        <f t="shared" si="779"/>
        <v>26.138094512195277</v>
      </c>
      <c r="CS340" s="7">
        <f t="shared" si="780"/>
        <v>1.3220356573308181E-2</v>
      </c>
      <c r="CT340" s="9">
        <f t="shared" si="781"/>
        <v>0.45399563706456475</v>
      </c>
      <c r="CU340" s="4">
        <f t="shared" si="782"/>
        <v>801.52408262017991</v>
      </c>
      <c r="CV340" s="6">
        <f t="shared" si="783"/>
        <v>5.1030481652403602E-6</v>
      </c>
      <c r="CW340" s="8">
        <f t="shared" si="784"/>
        <v>25.106526950132068</v>
      </c>
      <c r="CX340" s="7">
        <f t="shared" si="785"/>
        <v>1.2771365707277318E-2</v>
      </c>
      <c r="CY340" s="9">
        <f t="shared" si="786"/>
        <v>0.47264923951002619</v>
      </c>
      <c r="CZ340" s="5">
        <f t="shared" si="787"/>
        <v>598.61713814633481</v>
      </c>
      <c r="DA340" s="6">
        <f t="shared" si="788"/>
        <v>5.6650970571777727E-6</v>
      </c>
      <c r="DB340" s="8">
        <f t="shared" si="789"/>
        <v>36.135102993756291</v>
      </c>
      <c r="DC340" s="7">
        <f t="shared" si="790"/>
        <v>1.4178001841577763E-2</v>
      </c>
      <c r="DD340" s="9">
        <f t="shared" si="791"/>
        <v>0.32839482626542671</v>
      </c>
    </row>
    <row r="341" spans="2:108" x14ac:dyDescent="0.25">
      <c r="B341">
        <v>74</v>
      </c>
      <c r="C341">
        <f t="shared" si="699"/>
        <v>7.2343485309548608E-2</v>
      </c>
      <c r="D341" s="4">
        <f t="shared" si="700"/>
        <v>1018.79859554772</v>
      </c>
      <c r="E341" s="6">
        <f t="shared" si="647"/>
        <v>5.5375971910954409E-6</v>
      </c>
      <c r="F341" s="8">
        <f t="shared" si="701"/>
        <v>27.605183848798781</v>
      </c>
      <c r="G341" s="7">
        <f t="shared" si="583"/>
        <v>1.3858908749637558E-2</v>
      </c>
      <c r="H341" s="9">
        <f t="shared" si="702"/>
        <v>0.42986784419601914</v>
      </c>
      <c r="I341" s="4">
        <f t="shared" si="703"/>
        <v>1018.4749230011815</v>
      </c>
      <c r="J341" s="6">
        <f t="shared" si="650"/>
        <v>5.5369498460023633E-6</v>
      </c>
      <c r="K341" s="8">
        <f t="shared" si="704"/>
        <v>27.601461614513589</v>
      </c>
      <c r="L341" s="7">
        <f t="shared" si="651"/>
        <v>1.3857288643251179E-2</v>
      </c>
      <c r="M341" s="9">
        <f t="shared" si="705"/>
        <v>0.42992581463432833</v>
      </c>
      <c r="N341" s="4">
        <f t="shared" si="706"/>
        <v>1017.5705432130227</v>
      </c>
      <c r="O341" s="6">
        <f t="shared" si="654"/>
        <v>5.5351410864260456E-6</v>
      </c>
      <c r="P341" s="8">
        <f t="shared" si="655"/>
        <v>27.59106124694976</v>
      </c>
      <c r="Q341" s="7">
        <f t="shared" si="584"/>
        <v>1.3858908749637558E-2</v>
      </c>
      <c r="R341" s="9">
        <f t="shared" si="707"/>
        <v>0.4300878738772605</v>
      </c>
      <c r="S341" s="4">
        <f t="shared" si="708"/>
        <v>1016.0697857623537</v>
      </c>
      <c r="T341" s="6">
        <f t="shared" si="658"/>
        <v>5.5321395715247077E-6</v>
      </c>
      <c r="U341" s="8">
        <f t="shared" si="659"/>
        <v>27.573802536267067</v>
      </c>
      <c r="V341" s="7">
        <f t="shared" si="660"/>
        <v>1.3845250000362212E-2</v>
      </c>
      <c r="W341" s="9">
        <f t="shared" si="709"/>
        <v>0.43035707005263818</v>
      </c>
      <c r="X341" s="4">
        <f t="shared" si="710"/>
        <v>1013.9704613796359</v>
      </c>
      <c r="Y341" s="6">
        <f t="shared" si="663"/>
        <v>5.5279409227592728E-6</v>
      </c>
      <c r="Z341" s="8">
        <f t="shared" si="664"/>
        <v>27.549660305865814</v>
      </c>
      <c r="AA341" s="7">
        <f t="shared" si="665"/>
        <v>1.3834742069195693E-2</v>
      </c>
      <c r="AB341" s="9">
        <f t="shared" si="711"/>
        <v>0.43073419918688766</v>
      </c>
      <c r="AC341" s="4">
        <f t="shared" si="712"/>
        <v>1011.2714323056945</v>
      </c>
      <c r="AD341" s="6">
        <f t="shared" si="713"/>
        <v>5.5225428646113889E-6</v>
      </c>
      <c r="AE341" s="8">
        <f t="shared" si="714"/>
        <v>27.518621471515488</v>
      </c>
      <c r="AF341" s="7">
        <f t="shared" si="715"/>
        <v>1.3821232383908894E-2</v>
      </c>
      <c r="AG341" s="9">
        <f t="shared" si="716"/>
        <v>0.43122003338724618</v>
      </c>
      <c r="AH341" s="4">
        <f t="shared" si="717"/>
        <v>1007.9726482439711</v>
      </c>
      <c r="AI341" s="6">
        <f t="shared" si="718"/>
        <v>5.5159452964879426E-6</v>
      </c>
      <c r="AJ341" s="8">
        <f t="shared" si="719"/>
        <v>27.480685454805666</v>
      </c>
      <c r="AK341" s="7">
        <f t="shared" si="720"/>
        <v>1.3804720692748081E-2</v>
      </c>
      <c r="AL341" s="9">
        <f t="shared" si="721"/>
        <v>0.43181531586006122</v>
      </c>
      <c r="AM341" s="4">
        <f t="shared" si="722"/>
        <v>1004.074120538234</v>
      </c>
      <c r="AN341" s="6">
        <f t="shared" si="723"/>
        <v>5.5081482410764691E-6</v>
      </c>
      <c r="AO341" s="8">
        <f t="shared" si="724"/>
        <v>27.435852386189687</v>
      </c>
      <c r="AP341" s="7">
        <f t="shared" si="725"/>
        <v>1.37852070524932E-2</v>
      </c>
      <c r="AQ341" s="9">
        <f t="shared" si="726"/>
        <v>0.4325209475063056</v>
      </c>
      <c r="AR341" s="4">
        <f t="shared" si="727"/>
        <v>999.57585626504431</v>
      </c>
      <c r="AS341" s="6">
        <f t="shared" si="728"/>
        <v>5.4991517125300893E-6</v>
      </c>
      <c r="AT341" s="8">
        <f t="shared" si="729"/>
        <v>27.38412234704801</v>
      </c>
      <c r="AU341" s="7">
        <f t="shared" si="730"/>
        <v>1.3762691498565174E-2</v>
      </c>
      <c r="AV341" s="9">
        <f t="shared" si="731"/>
        <v>0.4333380021944398</v>
      </c>
      <c r="AW341" s="4">
        <f t="shared" si="732"/>
        <v>994.47785739231233</v>
      </c>
      <c r="AX341" s="6">
        <f t="shared" si="733"/>
        <v>5.4889557147846256E-6</v>
      </c>
      <c r="AY341" s="8">
        <f t="shared" si="734"/>
        <v>27.32549536001159</v>
      </c>
      <c r="AZ341" s="7">
        <f t="shared" si="735"/>
        <v>1.3737174040814164E-2</v>
      </c>
      <c r="BA341" s="9">
        <f t="shared" si="736"/>
        <v>0.43426773104664645</v>
      </c>
      <c r="BB341" s="4">
        <f t="shared" si="737"/>
        <v>988.78012238033909</v>
      </c>
      <c r="BC341" s="6">
        <f t="shared" si="738"/>
        <v>5.4775602447606789E-6</v>
      </c>
      <c r="BD341" s="8">
        <f t="shared" si="739"/>
        <v>27.259971407373897</v>
      </c>
      <c r="BE341" s="7">
        <f t="shared" si="740"/>
        <v>1.3708654671533375E-2</v>
      </c>
      <c r="BF341" s="9">
        <f t="shared" si="741"/>
        <v>0.43531156699995494</v>
      </c>
      <c r="BG341" s="4">
        <f t="shared" si="742"/>
        <v>982.48262742138695</v>
      </c>
      <c r="BH341" s="6">
        <f t="shared" si="743"/>
        <v>5.4649652548427738E-6</v>
      </c>
      <c r="BI341" s="8">
        <f t="shared" si="744"/>
        <v>27.187550215345951</v>
      </c>
      <c r="BJ341" s="7">
        <f t="shared" si="745"/>
        <v>1.3677133271555866E-2</v>
      </c>
      <c r="BK341" s="9">
        <f t="shared" si="746"/>
        <v>0.43647113387287956</v>
      </c>
      <c r="BL341" s="4">
        <f t="shared" si="747"/>
        <v>975.58512391648981</v>
      </c>
      <c r="BM341" s="6">
        <f t="shared" si="748"/>
        <v>5.4511702478329804E-6</v>
      </c>
      <c r="BN341" s="8">
        <f t="shared" si="749"/>
        <v>27.108228925039633</v>
      </c>
      <c r="BO341" s="7">
        <f t="shared" si="750"/>
        <v>1.3642608596547586E-2</v>
      </c>
      <c r="BP341" s="9">
        <f t="shared" si="751"/>
        <v>0.4377482904741461</v>
      </c>
      <c r="BQ341" s="4">
        <f t="shared" si="752"/>
        <v>968.08531659231005</v>
      </c>
      <c r="BR341" s="6">
        <f t="shared" si="753"/>
        <v>5.4361706331846204E-6</v>
      </c>
      <c r="BS341" s="8">
        <f t="shared" si="754"/>
        <v>27.021981140811565</v>
      </c>
      <c r="BT341" s="7">
        <f t="shared" si="755"/>
        <v>1.3605069157776989E-2</v>
      </c>
      <c r="BU341" s="9">
        <f t="shared" si="756"/>
        <v>0.43914547967009288</v>
      </c>
      <c r="BV341" s="4">
        <f t="shared" si="757"/>
        <v>959.96460398529439</v>
      </c>
      <c r="BW341" s="6">
        <f t="shared" si="758"/>
        <v>5.419929207970589E-6</v>
      </c>
      <c r="BX341" s="8">
        <f t="shared" si="759"/>
        <v>26.928592945830886</v>
      </c>
      <c r="BY341" s="7">
        <f t="shared" si="760"/>
        <v>1.3564421847718527E-2</v>
      </c>
      <c r="BZ341" s="9">
        <f t="shared" si="761"/>
        <v>0.44066843349700879</v>
      </c>
      <c r="CA341" s="4">
        <f t="shared" si="762"/>
        <v>951.09287496196418</v>
      </c>
      <c r="CB341" s="6">
        <f t="shared" si="763"/>
        <v>5.4021857499239287E-6</v>
      </c>
      <c r="CC341" s="8">
        <f t="shared" si="764"/>
        <v>26.826568062062588</v>
      </c>
      <c r="CD341" s="7">
        <f t="shared" si="765"/>
        <v>1.3520015409784199E-2</v>
      </c>
      <c r="CE341" s="9">
        <f t="shared" si="766"/>
        <v>0.44234435214615836</v>
      </c>
      <c r="CF341" s="4">
        <f t="shared" si="767"/>
        <v>940.70244692982442</v>
      </c>
      <c r="CG341" s="6">
        <f t="shared" si="768"/>
        <v>5.3814048938596492E-6</v>
      </c>
      <c r="CH341" s="8">
        <f t="shared" si="769"/>
        <v>26.707078139692982</v>
      </c>
      <c r="CI341" s="7">
        <f t="shared" si="770"/>
        <v>1.3468007295435017E-2</v>
      </c>
      <c r="CJ341" s="9">
        <f t="shared" si="771"/>
        <v>0.44432344143560115</v>
      </c>
      <c r="CK341" s="4">
        <f t="shared" si="772"/>
        <v>925.09501632735976</v>
      </c>
      <c r="CL341" s="6">
        <f t="shared" si="773"/>
        <v>5.3501900326547195E-6</v>
      </c>
      <c r="CM341" s="8">
        <f t="shared" si="774"/>
        <v>26.527592687764638</v>
      </c>
      <c r="CN341" s="7">
        <f t="shared" si="775"/>
        <v>1.338988606376303E-2</v>
      </c>
      <c r="CO341" s="9">
        <f t="shared" si="776"/>
        <v>0.44732972981717783</v>
      </c>
      <c r="CP341" s="4">
        <f t="shared" si="777"/>
        <v>890.43560161153187</v>
      </c>
      <c r="CQ341" s="6">
        <f t="shared" si="778"/>
        <v>5.280871203223064E-6</v>
      </c>
      <c r="CR341" s="8">
        <f t="shared" si="779"/>
        <v>26.129009418532618</v>
      </c>
      <c r="CS341" s="7">
        <f t="shared" si="780"/>
        <v>1.3216402276738976E-2</v>
      </c>
      <c r="CT341" s="9">
        <f t="shared" si="781"/>
        <v>0.45415349199197902</v>
      </c>
      <c r="CU341" s="4">
        <f t="shared" si="782"/>
        <v>799.92614504077869</v>
      </c>
      <c r="CV341" s="6">
        <f t="shared" si="783"/>
        <v>5.0998522900815579E-6</v>
      </c>
      <c r="CW341" s="8">
        <f t="shared" si="784"/>
        <v>25.088150667968954</v>
      </c>
      <c r="CX341" s="7">
        <f t="shared" si="785"/>
        <v>1.2763367411144061E-2</v>
      </c>
      <c r="CY341" s="9">
        <f t="shared" si="786"/>
        <v>0.47299544022861906</v>
      </c>
      <c r="CZ341" s="5">
        <f t="shared" si="787"/>
        <v>596.85863143413383</v>
      </c>
      <c r="DA341" s="6">
        <f t="shared" si="788"/>
        <v>5.6943983585736203E-6</v>
      </c>
      <c r="DB341" s="8">
        <f t="shared" si="789"/>
        <v>36.186099688410117</v>
      </c>
      <c r="DC341" s="7">
        <f t="shared" si="790"/>
        <v>1.4251334019465977E-2</v>
      </c>
      <c r="DD341" s="9">
        <f t="shared" si="791"/>
        <v>0.32793202284573908</v>
      </c>
    </row>
    <row r="342" spans="2:108" x14ac:dyDescent="0.25">
      <c r="B342">
        <v>75</v>
      </c>
      <c r="C342">
        <f t="shared" si="699"/>
        <v>7.3321099975893866E-2</v>
      </c>
      <c r="D342" s="4">
        <f t="shared" si="700"/>
        <v>1018.7820704625789</v>
      </c>
      <c r="E342" s="6">
        <f t="shared" si="647"/>
        <v>5.5375641409251583E-6</v>
      </c>
      <c r="F342" s="8">
        <f t="shared" si="701"/>
        <v>27.604993810319655</v>
      </c>
      <c r="G342" s="7">
        <f t="shared" si="583"/>
        <v>1.3858826035189703E-2</v>
      </c>
      <c r="H342" s="9">
        <f t="shared" si="702"/>
        <v>0.42987080349504658</v>
      </c>
      <c r="I342" s="4">
        <f t="shared" si="703"/>
        <v>1018.4583653987082</v>
      </c>
      <c r="J342" s="6">
        <f t="shared" si="650"/>
        <v>5.5369167307974169E-6</v>
      </c>
      <c r="K342" s="8">
        <f t="shared" si="704"/>
        <v>27.601271202085144</v>
      </c>
      <c r="L342" s="7">
        <f t="shared" si="651"/>
        <v>1.385720576604149E-2</v>
      </c>
      <c r="M342" s="9">
        <f t="shared" si="705"/>
        <v>0.42992878055636202</v>
      </c>
      <c r="N342" s="4">
        <f t="shared" si="706"/>
        <v>1017.5539469646355</v>
      </c>
      <c r="O342" s="6">
        <f t="shared" si="654"/>
        <v>5.5351078939292708E-6</v>
      </c>
      <c r="P342" s="8">
        <f t="shared" si="655"/>
        <v>27.590870390093308</v>
      </c>
      <c r="Q342" s="7">
        <f t="shared" si="584"/>
        <v>1.3858826035189703E-2</v>
      </c>
      <c r="R342" s="9">
        <f t="shared" si="707"/>
        <v>0.43009084896352801</v>
      </c>
      <c r="S342" s="4">
        <f t="shared" si="708"/>
        <v>1016.0531748427318</v>
      </c>
      <c r="T342" s="6">
        <f t="shared" si="658"/>
        <v>5.5321063496854648E-6</v>
      </c>
      <c r="U342" s="8">
        <f t="shared" si="659"/>
        <v>27.573611510691414</v>
      </c>
      <c r="V342" s="7">
        <f t="shared" si="660"/>
        <v>1.3845166856279557E-2</v>
      </c>
      <c r="W342" s="9">
        <f t="shared" si="709"/>
        <v>0.43036005149766982</v>
      </c>
      <c r="X342" s="4">
        <f t="shared" si="710"/>
        <v>1013.953854117591</v>
      </c>
      <c r="Y342" s="6">
        <f t="shared" si="663"/>
        <v>5.5279077082351826E-6</v>
      </c>
      <c r="Z342" s="8">
        <f t="shared" si="664"/>
        <v>27.549469322352294</v>
      </c>
      <c r="AA342" s="7">
        <f t="shared" si="665"/>
        <v>1.3834658943420624E-2</v>
      </c>
      <c r="AB342" s="9">
        <f t="shared" si="711"/>
        <v>0.43073718520196447</v>
      </c>
      <c r="AC342" s="4">
        <f t="shared" si="712"/>
        <v>1011.2548371300751</v>
      </c>
      <c r="AD342" s="6">
        <f t="shared" si="713"/>
        <v>5.5225096742601511E-6</v>
      </c>
      <c r="AE342" s="8">
        <f t="shared" si="714"/>
        <v>27.518430626995862</v>
      </c>
      <c r="AF342" s="7">
        <f t="shared" si="715"/>
        <v>1.3821149318631067E-2</v>
      </c>
      <c r="AG342" s="9">
        <f t="shared" si="716"/>
        <v>0.43122302396404327</v>
      </c>
      <c r="AH342" s="4">
        <f t="shared" si="717"/>
        <v>1007.9560695041284</v>
      </c>
      <c r="AI342" s="6">
        <f t="shared" si="718"/>
        <v>5.515912139008257E-6</v>
      </c>
      <c r="AJ342" s="8">
        <f t="shared" si="719"/>
        <v>27.480494799297475</v>
      </c>
      <c r="AK342" s="7">
        <f t="shared" si="720"/>
        <v>1.3804637709737675E-2</v>
      </c>
      <c r="AL342" s="9">
        <f t="shared" si="721"/>
        <v>0.43181831172928015</v>
      </c>
      <c r="AM342" s="4">
        <f t="shared" si="722"/>
        <v>1004.0575617728281</v>
      </c>
      <c r="AN342" s="6">
        <f t="shared" si="723"/>
        <v>5.5081151235456567E-6</v>
      </c>
      <c r="AO342" s="8">
        <f t="shared" si="724"/>
        <v>27.43566196038752</v>
      </c>
      <c r="AP342" s="7">
        <f t="shared" si="725"/>
        <v>1.378512416946258E-2</v>
      </c>
      <c r="AQ342" s="9">
        <f t="shared" si="726"/>
        <v>0.43252394955336759</v>
      </c>
      <c r="AR342" s="4">
        <f t="shared" si="727"/>
        <v>999.55932099418158</v>
      </c>
      <c r="AS342" s="6">
        <f t="shared" si="728"/>
        <v>5.4991186419883635E-6</v>
      </c>
      <c r="AT342" s="8">
        <f t="shared" si="729"/>
        <v>27.38393219143309</v>
      </c>
      <c r="AU342" s="7">
        <f t="shared" si="730"/>
        <v>1.3762608733133841E-2</v>
      </c>
      <c r="AV342" s="9">
        <f t="shared" si="731"/>
        <v>0.43334101131868463</v>
      </c>
      <c r="AW342" s="4">
        <f t="shared" si="732"/>
        <v>994.46134915507139</v>
      </c>
      <c r="AX342" s="6">
        <f t="shared" si="733"/>
        <v>5.4889226983101437E-6</v>
      </c>
      <c r="AY342" s="8">
        <f t="shared" si="734"/>
        <v>27.325305515283318</v>
      </c>
      <c r="AZ342" s="7">
        <f t="shared" si="735"/>
        <v>1.373709141069657E-2</v>
      </c>
      <c r="BA342" s="9">
        <f t="shared" si="736"/>
        <v>0.43427074815616612</v>
      </c>
      <c r="BB342" s="4">
        <f t="shared" si="737"/>
        <v>988.76364444459284</v>
      </c>
      <c r="BC342" s="6">
        <f t="shared" si="738"/>
        <v>5.4775272888891859E-6</v>
      </c>
      <c r="BD342" s="8">
        <f t="shared" si="739"/>
        <v>27.259781911112817</v>
      </c>
      <c r="BE342" s="7">
        <f t="shared" si="740"/>
        <v>1.3708572193086492E-2</v>
      </c>
      <c r="BF342" s="9">
        <f t="shared" si="741"/>
        <v>0.43531459306651044</v>
      </c>
      <c r="BG342" s="4">
        <f t="shared" si="742"/>
        <v>982.46618013414434</v>
      </c>
      <c r="BH342" s="6">
        <f t="shared" si="743"/>
        <v>5.4649323602682888E-6</v>
      </c>
      <c r="BI342" s="8">
        <f t="shared" si="744"/>
        <v>27.187361071542661</v>
      </c>
      <c r="BJ342" s="7">
        <f t="shared" si="745"/>
        <v>1.367705094651661E-2</v>
      </c>
      <c r="BK342" s="9">
        <f t="shared" si="746"/>
        <v>0.43647417042394721</v>
      </c>
      <c r="BL342" s="4">
        <f t="shared" si="747"/>
        <v>975.56868147839725</v>
      </c>
      <c r="BM342" s="6">
        <f t="shared" si="748"/>
        <v>5.4511373629567949E-6</v>
      </c>
      <c r="BN342" s="8">
        <f t="shared" si="749"/>
        <v>27.10803983700157</v>
      </c>
      <c r="BO342" s="7">
        <f t="shared" si="750"/>
        <v>1.3642526295780201E-2</v>
      </c>
      <c r="BP342" s="9">
        <f t="shared" si="751"/>
        <v>0.43775134392123816</v>
      </c>
      <c r="BQ342" s="4">
        <f t="shared" si="752"/>
        <v>968.06864959281893</v>
      </c>
      <c r="BR342" s="6">
        <f t="shared" si="753"/>
        <v>5.4361372991856377E-6</v>
      </c>
      <c r="BS342" s="8">
        <f t="shared" si="754"/>
        <v>27.021789470317415</v>
      </c>
      <c r="BT342" s="7">
        <f t="shared" si="755"/>
        <v>1.360498573299288E-2</v>
      </c>
      <c r="BU342" s="9">
        <f t="shared" si="756"/>
        <v>0.43914859460928612</v>
      </c>
      <c r="BV342" s="4">
        <f t="shared" si="757"/>
        <v>959.94612992030989</v>
      </c>
      <c r="BW342" s="6">
        <f t="shared" si="758"/>
        <v>5.4198922598406204E-6</v>
      </c>
      <c r="BX342" s="8">
        <f t="shared" si="759"/>
        <v>26.928380494083562</v>
      </c>
      <c r="BY342" s="7">
        <f t="shared" si="760"/>
        <v>1.3564329377872124E-2</v>
      </c>
      <c r="BZ342" s="9">
        <f t="shared" si="761"/>
        <v>0.44067191015535101</v>
      </c>
      <c r="CA342" s="4">
        <f t="shared" si="762"/>
        <v>951.06356555362186</v>
      </c>
      <c r="CB342" s="6">
        <f t="shared" si="763"/>
        <v>5.4021271311072443E-6</v>
      </c>
      <c r="CC342" s="8">
        <f t="shared" si="764"/>
        <v>26.826231003866653</v>
      </c>
      <c r="CD342" s="7">
        <f t="shared" si="765"/>
        <v>1.3519868704850021E-2</v>
      </c>
      <c r="CE342" s="9">
        <f t="shared" si="766"/>
        <v>0.44234990998204277</v>
      </c>
      <c r="CF342" s="4">
        <f t="shared" si="767"/>
        <v>940.62092975143617</v>
      </c>
      <c r="CG342" s="6">
        <f t="shared" si="768"/>
        <v>5.381241859502873E-6</v>
      </c>
      <c r="CH342" s="8">
        <f t="shared" si="769"/>
        <v>26.706140692141517</v>
      </c>
      <c r="CI342" s="7">
        <f t="shared" si="770"/>
        <v>1.3467599270402563E-2</v>
      </c>
      <c r="CJ342" s="9">
        <f t="shared" si="771"/>
        <v>0.44433903822013976</v>
      </c>
      <c r="CK342" s="4">
        <f t="shared" si="772"/>
        <v>924.81852084797572</v>
      </c>
      <c r="CL342" s="6">
        <f t="shared" si="773"/>
        <v>5.3496370416959523E-6</v>
      </c>
      <c r="CM342" s="8">
        <f t="shared" si="774"/>
        <v>26.52441298975172</v>
      </c>
      <c r="CN342" s="7">
        <f t="shared" si="775"/>
        <v>1.3388502096859612E-2</v>
      </c>
      <c r="CO342" s="9">
        <f t="shared" si="776"/>
        <v>0.4473833548852828</v>
      </c>
      <c r="CP342" s="4">
        <f t="shared" si="777"/>
        <v>889.6413025508341</v>
      </c>
      <c r="CQ342" s="6">
        <f t="shared" si="778"/>
        <v>5.2792826051016693E-6</v>
      </c>
      <c r="CR342" s="8">
        <f t="shared" si="779"/>
        <v>26.11987497933459</v>
      </c>
      <c r="CS342" s="7">
        <f t="shared" si="780"/>
        <v>1.3212426502473619E-2</v>
      </c>
      <c r="CT342" s="9">
        <f t="shared" si="781"/>
        <v>0.45431231501323988</v>
      </c>
      <c r="CU342" s="4">
        <f t="shared" si="782"/>
        <v>798.33690461279161</v>
      </c>
      <c r="CV342" s="6">
        <f t="shared" si="783"/>
        <v>5.0966738092255835E-6</v>
      </c>
      <c r="CW342" s="8">
        <f t="shared" si="784"/>
        <v>25.069874403047102</v>
      </c>
      <c r="CX342" s="7">
        <f t="shared" si="785"/>
        <v>1.2755412647620224E-2</v>
      </c>
      <c r="CY342" s="9">
        <f t="shared" si="786"/>
        <v>0.47334026006430979</v>
      </c>
      <c r="CZ342" s="5">
        <f t="shared" si="787"/>
        <v>595.12153404558308</v>
      </c>
      <c r="DA342" s="6">
        <f t="shared" si="788"/>
        <v>5.7232670164112875E-6</v>
      </c>
      <c r="DB342" s="8">
        <f t="shared" si="789"/>
        <v>36.236475512678084</v>
      </c>
      <c r="DC342" s="7">
        <f t="shared" si="790"/>
        <v>1.4323583423113479E-2</v>
      </c>
      <c r="DD342" s="9">
        <f t="shared" si="791"/>
        <v>0.3274761328696586</v>
      </c>
    </row>
    <row r="343" spans="2:108" x14ac:dyDescent="0.25">
      <c r="B343">
        <v>76</v>
      </c>
      <c r="C343">
        <f t="shared" si="699"/>
        <v>7.4298714642239111E-2</v>
      </c>
      <c r="D343" s="4">
        <f t="shared" si="700"/>
        <v>1018.7655437172671</v>
      </c>
      <c r="E343" s="6">
        <f t="shared" si="647"/>
        <v>5.5375310874345344E-6</v>
      </c>
      <c r="F343" s="8">
        <f t="shared" si="701"/>
        <v>27.60480375274857</v>
      </c>
      <c r="G343" s="7">
        <f t="shared" si="583"/>
        <v>1.385874331243205E-2</v>
      </c>
      <c r="H343" s="9">
        <f t="shared" si="702"/>
        <v>0.42987376313212733</v>
      </c>
      <c r="I343" s="4">
        <f t="shared" si="703"/>
        <v>1018.4418073170156</v>
      </c>
      <c r="J343" s="6">
        <f t="shared" si="650"/>
        <v>5.5368836146340316E-6</v>
      </c>
      <c r="K343" s="8">
        <f t="shared" si="704"/>
        <v>27.60108078414568</v>
      </c>
      <c r="L343" s="7">
        <f t="shared" si="651"/>
        <v>1.3857122886433121E-2</v>
      </c>
      <c r="M343" s="9">
        <f t="shared" si="705"/>
        <v>0.42993174660516098</v>
      </c>
      <c r="N343" s="4">
        <f t="shared" si="706"/>
        <v>1017.5373509630247</v>
      </c>
      <c r="O343" s="6">
        <f t="shared" si="654"/>
        <v>5.5350747019260503E-6</v>
      </c>
      <c r="P343" s="8">
        <f t="shared" si="655"/>
        <v>27.590679536074781</v>
      </c>
      <c r="Q343" s="7">
        <f t="shared" si="584"/>
        <v>1.385874331243205E-2</v>
      </c>
      <c r="R343" s="9">
        <f t="shared" si="707"/>
        <v>0.43009382404671687</v>
      </c>
      <c r="S343" s="4">
        <f t="shared" si="708"/>
        <v>1016.0365642508348</v>
      </c>
      <c r="T343" s="6">
        <f t="shared" si="658"/>
        <v>5.5320731285016704E-6</v>
      </c>
      <c r="U343" s="8">
        <f t="shared" si="659"/>
        <v>27.573420488884601</v>
      </c>
      <c r="V343" s="7">
        <f t="shared" si="660"/>
        <v>1.3845083713837289E-2</v>
      </c>
      <c r="W343" s="9">
        <f t="shared" si="709"/>
        <v>0.43036303292518807</v>
      </c>
      <c r="X343" s="4">
        <f t="shared" si="710"/>
        <v>1013.9372470992207</v>
      </c>
      <c r="Y343" s="6">
        <f t="shared" si="663"/>
        <v>5.5278744941984421E-6</v>
      </c>
      <c r="Z343" s="8">
        <f t="shared" si="664"/>
        <v>27.549278341641035</v>
      </c>
      <c r="AA343" s="7">
        <f t="shared" si="665"/>
        <v>1.3834575818865243E-2</v>
      </c>
      <c r="AB343" s="9">
        <f t="shared" si="711"/>
        <v>0.43074017121462788</v>
      </c>
      <c r="AC343" s="4">
        <f t="shared" si="712"/>
        <v>1011.2382421537973</v>
      </c>
      <c r="AD343" s="6">
        <f t="shared" si="713"/>
        <v>5.5224764843075948E-6</v>
      </c>
      <c r="AE343" s="8">
        <f t="shared" si="714"/>
        <v>27.518239784768667</v>
      </c>
      <c r="AF343" s="7">
        <f t="shared" si="715"/>
        <v>1.3821066254351018E-2</v>
      </c>
      <c r="AG343" s="9">
        <f t="shared" si="716"/>
        <v>0.43122601454639714</v>
      </c>
      <c r="AH343" s="4">
        <f t="shared" si="717"/>
        <v>1007.9394909547667</v>
      </c>
      <c r="AI343" s="6">
        <f t="shared" si="718"/>
        <v>5.5158789819095337E-6</v>
      </c>
      <c r="AJ343" s="8">
        <f t="shared" si="719"/>
        <v>27.480304145979815</v>
      </c>
      <c r="AK343" s="7">
        <f t="shared" si="720"/>
        <v>1.3804554727680701E-2</v>
      </c>
      <c r="AL343" s="9">
        <f t="shared" si="721"/>
        <v>0.43182130760564746</v>
      </c>
      <c r="AM343" s="4">
        <f t="shared" si="722"/>
        <v>1004.0410031984154</v>
      </c>
      <c r="AN343" s="6">
        <f t="shared" si="723"/>
        <v>5.5080820063968315E-6</v>
      </c>
      <c r="AO343" s="8">
        <f t="shared" si="724"/>
        <v>27.435471536781776</v>
      </c>
      <c r="AP343" s="7">
        <f t="shared" si="725"/>
        <v>1.3785041287387959E-2</v>
      </c>
      <c r="AQ343" s="9">
        <f t="shared" si="726"/>
        <v>0.43252695160747606</v>
      </c>
      <c r="AR343" s="4">
        <f t="shared" si="727"/>
        <v>999.54278591505556</v>
      </c>
      <c r="AS343" s="6">
        <f t="shared" si="728"/>
        <v>5.4990855718301116E-6</v>
      </c>
      <c r="AT343" s="8">
        <f t="shared" si="729"/>
        <v>27.383742038023136</v>
      </c>
      <c r="AU343" s="7">
        <f t="shared" si="730"/>
        <v>1.3762525968662223E-2</v>
      </c>
      <c r="AV343" s="9">
        <f t="shared" si="731"/>
        <v>0.43334402044982751</v>
      </c>
      <c r="AW343" s="4">
        <f t="shared" si="732"/>
        <v>994.44484110591804</v>
      </c>
      <c r="AX343" s="6">
        <f t="shared" si="733"/>
        <v>5.4888896822118367E-6</v>
      </c>
      <c r="AY343" s="8">
        <f t="shared" si="734"/>
        <v>27.325115672718056</v>
      </c>
      <c r="AZ343" s="7">
        <f t="shared" si="735"/>
        <v>1.3737008781520428E-2</v>
      </c>
      <c r="BA343" s="9">
        <f t="shared" si="736"/>
        <v>0.43427376527323291</v>
      </c>
      <c r="BB343" s="4">
        <f t="shared" si="737"/>
        <v>988.74716665459243</v>
      </c>
      <c r="BC343" s="6">
        <f t="shared" si="738"/>
        <v>5.477494333309185E-6</v>
      </c>
      <c r="BD343" s="8">
        <f t="shared" si="739"/>
        <v>27.259592416527813</v>
      </c>
      <c r="BE343" s="7">
        <f t="shared" si="740"/>
        <v>1.3708489715369124E-2</v>
      </c>
      <c r="BF343" s="9">
        <f t="shared" si="741"/>
        <v>0.4353176191483718</v>
      </c>
      <c r="BG343" s="4">
        <f t="shared" si="742"/>
        <v>982.44973261430584</v>
      </c>
      <c r="BH343" s="6">
        <f t="shared" si="743"/>
        <v>5.4648994652286117E-6</v>
      </c>
      <c r="BI343" s="8">
        <f t="shared" si="744"/>
        <v>27.187171925064519</v>
      </c>
      <c r="BJ343" s="7">
        <f t="shared" si="745"/>
        <v>1.3676968620313118E-2</v>
      </c>
      <c r="BK343" s="9">
        <f t="shared" si="746"/>
        <v>0.43647720706020943</v>
      </c>
      <c r="BL343" s="4">
        <f t="shared" si="747"/>
        <v>975.55223587642752</v>
      </c>
      <c r="BM343" s="6">
        <f t="shared" si="748"/>
        <v>5.4511044717528556E-6</v>
      </c>
      <c r="BN343" s="8">
        <f t="shared" si="749"/>
        <v>27.107850712578916</v>
      </c>
      <c r="BO343" s="7">
        <f t="shared" si="750"/>
        <v>1.3642443979176386E-2</v>
      </c>
      <c r="BP343" s="9">
        <f t="shared" si="751"/>
        <v>0.43775439799848914</v>
      </c>
      <c r="BQ343" s="4">
        <f t="shared" si="752"/>
        <v>968.05196003865638</v>
      </c>
      <c r="BR343" s="6">
        <f t="shared" si="753"/>
        <v>5.4361039200773131E-6</v>
      </c>
      <c r="BS343" s="8">
        <f t="shared" si="754"/>
        <v>27.021597540444546</v>
      </c>
      <c r="BT343" s="7">
        <f t="shared" si="755"/>
        <v>1.3604902195313908E-2</v>
      </c>
      <c r="BU343" s="9">
        <f t="shared" si="756"/>
        <v>0.43915171380806062</v>
      </c>
      <c r="BV343" s="4">
        <f t="shared" si="757"/>
        <v>959.92752699711093</v>
      </c>
      <c r="BW343" s="6">
        <f t="shared" si="758"/>
        <v>5.4198550539942226E-6</v>
      </c>
      <c r="BX343" s="8">
        <f t="shared" si="759"/>
        <v>26.928166560466774</v>
      </c>
      <c r="BY343" s="7">
        <f t="shared" si="760"/>
        <v>1.3564236263040477E-2</v>
      </c>
      <c r="BZ343" s="9">
        <f t="shared" si="761"/>
        <v>0.44067541111912234</v>
      </c>
      <c r="CA343" s="4">
        <f t="shared" si="762"/>
        <v>951.03366665671956</v>
      </c>
      <c r="CB343" s="6">
        <f t="shared" si="763"/>
        <v>5.4020673333134398E-6</v>
      </c>
      <c r="CC343" s="8">
        <f t="shared" si="764"/>
        <v>26.825887166552274</v>
      </c>
      <c r="CD343" s="7">
        <f t="shared" si="765"/>
        <v>1.3519719049297409E-2</v>
      </c>
      <c r="CE343" s="9">
        <f t="shared" si="766"/>
        <v>0.44235557974439282</v>
      </c>
      <c r="CF343" s="4">
        <f t="shared" si="767"/>
        <v>940.53737882397468</v>
      </c>
      <c r="CG343" s="6">
        <f t="shared" si="768"/>
        <v>5.3810747576479495E-6</v>
      </c>
      <c r="CH343" s="8">
        <f t="shared" si="769"/>
        <v>26.705179856475709</v>
      </c>
      <c r="CI343" s="7">
        <f t="shared" si="770"/>
        <v>1.3467181065668748E-2</v>
      </c>
      <c r="CJ343" s="9">
        <f t="shared" si="771"/>
        <v>0.44435502526077858</v>
      </c>
      <c r="CK343" s="4">
        <f t="shared" si="772"/>
        <v>924.5374040796944</v>
      </c>
      <c r="CL343" s="6">
        <f t="shared" si="773"/>
        <v>5.349074808159389E-6</v>
      </c>
      <c r="CM343" s="8">
        <f t="shared" si="774"/>
        <v>26.521180146916485</v>
      </c>
      <c r="CN343" s="7">
        <f t="shared" si="775"/>
        <v>1.3387094998616398E-2</v>
      </c>
      <c r="CO343" s="9">
        <f t="shared" si="776"/>
        <v>0.44743788941449425</v>
      </c>
      <c r="CP343" s="4">
        <f t="shared" si="777"/>
        <v>888.84288873686251</v>
      </c>
      <c r="CQ343" s="6">
        <f t="shared" si="778"/>
        <v>5.2776857774737259E-6</v>
      </c>
      <c r="CR343" s="8">
        <f t="shared" si="779"/>
        <v>26.110693220473919</v>
      </c>
      <c r="CS343" s="7">
        <f t="shared" si="780"/>
        <v>1.3208430132275342E-2</v>
      </c>
      <c r="CT343" s="9">
        <f t="shared" si="781"/>
        <v>0.45447207278330987</v>
      </c>
      <c r="CU343" s="4">
        <f t="shared" si="782"/>
        <v>796.75636414491919</v>
      </c>
      <c r="CV343" s="6">
        <f t="shared" si="783"/>
        <v>5.0935127282898386E-6</v>
      </c>
      <c r="CW343" s="8">
        <f t="shared" si="784"/>
        <v>25.05169818766657</v>
      </c>
      <c r="CX343" s="7">
        <f t="shared" si="785"/>
        <v>1.2747501430764446E-2</v>
      </c>
      <c r="CY343" s="9">
        <f t="shared" si="786"/>
        <v>0.47368369125411397</v>
      </c>
      <c r="CZ343" s="5">
        <f t="shared" si="787"/>
        <v>593.40528287246536</v>
      </c>
      <c r="DA343" s="6">
        <f t="shared" si="788"/>
        <v>5.7517161156650814E-6</v>
      </c>
      <c r="DB343" s="8">
        <f t="shared" si="789"/>
        <v>36.286246796698499</v>
      </c>
      <c r="DC343" s="7">
        <f t="shared" si="790"/>
        <v>1.439478280020102E-2</v>
      </c>
      <c r="DD343" s="9">
        <f t="shared" si="791"/>
        <v>0.32702695696810336</v>
      </c>
    </row>
    <row r="344" spans="2:108" x14ac:dyDescent="0.25">
      <c r="B344">
        <v>77</v>
      </c>
      <c r="C344">
        <f t="shared" si="699"/>
        <v>7.5276329308584355E-2</v>
      </c>
      <c r="D344" s="4">
        <f t="shared" si="700"/>
        <v>1018.749015372078</v>
      </c>
      <c r="E344" s="6">
        <f t="shared" si="647"/>
        <v>5.5374980307441563E-6</v>
      </c>
      <c r="F344" s="8">
        <f t="shared" si="701"/>
        <v>27.604613676778897</v>
      </c>
      <c r="G344" s="7">
        <f t="shared" si="583"/>
        <v>1.3858660581666394E-2</v>
      </c>
      <c r="H344" s="9">
        <f t="shared" si="702"/>
        <v>0.42987672309647684</v>
      </c>
      <c r="I344" s="4">
        <f t="shared" si="703"/>
        <v>1018.4252487630288</v>
      </c>
      <c r="J344" s="6">
        <f t="shared" si="650"/>
        <v>5.5368504975260581E-6</v>
      </c>
      <c r="K344" s="8">
        <f t="shared" si="704"/>
        <v>27.60089036077483</v>
      </c>
      <c r="L344" s="7">
        <f t="shared" si="651"/>
        <v>1.385704000446074E-2</v>
      </c>
      <c r="M344" s="9">
        <f t="shared" si="705"/>
        <v>0.42993471277948919</v>
      </c>
      <c r="N344" s="4">
        <f t="shared" si="706"/>
        <v>1017.5207552020481</v>
      </c>
      <c r="O344" s="6">
        <f t="shared" si="654"/>
        <v>5.5350415104040969E-6</v>
      </c>
      <c r="P344" s="8">
        <f t="shared" si="655"/>
        <v>27.590488684823555</v>
      </c>
      <c r="Q344" s="7">
        <f t="shared" si="584"/>
        <v>1.3858660581666394E-2</v>
      </c>
      <c r="R344" s="9">
        <f t="shared" si="707"/>
        <v>0.43009679912792698</v>
      </c>
      <c r="S344" s="4">
        <f t="shared" si="708"/>
        <v>1016.0199539843758</v>
      </c>
      <c r="T344" s="6">
        <f t="shared" si="658"/>
        <v>5.5320399079687522E-6</v>
      </c>
      <c r="U344" s="8">
        <f t="shared" si="659"/>
        <v>27.573229470820323</v>
      </c>
      <c r="V344" s="7">
        <f t="shared" si="660"/>
        <v>1.3845000573023968E-2</v>
      </c>
      <c r="W344" s="9">
        <f t="shared" si="709"/>
        <v>0.43036601433560184</v>
      </c>
      <c r="X344" s="4">
        <f t="shared" si="710"/>
        <v>1013.9206403248489</v>
      </c>
      <c r="Y344" s="6">
        <f t="shared" si="663"/>
        <v>5.5278412806496976E-6</v>
      </c>
      <c r="Z344" s="8">
        <f t="shared" si="664"/>
        <v>27.549087363735762</v>
      </c>
      <c r="AA344" s="7">
        <f t="shared" si="665"/>
        <v>1.3834492695531166E-2</v>
      </c>
      <c r="AB344" s="9">
        <f t="shared" si="711"/>
        <v>0.43074315722481865</v>
      </c>
      <c r="AC344" s="4">
        <f t="shared" si="712"/>
        <v>1011.2216473772755</v>
      </c>
      <c r="AD344" s="6">
        <f t="shared" si="713"/>
        <v>5.5224432947545518E-6</v>
      </c>
      <c r="AE344" s="8">
        <f t="shared" si="714"/>
        <v>27.518048944838668</v>
      </c>
      <c r="AF344" s="7">
        <f t="shared" si="715"/>
        <v>1.3820983191070828E-2</v>
      </c>
      <c r="AG344" s="9">
        <f t="shared" si="716"/>
        <v>0.43122900513423262</v>
      </c>
      <c r="AH344" s="4">
        <f t="shared" si="717"/>
        <v>1007.9229125960036</v>
      </c>
      <c r="AI344" s="6">
        <f t="shared" si="718"/>
        <v>5.5158458251920074E-6</v>
      </c>
      <c r="AJ344" s="8">
        <f t="shared" si="719"/>
        <v>27.480113494854038</v>
      </c>
      <c r="AK344" s="7">
        <f t="shared" si="720"/>
        <v>1.3804471746577746E-2</v>
      </c>
      <c r="AL344" s="9">
        <f t="shared" si="721"/>
        <v>0.43182430348914136</v>
      </c>
      <c r="AM344" s="4">
        <f t="shared" si="722"/>
        <v>1004.0244448149981</v>
      </c>
      <c r="AN344" s="6">
        <f t="shared" si="723"/>
        <v>5.5080488896299971E-6</v>
      </c>
      <c r="AO344" s="8">
        <f t="shared" si="724"/>
        <v>27.435281115372476</v>
      </c>
      <c r="AP344" s="7">
        <f t="shared" si="725"/>
        <v>1.3784958406269343E-2</v>
      </c>
      <c r="AQ344" s="9">
        <f t="shared" si="726"/>
        <v>0.43252995366863006</v>
      </c>
      <c r="AR344" s="4">
        <f t="shared" si="727"/>
        <v>999.52625102760112</v>
      </c>
      <c r="AS344" s="6">
        <f t="shared" si="728"/>
        <v>5.4990525020552031E-6</v>
      </c>
      <c r="AT344" s="8">
        <f t="shared" si="729"/>
        <v>27.383551886817411</v>
      </c>
      <c r="AU344" s="7">
        <f t="shared" si="730"/>
        <v>1.3762443205149997E-2</v>
      </c>
      <c r="AV344" s="9">
        <f t="shared" si="731"/>
        <v>0.43334702958787952</v>
      </c>
      <c r="AW344" s="4">
        <f t="shared" si="732"/>
        <v>994.4283332442825</v>
      </c>
      <c r="AX344" s="6">
        <f t="shared" si="733"/>
        <v>5.4888566664885654E-6</v>
      </c>
      <c r="AY344" s="8">
        <f t="shared" si="734"/>
        <v>27.324925832309248</v>
      </c>
      <c r="AZ344" s="7">
        <f t="shared" si="735"/>
        <v>1.3736926153282888E-2</v>
      </c>
      <c r="BA344" s="9">
        <f t="shared" si="736"/>
        <v>0.43427678239795048</v>
      </c>
      <c r="BB344" s="4">
        <f t="shared" si="737"/>
        <v>988.73068900543171</v>
      </c>
      <c r="BC344" s="6">
        <f t="shared" si="738"/>
        <v>5.4774613780108648E-6</v>
      </c>
      <c r="BD344" s="8">
        <f t="shared" si="739"/>
        <v>27.259402923562462</v>
      </c>
      <c r="BE344" s="7">
        <f t="shared" si="740"/>
        <v>1.3708407238356717E-2</v>
      </c>
      <c r="BF344" s="9">
        <f t="shared" si="741"/>
        <v>0.43532064524643982</v>
      </c>
      <c r="BG344" s="4">
        <f t="shared" si="742"/>
        <v>982.43328482481559</v>
      </c>
      <c r="BH344" s="6">
        <f t="shared" si="743"/>
        <v>5.4648665696496321E-6</v>
      </c>
      <c r="BI344" s="8">
        <f t="shared" si="744"/>
        <v>27.186982775485376</v>
      </c>
      <c r="BJ344" s="7">
        <f t="shared" si="745"/>
        <v>1.3676886292759921E-2</v>
      </c>
      <c r="BK344" s="9">
        <f t="shared" si="746"/>
        <v>0.43648024378851069</v>
      </c>
      <c r="BL344" s="4">
        <f t="shared" si="747"/>
        <v>975.53578687278582</v>
      </c>
      <c r="BM344" s="6">
        <f t="shared" si="748"/>
        <v>5.4510715737455723E-6</v>
      </c>
      <c r="BN344" s="8">
        <f t="shared" si="749"/>
        <v>27.107661549037037</v>
      </c>
      <c r="BO344" s="7">
        <f t="shared" si="750"/>
        <v>1.3642361645545888E-2</v>
      </c>
      <c r="BP344" s="9">
        <f t="shared" si="751"/>
        <v>0.43775745275008582</v>
      </c>
      <c r="BQ344" s="4">
        <f t="shared" si="752"/>
        <v>968.03524667846887</v>
      </c>
      <c r="BR344" s="6">
        <f t="shared" si="753"/>
        <v>5.4360704933569388E-6</v>
      </c>
      <c r="BS344" s="8">
        <f t="shared" si="754"/>
        <v>27.021405336802392</v>
      </c>
      <c r="BT344" s="7">
        <f t="shared" si="755"/>
        <v>1.360481853847657E-2</v>
      </c>
      <c r="BU344" s="9">
        <f t="shared" si="756"/>
        <v>0.43915483750047413</v>
      </c>
      <c r="BV344" s="4">
        <f t="shared" si="757"/>
        <v>959.90879012142818</v>
      </c>
      <c r="BW344" s="6">
        <f t="shared" si="758"/>
        <v>5.4198175802428571E-6</v>
      </c>
      <c r="BX344" s="8">
        <f t="shared" si="759"/>
        <v>26.927951086396423</v>
      </c>
      <c r="BY344" s="7">
        <f t="shared" si="760"/>
        <v>1.3564142477724795E-2</v>
      </c>
      <c r="BZ344" s="9">
        <f t="shared" si="761"/>
        <v>0.44067893734821539</v>
      </c>
      <c r="CA344" s="4">
        <f t="shared" si="762"/>
        <v>951.00316407748687</v>
      </c>
      <c r="CB344" s="6">
        <f t="shared" si="763"/>
        <v>5.4020063281549742E-6</v>
      </c>
      <c r="CC344" s="8">
        <f t="shared" si="764"/>
        <v>26.825536386891098</v>
      </c>
      <c r="CD344" s="7">
        <f t="shared" si="765"/>
        <v>1.3519566372081054E-2</v>
      </c>
      <c r="CE344" s="9">
        <f t="shared" si="766"/>
        <v>0.44236136413349669</v>
      </c>
      <c r="CF344" s="4">
        <f t="shared" si="767"/>
        <v>940.45177705159165</v>
      </c>
      <c r="CG344" s="6">
        <f t="shared" si="768"/>
        <v>5.3809035541031834E-6</v>
      </c>
      <c r="CH344" s="8">
        <f t="shared" si="769"/>
        <v>26.7041954360933</v>
      </c>
      <c r="CI344" s="7">
        <f t="shared" si="770"/>
        <v>1.3466752595662235E-2</v>
      </c>
      <c r="CJ344" s="9">
        <f t="shared" si="771"/>
        <v>0.44437140591320973</v>
      </c>
      <c r="CK344" s="4">
        <f t="shared" si="772"/>
        <v>924.25170737077542</v>
      </c>
      <c r="CL344" s="6">
        <f t="shared" si="773"/>
        <v>5.3485034147415515E-6</v>
      </c>
      <c r="CM344" s="8">
        <f t="shared" si="774"/>
        <v>26.517894634763916</v>
      </c>
      <c r="CN344" s="7">
        <f t="shared" si="775"/>
        <v>1.3385664975997438E-2</v>
      </c>
      <c r="CO344" s="9">
        <f t="shared" si="776"/>
        <v>0.4474933260410982</v>
      </c>
      <c r="CP344" s="4">
        <f t="shared" si="777"/>
        <v>888.04053213287352</v>
      </c>
      <c r="CQ344" s="6">
        <f t="shared" si="778"/>
        <v>5.2760810642657474E-6</v>
      </c>
      <c r="CR344" s="8">
        <f t="shared" si="779"/>
        <v>26.101466119528045</v>
      </c>
      <c r="CS344" s="7">
        <f t="shared" si="780"/>
        <v>1.3204414026886805E-2</v>
      </c>
      <c r="CT344" s="9">
        <f t="shared" si="781"/>
        <v>0.45463273271227511</v>
      </c>
      <c r="CU344" s="4">
        <f t="shared" si="782"/>
        <v>795.18452085970364</v>
      </c>
      <c r="CV344" s="6">
        <f t="shared" si="783"/>
        <v>5.0903690417194074E-6</v>
      </c>
      <c r="CW344" s="8">
        <f t="shared" si="784"/>
        <v>25.033621989886591</v>
      </c>
      <c r="CX344" s="7">
        <f t="shared" si="785"/>
        <v>1.2739633746674472E-2</v>
      </c>
      <c r="CY344" s="9">
        <f t="shared" si="786"/>
        <v>0.4740257272603986</v>
      </c>
      <c r="CZ344" s="5">
        <f t="shared" si="787"/>
        <v>591.7093365807101</v>
      </c>
      <c r="DA344" s="6">
        <f t="shared" si="788"/>
        <v>5.7797581768624939E-6</v>
      </c>
      <c r="DB344" s="8">
        <f t="shared" si="789"/>
        <v>36.335429239159403</v>
      </c>
      <c r="DC344" s="7">
        <f t="shared" si="790"/>
        <v>1.4464963485771944E-2</v>
      </c>
      <c r="DD344" s="9">
        <f t="shared" si="791"/>
        <v>0.32658430403043243</v>
      </c>
    </row>
    <row r="345" spans="2:108" x14ac:dyDescent="0.25">
      <c r="B345">
        <v>78</v>
      </c>
      <c r="C345">
        <f t="shared" si="699"/>
        <v>7.6253943974929614E-2</v>
      </c>
      <c r="D345" s="4">
        <f t="shared" si="700"/>
        <v>1018.7324854845804</v>
      </c>
      <c r="E345" s="6">
        <f t="shared" si="647"/>
        <v>5.5374649709691612E-6</v>
      </c>
      <c r="F345" s="8">
        <f t="shared" si="701"/>
        <v>27.604423583072673</v>
      </c>
      <c r="G345" s="7">
        <f t="shared" si="583"/>
        <v>1.3858577843180887E-2</v>
      </c>
      <c r="H345" s="9">
        <f t="shared" si="702"/>
        <v>0.42987968337779792</v>
      </c>
      <c r="I345" s="4">
        <f t="shared" si="703"/>
        <v>1018.4086897437708</v>
      </c>
      <c r="J345" s="6">
        <f t="shared" si="650"/>
        <v>5.5368173794875425E-6</v>
      </c>
      <c r="K345" s="8">
        <f t="shared" si="704"/>
        <v>27.600699932053363</v>
      </c>
      <c r="L345" s="7">
        <f t="shared" si="651"/>
        <v>1.3856957120159497E-2</v>
      </c>
      <c r="M345" s="9">
        <f t="shared" si="705"/>
        <v>0.42993767907809288</v>
      </c>
      <c r="N345" s="4">
        <f t="shared" si="706"/>
        <v>1017.5041596757667</v>
      </c>
      <c r="O345" s="6">
        <f t="shared" si="654"/>
        <v>5.5350083193515337E-6</v>
      </c>
      <c r="P345" s="8">
        <f t="shared" si="655"/>
        <v>27.590297836271318</v>
      </c>
      <c r="Q345" s="7">
        <f t="shared" si="584"/>
        <v>1.3858577843180887E-2</v>
      </c>
      <c r="R345" s="9">
        <f t="shared" si="707"/>
        <v>0.43009977420822232</v>
      </c>
      <c r="S345" s="4">
        <f t="shared" si="708"/>
        <v>1016.0033440410652</v>
      </c>
      <c r="T345" s="6">
        <f t="shared" si="658"/>
        <v>5.5320066880821303E-6</v>
      </c>
      <c r="U345" s="8">
        <f t="shared" si="659"/>
        <v>27.573038456472247</v>
      </c>
      <c r="V345" s="7">
        <f t="shared" si="660"/>
        <v>1.3844917433828124E-2</v>
      </c>
      <c r="W345" s="9">
        <f t="shared" si="709"/>
        <v>0.43036899572932064</v>
      </c>
      <c r="X345" s="4">
        <f t="shared" si="710"/>
        <v>1013.9040337947695</v>
      </c>
      <c r="Y345" s="6">
        <f t="shared" si="663"/>
        <v>5.5278080675895396E-6</v>
      </c>
      <c r="Z345" s="8">
        <f t="shared" si="664"/>
        <v>27.548896388639847</v>
      </c>
      <c r="AA345" s="7">
        <f t="shared" si="665"/>
        <v>1.383440957341987E-2</v>
      </c>
      <c r="AB345" s="9">
        <f t="shared" si="711"/>
        <v>0.43074614323248323</v>
      </c>
      <c r="AC345" s="4">
        <f t="shared" si="712"/>
        <v>1011.2050528009188</v>
      </c>
      <c r="AD345" s="6">
        <f t="shared" si="713"/>
        <v>5.5224101056018385E-6</v>
      </c>
      <c r="AE345" s="8">
        <f t="shared" si="714"/>
        <v>27.517858107210564</v>
      </c>
      <c r="AF345" s="7">
        <f t="shared" si="715"/>
        <v>1.3820900128792541E-2</v>
      </c>
      <c r="AG345" s="9">
        <f t="shared" si="716"/>
        <v>0.43123199572747534</v>
      </c>
      <c r="AH345" s="4">
        <f t="shared" si="717"/>
        <v>1007.9063344279587</v>
      </c>
      <c r="AI345" s="6">
        <f t="shared" si="718"/>
        <v>5.5158126688559179E-6</v>
      </c>
      <c r="AJ345" s="8">
        <f t="shared" si="719"/>
        <v>27.479922845921521</v>
      </c>
      <c r="AK345" s="7">
        <f t="shared" si="720"/>
        <v>1.380438876642941E-2</v>
      </c>
      <c r="AL345" s="9">
        <f t="shared" si="721"/>
        <v>0.43182729937973957</v>
      </c>
      <c r="AM345" s="4">
        <f t="shared" si="722"/>
        <v>1004.0078866225789</v>
      </c>
      <c r="AN345" s="6">
        <f t="shared" si="723"/>
        <v>5.5080157732451584E-6</v>
      </c>
      <c r="AO345" s="8">
        <f t="shared" si="724"/>
        <v>27.435090696159655</v>
      </c>
      <c r="AP345" s="7">
        <f t="shared" si="725"/>
        <v>1.3784875526106747E-2</v>
      </c>
      <c r="AQ345" s="9">
        <f t="shared" si="726"/>
        <v>0.43253295573682848</v>
      </c>
      <c r="AR345" s="4">
        <f t="shared" si="727"/>
        <v>999.50971633174629</v>
      </c>
      <c r="AS345" s="6">
        <f t="shared" si="728"/>
        <v>5.4990194326634932E-6</v>
      </c>
      <c r="AT345" s="8">
        <f t="shared" si="729"/>
        <v>27.383361737815079</v>
      </c>
      <c r="AU345" s="7">
        <f t="shared" si="730"/>
        <v>1.3762360442596799E-2</v>
      </c>
      <c r="AV345" s="9">
        <f t="shared" si="731"/>
        <v>0.43335003873285333</v>
      </c>
      <c r="AW345" s="4">
        <f t="shared" si="732"/>
        <v>994.41182556953845</v>
      </c>
      <c r="AX345" s="6">
        <f t="shared" si="733"/>
        <v>5.4888236511390771E-6</v>
      </c>
      <c r="AY345" s="8">
        <f t="shared" si="734"/>
        <v>27.324735994049689</v>
      </c>
      <c r="AZ345" s="7">
        <f t="shared" si="735"/>
        <v>1.3736843525980808E-2</v>
      </c>
      <c r="BA345" s="9">
        <f t="shared" si="736"/>
        <v>0.43427979953043272</v>
      </c>
      <c r="BB345" s="4">
        <f t="shared" si="737"/>
        <v>988.7142114917973</v>
      </c>
      <c r="BC345" s="6">
        <f t="shared" si="738"/>
        <v>5.4774284229835952E-6</v>
      </c>
      <c r="BD345" s="8">
        <f t="shared" si="739"/>
        <v>27.259213432155668</v>
      </c>
      <c r="BE345" s="7">
        <f t="shared" si="740"/>
        <v>1.3708324762022666E-2</v>
      </c>
      <c r="BF345" s="9">
        <f t="shared" si="741"/>
        <v>0.43532367136168992</v>
      </c>
      <c r="BG345" s="4">
        <f t="shared" si="742"/>
        <v>982.41683672616227</v>
      </c>
      <c r="BH345" s="6">
        <f t="shared" si="743"/>
        <v>5.4648336734523252E-6</v>
      </c>
      <c r="BI345" s="8">
        <f t="shared" si="744"/>
        <v>27.186793622350866</v>
      </c>
      <c r="BJ345" s="7">
        <f t="shared" si="745"/>
        <v>1.3676803963659237E-2</v>
      </c>
      <c r="BK345" s="9">
        <f t="shared" si="746"/>
        <v>0.43648328061614883</v>
      </c>
      <c r="BL345" s="4">
        <f t="shared" si="747"/>
        <v>975.51933421787339</v>
      </c>
      <c r="BM345" s="6">
        <f t="shared" si="748"/>
        <v>5.4510386684357477E-6</v>
      </c>
      <c r="BN345" s="8">
        <f t="shared" si="749"/>
        <v>27.107472343505542</v>
      </c>
      <c r="BO345" s="7">
        <f t="shared" si="750"/>
        <v>1.3642279293639365E-2</v>
      </c>
      <c r="BP345" s="9">
        <f t="shared" si="751"/>
        <v>0.43776050822240958</v>
      </c>
      <c r="BQ345" s="4">
        <f t="shared" si="752"/>
        <v>968.01850821978019</v>
      </c>
      <c r="BR345" s="6">
        <f t="shared" si="753"/>
        <v>5.4360370164395615E-6</v>
      </c>
      <c r="BS345" s="8">
        <f t="shared" si="754"/>
        <v>27.021212844527472</v>
      </c>
      <c r="BT345" s="7">
        <f t="shared" si="755"/>
        <v>1.3604734756011514E-2</v>
      </c>
      <c r="BU345" s="9">
        <f t="shared" si="756"/>
        <v>0.43915796592828371</v>
      </c>
      <c r="BV345" s="4">
        <f t="shared" si="757"/>
        <v>959.88991412129576</v>
      </c>
      <c r="BW345" s="6">
        <f t="shared" si="758"/>
        <v>5.4197798282425922E-6</v>
      </c>
      <c r="BX345" s="8">
        <f t="shared" si="759"/>
        <v>26.9277340123949</v>
      </c>
      <c r="BY345" s="7">
        <f t="shared" si="760"/>
        <v>1.3564047996037392E-2</v>
      </c>
      <c r="BZ345" s="9">
        <f t="shared" si="761"/>
        <v>0.44068248981721531</v>
      </c>
      <c r="CA345" s="4">
        <f t="shared" si="762"/>
        <v>950.97204370123302</v>
      </c>
      <c r="CB345" s="6">
        <f t="shared" si="763"/>
        <v>5.4019440874024663E-6</v>
      </c>
      <c r="CC345" s="8">
        <f t="shared" si="764"/>
        <v>26.825178502564178</v>
      </c>
      <c r="CD345" s="7">
        <f t="shared" si="765"/>
        <v>1.3519410602551464E-2</v>
      </c>
      <c r="CE345" s="9">
        <f t="shared" si="766"/>
        <v>0.442367265835103</v>
      </c>
      <c r="CF345" s="4">
        <f t="shared" si="767"/>
        <v>940.36410819368393</v>
      </c>
      <c r="CG345" s="6">
        <f t="shared" si="768"/>
        <v>5.3807282163873684E-6</v>
      </c>
      <c r="CH345" s="8">
        <f t="shared" si="769"/>
        <v>26.703187244227365</v>
      </c>
      <c r="CI345" s="7">
        <f t="shared" si="770"/>
        <v>1.3466313779092522E-2</v>
      </c>
      <c r="CJ345" s="9">
        <f t="shared" si="771"/>
        <v>0.44438818337249947</v>
      </c>
      <c r="CK345" s="4">
        <f t="shared" si="772"/>
        <v>923.9614731245822</v>
      </c>
      <c r="CL345" s="6">
        <f t="shared" si="773"/>
        <v>5.3479229462491642E-6</v>
      </c>
      <c r="CM345" s="8">
        <f t="shared" si="774"/>
        <v>26.514556940932692</v>
      </c>
      <c r="CN345" s="7">
        <f t="shared" si="775"/>
        <v>1.3384212241247976E-2</v>
      </c>
      <c r="CO345" s="9">
        <f t="shared" si="776"/>
        <v>0.44754965719975831</v>
      </c>
      <c r="CP345" s="4">
        <f t="shared" si="777"/>
        <v>887.23440055229446</v>
      </c>
      <c r="CQ345" s="6">
        <f t="shared" si="778"/>
        <v>5.2744688011045898E-6</v>
      </c>
      <c r="CR345" s="8">
        <f t="shared" si="779"/>
        <v>26.092195606351385</v>
      </c>
      <c r="CS345" s="7">
        <f t="shared" si="780"/>
        <v>1.3200379026279171E-2</v>
      </c>
      <c r="CT345" s="9">
        <f t="shared" si="781"/>
        <v>0.45479426295690212</v>
      </c>
      <c r="CU345" s="4">
        <f t="shared" si="782"/>
        <v>793.62136679322691</v>
      </c>
      <c r="CV345" s="6">
        <f t="shared" si="783"/>
        <v>5.0872427335864544E-6</v>
      </c>
      <c r="CW345" s="8">
        <f t="shared" si="784"/>
        <v>25.015645718122109</v>
      </c>
      <c r="CX345" s="7">
        <f t="shared" si="785"/>
        <v>1.2731809555487812E-2</v>
      </c>
      <c r="CY345" s="9">
        <f t="shared" si="786"/>
        <v>0.47436636269282384</v>
      </c>
      <c r="CZ345" s="5">
        <f t="shared" si="787"/>
        <v>590.03317459851087</v>
      </c>
      <c r="DA345" s="6">
        <f t="shared" si="788"/>
        <v>5.8074051858634308E-6</v>
      </c>
      <c r="DB345" s="8">
        <f t="shared" si="789"/>
        <v>36.384037936643182</v>
      </c>
      <c r="DC345" s="7">
        <f t="shared" si="790"/>
        <v>1.4534155476760475E-2</v>
      </c>
      <c r="DD345" s="9">
        <f t="shared" si="791"/>
        <v>0.32614799078600337</v>
      </c>
    </row>
    <row r="346" spans="2:108" x14ac:dyDescent="0.25">
      <c r="B346">
        <v>79</v>
      </c>
      <c r="C346">
        <f t="shared" si="699"/>
        <v>7.7231558641274872E-2</v>
      </c>
      <c r="D346" s="4">
        <f t="shared" si="700"/>
        <v>1018.7159541097622</v>
      </c>
      <c r="E346" s="6">
        <f t="shared" si="647"/>
        <v>5.5374319082195245E-6</v>
      </c>
      <c r="F346" s="8">
        <f t="shared" si="701"/>
        <v>27.604233472262266</v>
      </c>
      <c r="G346" s="7">
        <f t="shared" si="583"/>
        <v>1.3858495097250763E-2</v>
      </c>
      <c r="H346" s="9">
        <f t="shared" si="702"/>
        <v>0.42988264396625497</v>
      </c>
      <c r="I346" s="4">
        <f t="shared" si="703"/>
        <v>1018.3921302663449</v>
      </c>
      <c r="J346" s="6">
        <f t="shared" si="650"/>
        <v>5.5367842605326899E-6</v>
      </c>
      <c r="K346" s="8">
        <f t="shared" si="704"/>
        <v>27.600509498062966</v>
      </c>
      <c r="L346" s="7">
        <f t="shared" si="651"/>
        <v>1.3856874233564942E-2</v>
      </c>
      <c r="M346" s="9">
        <f t="shared" si="705"/>
        <v>0.42994064549970384</v>
      </c>
      <c r="N346" s="4">
        <f t="shared" si="706"/>
        <v>1017.4875643784391</v>
      </c>
      <c r="O346" s="6">
        <f t="shared" si="654"/>
        <v>5.5349751287568789E-6</v>
      </c>
      <c r="P346" s="8">
        <f t="shared" si="655"/>
        <v>27.590106990352048</v>
      </c>
      <c r="Q346" s="7">
        <f t="shared" si="584"/>
        <v>1.3858495097250763E-2</v>
      </c>
      <c r="R346" s="9">
        <f t="shared" si="707"/>
        <v>0.43010274928863124</v>
      </c>
      <c r="S346" s="4">
        <f t="shared" si="708"/>
        <v>1015.9867344186129</v>
      </c>
      <c r="T346" s="6">
        <f t="shared" si="658"/>
        <v>5.5319734688372256E-6</v>
      </c>
      <c r="U346" s="8">
        <f t="shared" si="659"/>
        <v>27.572847445814048</v>
      </c>
      <c r="V346" s="7">
        <f t="shared" si="660"/>
        <v>1.3844834296238303E-2</v>
      </c>
      <c r="W346" s="9">
        <f t="shared" si="709"/>
        <v>0.43037197710675379</v>
      </c>
      <c r="X346" s="4">
        <f t="shared" si="710"/>
        <v>1013.8874275092467</v>
      </c>
      <c r="Y346" s="6">
        <f t="shared" si="663"/>
        <v>5.5277748550184939E-6</v>
      </c>
      <c r="Z346" s="8">
        <f t="shared" si="664"/>
        <v>27.548705416356334</v>
      </c>
      <c r="AA346" s="7">
        <f t="shared" si="665"/>
        <v>1.3834326452532674E-2</v>
      </c>
      <c r="AB346" s="9">
        <f t="shared" si="711"/>
        <v>0.43074912923757286</v>
      </c>
      <c r="AC346" s="4">
        <f t="shared" si="712"/>
        <v>1011.18845842513</v>
      </c>
      <c r="AD346" s="6">
        <f t="shared" si="713"/>
        <v>5.5223769168502605E-6</v>
      </c>
      <c r="AE346" s="8">
        <f t="shared" si="714"/>
        <v>27.517667271888996</v>
      </c>
      <c r="AF346" s="7">
        <f t="shared" si="715"/>
        <v>1.3820817067518171E-2</v>
      </c>
      <c r="AG346" s="9">
        <f t="shared" si="716"/>
        <v>0.43123498632605195</v>
      </c>
      <c r="AH346" s="4">
        <f t="shared" si="717"/>
        <v>1007.8897564507536</v>
      </c>
      <c r="AI346" s="6">
        <f t="shared" si="718"/>
        <v>5.5157795129015073E-6</v>
      </c>
      <c r="AJ346" s="8">
        <f t="shared" si="719"/>
        <v>27.479732199183665</v>
      </c>
      <c r="AK346" s="7">
        <f t="shared" si="720"/>
        <v>1.3804305787236303E-2</v>
      </c>
      <c r="AL346" s="9">
        <f t="shared" si="721"/>
        <v>0.43183029527741962</v>
      </c>
      <c r="AM346" s="4">
        <f t="shared" si="722"/>
        <v>1003.9913286211608</v>
      </c>
      <c r="AN346" s="6">
        <f t="shared" si="723"/>
        <v>5.5079826572423214E-6</v>
      </c>
      <c r="AO346" s="8">
        <f t="shared" si="724"/>
        <v>27.434900279143349</v>
      </c>
      <c r="AP346" s="7">
        <f t="shared" si="725"/>
        <v>1.3784792646900182E-2</v>
      </c>
      <c r="AQ346" s="9">
        <f t="shared" si="726"/>
        <v>0.4325359578120701</v>
      </c>
      <c r="AR346" s="4">
        <f t="shared" si="727"/>
        <v>999.49318182741206</v>
      </c>
      <c r="AS346" s="6">
        <f t="shared" si="728"/>
        <v>5.4989863636548242E-6</v>
      </c>
      <c r="AT346" s="8">
        <f t="shared" si="729"/>
        <v>27.383171591015238</v>
      </c>
      <c r="AU346" s="7">
        <f t="shared" si="730"/>
        <v>1.3762277681002235E-2</v>
      </c>
      <c r="AV346" s="9">
        <f t="shared" si="731"/>
        <v>0.43335304788476264</v>
      </c>
      <c r="AW346" s="4">
        <f t="shared" si="732"/>
        <v>994.39531808099866</v>
      </c>
      <c r="AX346" s="6">
        <f t="shared" si="733"/>
        <v>5.4887906361619978E-6</v>
      </c>
      <c r="AY346" s="8">
        <f t="shared" si="734"/>
        <v>27.324546157931486</v>
      </c>
      <c r="AZ346" s="7">
        <f t="shared" si="735"/>
        <v>1.3736760899610756E-2</v>
      </c>
      <c r="BA346" s="9">
        <f t="shared" si="736"/>
        <v>0.43428281667080465</v>
      </c>
      <c r="BB346" s="4">
        <f t="shared" si="737"/>
        <v>988.69773410794392</v>
      </c>
      <c r="BC346" s="6">
        <f t="shared" si="738"/>
        <v>5.4773954682158887E-6</v>
      </c>
      <c r="BD346" s="8">
        <f t="shared" si="739"/>
        <v>27.259023942241356</v>
      </c>
      <c r="BE346" s="7">
        <f t="shared" si="740"/>
        <v>1.3708242286338223E-2</v>
      </c>
      <c r="BF346" s="9">
        <f t="shared" si="741"/>
        <v>0.43532669749517733</v>
      </c>
      <c r="BG346" s="4">
        <f t="shared" si="742"/>
        <v>982.40038827627188</v>
      </c>
      <c r="BH346" s="6">
        <f t="shared" si="743"/>
        <v>5.464800776552545E-6</v>
      </c>
      <c r="BI346" s="8">
        <f t="shared" si="744"/>
        <v>27.186604465177126</v>
      </c>
      <c r="BJ346" s="7">
        <f t="shared" si="745"/>
        <v>1.3676721632800478E-2</v>
      </c>
      <c r="BK346" s="9">
        <f t="shared" si="746"/>
        <v>0.43648631755089556</v>
      </c>
      <c r="BL346" s="4">
        <f t="shared" si="747"/>
        <v>975.50287764999212</v>
      </c>
      <c r="BM346" s="6">
        <f t="shared" si="748"/>
        <v>5.451005755299985E-6</v>
      </c>
      <c r="BN346" s="8">
        <f t="shared" si="749"/>
        <v>27.10728309297491</v>
      </c>
      <c r="BO346" s="7">
        <f t="shared" si="750"/>
        <v>1.364219692214692E-2</v>
      </c>
      <c r="BP346" s="9">
        <f t="shared" si="751"/>
        <v>0.43776356446409148</v>
      </c>
      <c r="BQ346" s="4">
        <f t="shared" si="752"/>
        <v>968.00174332885877</v>
      </c>
      <c r="BR346" s="6">
        <f t="shared" si="753"/>
        <v>5.436003486657718E-6</v>
      </c>
      <c r="BS346" s="8">
        <f t="shared" si="754"/>
        <v>27.021020048281876</v>
      </c>
      <c r="BT346" s="7">
        <f t="shared" si="755"/>
        <v>1.3604650841242901E-2</v>
      </c>
      <c r="BU346" s="9">
        <f t="shared" si="756"/>
        <v>0.43916109934097147</v>
      </c>
      <c r="BV346" s="4">
        <f t="shared" si="757"/>
        <v>959.870893749743</v>
      </c>
      <c r="BW346" s="6">
        <f t="shared" si="758"/>
        <v>5.4197417874994869E-6</v>
      </c>
      <c r="BX346" s="8">
        <f t="shared" si="759"/>
        <v>26.927515278122044</v>
      </c>
      <c r="BY346" s="7">
        <f t="shared" si="760"/>
        <v>1.3563952791715142E-2</v>
      </c>
      <c r="BZ346" s="9">
        <f t="shared" si="761"/>
        <v>0.44068606951489536</v>
      </c>
      <c r="CA346" s="4">
        <f t="shared" si="762"/>
        <v>950.9402915011774</v>
      </c>
      <c r="CB346" s="6">
        <f t="shared" si="763"/>
        <v>5.401880583002355E-6</v>
      </c>
      <c r="CC346" s="8">
        <f t="shared" si="764"/>
        <v>26.82481335226354</v>
      </c>
      <c r="CD346" s="7">
        <f t="shared" si="765"/>
        <v>1.3519251670499173E-2</v>
      </c>
      <c r="CE346" s="9">
        <f t="shared" si="766"/>
        <v>0.44237328751875804</v>
      </c>
      <c r="CF346" s="4">
        <f t="shared" si="767"/>
        <v>940.2743568575379</v>
      </c>
      <c r="CG346" s="6">
        <f t="shared" si="768"/>
        <v>5.3805487137150758E-6</v>
      </c>
      <c r="CH346" s="8">
        <f t="shared" si="769"/>
        <v>26.702155103861685</v>
      </c>
      <c r="CI346" s="7">
        <f t="shared" si="770"/>
        <v>1.3465864538913117E-2</v>
      </c>
      <c r="CJ346" s="9">
        <f t="shared" si="771"/>
        <v>0.44440536067449271</v>
      </c>
      <c r="CK346" s="4">
        <f t="shared" si="772"/>
        <v>923.66674472450848</v>
      </c>
      <c r="CL346" s="6">
        <f t="shared" si="773"/>
        <v>5.3473334894490175E-6</v>
      </c>
      <c r="CM346" s="8">
        <f t="shared" si="774"/>
        <v>26.511167564331849</v>
      </c>
      <c r="CN346" s="7">
        <f t="shared" si="775"/>
        <v>1.3382737011518694E-2</v>
      </c>
      <c r="CO346" s="9">
        <f t="shared" si="776"/>
        <v>0.44760687513752534</v>
      </c>
      <c r="CP346" s="4">
        <f t="shared" si="777"/>
        <v>886.42465771172078</v>
      </c>
      <c r="CQ346" s="6">
        <f t="shared" si="778"/>
        <v>5.2728493154234419E-6</v>
      </c>
      <c r="CR346" s="8">
        <f t="shared" si="779"/>
        <v>26.082883563684788</v>
      </c>
      <c r="CS346" s="7">
        <f t="shared" si="780"/>
        <v>1.3196325949917377E-2</v>
      </c>
      <c r="CT346" s="9">
        <f t="shared" si="781"/>
        <v>0.45495663241159978</v>
      </c>
      <c r="CU346" s="4">
        <f t="shared" si="782"/>
        <v>792.06688917057943</v>
      </c>
      <c r="CV346" s="6">
        <f t="shared" si="783"/>
        <v>5.0841337783411591E-6</v>
      </c>
      <c r="CW346" s="8">
        <f t="shared" si="784"/>
        <v>24.997769225461663</v>
      </c>
      <c r="CX346" s="7">
        <f t="shared" si="785"/>
        <v>1.2724028793261094E-2</v>
      </c>
      <c r="CY346" s="9">
        <f t="shared" si="786"/>
        <v>0.47470559323473971</v>
      </c>
      <c r="CZ346" s="5">
        <f t="shared" si="787"/>
        <v>588.37629615599872</v>
      </c>
      <c r="DA346" s="6">
        <f t="shared" si="788"/>
        <v>5.8346686218395738E-6</v>
      </c>
      <c r="DB346" s="8">
        <f t="shared" si="789"/>
        <v>36.432087411476033</v>
      </c>
      <c r="DC346" s="7">
        <f t="shared" si="790"/>
        <v>1.4602387502015495E-2</v>
      </c>
      <c r="DD346" s="9">
        <f t="shared" si="791"/>
        <v>0.32571784140976645</v>
      </c>
    </row>
    <row r="347" spans="2:108" x14ac:dyDescent="0.25">
      <c r="B347">
        <v>80</v>
      </c>
      <c r="C347">
        <f t="shared" si="699"/>
        <v>7.8209173307620117E-2</v>
      </c>
      <c r="D347" s="4">
        <f t="shared" si="700"/>
        <v>1018.6994213001668</v>
      </c>
      <c r="E347" s="6">
        <f t="shared" si="647"/>
        <v>5.5373988426003341E-6</v>
      </c>
      <c r="F347" s="8">
        <f t="shared" si="701"/>
        <v>27.604043344951918</v>
      </c>
      <c r="G347" s="7">
        <f t="shared" si="583"/>
        <v>1.3858412344139025E-2</v>
      </c>
      <c r="H347" s="9">
        <f t="shared" si="702"/>
        <v>0.42988560485244987</v>
      </c>
      <c r="I347" s="4">
        <f t="shared" si="703"/>
        <v>1018.3755703379188</v>
      </c>
      <c r="J347" s="6">
        <f t="shared" si="650"/>
        <v>5.5367511406758386E-6</v>
      </c>
      <c r="K347" s="8">
        <f t="shared" si="704"/>
        <v>27.600319058886065</v>
      </c>
      <c r="L347" s="7">
        <f t="shared" si="651"/>
        <v>1.3856791344712962E-2</v>
      </c>
      <c r="M347" s="9">
        <f t="shared" si="705"/>
        <v>0.42994361204304238</v>
      </c>
      <c r="N347" s="4">
        <f t="shared" si="706"/>
        <v>1017.4709693045172</v>
      </c>
      <c r="O347" s="6">
        <f t="shared" si="654"/>
        <v>5.5349419386090349E-6</v>
      </c>
      <c r="P347" s="8">
        <f t="shared" si="655"/>
        <v>27.589916147001947</v>
      </c>
      <c r="Q347" s="7">
        <f t="shared" si="584"/>
        <v>1.3858412344139025E-2</v>
      </c>
      <c r="R347" s="9">
        <f t="shared" si="707"/>
        <v>0.43010572437014738</v>
      </c>
      <c r="S347" s="4">
        <f t="shared" si="708"/>
        <v>1015.9701251147295</v>
      </c>
      <c r="T347" s="6">
        <f t="shared" si="658"/>
        <v>5.53194025022946E-6</v>
      </c>
      <c r="U347" s="8">
        <f t="shared" si="659"/>
        <v>27.572656438819386</v>
      </c>
      <c r="V347" s="7">
        <f t="shared" si="660"/>
        <v>1.3844751160243047E-2</v>
      </c>
      <c r="W347" s="9">
        <f t="shared" si="709"/>
        <v>0.43037495846831092</v>
      </c>
      <c r="X347" s="4">
        <f t="shared" si="710"/>
        <v>1013.8708214685161</v>
      </c>
      <c r="Y347" s="6">
        <f t="shared" si="663"/>
        <v>5.5277416429370324E-6</v>
      </c>
      <c r="Z347" s="8">
        <f t="shared" si="664"/>
        <v>27.548514446887935</v>
      </c>
      <c r="AA347" s="7">
        <f t="shared" si="665"/>
        <v>1.3834243332870755E-2</v>
      </c>
      <c r="AB347" s="9">
        <f t="shared" si="711"/>
        <v>0.43075211524004436</v>
      </c>
      <c r="AC347" s="4">
        <f t="shared" si="712"/>
        <v>1011.171864250306</v>
      </c>
      <c r="AD347" s="6">
        <f t="shared" si="713"/>
        <v>5.5223437285006133E-6</v>
      </c>
      <c r="AE347" s="8">
        <f t="shared" si="714"/>
        <v>27.517476438878518</v>
      </c>
      <c r="AF347" s="7">
        <f t="shared" si="715"/>
        <v>1.3820734007249711E-2</v>
      </c>
      <c r="AG347" s="9">
        <f t="shared" si="716"/>
        <v>0.43123797692989047</v>
      </c>
      <c r="AH347" s="4">
        <f t="shared" si="717"/>
        <v>1007.8731786645117</v>
      </c>
      <c r="AI347" s="6">
        <f t="shared" si="718"/>
        <v>5.5157463573290239E-6</v>
      </c>
      <c r="AJ347" s="8">
        <f t="shared" si="719"/>
        <v>27.479541554641884</v>
      </c>
      <c r="AK347" s="7">
        <f t="shared" si="720"/>
        <v>1.3804222808999039E-2</v>
      </c>
      <c r="AL347" s="9">
        <f t="shared" si="721"/>
        <v>0.43183329118215869</v>
      </c>
      <c r="AM347" s="4">
        <f t="shared" si="722"/>
        <v>1003.9747708107474</v>
      </c>
      <c r="AN347" s="6">
        <f t="shared" si="723"/>
        <v>5.5079495416214955E-6</v>
      </c>
      <c r="AO347" s="8">
        <f t="shared" si="724"/>
        <v>27.434709864323594</v>
      </c>
      <c r="AP347" s="7">
        <f t="shared" si="725"/>
        <v>1.3784709768649673E-2</v>
      </c>
      <c r="AQ347" s="9">
        <f t="shared" si="726"/>
        <v>0.43253895989435392</v>
      </c>
      <c r="AR347" s="4">
        <f t="shared" si="727"/>
        <v>999.47664751451168</v>
      </c>
      <c r="AS347" s="6">
        <f t="shared" si="728"/>
        <v>5.4989532950290243E-6</v>
      </c>
      <c r="AT347" s="8">
        <f t="shared" si="729"/>
        <v>27.382981446416885</v>
      </c>
      <c r="AU347" s="7">
        <f t="shared" si="730"/>
        <v>1.3762194920365876E-2</v>
      </c>
      <c r="AV347" s="9">
        <f t="shared" si="731"/>
        <v>0.43335605704362273</v>
      </c>
      <c r="AW347" s="4">
        <f t="shared" si="732"/>
        <v>994.37881077791042</v>
      </c>
      <c r="AX347" s="6">
        <f t="shared" si="733"/>
        <v>5.4887576215558215E-6</v>
      </c>
      <c r="AY347" s="8">
        <f t="shared" si="734"/>
        <v>27.32435632394597</v>
      </c>
      <c r="AZ347" s="7">
        <f t="shared" si="735"/>
        <v>1.3736678274168959E-2</v>
      </c>
      <c r="BA347" s="9">
        <f t="shared" si="736"/>
        <v>0.43428583381920338</v>
      </c>
      <c r="BB347" s="4">
        <f t="shared" si="737"/>
        <v>988.68125684766858</v>
      </c>
      <c r="BC347" s="6">
        <f t="shared" si="738"/>
        <v>5.4773625136953371E-6</v>
      </c>
      <c r="BD347" s="8">
        <f t="shared" si="739"/>
        <v>27.258834453748186</v>
      </c>
      <c r="BE347" s="7">
        <f t="shared" si="740"/>
        <v>1.3708159811272332E-2</v>
      </c>
      <c r="BF347" s="9">
        <f t="shared" si="741"/>
        <v>0.43532972364804107</v>
      </c>
      <c r="BG347" s="4">
        <f t="shared" si="742"/>
        <v>982.38393943039921</v>
      </c>
      <c r="BH347" s="6">
        <f t="shared" si="743"/>
        <v>5.4647678788607993E-6</v>
      </c>
      <c r="BI347" s="8">
        <f t="shared" si="744"/>
        <v>27.186415303449589</v>
      </c>
      <c r="BJ347" s="7">
        <f t="shared" si="745"/>
        <v>1.3676639299959673E-2</v>
      </c>
      <c r="BK347" s="9">
        <f t="shared" si="746"/>
        <v>0.43648935460101612</v>
      </c>
      <c r="BL347" s="4">
        <f t="shared" si="747"/>
        <v>975.48641689505496</v>
      </c>
      <c r="BM347" s="6">
        <f t="shared" si="748"/>
        <v>5.4509728337901107E-6</v>
      </c>
      <c r="BN347" s="8">
        <f t="shared" si="749"/>
        <v>27.107093794293132</v>
      </c>
      <c r="BO347" s="7">
        <f t="shared" si="750"/>
        <v>1.3642114529696636E-2</v>
      </c>
      <c r="BP347" s="9">
        <f t="shared" si="751"/>
        <v>0.43776662152606616</v>
      </c>
      <c r="BQ347" s="4">
        <f t="shared" si="752"/>
        <v>967.98495063062319</v>
      </c>
      <c r="BR347" s="6">
        <f t="shared" si="753"/>
        <v>5.4359699012612462E-6</v>
      </c>
      <c r="BS347" s="8">
        <f t="shared" si="754"/>
        <v>27.020826932252167</v>
      </c>
      <c r="BT347" s="7">
        <f t="shared" si="755"/>
        <v>1.3604566787287916E-2</v>
      </c>
      <c r="BU347" s="9">
        <f t="shared" si="756"/>
        <v>0.43916423799576249</v>
      </c>
      <c r="BV347" s="4">
        <f t="shared" si="757"/>
        <v>959.85172368753535</v>
      </c>
      <c r="BW347" s="6">
        <f t="shared" si="758"/>
        <v>5.4197034473750707E-6</v>
      </c>
      <c r="BX347" s="8">
        <f t="shared" si="759"/>
        <v>26.927294822406658</v>
      </c>
      <c r="BY347" s="7">
        <f t="shared" si="760"/>
        <v>1.356385683813322E-2</v>
      </c>
      <c r="BZ347" s="9">
        <f t="shared" si="761"/>
        <v>0.44068967744370352</v>
      </c>
      <c r="CA347" s="4">
        <f t="shared" si="762"/>
        <v>950.90789354697313</v>
      </c>
      <c r="CB347" s="6">
        <f t="shared" si="763"/>
        <v>5.4018157870939473E-6</v>
      </c>
      <c r="CC347" s="8">
        <f t="shared" si="764"/>
        <v>26.82444077579019</v>
      </c>
      <c r="CD347" s="7">
        <f t="shared" si="765"/>
        <v>1.3519089506197405E-2</v>
      </c>
      <c r="CE347" s="9">
        <f t="shared" si="766"/>
        <v>0.44237943183620143</v>
      </c>
      <c r="CF347" s="4">
        <f t="shared" si="767"/>
        <v>940.18250849024105</v>
      </c>
      <c r="CG347" s="6">
        <f t="shared" si="768"/>
        <v>5.3803650169804825E-6</v>
      </c>
      <c r="CH347" s="8">
        <f t="shared" si="769"/>
        <v>26.701098847637773</v>
      </c>
      <c r="CI347" s="7">
        <f t="shared" si="770"/>
        <v>1.3465404802281054E-2</v>
      </c>
      <c r="CJ347" s="9">
        <f t="shared" si="771"/>
        <v>0.44442294069735361</v>
      </c>
      <c r="CK347" s="4">
        <f t="shared" si="772"/>
        <v>923.36756646156186</v>
      </c>
      <c r="CL347" s="6">
        <f t="shared" si="773"/>
        <v>5.3467351329231244E-6</v>
      </c>
      <c r="CM347" s="8">
        <f t="shared" si="774"/>
        <v>26.50772701430796</v>
      </c>
      <c r="CN347" s="7">
        <f t="shared" si="775"/>
        <v>1.338123950850323E-2</v>
      </c>
      <c r="CO347" s="9">
        <f t="shared" si="776"/>
        <v>0.44766497192734506</v>
      </c>
      <c r="CP347" s="4">
        <f t="shared" si="777"/>
        <v>885.61146328676375</v>
      </c>
      <c r="CQ347" s="6">
        <f t="shared" si="778"/>
        <v>5.2712229265735277E-6</v>
      </c>
      <c r="CR347" s="8">
        <f t="shared" si="779"/>
        <v>26.07353182779778</v>
      </c>
      <c r="CS347" s="7">
        <f t="shared" si="780"/>
        <v>1.3192255597039666E-2</v>
      </c>
      <c r="CT347" s="9">
        <f t="shared" si="781"/>
        <v>0.4551198106988551</v>
      </c>
      <c r="CU347" s="4">
        <f t="shared" si="782"/>
        <v>790.5210707585079</v>
      </c>
      <c r="CV347" s="6">
        <f t="shared" si="783"/>
        <v>5.0810421415170166E-6</v>
      </c>
      <c r="CW347" s="8">
        <f t="shared" si="784"/>
        <v>24.979992313722839</v>
      </c>
      <c r="CX347" s="7">
        <f t="shared" si="785"/>
        <v>1.2716291373735219E-2</v>
      </c>
      <c r="CY347" s="9">
        <f t="shared" si="786"/>
        <v>0.47504341557378921</v>
      </c>
      <c r="CZ347" s="5">
        <f t="shared" si="787"/>
        <v>586.73821937371508</v>
      </c>
      <c r="DA347" s="6">
        <f t="shared" si="788"/>
        <v>5.8615594835752569E-6</v>
      </c>
      <c r="DB347" s="8">
        <f t="shared" si="789"/>
        <v>36.479591638162262</v>
      </c>
      <c r="DC347" s="7">
        <f t="shared" si="790"/>
        <v>1.466968708812357E-2</v>
      </c>
      <c r="DD347" s="9">
        <f t="shared" si="791"/>
        <v>0.32529368715037793</v>
      </c>
    </row>
    <row r="348" spans="2:108" x14ac:dyDescent="0.25">
      <c r="B348">
        <v>81</v>
      </c>
      <c r="C348">
        <f t="shared" si="699"/>
        <v>7.9186787973965361E-2</v>
      </c>
      <c r="D348" s="4">
        <f t="shared" si="700"/>
        <v>1018.682887106021</v>
      </c>
      <c r="E348" s="6">
        <f t="shared" si="647"/>
        <v>5.5373657742120431E-6</v>
      </c>
      <c r="F348" s="8">
        <f t="shared" si="701"/>
        <v>27.60385320171924</v>
      </c>
      <c r="G348" s="7">
        <f t="shared" si="583"/>
        <v>1.3858329584097079E-2</v>
      </c>
      <c r="H348" s="9">
        <f t="shared" si="702"/>
        <v>0.42988856602739856</v>
      </c>
      <c r="I348" s="4">
        <f t="shared" si="703"/>
        <v>1018.3590099657098</v>
      </c>
      <c r="J348" s="6">
        <f t="shared" si="650"/>
        <v>5.5367180199314196E-6</v>
      </c>
      <c r="K348" s="8">
        <f t="shared" si="704"/>
        <v>27.600128614605662</v>
      </c>
      <c r="L348" s="7">
        <f t="shared" si="651"/>
        <v>1.385670845363967E-2</v>
      </c>
      <c r="M348" s="9">
        <f t="shared" si="705"/>
        <v>0.42994657870681963</v>
      </c>
      <c r="N348" s="4">
        <f t="shared" si="706"/>
        <v>1017.4543744486419</v>
      </c>
      <c r="O348" s="6">
        <f t="shared" si="654"/>
        <v>5.5349087488972841E-6</v>
      </c>
      <c r="P348" s="8">
        <f t="shared" si="655"/>
        <v>27.58972530615938</v>
      </c>
      <c r="Q348" s="7">
        <f t="shared" si="584"/>
        <v>1.3858329584097079E-2</v>
      </c>
      <c r="R348" s="9">
        <f t="shared" si="707"/>
        <v>0.43010869945373092</v>
      </c>
      <c r="S348" s="4">
        <f t="shared" si="708"/>
        <v>1015.9535161271292</v>
      </c>
      <c r="T348" s="6">
        <f t="shared" si="658"/>
        <v>5.5319070322542586E-6</v>
      </c>
      <c r="U348" s="8">
        <f t="shared" si="659"/>
        <v>27.572465435461986</v>
      </c>
      <c r="V348" s="7">
        <f t="shared" si="660"/>
        <v>1.3844668025830903E-2</v>
      </c>
      <c r="W348" s="9">
        <f t="shared" si="709"/>
        <v>0.43037793981440059</v>
      </c>
      <c r="X348" s="4">
        <f t="shared" si="710"/>
        <v>1013.8542156727851</v>
      </c>
      <c r="Y348" s="6">
        <f t="shared" si="663"/>
        <v>5.527708431345571E-6</v>
      </c>
      <c r="Z348" s="8">
        <f t="shared" si="664"/>
        <v>27.54832348023703</v>
      </c>
      <c r="AA348" s="7">
        <f t="shared" si="665"/>
        <v>1.3834160214435159E-2</v>
      </c>
      <c r="AB348" s="9">
        <f t="shared" si="711"/>
        <v>0.43075510123985944</v>
      </c>
      <c r="AC348" s="4">
        <f t="shared" si="712"/>
        <v>1011.1552702768378</v>
      </c>
      <c r="AD348" s="6">
        <f t="shared" si="713"/>
        <v>5.5223105405536768E-6</v>
      </c>
      <c r="AE348" s="8">
        <f t="shared" si="714"/>
        <v>27.517285608183634</v>
      </c>
      <c r="AF348" s="7">
        <f t="shared" si="715"/>
        <v>1.3820650947989113E-2</v>
      </c>
      <c r="AG348" s="9">
        <f t="shared" si="716"/>
        <v>0.43124096753891961</v>
      </c>
      <c r="AH348" s="4">
        <f t="shared" si="717"/>
        <v>1007.856601069358</v>
      </c>
      <c r="AI348" s="6">
        <f t="shared" si="718"/>
        <v>5.5157132021387167E-6</v>
      </c>
      <c r="AJ348" s="8">
        <f t="shared" si="719"/>
        <v>27.479350912297619</v>
      </c>
      <c r="AK348" s="7">
        <f t="shared" si="720"/>
        <v>1.3804139831718245E-2</v>
      </c>
      <c r="AL348" s="9">
        <f t="shared" si="721"/>
        <v>0.43183628709393351</v>
      </c>
      <c r="AM348" s="4">
        <f t="shared" si="722"/>
        <v>1003.958213191342</v>
      </c>
      <c r="AN348" s="6">
        <f t="shared" si="723"/>
        <v>5.5079164263826847E-6</v>
      </c>
      <c r="AO348" s="8">
        <f t="shared" si="724"/>
        <v>27.434519451700432</v>
      </c>
      <c r="AP348" s="7">
        <f t="shared" si="725"/>
        <v>1.3784626891355234E-2</v>
      </c>
      <c r="AQ348" s="9">
        <f t="shared" si="726"/>
        <v>0.43254196198367856</v>
      </c>
      <c r="AR348" s="4">
        <f t="shared" si="727"/>
        <v>999.46011339294967</v>
      </c>
      <c r="AS348" s="6">
        <f t="shared" si="728"/>
        <v>5.4989202267859003E-6</v>
      </c>
      <c r="AT348" s="8">
        <f t="shared" si="729"/>
        <v>27.382791304018919</v>
      </c>
      <c r="AU348" s="7">
        <f t="shared" si="730"/>
        <v>1.3762112160687238E-2</v>
      </c>
      <c r="AV348" s="9">
        <f t="shared" si="731"/>
        <v>0.43335906620945042</v>
      </c>
      <c r="AW348" s="4">
        <f t="shared" si="732"/>
        <v>994.36230365945039</v>
      </c>
      <c r="AX348" s="6">
        <f t="shared" si="733"/>
        <v>5.4887246073189008E-6</v>
      </c>
      <c r="AY348" s="8">
        <f t="shared" si="734"/>
        <v>27.324166492083677</v>
      </c>
      <c r="AZ348" s="7">
        <f t="shared" si="735"/>
        <v>1.3736595649651297E-2</v>
      </c>
      <c r="BA348" s="9">
        <f t="shared" si="736"/>
        <v>0.43428885097577885</v>
      </c>
      <c r="BB348" s="4">
        <f t="shared" si="737"/>
        <v>988.66477970428332</v>
      </c>
      <c r="BC348" s="6">
        <f t="shared" si="738"/>
        <v>5.4773295594085666E-6</v>
      </c>
      <c r="BD348" s="8">
        <f t="shared" si="739"/>
        <v>27.258644966599256</v>
      </c>
      <c r="BE348" s="7">
        <f t="shared" si="740"/>
        <v>1.3708077336791523E-2</v>
      </c>
      <c r="BF348" s="9">
        <f t="shared" si="741"/>
        <v>0.43533274982150932</v>
      </c>
      <c r="BG348" s="4">
        <f t="shared" si="742"/>
        <v>982.36749014101736</v>
      </c>
      <c r="BH348" s="6">
        <f t="shared" si="743"/>
        <v>5.4647349802820347E-6</v>
      </c>
      <c r="BI348" s="8">
        <f t="shared" si="744"/>
        <v>27.186226136621698</v>
      </c>
      <c r="BJ348" s="7">
        <f t="shared" si="745"/>
        <v>1.3676556964898931E-2</v>
      </c>
      <c r="BK348" s="9">
        <f t="shared" si="746"/>
        <v>0.4364923917752897</v>
      </c>
      <c r="BL348" s="4">
        <f t="shared" si="747"/>
        <v>975.46995166630063</v>
      </c>
      <c r="BM348" s="6">
        <f t="shared" si="748"/>
        <v>5.4509399033326021E-6</v>
      </c>
      <c r="BN348" s="8">
        <f t="shared" si="749"/>
        <v>27.106904444162456</v>
      </c>
      <c r="BO348" s="7">
        <f t="shared" si="750"/>
        <v>1.3642032114853169E-2</v>
      </c>
      <c r="BP348" s="9">
        <f t="shared" si="751"/>
        <v>0.43776967946162509</v>
      </c>
      <c r="BQ348" s="4">
        <f t="shared" si="752"/>
        <v>967.96812870858514</v>
      </c>
      <c r="BR348" s="6">
        <f t="shared" si="753"/>
        <v>5.4359362574171701E-6</v>
      </c>
      <c r="BS348" s="8">
        <f t="shared" si="754"/>
        <v>27.020633480148728</v>
      </c>
      <c r="BT348" s="7">
        <f t="shared" si="755"/>
        <v>1.360448258705649E-2</v>
      </c>
      <c r="BU348" s="9">
        <f t="shared" si="756"/>
        <v>0.43916738215763629</v>
      </c>
      <c r="BV348" s="4">
        <f t="shared" si="757"/>
        <v>959.8323985459599</v>
      </c>
      <c r="BW348" s="6">
        <f t="shared" si="758"/>
        <v>5.4196647970919209E-6</v>
      </c>
      <c r="BX348" s="8">
        <f t="shared" si="759"/>
        <v>26.927072583278537</v>
      </c>
      <c r="BY348" s="7">
        <f t="shared" si="760"/>
        <v>1.3563760108319034E-2</v>
      </c>
      <c r="BZ348" s="9">
        <f t="shared" si="761"/>
        <v>0.44069331461924066</v>
      </c>
      <c r="CA348" s="4">
        <f t="shared" si="762"/>
        <v>950.87483601292195</v>
      </c>
      <c r="CB348" s="6">
        <f t="shared" si="763"/>
        <v>5.4017496720258447E-6</v>
      </c>
      <c r="CC348" s="8">
        <f t="shared" si="764"/>
        <v>26.8240606141486</v>
      </c>
      <c r="CD348" s="7">
        <f t="shared" si="765"/>
        <v>1.351892404044318E-2</v>
      </c>
      <c r="CE348" s="9">
        <f t="shared" si="766"/>
        <v>0.44238570141982009</v>
      </c>
      <c r="CF348" s="4">
        <f t="shared" si="767"/>
        <v>940.08854936991247</v>
      </c>
      <c r="CG348" s="6">
        <f t="shared" si="768"/>
        <v>5.380177098739826E-6</v>
      </c>
      <c r="CH348" s="8">
        <f t="shared" si="769"/>
        <v>26.700018317753994</v>
      </c>
      <c r="CI348" s="7">
        <f t="shared" si="770"/>
        <v>1.346493450051302E-2</v>
      </c>
      <c r="CJ348" s="9">
        <f t="shared" si="771"/>
        <v>0.444440926163234</v>
      </c>
      <c r="CK348" s="4">
        <f t="shared" si="772"/>
        <v>923.06398346456206</v>
      </c>
      <c r="CL348" s="6">
        <f t="shared" si="773"/>
        <v>5.3461279669291244E-6</v>
      </c>
      <c r="CM348" s="8">
        <f t="shared" si="774"/>
        <v>26.504235809842463</v>
      </c>
      <c r="CN348" s="7">
        <f t="shared" si="775"/>
        <v>1.3379719958088789E-2</v>
      </c>
      <c r="CO348" s="9">
        <f t="shared" si="776"/>
        <v>0.44772393948106937</v>
      </c>
      <c r="CP348" s="4">
        <f t="shared" si="777"/>
        <v>884.79497297038733</v>
      </c>
      <c r="CQ348" s="6">
        <f t="shared" si="778"/>
        <v>5.2695899459407755E-6</v>
      </c>
      <c r="CR348" s="8">
        <f t="shared" si="779"/>
        <v>26.064142189159455</v>
      </c>
      <c r="CS348" s="7">
        <f t="shared" si="780"/>
        <v>1.3188168746949587E-2</v>
      </c>
      <c r="CT348" s="9">
        <f t="shared" si="781"/>
        <v>0.45528376815920774</v>
      </c>
      <c r="CU348" s="4">
        <f t="shared" si="782"/>
        <v>788.98389019656929</v>
      </c>
      <c r="CV348" s="6">
        <f t="shared" si="783"/>
        <v>5.0779677803931393E-6</v>
      </c>
      <c r="CW348" s="8">
        <f t="shared" si="784"/>
        <v>24.962314737260545</v>
      </c>
      <c r="CX348" s="7">
        <f t="shared" si="785"/>
        <v>1.2708597189992898E-2</v>
      </c>
      <c r="CY348" s="9">
        <f t="shared" si="786"/>
        <v>0.47537982733648443</v>
      </c>
      <c r="CZ348" s="5">
        <f t="shared" si="787"/>
        <v>585.11848039727499</v>
      </c>
      <c r="DA348" s="6">
        <f t="shared" si="788"/>
        <v>5.8880883142021497E-6</v>
      </c>
      <c r="DB348" s="8">
        <f t="shared" si="789"/>
        <v>36.526564068479018</v>
      </c>
      <c r="DC348" s="7">
        <f t="shared" si="790"/>
        <v>1.4736080621312278E-2</v>
      </c>
      <c r="DD348" s="9">
        <f t="shared" si="791"/>
        <v>0.32487536597942124</v>
      </c>
    </row>
    <row r="349" spans="2:108" x14ac:dyDescent="0.25">
      <c r="B349">
        <v>82</v>
      </c>
      <c r="C349">
        <f t="shared" si="699"/>
        <v>8.016440264031062E-2</v>
      </c>
      <c r="D349" s="4">
        <f t="shared" si="700"/>
        <v>1018.6663515753554</v>
      </c>
      <c r="E349" s="6">
        <f t="shared" si="647"/>
        <v>5.5373327031507118E-6</v>
      </c>
      <c r="F349" s="8">
        <f t="shared" si="701"/>
        <v>27.603663043116587</v>
      </c>
      <c r="G349" s="7">
        <f t="shared" si="583"/>
        <v>1.3858246817365329E-2</v>
      </c>
      <c r="H349" s="9">
        <f t="shared" si="702"/>
        <v>0.42989152748250997</v>
      </c>
      <c r="I349" s="4">
        <f t="shared" si="703"/>
        <v>1018.3424491569714</v>
      </c>
      <c r="J349" s="6">
        <f t="shared" si="650"/>
        <v>5.5366848983139434E-6</v>
      </c>
      <c r="K349" s="8">
        <f t="shared" si="704"/>
        <v>27.599938165305169</v>
      </c>
      <c r="L349" s="7">
        <f t="shared" si="651"/>
        <v>1.3856625560381383E-2</v>
      </c>
      <c r="M349" s="9">
        <f t="shared" si="705"/>
        <v>0.42994954548974046</v>
      </c>
      <c r="N349" s="4">
        <f t="shared" si="706"/>
        <v>1017.4377798056379</v>
      </c>
      <c r="O349" s="6">
        <f t="shared" si="654"/>
        <v>5.5348755596112767E-6</v>
      </c>
      <c r="P349" s="8">
        <f t="shared" si="655"/>
        <v>27.589534467764835</v>
      </c>
      <c r="Q349" s="7">
        <f t="shared" si="584"/>
        <v>1.3858246817365329E-2</v>
      </c>
      <c r="R349" s="9">
        <f t="shared" si="707"/>
        <v>0.43011167454030874</v>
      </c>
      <c r="S349" s="4">
        <f t="shared" si="708"/>
        <v>1015.9369074535302</v>
      </c>
      <c r="T349" s="6">
        <f t="shared" si="658"/>
        <v>5.5318738149070609E-6</v>
      </c>
      <c r="U349" s="8">
        <f t="shared" si="659"/>
        <v>27.572274435715599</v>
      </c>
      <c r="V349" s="7">
        <f t="shared" si="660"/>
        <v>1.3844584892990463E-2</v>
      </c>
      <c r="W349" s="9">
        <f t="shared" si="709"/>
        <v>0.43038092114543103</v>
      </c>
      <c r="X349" s="4">
        <f t="shared" si="710"/>
        <v>1013.837610122234</v>
      </c>
      <c r="Y349" s="6">
        <f t="shared" si="663"/>
        <v>5.527675220244468E-6</v>
      </c>
      <c r="Z349" s="8">
        <f t="shared" si="664"/>
        <v>27.54813251640569</v>
      </c>
      <c r="AA349" s="7">
        <f t="shared" si="665"/>
        <v>1.3834077097226777E-2</v>
      </c>
      <c r="AB349" s="9">
        <f t="shared" si="711"/>
        <v>0.43075808723698472</v>
      </c>
      <c r="AC349" s="4">
        <f t="shared" si="712"/>
        <v>1011.1386765051096</v>
      </c>
      <c r="AD349" s="6">
        <f t="shared" si="713"/>
        <v>5.5222773530102203E-6</v>
      </c>
      <c r="AE349" s="8">
        <f t="shared" si="714"/>
        <v>27.517094779808758</v>
      </c>
      <c r="AF349" s="7">
        <f t="shared" si="715"/>
        <v>1.3820567889738303E-2</v>
      </c>
      <c r="AG349" s="9">
        <f t="shared" si="716"/>
        <v>0.4312439581530696</v>
      </c>
      <c r="AH349" s="4">
        <f t="shared" si="717"/>
        <v>1007.840023665419</v>
      </c>
      <c r="AI349" s="6">
        <f t="shared" si="718"/>
        <v>5.5156800473308381E-6</v>
      </c>
      <c r="AJ349" s="8">
        <f t="shared" si="719"/>
        <v>27.47916027215232</v>
      </c>
      <c r="AK349" s="7">
        <f t="shared" si="720"/>
        <v>1.3804056855394554E-2</v>
      </c>
      <c r="AL349" s="9">
        <f t="shared" si="721"/>
        <v>0.43183928301272073</v>
      </c>
      <c r="AM349" s="4">
        <f t="shared" si="722"/>
        <v>1003.9416557629484</v>
      </c>
      <c r="AN349" s="6">
        <f t="shared" si="723"/>
        <v>5.5078833115258977E-6</v>
      </c>
      <c r="AO349" s="8">
        <f t="shared" si="724"/>
        <v>27.434329041273905</v>
      </c>
      <c r="AP349" s="7">
        <f t="shared" si="725"/>
        <v>1.3784544015016881E-2</v>
      </c>
      <c r="AQ349" s="9">
        <f t="shared" si="726"/>
        <v>0.43254496408004289</v>
      </c>
      <c r="AR349" s="4">
        <f t="shared" si="727"/>
        <v>999.4435794626213</v>
      </c>
      <c r="AS349" s="6">
        <f t="shared" si="728"/>
        <v>5.4988871589252431E-6</v>
      </c>
      <c r="AT349" s="8">
        <f t="shared" si="729"/>
        <v>27.382601163820144</v>
      </c>
      <c r="AU349" s="7">
        <f t="shared" si="730"/>
        <v>1.3762029401965796E-2</v>
      </c>
      <c r="AV349" s="9">
        <f t="shared" si="731"/>
        <v>0.43336207538226412</v>
      </c>
      <c r="AW349" s="4">
        <f t="shared" si="732"/>
        <v>994.34579672471966</v>
      </c>
      <c r="AX349" s="6">
        <f t="shared" si="733"/>
        <v>5.4886915934494399E-6</v>
      </c>
      <c r="AY349" s="8">
        <f t="shared" si="734"/>
        <v>27.323976662334275</v>
      </c>
      <c r="AZ349" s="7">
        <f t="shared" si="735"/>
        <v>1.3736513026053275E-2</v>
      </c>
      <c r="BA349" s="9">
        <f t="shared" si="736"/>
        <v>0.43429186814069481</v>
      </c>
      <c r="BB349" s="4">
        <f t="shared" si="737"/>
        <v>988.64830267058801</v>
      </c>
      <c r="BC349" s="6">
        <f t="shared" si="738"/>
        <v>5.4772966053411767E-6</v>
      </c>
      <c r="BD349" s="8">
        <f t="shared" si="739"/>
        <v>27.25845548071176</v>
      </c>
      <c r="BE349" s="7">
        <f t="shared" si="740"/>
        <v>1.3707994862859757E-2</v>
      </c>
      <c r="BF349" s="9">
        <f t="shared" si="741"/>
        <v>0.43533577601690454</v>
      </c>
      <c r="BG349" s="4">
        <f t="shared" si="742"/>
        <v>982.35104035770632</v>
      </c>
      <c r="BH349" s="6">
        <f t="shared" si="743"/>
        <v>5.4647020807154136E-6</v>
      </c>
      <c r="BI349" s="8">
        <f t="shared" si="744"/>
        <v>27.186036964113622</v>
      </c>
      <c r="BJ349" s="7">
        <f t="shared" si="745"/>
        <v>1.3676474627365889E-2</v>
      </c>
      <c r="BK349" s="9">
        <f t="shared" si="746"/>
        <v>0.4364954290830303</v>
      </c>
      <c r="BL349" s="4">
        <f t="shared" si="747"/>
        <v>975.45348166401448</v>
      </c>
      <c r="BM349" s="6">
        <f t="shared" si="748"/>
        <v>5.4509069633280293E-6</v>
      </c>
      <c r="BN349" s="8">
        <f t="shared" si="749"/>
        <v>27.106715039136166</v>
      </c>
      <c r="BO349" s="7">
        <f t="shared" si="750"/>
        <v>1.3641949676116323E-2</v>
      </c>
      <c r="BP349" s="9">
        <f t="shared" si="751"/>
        <v>0.43777273832646824</v>
      </c>
      <c r="BQ349" s="4">
        <f t="shared" si="752"/>
        <v>967.95127610483007</v>
      </c>
      <c r="BR349" s="6">
        <f t="shared" si="753"/>
        <v>5.4359025522096608E-6</v>
      </c>
      <c r="BS349" s="8">
        <f t="shared" si="754"/>
        <v>27.020439675205544</v>
      </c>
      <c r="BT349" s="7">
        <f t="shared" si="755"/>
        <v>1.3604398233251196E-2</v>
      </c>
      <c r="BU349" s="9">
        <f t="shared" si="756"/>
        <v>0.43917053209933121</v>
      </c>
      <c r="BV349" s="4">
        <f t="shared" si="757"/>
        <v>959.81291286964938</v>
      </c>
      <c r="BW349" s="6">
        <f t="shared" si="758"/>
        <v>5.4196258257392994E-6</v>
      </c>
      <c r="BX349" s="8">
        <f t="shared" si="759"/>
        <v>26.926848498000965</v>
      </c>
      <c r="BY349" s="7">
        <f t="shared" si="760"/>
        <v>1.3563662574966356E-2</v>
      </c>
      <c r="BZ349" s="9">
        <f t="shared" si="761"/>
        <v>0.44069698206973118</v>
      </c>
      <c r="CA349" s="4">
        <f t="shared" si="762"/>
        <v>950.84110518587977</v>
      </c>
      <c r="CB349" s="6">
        <f t="shared" si="763"/>
        <v>5.4016822103717593E-6</v>
      </c>
      <c r="CC349" s="8">
        <f t="shared" si="764"/>
        <v>26.823672709637616</v>
      </c>
      <c r="CD349" s="7">
        <f t="shared" si="765"/>
        <v>1.3518755204596909E-2</v>
      </c>
      <c r="CE349" s="9">
        <f t="shared" si="766"/>
        <v>0.44239209888116077</v>
      </c>
      <c r="CF349" s="4">
        <f t="shared" si="767"/>
        <v>939.99246659630342</v>
      </c>
      <c r="CG349" s="6">
        <f t="shared" si="768"/>
        <v>5.3799849331926073E-6</v>
      </c>
      <c r="CH349" s="8">
        <f t="shared" si="769"/>
        <v>26.698913365857489</v>
      </c>
      <c r="CI349" s="7">
        <f t="shared" si="770"/>
        <v>1.3464453569038259E-2</v>
      </c>
      <c r="CJ349" s="9">
        <f t="shared" si="771"/>
        <v>0.44445931964005903</v>
      </c>
      <c r="CK349" s="4">
        <f t="shared" si="772"/>
        <v>922.75604163291064</v>
      </c>
      <c r="CL349" s="6">
        <f t="shared" si="773"/>
        <v>5.3455120832658216E-6</v>
      </c>
      <c r="CM349" s="8">
        <f t="shared" si="774"/>
        <v>26.50069447877847</v>
      </c>
      <c r="CN349" s="7">
        <f t="shared" si="775"/>
        <v>1.337817859001965E-2</v>
      </c>
      <c r="CO349" s="9">
        <f t="shared" si="776"/>
        <v>0.44778376956198468</v>
      </c>
      <c r="CP349" s="4">
        <f t="shared" si="777"/>
        <v>883.97533853340417</v>
      </c>
      <c r="CQ349" s="6">
        <f t="shared" si="778"/>
        <v>5.2679506770668088E-6</v>
      </c>
      <c r="CR349" s="8">
        <f t="shared" si="779"/>
        <v>26.054716393134147</v>
      </c>
      <c r="CS349" s="7">
        <f t="shared" si="780"/>
        <v>1.3184066159318809E-2</v>
      </c>
      <c r="CT349" s="9">
        <f t="shared" si="781"/>
        <v>0.45544847584082476</v>
      </c>
      <c r="CU349" s="4">
        <f t="shared" si="782"/>
        <v>787.45532230804167</v>
      </c>
      <c r="CV349" s="6">
        <f t="shared" si="783"/>
        <v>5.0749106446160839E-6</v>
      </c>
      <c r="CW349" s="8">
        <f t="shared" si="784"/>
        <v>24.94473620654248</v>
      </c>
      <c r="CX349" s="7">
        <f t="shared" si="785"/>
        <v>1.2700946116014892E-2</v>
      </c>
      <c r="CY349" s="9">
        <f t="shared" si="786"/>
        <v>0.47571482702653489</v>
      </c>
      <c r="CZ349" s="5">
        <f t="shared" si="787"/>
        <v>583.51663257575888</v>
      </c>
      <c r="DA349" s="6">
        <f t="shared" si="788"/>
        <v>5.9142652244717918E-6</v>
      </c>
      <c r="DB349" s="8">
        <f t="shared" si="789"/>
        <v>36.573017655302991</v>
      </c>
      <c r="DC349" s="7">
        <f t="shared" si="790"/>
        <v>1.4801593405694246E-2</v>
      </c>
      <c r="DD349" s="9">
        <f t="shared" si="791"/>
        <v>0.32446272226041689</v>
      </c>
    </row>
    <row r="350" spans="2:108" x14ac:dyDescent="0.25">
      <c r="B350">
        <v>83</v>
      </c>
      <c r="C350">
        <f t="shared" si="699"/>
        <v>8.1142017306655878E-2</v>
      </c>
      <c r="D350" s="4">
        <f t="shared" si="700"/>
        <v>1018.6498147541191</v>
      </c>
      <c r="E350" s="6">
        <f t="shared" si="647"/>
        <v>5.5372996295082381E-6</v>
      </c>
      <c r="F350" s="8">
        <f t="shared" si="701"/>
        <v>27.60347286967237</v>
      </c>
      <c r="G350" s="7">
        <f t="shared" si="583"/>
        <v>1.3858164044173775E-2</v>
      </c>
      <c r="H350" s="9">
        <f t="shared" si="702"/>
        <v>0.42989448920956536</v>
      </c>
      <c r="I350" s="4">
        <f t="shared" si="703"/>
        <v>1018.3258879189807</v>
      </c>
      <c r="J350" s="6">
        <f t="shared" si="650"/>
        <v>5.536651775837962E-6</v>
      </c>
      <c r="K350" s="8">
        <f t="shared" si="704"/>
        <v>27.599747711068275</v>
      </c>
      <c r="L350" s="7">
        <f t="shared" si="651"/>
        <v>1.3856542664974523E-2</v>
      </c>
      <c r="M350" s="9">
        <f t="shared" si="705"/>
        <v>0.42995251239050514</v>
      </c>
      <c r="N350" s="4">
        <f t="shared" si="706"/>
        <v>1017.4211853705092</v>
      </c>
      <c r="O350" s="6">
        <f t="shared" si="654"/>
        <v>5.5348423707410193E-6</v>
      </c>
      <c r="P350" s="8">
        <f t="shared" si="655"/>
        <v>27.589343631760855</v>
      </c>
      <c r="Q350" s="7">
        <f t="shared" si="584"/>
        <v>1.3858164044173775E-2</v>
      </c>
      <c r="R350" s="9">
        <f t="shared" si="707"/>
        <v>0.43011464963077589</v>
      </c>
      <c r="S350" s="4">
        <f t="shared" si="708"/>
        <v>1015.9202990916573</v>
      </c>
      <c r="T350" s="6">
        <f t="shared" si="658"/>
        <v>5.5318405981833151E-6</v>
      </c>
      <c r="U350" s="8">
        <f t="shared" si="659"/>
        <v>27.572083439554056</v>
      </c>
      <c r="V350" s="7">
        <f t="shared" si="660"/>
        <v>1.3844501761710331E-2</v>
      </c>
      <c r="W350" s="9">
        <f t="shared" si="709"/>
        <v>0.43038390246180924</v>
      </c>
      <c r="X350" s="4">
        <f t="shared" si="710"/>
        <v>1013.8210048170162</v>
      </c>
      <c r="Y350" s="6">
        <f t="shared" si="663"/>
        <v>5.5276420096340334E-6</v>
      </c>
      <c r="Z350" s="8">
        <f t="shared" si="664"/>
        <v>27.547941555395685</v>
      </c>
      <c r="AA350" s="7">
        <f t="shared" si="665"/>
        <v>1.3833993981246389E-2</v>
      </c>
      <c r="AB350" s="9">
        <f t="shared" si="711"/>
        <v>0.43076107323139168</v>
      </c>
      <c r="AC350" s="4">
        <f t="shared" si="712"/>
        <v>1011.1220829354996</v>
      </c>
      <c r="AD350" s="6">
        <f t="shared" si="713"/>
        <v>5.522244165871E-6</v>
      </c>
      <c r="AE350" s="8">
        <f t="shared" si="714"/>
        <v>27.516903953758245</v>
      </c>
      <c r="AF350" s="7">
        <f t="shared" si="715"/>
        <v>1.3820484832499171E-2</v>
      </c>
      <c r="AG350" s="9">
        <f t="shared" si="716"/>
        <v>0.43124694877227154</v>
      </c>
      <c r="AH350" s="4">
        <f t="shared" si="717"/>
        <v>1007.8234464528229</v>
      </c>
      <c r="AI350" s="6">
        <f t="shared" si="718"/>
        <v>5.5156468929056455E-6</v>
      </c>
      <c r="AJ350" s="8">
        <f t="shared" si="719"/>
        <v>27.478969634207463</v>
      </c>
      <c r="AK350" s="7">
        <f t="shared" si="720"/>
        <v>1.3803973880028608E-2</v>
      </c>
      <c r="AL350" s="9">
        <f t="shared" si="721"/>
        <v>0.43184227893849664</v>
      </c>
      <c r="AM350" s="4">
        <f t="shared" si="722"/>
        <v>1003.9250985255701</v>
      </c>
      <c r="AN350" s="6">
        <f t="shared" si="723"/>
        <v>5.5078501970511412E-6</v>
      </c>
      <c r="AO350" s="8">
        <f t="shared" si="724"/>
        <v>27.434138633044057</v>
      </c>
      <c r="AP350" s="7">
        <f t="shared" si="725"/>
        <v>1.3784461139634633E-2</v>
      </c>
      <c r="AQ350" s="9">
        <f t="shared" si="726"/>
        <v>0.4325479661834456</v>
      </c>
      <c r="AR350" s="4">
        <f t="shared" si="727"/>
        <v>999.42704572341154</v>
      </c>
      <c r="AS350" s="6">
        <f t="shared" si="728"/>
        <v>5.4988540914468239E-6</v>
      </c>
      <c r="AT350" s="8">
        <f t="shared" si="729"/>
        <v>27.382411025819231</v>
      </c>
      <c r="AU350" s="7">
        <f t="shared" si="730"/>
        <v>1.376194664420098E-2</v>
      </c>
      <c r="AV350" s="9">
        <f t="shared" si="731"/>
        <v>0.43336508456208422</v>
      </c>
      <c r="AW350" s="4">
        <f t="shared" si="732"/>
        <v>994.32928997273814</v>
      </c>
      <c r="AX350" s="6">
        <f t="shared" si="733"/>
        <v>5.4886585799454771E-6</v>
      </c>
      <c r="AY350" s="8">
        <f t="shared" si="734"/>
        <v>27.323786834686487</v>
      </c>
      <c r="AZ350" s="7">
        <f t="shared" si="735"/>
        <v>1.3736430403369981E-2</v>
      </c>
      <c r="BA350" s="9">
        <f t="shared" si="736"/>
        <v>0.43429488531412985</v>
      </c>
      <c r="BB350" s="4">
        <f t="shared" si="737"/>
        <v>988.63182573884148</v>
      </c>
      <c r="BC350" s="6">
        <f t="shared" si="738"/>
        <v>5.477263651477683E-6</v>
      </c>
      <c r="BD350" s="8">
        <f t="shared" si="739"/>
        <v>27.258265995996677</v>
      </c>
      <c r="BE350" s="7">
        <f t="shared" si="740"/>
        <v>1.3707912389438281E-2</v>
      </c>
      <c r="BF350" s="9">
        <f t="shared" si="741"/>
        <v>0.43533880223564847</v>
      </c>
      <c r="BG350" s="4">
        <f t="shared" si="742"/>
        <v>982.33459002703989</v>
      </c>
      <c r="BH350" s="6">
        <f t="shared" si="743"/>
        <v>5.4646691800540805E-6</v>
      </c>
      <c r="BI350" s="8">
        <f t="shared" si="744"/>
        <v>27.185847785310958</v>
      </c>
      <c r="BJ350" s="7">
        <f t="shared" si="745"/>
        <v>1.3676392287093117E-2</v>
      </c>
      <c r="BK350" s="9">
        <f t="shared" si="746"/>
        <v>0.43649846653410762</v>
      </c>
      <c r="BL350" s="4">
        <f t="shared" si="747"/>
        <v>975.43700657525505</v>
      </c>
      <c r="BM350" s="6">
        <f t="shared" si="748"/>
        <v>5.4508740131505104E-6</v>
      </c>
      <c r="BN350" s="8">
        <f t="shared" si="749"/>
        <v>27.106525575615432</v>
      </c>
      <c r="BO350" s="7">
        <f t="shared" si="750"/>
        <v>1.3641867211919713E-2</v>
      </c>
      <c r="BP350" s="9">
        <f t="shared" si="751"/>
        <v>0.43777579817875562</v>
      </c>
      <c r="BQ350" s="4">
        <f t="shared" si="752"/>
        <v>967.93439132003402</v>
      </c>
      <c r="BR350" s="6">
        <f t="shared" si="753"/>
        <v>5.4358687826400685E-6</v>
      </c>
      <c r="BS350" s="8">
        <f t="shared" si="754"/>
        <v>27.020245500180391</v>
      </c>
      <c r="BT350" s="7">
        <f t="shared" si="755"/>
        <v>1.3604313718367331E-2</v>
      </c>
      <c r="BU350" s="9">
        <f t="shared" si="756"/>
        <v>0.4391736881013415</v>
      </c>
      <c r="BV350" s="4">
        <f t="shared" si="757"/>
        <v>959.79326113944126</v>
      </c>
      <c r="BW350" s="6">
        <f t="shared" si="758"/>
        <v>5.4195865222788828E-6</v>
      </c>
      <c r="BX350" s="8">
        <f t="shared" si="759"/>
        <v>26.926622503103573</v>
      </c>
      <c r="BY350" s="7">
        <f t="shared" si="760"/>
        <v>1.3563564210449642E-2</v>
      </c>
      <c r="BZ350" s="9">
        <f t="shared" si="761"/>
        <v>0.4407006808354873</v>
      </c>
      <c r="CA350" s="4">
        <f t="shared" si="762"/>
        <v>950.80668747285313</v>
      </c>
      <c r="CB350" s="6">
        <f t="shared" si="763"/>
        <v>5.4016133749457069E-6</v>
      </c>
      <c r="CC350" s="8">
        <f t="shared" si="764"/>
        <v>26.82327690593781</v>
      </c>
      <c r="CD350" s="7">
        <f t="shared" si="765"/>
        <v>1.3518582930620401E-2</v>
      </c>
      <c r="CE350" s="9">
        <f t="shared" si="766"/>
        <v>0.44239862680950137</v>
      </c>
      <c r="CF350" s="4">
        <f t="shared" si="767"/>
        <v>939.89424808081742</v>
      </c>
      <c r="CG350" s="6">
        <f t="shared" si="768"/>
        <v>5.3797884961616354E-6</v>
      </c>
      <c r="CH350" s="8">
        <f t="shared" si="769"/>
        <v>26.697783852929398</v>
      </c>
      <c r="CI350" s="7">
        <f t="shared" si="770"/>
        <v>1.3463961947348682E-2</v>
      </c>
      <c r="CJ350" s="9">
        <f t="shared" si="771"/>
        <v>0.44447812354342081</v>
      </c>
      <c r="CK350" s="4">
        <f t="shared" si="772"/>
        <v>922.44378757188417</v>
      </c>
      <c r="CL350" s="6">
        <f t="shared" si="773"/>
        <v>5.3448875751437692E-6</v>
      </c>
      <c r="CM350" s="8">
        <f t="shared" si="774"/>
        <v>26.497103557076667</v>
      </c>
      <c r="CN350" s="7">
        <f t="shared" si="775"/>
        <v>1.3376615637573263E-2</v>
      </c>
      <c r="CO350" s="9">
        <f t="shared" si="776"/>
        <v>0.44784445379686239</v>
      </c>
      <c r="CP350" s="4">
        <f t="shared" si="777"/>
        <v>883.15270788682278</v>
      </c>
      <c r="CQ350" s="6">
        <f t="shared" si="778"/>
        <v>5.2663054157736466E-6</v>
      </c>
      <c r="CR350" s="8">
        <f t="shared" si="779"/>
        <v>26.045256140698463</v>
      </c>
      <c r="CS350" s="7">
        <f t="shared" si="780"/>
        <v>1.3179948574499185E-2</v>
      </c>
      <c r="CT350" s="9">
        <f t="shared" si="781"/>
        <v>0.45561390548872788</v>
      </c>
      <c r="CU350" s="4">
        <f t="shared" si="782"/>
        <v>785.93533839177212</v>
      </c>
      <c r="CV350" s="6">
        <f t="shared" si="783"/>
        <v>5.0718706767835449E-6</v>
      </c>
      <c r="CW350" s="8">
        <f t="shared" si="784"/>
        <v>24.927256391505381</v>
      </c>
      <c r="CX350" s="7">
        <f t="shared" si="785"/>
        <v>1.2693338008140825E-2</v>
      </c>
      <c r="CY350" s="9">
        <f t="shared" si="786"/>
        <v>0.4760484139667191</v>
      </c>
      <c r="CZ350" s="5">
        <f t="shared" si="787"/>
        <v>581.9322456815031</v>
      </c>
      <c r="DA350" s="6">
        <f t="shared" si="788"/>
        <v>5.9400999146623488E-6</v>
      </c>
      <c r="DB350" s="8">
        <f t="shared" si="789"/>
        <v>36.618964875236408</v>
      </c>
      <c r="DC350" s="7">
        <f t="shared" si="790"/>
        <v>1.4866249718093026E-2</v>
      </c>
      <c r="DD350" s="9">
        <f t="shared" si="791"/>
        <v>0.32405560643639819</v>
      </c>
    </row>
    <row r="351" spans="2:108" x14ac:dyDescent="0.25">
      <c r="B351">
        <v>84</v>
      </c>
      <c r="C351">
        <f t="shared" si="699"/>
        <v>8.2119631973001123E-2</v>
      </c>
      <c r="D351" s="4">
        <f t="shared" si="700"/>
        <v>1018.6332766862868</v>
      </c>
      <c r="E351" s="6">
        <f t="shared" si="647"/>
        <v>5.5372665533725738E-6</v>
      </c>
      <c r="F351" s="8">
        <f t="shared" si="701"/>
        <v>27.603282681892296</v>
      </c>
      <c r="G351" s="7">
        <f t="shared" si="583"/>
        <v>1.3858081264742526E-2</v>
      </c>
      <c r="H351" s="9">
        <f t="shared" si="702"/>
        <v>0.42989745120069922</v>
      </c>
      <c r="I351" s="4">
        <f t="shared" si="703"/>
        <v>1018.3093262590276</v>
      </c>
      <c r="J351" s="6">
        <f t="shared" si="650"/>
        <v>5.5366186525180555E-6</v>
      </c>
      <c r="K351" s="8">
        <f t="shared" si="704"/>
        <v>27.599557251978815</v>
      </c>
      <c r="L351" s="7">
        <f t="shared" si="651"/>
        <v>1.3856459767455575E-2</v>
      </c>
      <c r="M351" s="9">
        <f t="shared" si="705"/>
        <v>0.4299554794078117</v>
      </c>
      <c r="N351" s="4">
        <f t="shared" si="706"/>
        <v>1017.4045911384344</v>
      </c>
      <c r="O351" s="6">
        <f t="shared" si="654"/>
        <v>5.5348091822768692E-6</v>
      </c>
      <c r="P351" s="8">
        <f t="shared" si="655"/>
        <v>27.589152798091995</v>
      </c>
      <c r="Q351" s="7">
        <f t="shared" si="584"/>
        <v>1.3858081264742526E-2</v>
      </c>
      <c r="R351" s="9">
        <f t="shared" si="707"/>
        <v>0.43011762472599613</v>
      </c>
      <c r="S351" s="4">
        <f t="shared" si="708"/>
        <v>1015.9036910392425</v>
      </c>
      <c r="T351" s="6">
        <f t="shared" si="658"/>
        <v>5.5318073820784852E-6</v>
      </c>
      <c r="U351" s="8">
        <f t="shared" si="659"/>
        <v>27.571892446951288</v>
      </c>
      <c r="V351" s="7">
        <f t="shared" si="660"/>
        <v>1.3844418631979155E-2</v>
      </c>
      <c r="W351" s="9">
        <f t="shared" si="709"/>
        <v>0.43038688376394069</v>
      </c>
      <c r="X351" s="4">
        <f t="shared" si="710"/>
        <v>1013.8043997572593</v>
      </c>
      <c r="Y351" s="6">
        <f t="shared" si="663"/>
        <v>5.5276087995145188E-6</v>
      </c>
      <c r="Z351" s="8">
        <f t="shared" si="664"/>
        <v>27.547750597208481</v>
      </c>
      <c r="AA351" s="7">
        <f t="shared" si="665"/>
        <v>1.3833910866494622E-2</v>
      </c>
      <c r="AB351" s="9">
        <f t="shared" si="711"/>
        <v>0.43076405922305627</v>
      </c>
      <c r="AC351" s="4">
        <f t="shared" si="712"/>
        <v>1011.1054895683792</v>
      </c>
      <c r="AD351" s="6">
        <f t="shared" si="713"/>
        <v>5.5222109791367589E-6</v>
      </c>
      <c r="AE351" s="8">
        <f t="shared" si="714"/>
        <v>27.516713130036358</v>
      </c>
      <c r="AF351" s="7">
        <f t="shared" si="715"/>
        <v>1.3820401776273578E-2</v>
      </c>
      <c r="AG351" s="9">
        <f t="shared" si="716"/>
        <v>0.43124993939645795</v>
      </c>
      <c r="AH351" s="4">
        <f t="shared" si="717"/>
        <v>1007.8068694316987</v>
      </c>
      <c r="AI351" s="6">
        <f t="shared" si="718"/>
        <v>5.5156137388633983E-6</v>
      </c>
      <c r="AJ351" s="8">
        <f t="shared" si="719"/>
        <v>27.478778998464534</v>
      </c>
      <c r="AK351" s="7">
        <f t="shared" si="720"/>
        <v>1.3803890905621058E-2</v>
      </c>
      <c r="AL351" s="9">
        <f t="shared" si="721"/>
        <v>0.43184527487123725</v>
      </c>
      <c r="AM351" s="4">
        <f t="shared" si="722"/>
        <v>1003.9085414792107</v>
      </c>
      <c r="AN351" s="6">
        <f t="shared" si="723"/>
        <v>5.507817082958422E-6</v>
      </c>
      <c r="AO351" s="8">
        <f t="shared" si="724"/>
        <v>27.433948227010923</v>
      </c>
      <c r="AP351" s="7">
        <f t="shared" si="725"/>
        <v>1.378437826520851E-2</v>
      </c>
      <c r="AQ351" s="9">
        <f t="shared" si="726"/>
        <v>0.43255096829388551</v>
      </c>
      <c r="AR351" s="4">
        <f t="shared" si="727"/>
        <v>999.41051217519419</v>
      </c>
      <c r="AS351" s="6">
        <f t="shared" si="728"/>
        <v>5.4988210243503894E-6</v>
      </c>
      <c r="AT351" s="8">
        <f t="shared" si="729"/>
        <v>27.382220890014732</v>
      </c>
      <c r="AU351" s="7">
        <f t="shared" si="730"/>
        <v>1.3761863887392152E-2</v>
      </c>
      <c r="AV351" s="9">
        <f t="shared" si="731"/>
        <v>0.43336809374893309</v>
      </c>
      <c r="AW351" s="4">
        <f t="shared" si="732"/>
        <v>994.31278340243864</v>
      </c>
      <c r="AX351" s="6">
        <f t="shared" si="733"/>
        <v>5.4886255668048779E-6</v>
      </c>
      <c r="AY351" s="8">
        <f t="shared" si="734"/>
        <v>27.323597009128044</v>
      </c>
      <c r="AZ351" s="7">
        <f t="shared" si="735"/>
        <v>1.3736347781596077E-2</v>
      </c>
      <c r="BA351" s="9">
        <f t="shared" si="736"/>
        <v>0.43429790249627853</v>
      </c>
      <c r="BB351" s="4">
        <f t="shared" si="737"/>
        <v>988.61534890073199</v>
      </c>
      <c r="BC351" s="6">
        <f t="shared" si="738"/>
        <v>5.4772306978014648E-6</v>
      </c>
      <c r="BD351" s="8">
        <f t="shared" si="739"/>
        <v>27.258076512358418</v>
      </c>
      <c r="BE351" s="7">
        <f t="shared" si="740"/>
        <v>1.3707829916485498E-2</v>
      </c>
      <c r="BF351" s="9">
        <f t="shared" si="741"/>
        <v>0.43534182847926789</v>
      </c>
      <c r="BG351" s="4">
        <f t="shared" si="742"/>
        <v>982.3181390924716</v>
      </c>
      <c r="BH351" s="6">
        <f t="shared" si="743"/>
        <v>5.4646362781849435E-6</v>
      </c>
      <c r="BI351" s="8">
        <f t="shared" si="744"/>
        <v>27.185658599563425</v>
      </c>
      <c r="BJ351" s="7">
        <f t="shared" si="745"/>
        <v>1.3676309943797581E-2</v>
      </c>
      <c r="BK351" s="9">
        <f t="shared" si="746"/>
        <v>0.43650150413896777</v>
      </c>
      <c r="BL351" s="4">
        <f t="shared" si="747"/>
        <v>975.42052607358664</v>
      </c>
      <c r="BM351" s="6">
        <f t="shared" si="748"/>
        <v>5.4508410521471735E-6</v>
      </c>
      <c r="BN351" s="8">
        <f t="shared" si="749"/>
        <v>27.106336049846245</v>
      </c>
      <c r="BO351" s="7">
        <f t="shared" si="750"/>
        <v>1.3641784720629395E-2</v>
      </c>
      <c r="BP351" s="9">
        <f t="shared" si="751"/>
        <v>0.43777885907915648</v>
      </c>
      <c r="BQ351" s="4">
        <f t="shared" si="752"/>
        <v>967.91747281351741</v>
      </c>
      <c r="BR351" s="6">
        <f t="shared" si="753"/>
        <v>5.4358349456270353E-6</v>
      </c>
      <c r="BS351" s="8">
        <f t="shared" si="754"/>
        <v>27.02005093735545</v>
      </c>
      <c r="BT351" s="7">
        <f t="shared" si="755"/>
        <v>1.3604229034693202E-2</v>
      </c>
      <c r="BU351" s="9">
        <f t="shared" si="756"/>
        <v>0.4391768504519083</v>
      </c>
      <c r="BV351" s="4">
        <f t="shared" si="757"/>
        <v>959.77343777526562</v>
      </c>
      <c r="BW351" s="6">
        <f t="shared" si="758"/>
        <v>5.4195468755505319E-6</v>
      </c>
      <c r="BX351" s="8">
        <f t="shared" si="759"/>
        <v>26.926394534415554</v>
      </c>
      <c r="BY351" s="7">
        <f t="shared" si="760"/>
        <v>1.3563464986838485E-2</v>
      </c>
      <c r="BZ351" s="9">
        <f t="shared" si="761"/>
        <v>0.44070441196836851</v>
      </c>
      <c r="CA351" s="4">
        <f t="shared" si="762"/>
        <v>950.77156940828684</v>
      </c>
      <c r="CB351" s="6">
        <f t="shared" si="763"/>
        <v>5.4015431388165739E-6</v>
      </c>
      <c r="CC351" s="8">
        <f t="shared" si="764"/>
        <v>26.822873048195298</v>
      </c>
      <c r="CD351" s="7">
        <f t="shared" si="765"/>
        <v>1.3518407151113337E-2</v>
      </c>
      <c r="CE351" s="9">
        <f t="shared" si="766"/>
        <v>0.44240528777048022</v>
      </c>
      <c r="CF351" s="4">
        <f t="shared" si="767"/>
        <v>939.79388253599518</v>
      </c>
      <c r="CG351" s="6">
        <f t="shared" si="768"/>
        <v>5.3795877650719907E-6</v>
      </c>
      <c r="CH351" s="8">
        <f t="shared" si="769"/>
        <v>26.696629649163945</v>
      </c>
      <c r="CI351" s="7">
        <f t="shared" si="770"/>
        <v>1.3463459578946178E-2</v>
      </c>
      <c r="CJ351" s="9">
        <f t="shared" si="771"/>
        <v>0.44449734013857151</v>
      </c>
      <c r="CK351" s="4">
        <f t="shared" si="772"/>
        <v>922.12726853040226</v>
      </c>
      <c r="CL351" s="6">
        <f t="shared" si="773"/>
        <v>5.3442545370608055E-6</v>
      </c>
      <c r="CM351" s="8">
        <f t="shared" si="774"/>
        <v>26.493463588099623</v>
      </c>
      <c r="CN351" s="7">
        <f t="shared" si="775"/>
        <v>1.3375031337248756E-2</v>
      </c>
      <c r="CO351" s="9">
        <f t="shared" si="776"/>
        <v>0.44790598368754431</v>
      </c>
      <c r="CP351" s="4">
        <f t="shared" si="777"/>
        <v>882.32722514576415</v>
      </c>
      <c r="CQ351" s="6">
        <f t="shared" si="778"/>
        <v>5.2646544502915287E-6</v>
      </c>
      <c r="CR351" s="8">
        <f t="shared" si="779"/>
        <v>26.035763089176285</v>
      </c>
      <c r="CS351" s="7">
        <f t="shared" si="780"/>
        <v>1.3175816713842676E-2</v>
      </c>
      <c r="CT351" s="9">
        <f t="shared" si="781"/>
        <v>0.45578002953372748</v>
      </c>
      <c r="CU351" s="4">
        <f t="shared" si="782"/>
        <v>784.42390649607341</v>
      </c>
      <c r="CV351" s="6">
        <f t="shared" si="783"/>
        <v>5.0688478129921473E-6</v>
      </c>
      <c r="CW351" s="8">
        <f t="shared" si="784"/>
        <v>24.909874924704845</v>
      </c>
      <c r="CX351" s="7">
        <f t="shared" si="785"/>
        <v>1.268577270644013E-2</v>
      </c>
      <c r="CY351" s="9">
        <f t="shared" si="786"/>
        <v>0.47638058824410195</v>
      </c>
      <c r="CZ351" s="5">
        <f t="shared" si="787"/>
        <v>580.36490516908725</v>
      </c>
      <c r="DA351" s="6">
        <f t="shared" si="788"/>
        <v>5.9656016952090012E-6</v>
      </c>
      <c r="DB351" s="8">
        <f t="shared" si="789"/>
        <v>36.664417750096462</v>
      </c>
      <c r="DC351" s="7">
        <f t="shared" si="790"/>
        <v>1.4930072859674659E-2</v>
      </c>
      <c r="DD351" s="9">
        <f t="shared" si="791"/>
        <v>0.32365387473490365</v>
      </c>
    </row>
    <row r="352" spans="2:108" x14ac:dyDescent="0.25">
      <c r="B352">
        <v>85</v>
      </c>
      <c r="C352">
        <f t="shared" si="699"/>
        <v>8.3097246639346367E-2</v>
      </c>
      <c r="D352" s="4">
        <f t="shared" si="700"/>
        <v>1018.6167374139599</v>
      </c>
      <c r="E352" s="6">
        <f t="shared" si="647"/>
        <v>5.5372334748279198E-6</v>
      </c>
      <c r="F352" s="8">
        <f t="shared" si="701"/>
        <v>27.603092480260536</v>
      </c>
      <c r="G352" s="7">
        <f t="shared" si="583"/>
        <v>1.3857998479282315E-2</v>
      </c>
      <c r="H352" s="9">
        <f t="shared" si="702"/>
        <v>0.42990041344838092</v>
      </c>
      <c r="I352" s="4">
        <f t="shared" si="703"/>
        <v>1018.2927641844037</v>
      </c>
      <c r="J352" s="6">
        <f t="shared" si="650"/>
        <v>5.536585528368808E-6</v>
      </c>
      <c r="K352" s="8">
        <f t="shared" si="704"/>
        <v>27.599366788120641</v>
      </c>
      <c r="L352" s="7">
        <f t="shared" si="651"/>
        <v>1.3856376867861042E-2</v>
      </c>
      <c r="M352" s="9">
        <f t="shared" si="705"/>
        <v>0.42995844654035792</v>
      </c>
      <c r="N352" s="4">
        <f t="shared" si="706"/>
        <v>1017.3879971047626</v>
      </c>
      <c r="O352" s="6">
        <f t="shared" si="654"/>
        <v>5.5347759942095262E-6</v>
      </c>
      <c r="P352" s="8">
        <f t="shared" si="655"/>
        <v>27.588961966704769</v>
      </c>
      <c r="Q352" s="7">
        <f t="shared" si="584"/>
        <v>1.3857998479282315E-2</v>
      </c>
      <c r="R352" s="9">
        <f t="shared" si="707"/>
        <v>0.43012059982680256</v>
      </c>
      <c r="S352" s="4">
        <f t="shared" si="708"/>
        <v>1015.8870832940271</v>
      </c>
      <c r="T352" s="6">
        <f t="shared" si="658"/>
        <v>5.531774166588055E-6</v>
      </c>
      <c r="U352" s="8">
        <f t="shared" si="659"/>
        <v>27.571701457881311</v>
      </c>
      <c r="V352" s="7">
        <f t="shared" si="660"/>
        <v>1.3844335503785632E-2</v>
      </c>
      <c r="W352" s="9">
        <f t="shared" si="709"/>
        <v>0.43038986505222959</v>
      </c>
      <c r="X352" s="4">
        <f t="shared" si="710"/>
        <v>1013.7877949430656</v>
      </c>
      <c r="Y352" s="6">
        <f t="shared" si="663"/>
        <v>5.5275755898861317E-6</v>
      </c>
      <c r="Z352" s="8">
        <f t="shared" si="664"/>
        <v>27.547559641845254</v>
      </c>
      <c r="AA352" s="7">
        <f t="shared" si="665"/>
        <v>1.3833827752971999E-2</v>
      </c>
      <c r="AB352" s="9">
        <f t="shared" si="711"/>
        <v>0.43076704521195924</v>
      </c>
      <c r="AC352" s="4">
        <f t="shared" si="712"/>
        <v>1011.0888964041129</v>
      </c>
      <c r="AD352" s="6">
        <f t="shared" si="713"/>
        <v>5.5221777928082263E-6</v>
      </c>
      <c r="AE352" s="8">
        <f t="shared" si="714"/>
        <v>27.516522308647296</v>
      </c>
      <c r="AF352" s="7">
        <f t="shared" si="715"/>
        <v>1.3820318721063349E-2</v>
      </c>
      <c r="AG352" s="9">
        <f t="shared" si="716"/>
        <v>0.43125293002556236</v>
      </c>
      <c r="AH352" s="4">
        <f t="shared" si="717"/>
        <v>1007.7902926021771</v>
      </c>
      <c r="AI352" s="6">
        <f t="shared" si="718"/>
        <v>5.5155805852043547E-6</v>
      </c>
      <c r="AJ352" s="8">
        <f t="shared" si="719"/>
        <v>27.478588364925038</v>
      </c>
      <c r="AK352" s="7">
        <f t="shared" si="720"/>
        <v>1.3803807932172549E-2</v>
      </c>
      <c r="AL352" s="9">
        <f t="shared" si="721"/>
        <v>0.43184827081091837</v>
      </c>
      <c r="AM352" s="4">
        <f t="shared" si="722"/>
        <v>1003.8919846238733</v>
      </c>
      <c r="AN352" s="6">
        <f t="shared" si="723"/>
        <v>5.5077839692477468E-6</v>
      </c>
      <c r="AO352" s="8">
        <f t="shared" si="724"/>
        <v>27.433757823174542</v>
      </c>
      <c r="AP352" s="7">
        <f t="shared" si="725"/>
        <v>1.3784295391738522E-2</v>
      </c>
      <c r="AQ352" s="9">
        <f t="shared" si="726"/>
        <v>0.43255397041136151</v>
      </c>
      <c r="AR352" s="4">
        <f t="shared" si="727"/>
        <v>999.393978817831</v>
      </c>
      <c r="AS352" s="6">
        <f t="shared" si="728"/>
        <v>5.4987879576356627E-6</v>
      </c>
      <c r="AT352" s="8">
        <f t="shared" si="729"/>
        <v>27.382030756405058</v>
      </c>
      <c r="AU352" s="7">
        <f t="shared" si="730"/>
        <v>1.3761781131538624E-2</v>
      </c>
      <c r="AV352" s="9">
        <f t="shared" si="731"/>
        <v>0.43337110294283532</v>
      </c>
      <c r="AW352" s="4">
        <f t="shared" si="732"/>
        <v>994.29627701266111</v>
      </c>
      <c r="AX352" s="6">
        <f t="shared" si="733"/>
        <v>5.4885925540253222E-6</v>
      </c>
      <c r="AY352" s="8">
        <f t="shared" si="734"/>
        <v>27.3234071856456</v>
      </c>
      <c r="AZ352" s="7">
        <f t="shared" si="735"/>
        <v>1.3736265160725751E-2</v>
      </c>
      <c r="BA352" s="9">
        <f t="shared" si="736"/>
        <v>0.43430091968735246</v>
      </c>
      <c r="BB352" s="4">
        <f t="shared" si="737"/>
        <v>988.59887214734681</v>
      </c>
      <c r="BC352" s="6">
        <f t="shared" si="738"/>
        <v>5.4771977442946939E-6</v>
      </c>
      <c r="BD352" s="8">
        <f t="shared" si="739"/>
        <v>27.257887029694487</v>
      </c>
      <c r="BE352" s="7">
        <f t="shared" si="740"/>
        <v>1.3707747443956791E-2</v>
      </c>
      <c r="BF352" s="9">
        <f t="shared" si="741"/>
        <v>0.43534485474939993</v>
      </c>
      <c r="BG352" s="4">
        <f t="shared" si="742"/>
        <v>982.30168749421932</v>
      </c>
      <c r="BH352" s="6">
        <f t="shared" si="743"/>
        <v>5.4646033749884391E-6</v>
      </c>
      <c r="BI352" s="8">
        <f t="shared" si="744"/>
        <v>27.185469406183522</v>
      </c>
      <c r="BJ352" s="7">
        <f t="shared" si="745"/>
        <v>1.3676227597180051E-2</v>
      </c>
      <c r="BK352" s="9">
        <f t="shared" si="746"/>
        <v>0.43650454190865517</v>
      </c>
      <c r="BL352" s="4">
        <f t="shared" si="747"/>
        <v>975.40403981881911</v>
      </c>
      <c r="BM352" s="6">
        <f t="shared" si="748"/>
        <v>5.4508080796376385E-6</v>
      </c>
      <c r="BN352" s="8">
        <f t="shared" si="749"/>
        <v>27.106146457916417</v>
      </c>
      <c r="BO352" s="7">
        <f t="shared" si="750"/>
        <v>1.3641702200542593E-2</v>
      </c>
      <c r="BP352" s="9">
        <f t="shared" si="751"/>
        <v>0.43778192109089836</v>
      </c>
      <c r="BQ352" s="4">
        <f t="shared" si="752"/>
        <v>967.90051900333458</v>
      </c>
      <c r="BR352" s="6">
        <f t="shared" si="753"/>
        <v>5.4358010380066698E-6</v>
      </c>
      <c r="BS352" s="8">
        <f t="shared" si="754"/>
        <v>27.019855968538344</v>
      </c>
      <c r="BT352" s="7">
        <f t="shared" si="755"/>
        <v>1.3604144174310559E-2</v>
      </c>
      <c r="BU352" s="9">
        <f t="shared" si="756"/>
        <v>0.4391800194470033</v>
      </c>
      <c r="BV352" s="4">
        <f t="shared" si="757"/>
        <v>959.75343713905829</v>
      </c>
      <c r="BW352" s="6">
        <f t="shared" si="758"/>
        <v>5.419506874278117E-6</v>
      </c>
      <c r="BX352" s="8">
        <f t="shared" si="759"/>
        <v>26.926164527099168</v>
      </c>
      <c r="BY352" s="7">
        <f t="shared" si="760"/>
        <v>1.3563364875912188E-2</v>
      </c>
      <c r="BZ352" s="9">
        <f t="shared" si="761"/>
        <v>0.44070817653123501</v>
      </c>
      <c r="CA352" s="4">
        <f t="shared" si="762"/>
        <v>950.73573766104505</v>
      </c>
      <c r="CB352" s="6">
        <f t="shared" si="763"/>
        <v>5.4014714753220909E-6</v>
      </c>
      <c r="CC352" s="8">
        <f t="shared" si="764"/>
        <v>26.822460983102019</v>
      </c>
      <c r="CD352" s="7">
        <f t="shared" si="765"/>
        <v>1.351822779934822E-2</v>
      </c>
      <c r="CE352" s="9">
        <f t="shared" si="766"/>
        <v>0.44241208430478357</v>
      </c>
      <c r="CF352" s="4">
        <f t="shared" si="767"/>
        <v>939.69135946451081</v>
      </c>
      <c r="CG352" s="6">
        <f t="shared" si="768"/>
        <v>5.3793827189290222E-6</v>
      </c>
      <c r="CH352" s="8">
        <f t="shared" si="769"/>
        <v>26.695450633841872</v>
      </c>
      <c r="CI352" s="7">
        <f t="shared" si="770"/>
        <v>1.346294641128757E-2</v>
      </c>
      <c r="CJ352" s="9">
        <f t="shared" si="771"/>
        <v>0.44451697154250741</v>
      </c>
      <c r="CK352" s="4">
        <f t="shared" si="772"/>
        <v>921.80653234121883</v>
      </c>
      <c r="CL352" s="6">
        <f t="shared" si="773"/>
        <v>5.3436130646824383E-6</v>
      </c>
      <c r="CM352" s="8">
        <f t="shared" si="774"/>
        <v>26.489775121924016</v>
      </c>
      <c r="CN352" s="7">
        <f t="shared" si="775"/>
        <v>1.337342592846758E-2</v>
      </c>
      <c r="CO352" s="9">
        <f t="shared" si="776"/>
        <v>0.44796835062207202</v>
      </c>
      <c r="CP352" s="4">
        <f t="shared" si="777"/>
        <v>881.49903069468712</v>
      </c>
      <c r="CQ352" s="6">
        <f t="shared" si="778"/>
        <v>5.262998061389375E-6</v>
      </c>
      <c r="CR352" s="8">
        <f t="shared" si="779"/>
        <v>26.026238852988904</v>
      </c>
      <c r="CS352" s="7">
        <f t="shared" si="780"/>
        <v>1.3171671280027851E-2</v>
      </c>
      <c r="CT352" s="9">
        <f t="shared" si="781"/>
        <v>0.45594682108110746</v>
      </c>
      <c r="CU352" s="4">
        <f t="shared" si="782"/>
        <v>782.9209916757178</v>
      </c>
      <c r="CV352" s="6">
        <f t="shared" si="783"/>
        <v>5.0658419833514367E-6</v>
      </c>
      <c r="CW352" s="8">
        <f t="shared" si="784"/>
        <v>24.892591404270753</v>
      </c>
      <c r="CX352" s="7">
        <f t="shared" si="785"/>
        <v>1.2678250035998416E-2</v>
      </c>
      <c r="CY352" s="9">
        <f t="shared" si="786"/>
        <v>0.47671135065841247</v>
      </c>
      <c r="CZ352" s="5">
        <f t="shared" si="787"/>
        <v>578.81421147143817</v>
      </c>
      <c r="DA352" s="6">
        <f t="shared" si="788"/>
        <v>5.990779506140867E-6</v>
      </c>
      <c r="DB352" s="8">
        <f t="shared" si="789"/>
        <v>36.709387867328289</v>
      </c>
      <c r="DC352" s="7">
        <f t="shared" si="790"/>
        <v>1.4993085204592317E-2</v>
      </c>
      <c r="DD352" s="9">
        <f t="shared" si="791"/>
        <v>0.32325738888932198</v>
      </c>
    </row>
    <row r="353" spans="2:108" x14ac:dyDescent="0.25">
      <c r="B353">
        <v>86</v>
      </c>
      <c r="C353">
        <f t="shared" si="699"/>
        <v>8.4074861305691626E-2</v>
      </c>
      <c r="D353" s="4">
        <f t="shared" si="700"/>
        <v>1018.6001969774629</v>
      </c>
      <c r="E353" s="6">
        <f t="shared" si="647"/>
        <v>5.5372003939549265E-6</v>
      </c>
      <c r="F353" s="8">
        <f t="shared" si="701"/>
        <v>27.602902265240822</v>
      </c>
      <c r="G353" s="7">
        <f t="shared" si="583"/>
        <v>1.3857915687994982E-2</v>
      </c>
      <c r="H353" s="9">
        <f t="shared" si="702"/>
        <v>0.42990337594539785</v>
      </c>
      <c r="I353" s="4">
        <f t="shared" si="703"/>
        <v>1018.2762017023935</v>
      </c>
      <c r="J353" s="6">
        <f t="shared" si="650"/>
        <v>5.5365524034047876E-6</v>
      </c>
      <c r="K353" s="8">
        <f t="shared" si="704"/>
        <v>27.599176319577523</v>
      </c>
      <c r="L353" s="7">
        <f t="shared" si="651"/>
        <v>1.3856293966227382E-2</v>
      </c>
      <c r="M353" s="9">
        <f t="shared" si="705"/>
        <v>0.42996141378684255</v>
      </c>
      <c r="N353" s="4">
        <f t="shared" si="706"/>
        <v>1017.371403265008</v>
      </c>
      <c r="O353" s="6">
        <f t="shared" si="654"/>
        <v>5.5347428065300167E-6</v>
      </c>
      <c r="P353" s="8">
        <f t="shared" si="655"/>
        <v>27.588771137547589</v>
      </c>
      <c r="Q353" s="7">
        <f t="shared" si="584"/>
        <v>1.3857915687994982E-2</v>
      </c>
      <c r="R353" s="9">
        <f t="shared" si="707"/>
        <v>0.430123574933999</v>
      </c>
      <c r="S353" s="4">
        <f t="shared" si="708"/>
        <v>1015.8704758537627</v>
      </c>
      <c r="T353" s="6">
        <f t="shared" si="658"/>
        <v>5.5317409517075257E-6</v>
      </c>
      <c r="U353" s="8">
        <f t="shared" si="659"/>
        <v>27.57151047231827</v>
      </c>
      <c r="V353" s="7">
        <f t="shared" si="660"/>
        <v>1.3844252377118506E-2</v>
      </c>
      <c r="W353" s="9">
        <f t="shared" si="709"/>
        <v>0.43039284632707797</v>
      </c>
      <c r="X353" s="4">
        <f t="shared" si="710"/>
        <v>1013.771190374513</v>
      </c>
      <c r="Y353" s="6">
        <f t="shared" si="663"/>
        <v>5.527542380749027E-6</v>
      </c>
      <c r="Z353" s="8">
        <f t="shared" si="664"/>
        <v>27.5473686893069</v>
      </c>
      <c r="AA353" s="7">
        <f t="shared" si="665"/>
        <v>1.3833744640678903E-2</v>
      </c>
      <c r="AB353" s="9">
        <f t="shared" si="711"/>
        <v>0.43077003119808555</v>
      </c>
      <c r="AC353" s="4">
        <f t="shared" si="712"/>
        <v>1011.0723034430586</v>
      </c>
      <c r="AD353" s="6">
        <f t="shared" si="713"/>
        <v>5.522144606886117E-6</v>
      </c>
      <c r="AE353" s="8">
        <f t="shared" si="714"/>
        <v>27.516331489595174</v>
      </c>
      <c r="AF353" s="7">
        <f t="shared" si="715"/>
        <v>1.3820235666870274E-2</v>
      </c>
      <c r="AG353" s="9">
        <f t="shared" si="716"/>
        <v>0.43125592065951962</v>
      </c>
      <c r="AH353" s="4">
        <f t="shared" si="717"/>
        <v>1007.7737159643896</v>
      </c>
      <c r="AI353" s="6">
        <f t="shared" si="718"/>
        <v>5.5155474319287799E-6</v>
      </c>
      <c r="AJ353" s="8">
        <f t="shared" si="719"/>
        <v>27.478397733590477</v>
      </c>
      <c r="AK353" s="7">
        <f t="shared" si="720"/>
        <v>1.3803724959683744E-2</v>
      </c>
      <c r="AL353" s="9">
        <f t="shared" si="721"/>
        <v>0.43185126675751578</v>
      </c>
      <c r="AM353" s="4">
        <f t="shared" si="722"/>
        <v>1003.8754279595607</v>
      </c>
      <c r="AN353" s="6">
        <f t="shared" si="723"/>
        <v>5.5077508559191215E-6</v>
      </c>
      <c r="AO353" s="8">
        <f t="shared" si="724"/>
        <v>27.433567421534946</v>
      </c>
      <c r="AP353" s="7">
        <f t="shared" si="725"/>
        <v>1.3784212519224692E-2</v>
      </c>
      <c r="AQ353" s="9">
        <f t="shared" si="726"/>
        <v>0.4325569725358725</v>
      </c>
      <c r="AR353" s="4">
        <f t="shared" si="727"/>
        <v>999.37744565117055</v>
      </c>
      <c r="AS353" s="6">
        <f t="shared" si="728"/>
        <v>5.4987548913023422E-6</v>
      </c>
      <c r="AT353" s="8">
        <f t="shared" si="729"/>
        <v>27.38184062498846</v>
      </c>
      <c r="AU353" s="7">
        <f t="shared" si="730"/>
        <v>1.3761698376639639E-2</v>
      </c>
      <c r="AV353" s="9">
        <f t="shared" si="731"/>
        <v>0.43337411214381794</v>
      </c>
      <c r="AW353" s="4">
        <f t="shared" si="732"/>
        <v>994.27977080214612</v>
      </c>
      <c r="AX353" s="6">
        <f t="shared" si="733"/>
        <v>5.4885595416042936E-6</v>
      </c>
      <c r="AY353" s="8">
        <f t="shared" si="734"/>
        <v>27.323217364224682</v>
      </c>
      <c r="AZ353" s="7">
        <f t="shared" si="735"/>
        <v>1.3736182540752711E-2</v>
      </c>
      <c r="BA353" s="9">
        <f t="shared" si="736"/>
        <v>0.43430393688758118</v>
      </c>
      <c r="BB353" s="4">
        <f t="shared" si="737"/>
        <v>988.58239546914081</v>
      </c>
      <c r="BC353" s="6">
        <f t="shared" si="738"/>
        <v>5.4771647909382823E-6</v>
      </c>
      <c r="BD353" s="8">
        <f t="shared" si="739"/>
        <v>27.25769754789512</v>
      </c>
      <c r="BE353" s="7">
        <f t="shared" si="740"/>
        <v>1.3707664971804385E-2</v>
      </c>
      <c r="BF353" s="9">
        <f t="shared" si="741"/>
        <v>0.43534788104779792</v>
      </c>
      <c r="BG353" s="4">
        <f t="shared" si="742"/>
        <v>982.28523516914936</v>
      </c>
      <c r="BH353" s="6">
        <f t="shared" si="743"/>
        <v>5.464570470338299E-6</v>
      </c>
      <c r="BI353" s="8">
        <f t="shared" si="744"/>
        <v>27.185280204445217</v>
      </c>
      <c r="BJ353" s="7">
        <f t="shared" si="745"/>
        <v>1.3676145246924516E-2</v>
      </c>
      <c r="BK353" s="9">
        <f t="shared" si="746"/>
        <v>0.43650757985483363</v>
      </c>
      <c r="BL353" s="4">
        <f t="shared" si="747"/>
        <v>975.38754745675385</v>
      </c>
      <c r="BM353" s="6">
        <f t="shared" si="748"/>
        <v>5.4507750949135081E-6</v>
      </c>
      <c r="BN353" s="8">
        <f t="shared" si="749"/>
        <v>27.105956795752668</v>
      </c>
      <c r="BO353" s="7">
        <f t="shared" si="750"/>
        <v>1.3641619649886402E-2</v>
      </c>
      <c r="BP353" s="9">
        <f t="shared" si="751"/>
        <v>0.43778498427981399</v>
      </c>
      <c r="BQ353" s="4">
        <f t="shared" si="752"/>
        <v>967.88352826639903</v>
      </c>
      <c r="BR353" s="6">
        <f t="shared" si="753"/>
        <v>5.4357670565327986E-6</v>
      </c>
      <c r="BS353" s="8">
        <f t="shared" si="754"/>
        <v>27.01966057506359</v>
      </c>
      <c r="BT353" s="7">
        <f t="shared" si="755"/>
        <v>1.3604059129095222E-2</v>
      </c>
      <c r="BU353" s="9">
        <f t="shared" si="756"/>
        <v>0.43918319539030592</v>
      </c>
      <c r="BV353" s="4">
        <f t="shared" si="757"/>
        <v>959.73325353769371</v>
      </c>
      <c r="BW353" s="6">
        <f t="shared" si="758"/>
        <v>5.4194665070753877E-6</v>
      </c>
      <c r="BX353" s="8">
        <f t="shared" si="759"/>
        <v>26.925932415683477</v>
      </c>
      <c r="BY353" s="7">
        <f t="shared" si="760"/>
        <v>1.3563263849174452E-2</v>
      </c>
      <c r="BZ353" s="9">
        <f t="shared" si="761"/>
        <v>0.44071197559739855</v>
      </c>
      <c r="CA353" s="4">
        <f t="shared" si="762"/>
        <v>950.69917904108615</v>
      </c>
      <c r="CB353" s="6">
        <f t="shared" si="763"/>
        <v>5.4013983580821722E-6</v>
      </c>
      <c r="CC353" s="8">
        <f t="shared" si="764"/>
        <v>26.822040558972489</v>
      </c>
      <c r="CD353" s="7">
        <f t="shared" si="765"/>
        <v>1.3518044809303787E-2</v>
      </c>
      <c r="CE353" s="9">
        <f t="shared" si="766"/>
        <v>0.44241901892689139</v>
      </c>
      <c r="CF353" s="4">
        <f t="shared" si="767"/>
        <v>939.58666914772152</v>
      </c>
      <c r="CG353" s="6">
        <f t="shared" si="768"/>
        <v>5.379173338295444E-6</v>
      </c>
      <c r="CH353" s="8">
        <f t="shared" si="769"/>
        <v>26.694246695198796</v>
      </c>
      <c r="CI353" s="7">
        <f t="shared" si="770"/>
        <v>1.3462422395727291E-2</v>
      </c>
      <c r="CJ353" s="9">
        <f t="shared" si="771"/>
        <v>0.44453701972613491</v>
      </c>
      <c r="CK353" s="4">
        <f t="shared" si="772"/>
        <v>921.48162736348354</v>
      </c>
      <c r="CL353" s="6">
        <f t="shared" si="773"/>
        <v>5.342963254726968E-6</v>
      </c>
      <c r="CM353" s="8">
        <f t="shared" si="774"/>
        <v>26.48603871468006</v>
      </c>
      <c r="CN353" s="7">
        <f t="shared" si="775"/>
        <v>1.3371799653286E-2</v>
      </c>
      <c r="CO353" s="9">
        <f t="shared" si="776"/>
        <v>0.44803154588537125</v>
      </c>
      <c r="CP353" s="4">
        <f t="shared" si="777"/>
        <v>880.66826125368368</v>
      </c>
      <c r="CQ353" s="6">
        <f t="shared" si="778"/>
        <v>5.2613365225073677E-6</v>
      </c>
      <c r="CR353" s="8">
        <f t="shared" si="779"/>
        <v>26.016685004417361</v>
      </c>
      <c r="CS353" s="7">
        <f t="shared" si="780"/>
        <v>1.3167512957391683E-2</v>
      </c>
      <c r="CT353" s="9">
        <f t="shared" si="781"/>
        <v>0.45611425389910654</v>
      </c>
      <c r="CU353" s="4">
        <f t="shared" si="782"/>
        <v>781.42655623301653</v>
      </c>
      <c r="CV353" s="6">
        <f t="shared" si="783"/>
        <v>5.0628531124660337E-6</v>
      </c>
      <c r="CW353" s="8">
        <f t="shared" si="784"/>
        <v>24.875405396679689</v>
      </c>
      <c r="CX353" s="7">
        <f t="shared" si="785"/>
        <v>1.2670769808124158E-2</v>
      </c>
      <c r="CY353" s="9">
        <f t="shared" si="786"/>
        <v>0.47704070267340537</v>
      </c>
      <c r="CZ353" s="5">
        <f t="shared" si="787"/>
        <v>577.27977933108366</v>
      </c>
      <c r="DA353" s="6">
        <f t="shared" si="788"/>
        <v>6.0156419354014443E-6</v>
      </c>
      <c r="DB353" s="8">
        <f t="shared" si="789"/>
        <v>36.753886399398567</v>
      </c>
      <c r="DC353" s="7">
        <f t="shared" si="790"/>
        <v>1.5055308245836762E-2</v>
      </c>
      <c r="DD353" s="9">
        <f t="shared" si="791"/>
        <v>0.32286601587559133</v>
      </c>
    </row>
    <row r="354" spans="2:108" x14ac:dyDescent="0.25">
      <c r="B354">
        <v>87</v>
      </c>
      <c r="C354">
        <f t="shared" si="699"/>
        <v>8.5052475972036884E-2</v>
      </c>
      <c r="D354" s="4">
        <f t="shared" si="700"/>
        <v>1018.5836554154334</v>
      </c>
      <c r="E354" s="6">
        <f t="shared" si="647"/>
        <v>5.5371673108308676E-6</v>
      </c>
      <c r="F354" s="8">
        <f t="shared" si="701"/>
        <v>27.602712037277485</v>
      </c>
      <c r="G354" s="7">
        <f t="shared" si="583"/>
        <v>1.3857832891073925E-2</v>
      </c>
      <c r="H354" s="9">
        <f t="shared" si="702"/>
        <v>0.42990633868483907</v>
      </c>
      <c r="I354" s="4">
        <f t="shared" si="703"/>
        <v>1018.2596388202651</v>
      </c>
      <c r="J354" s="6">
        <f t="shared" si="650"/>
        <v>5.5365192776405312E-6</v>
      </c>
      <c r="K354" s="8">
        <f t="shared" si="704"/>
        <v>27.598985846433045</v>
      </c>
      <c r="L354" s="7">
        <f t="shared" si="651"/>
        <v>1.3856211062590976E-2</v>
      </c>
      <c r="M354" s="9">
        <f t="shared" si="705"/>
        <v>0.42996438114596741</v>
      </c>
      <c r="N354" s="4">
        <f t="shared" si="706"/>
        <v>1017.3548096148463</v>
      </c>
      <c r="O354" s="6">
        <f t="shared" si="654"/>
        <v>5.5347096192296924E-6</v>
      </c>
      <c r="P354" s="8">
        <f t="shared" si="655"/>
        <v>27.588580310570734</v>
      </c>
      <c r="Q354" s="7">
        <f t="shared" si="584"/>
        <v>1.3857832891073925E-2</v>
      </c>
      <c r="R354" s="9">
        <f t="shared" si="707"/>
        <v>0.43012655004835987</v>
      </c>
      <c r="S354" s="4">
        <f t="shared" si="708"/>
        <v>1015.8538687162126</v>
      </c>
      <c r="T354" s="6">
        <f t="shared" si="658"/>
        <v>5.5317077374324259E-6</v>
      </c>
      <c r="U354" s="8">
        <f t="shared" si="659"/>
        <v>27.571319490236444</v>
      </c>
      <c r="V354" s="7">
        <f t="shared" si="660"/>
        <v>1.3844169251966583E-2</v>
      </c>
      <c r="W354" s="9">
        <f t="shared" si="709"/>
        <v>0.43039582758888606</v>
      </c>
      <c r="X354" s="4">
        <f t="shared" si="710"/>
        <v>1013.7545860516558</v>
      </c>
      <c r="Y354" s="6">
        <f t="shared" si="663"/>
        <v>5.5275091721033124E-6</v>
      </c>
      <c r="Z354" s="8">
        <f t="shared" si="664"/>
        <v>27.547177739594041</v>
      </c>
      <c r="AA354" s="7">
        <f t="shared" si="665"/>
        <v>1.3833661529615609E-2</v>
      </c>
      <c r="AB354" s="9">
        <f t="shared" si="711"/>
        <v>0.43077301718142452</v>
      </c>
      <c r="AC354" s="4">
        <f t="shared" si="712"/>
        <v>1011.0557106855671</v>
      </c>
      <c r="AD354" s="6">
        <f t="shared" si="713"/>
        <v>5.5221114213711341E-6</v>
      </c>
      <c r="AE354" s="8">
        <f t="shared" si="714"/>
        <v>27.516140672884021</v>
      </c>
      <c r="AF354" s="7">
        <f t="shared" si="715"/>
        <v>1.382015261369611E-2</v>
      </c>
      <c r="AG354" s="9">
        <f t="shared" si="716"/>
        <v>0.43125891129826599</v>
      </c>
      <c r="AH354" s="4">
        <f t="shared" si="717"/>
        <v>1007.7571395184685</v>
      </c>
      <c r="AI354" s="6">
        <f t="shared" si="718"/>
        <v>5.5155142790369372E-6</v>
      </c>
      <c r="AJ354" s="8">
        <f t="shared" si="719"/>
        <v>27.478207104462385</v>
      </c>
      <c r="AK354" s="7">
        <f t="shared" si="720"/>
        <v>1.3803641988155303E-2</v>
      </c>
      <c r="AL354" s="9">
        <f t="shared" si="721"/>
        <v>0.43185426271100485</v>
      </c>
      <c r="AM354" s="4">
        <f t="shared" si="722"/>
        <v>1003.8588714862749</v>
      </c>
      <c r="AN354" s="6">
        <f t="shared" si="723"/>
        <v>5.5077177429725505E-6</v>
      </c>
      <c r="AO354" s="8">
        <f t="shared" si="724"/>
        <v>27.433377022092159</v>
      </c>
      <c r="AP354" s="7">
        <f t="shared" si="725"/>
        <v>1.3784129647667025E-2</v>
      </c>
      <c r="AQ354" s="9">
        <f t="shared" si="726"/>
        <v>0.43255997466741752</v>
      </c>
      <c r="AR354" s="4">
        <f t="shared" si="727"/>
        <v>999.36091267504719</v>
      </c>
      <c r="AS354" s="6">
        <f t="shared" si="728"/>
        <v>5.4987218253500951E-6</v>
      </c>
      <c r="AT354" s="8">
        <f t="shared" si="729"/>
        <v>27.38165049576304</v>
      </c>
      <c r="AU354" s="7">
        <f t="shared" si="730"/>
        <v>1.3761615622694363E-2</v>
      </c>
      <c r="AV354" s="9">
        <f t="shared" si="731"/>
        <v>0.43337712135191048</v>
      </c>
      <c r="AW354" s="4">
        <f t="shared" si="732"/>
        <v>994.26326476952829</v>
      </c>
      <c r="AX354" s="6">
        <f t="shared" si="733"/>
        <v>5.4885265295390577E-6</v>
      </c>
      <c r="AY354" s="8">
        <f t="shared" si="734"/>
        <v>27.323027544849573</v>
      </c>
      <c r="AZ354" s="7">
        <f t="shared" si="735"/>
        <v>1.373609992167011E-2</v>
      </c>
      <c r="BA354" s="9">
        <f t="shared" si="736"/>
        <v>0.43430695409721404</v>
      </c>
      <c r="BB354" s="4">
        <f t="shared" si="737"/>
        <v>988.56591885590433</v>
      </c>
      <c r="BC354" s="6">
        <f t="shared" si="738"/>
        <v>5.477131837711809E-6</v>
      </c>
      <c r="BD354" s="8">
        <f t="shared" si="739"/>
        <v>27.257508066842899</v>
      </c>
      <c r="BE354" s="7">
        <f t="shared" si="740"/>
        <v>1.3707582499977174E-2</v>
      </c>
      <c r="BF354" s="9">
        <f t="shared" si="741"/>
        <v>0.43535090737633764</v>
      </c>
      <c r="BG354" s="4">
        <f t="shared" si="742"/>
        <v>982.26878205065918</v>
      </c>
      <c r="BH354" s="6">
        <f t="shared" si="743"/>
        <v>5.464537564101319E-6</v>
      </c>
      <c r="BI354" s="8">
        <f t="shared" si="744"/>
        <v>27.18509099358258</v>
      </c>
      <c r="BJ354" s="7">
        <f t="shared" si="745"/>
        <v>1.367606289269761E-2</v>
      </c>
      <c r="BK354" s="9">
        <f t="shared" si="746"/>
        <v>0.43651061798980811</v>
      </c>
      <c r="BL354" s="4">
        <f t="shared" si="747"/>
        <v>975.37104861893727</v>
      </c>
      <c r="BM354" s="6">
        <f t="shared" si="748"/>
        <v>5.4507420972378747E-6</v>
      </c>
      <c r="BN354" s="8">
        <f t="shared" si="749"/>
        <v>27.105767059117778</v>
      </c>
      <c r="BO354" s="7">
        <f t="shared" si="750"/>
        <v>1.3641537066816565E-2</v>
      </c>
      <c r="BP354" s="9">
        <f t="shared" si="751"/>
        <v>0.4377880487143877</v>
      </c>
      <c r="BQ354" s="4">
        <f t="shared" si="752"/>
        <v>967.86649893864296</v>
      </c>
      <c r="BR354" s="6">
        <f t="shared" si="753"/>
        <v>5.4357329978772861E-6</v>
      </c>
      <c r="BS354" s="8">
        <f t="shared" si="754"/>
        <v>27.019464737794394</v>
      </c>
      <c r="BT354" s="7">
        <f t="shared" si="755"/>
        <v>1.360397389071789E-2</v>
      </c>
      <c r="BU354" s="9">
        <f t="shared" si="756"/>
        <v>0.43918637859317455</v>
      </c>
      <c r="BV354" s="4">
        <f t="shared" si="757"/>
        <v>959.7128812259341</v>
      </c>
      <c r="BW354" s="6">
        <f t="shared" si="758"/>
        <v>5.4194257624518686E-6</v>
      </c>
      <c r="BX354" s="8">
        <f t="shared" si="759"/>
        <v>26.925698134098241</v>
      </c>
      <c r="BY354" s="7">
        <f t="shared" si="760"/>
        <v>1.3563161877868143E-2</v>
      </c>
      <c r="BZ354" s="9">
        <f t="shared" si="761"/>
        <v>0.44071581025006978</v>
      </c>
      <c r="CA354" s="4">
        <f t="shared" si="762"/>
        <v>950.66188050583503</v>
      </c>
      <c r="CB354" s="6">
        <f t="shared" si="763"/>
        <v>5.4013237610116708E-6</v>
      </c>
      <c r="CC354" s="8">
        <f t="shared" si="764"/>
        <v>26.821611625817102</v>
      </c>
      <c r="CD354" s="7">
        <f t="shared" si="765"/>
        <v>1.3517858115696904E-2</v>
      </c>
      <c r="CE354" s="9">
        <f t="shared" si="766"/>
        <v>0.44242609412387951</v>
      </c>
      <c r="CF354" s="4">
        <f t="shared" si="767"/>
        <v>939.47980263381169</v>
      </c>
      <c r="CG354" s="6">
        <f t="shared" si="768"/>
        <v>5.378959605267623E-6</v>
      </c>
      <c r="CH354" s="8">
        <f t="shared" si="769"/>
        <v>26.693017730288833</v>
      </c>
      <c r="CI354" s="7">
        <f t="shared" si="770"/>
        <v>1.3461887487458029E-2</v>
      </c>
      <c r="CJ354" s="9">
        <f t="shared" si="771"/>
        <v>0.44455748651651217</v>
      </c>
      <c r="CK354" s="4">
        <f t="shared" si="772"/>
        <v>921.15260242761917</v>
      </c>
      <c r="CL354" s="6">
        <f t="shared" si="773"/>
        <v>5.3423052048552393E-6</v>
      </c>
      <c r="CM354" s="8">
        <f t="shared" si="774"/>
        <v>26.482254927917619</v>
      </c>
      <c r="CN354" s="7">
        <f t="shared" si="775"/>
        <v>1.3370152756119181E-2</v>
      </c>
      <c r="CO354" s="9">
        <f t="shared" si="776"/>
        <v>0.4480955606695009</v>
      </c>
      <c r="CP354" s="4">
        <f t="shared" si="777"/>
        <v>879.83504994562338</v>
      </c>
      <c r="CQ354" s="6">
        <f t="shared" si="778"/>
        <v>5.2596700998912479E-6</v>
      </c>
      <c r="CR354" s="8">
        <f t="shared" si="779"/>
        <v>26.007103074374669</v>
      </c>
      <c r="CS354" s="7">
        <f t="shared" si="780"/>
        <v>1.3163342412265671E-2</v>
      </c>
      <c r="CT354" s="9">
        <f t="shared" si="781"/>
        <v>0.45628230240723289</v>
      </c>
      <c r="CU354" s="4">
        <f t="shared" si="782"/>
        <v>779.94055994391579</v>
      </c>
      <c r="CV354" s="6">
        <f t="shared" si="783"/>
        <v>5.0598811198878322E-6</v>
      </c>
      <c r="CW354" s="8">
        <f t="shared" si="784"/>
        <v>24.858316439355029</v>
      </c>
      <c r="CX354" s="7">
        <f t="shared" si="785"/>
        <v>1.2663331821480396E-2</v>
      </c>
      <c r="CY354" s="9">
        <f t="shared" si="786"/>
        <v>0.47736864637104071</v>
      </c>
      <c r="CZ354" s="5">
        <f t="shared" si="787"/>
        <v>575.7612371646951</v>
      </c>
      <c r="DA354" s="6">
        <f t="shared" si="788"/>
        <v>6.0401972361241123E-6</v>
      </c>
      <c r="DB354" s="8">
        <f t="shared" si="789"/>
        <v>36.79792412222384</v>
      </c>
      <c r="DC354" s="7">
        <f t="shared" si="790"/>
        <v>1.5116762638471637E-2</v>
      </c>
      <c r="DD354" s="9">
        <f t="shared" si="791"/>
        <v>0.32247962766332144</v>
      </c>
    </row>
    <row r="355" spans="2:108" x14ac:dyDescent="0.25">
      <c r="B355">
        <v>88</v>
      </c>
      <c r="C355">
        <f t="shared" si="699"/>
        <v>8.6030090638382128E-2</v>
      </c>
      <c r="D355" s="4">
        <f t="shared" si="700"/>
        <v>1018.5671127649074</v>
      </c>
      <c r="E355" s="6">
        <f t="shared" si="647"/>
        <v>5.5371342255298147E-6</v>
      </c>
      <c r="F355" s="8">
        <f t="shared" si="701"/>
        <v>27.602521796796434</v>
      </c>
      <c r="G355" s="7">
        <f t="shared" si="583"/>
        <v>1.3857750088704518E-2</v>
      </c>
      <c r="H355" s="9">
        <f t="shared" si="702"/>
        <v>0.42990930166008023</v>
      </c>
      <c r="I355" s="4">
        <f t="shared" si="703"/>
        <v>1018.2430755452629</v>
      </c>
      <c r="J355" s="6">
        <f t="shared" si="650"/>
        <v>5.5364861510905263E-6</v>
      </c>
      <c r="K355" s="8">
        <f t="shared" si="704"/>
        <v>27.598795368770524</v>
      </c>
      <c r="L355" s="7">
        <f t="shared" si="651"/>
        <v>1.3856128156988085E-2</v>
      </c>
      <c r="M355" s="9">
        <f t="shared" si="705"/>
        <v>0.42996734861643826</v>
      </c>
      <c r="N355" s="4">
        <f t="shared" si="706"/>
        <v>1017.3382161501097</v>
      </c>
      <c r="O355" s="6">
        <f t="shared" si="654"/>
        <v>5.5346764323002204E-6</v>
      </c>
      <c r="P355" s="8">
        <f t="shared" si="655"/>
        <v>27.58838948572626</v>
      </c>
      <c r="Q355" s="7">
        <f t="shared" si="584"/>
        <v>1.3857750088704518E-2</v>
      </c>
      <c r="R355" s="9">
        <f t="shared" si="707"/>
        <v>0.43012952517063219</v>
      </c>
      <c r="S355" s="4">
        <f t="shared" si="708"/>
        <v>1015.8372618791524</v>
      </c>
      <c r="T355" s="6">
        <f t="shared" si="658"/>
        <v>5.5316745237583053E-6</v>
      </c>
      <c r="U355" s="8">
        <f t="shared" si="659"/>
        <v>27.571128511610251</v>
      </c>
      <c r="V355" s="7">
        <f t="shared" si="660"/>
        <v>1.3844086128318729E-2</v>
      </c>
      <c r="W355" s="9">
        <f t="shared" si="709"/>
        <v>0.43039880883805176</v>
      </c>
      <c r="X355" s="4">
        <f t="shared" si="710"/>
        <v>1013.7379819745247</v>
      </c>
      <c r="Y355" s="6">
        <f t="shared" si="663"/>
        <v>5.5274759639490498E-6</v>
      </c>
      <c r="Z355" s="8">
        <f t="shared" si="664"/>
        <v>27.546986792707031</v>
      </c>
      <c r="AA355" s="7">
        <f t="shared" si="665"/>
        <v>1.3833578419782264E-2</v>
      </c>
      <c r="AB355" s="9">
        <f t="shared" si="711"/>
        <v>0.43077600316196957</v>
      </c>
      <c r="AC355" s="4">
        <f t="shared" si="712"/>
        <v>1011.0391181319823</v>
      </c>
      <c r="AD355" s="6">
        <f t="shared" si="713"/>
        <v>5.5220782362639654E-6</v>
      </c>
      <c r="AE355" s="8">
        <f t="shared" si="714"/>
        <v>27.515949858517793</v>
      </c>
      <c r="AF355" s="7">
        <f t="shared" si="715"/>
        <v>1.3820069561542581E-2</v>
      </c>
      <c r="AG355" s="9">
        <f t="shared" si="716"/>
        <v>0.43126190194173869</v>
      </c>
      <c r="AH355" s="4">
        <f t="shared" si="717"/>
        <v>1007.7405632645473</v>
      </c>
      <c r="AI355" s="6">
        <f t="shared" si="718"/>
        <v>5.5154811265290952E-6</v>
      </c>
      <c r="AJ355" s="8">
        <f t="shared" si="719"/>
        <v>27.47801647754229</v>
      </c>
      <c r="AK355" s="7">
        <f t="shared" si="720"/>
        <v>1.3803559017587898E-2</v>
      </c>
      <c r="AL355" s="9">
        <f t="shared" si="721"/>
        <v>0.43185725867136093</v>
      </c>
      <c r="AM355" s="4">
        <f t="shared" si="722"/>
        <v>1003.8423152040172</v>
      </c>
      <c r="AN355" s="6">
        <f t="shared" si="723"/>
        <v>5.5076846304080346E-6</v>
      </c>
      <c r="AO355" s="8">
        <f t="shared" si="724"/>
        <v>27.433186624846197</v>
      </c>
      <c r="AP355" s="7">
        <f t="shared" si="725"/>
        <v>1.3784046777065524E-2</v>
      </c>
      <c r="AQ355" s="9">
        <f t="shared" si="726"/>
        <v>0.43256297680599576</v>
      </c>
      <c r="AR355" s="4">
        <f t="shared" si="727"/>
        <v>999.34437988927994</v>
      </c>
      <c r="AS355" s="6">
        <f t="shared" si="728"/>
        <v>5.4986887597785605E-6</v>
      </c>
      <c r="AT355" s="8">
        <f t="shared" si="729"/>
        <v>27.381460368726721</v>
      </c>
      <c r="AU355" s="7">
        <f t="shared" si="730"/>
        <v>1.3761532869701892E-2</v>
      </c>
      <c r="AV355" s="9">
        <f t="shared" si="731"/>
        <v>0.43338013056714519</v>
      </c>
      <c r="AW355" s="4">
        <f t="shared" si="732"/>
        <v>994.24675891332947</v>
      </c>
      <c r="AX355" s="6">
        <f t="shared" si="733"/>
        <v>5.4884935178266594E-6</v>
      </c>
      <c r="AY355" s="8">
        <f t="shared" si="734"/>
        <v>27.322837727503288</v>
      </c>
      <c r="AZ355" s="7">
        <f t="shared" si="735"/>
        <v>1.3736017303470554E-2</v>
      </c>
      <c r="BA355" s="9">
        <f t="shared" si="736"/>
        <v>0.43430997131652055</v>
      </c>
      <c r="BB355" s="4">
        <f t="shared" si="737"/>
        <v>988.54944229672992</v>
      </c>
      <c r="BC355" s="6">
        <f t="shared" si="738"/>
        <v>5.4770988845934603E-6</v>
      </c>
      <c r="BD355" s="8">
        <f t="shared" si="739"/>
        <v>27.257318586412396</v>
      </c>
      <c r="BE355" s="7">
        <f t="shared" si="740"/>
        <v>1.3707500028420567E-2</v>
      </c>
      <c r="BF355" s="9">
        <f t="shared" si="741"/>
        <v>0.43535393373702269</v>
      </c>
      <c r="BG355" s="4">
        <f t="shared" si="742"/>
        <v>982.25232806855979</v>
      </c>
      <c r="BH355" s="6">
        <f t="shared" si="743"/>
        <v>5.4645046561371201E-6</v>
      </c>
      <c r="BI355" s="8">
        <f t="shared" si="744"/>
        <v>27.184901772788436</v>
      </c>
      <c r="BJ355" s="7">
        <f t="shared" si="745"/>
        <v>1.3675980534148003E-2</v>
      </c>
      <c r="BK355" s="9">
        <f t="shared" si="746"/>
        <v>0.4365136563265466</v>
      </c>
      <c r="BL355" s="4">
        <f t="shared" si="747"/>
        <v>975.35454292242207</v>
      </c>
      <c r="BM355" s="6">
        <f t="shared" si="748"/>
        <v>5.4507090858448442E-6</v>
      </c>
      <c r="BN355" s="8">
        <f t="shared" si="749"/>
        <v>27.105577243607854</v>
      </c>
      <c r="BO355" s="7">
        <f t="shared" si="750"/>
        <v>1.3641454449416288E-2</v>
      </c>
      <c r="BP355" s="9">
        <f t="shared" si="751"/>
        <v>0.4377911144657996</v>
      </c>
      <c r="BQ355" s="4">
        <f t="shared" si="752"/>
        <v>967.84942931521141</v>
      </c>
      <c r="BR355" s="6">
        <f t="shared" si="753"/>
        <v>5.435698858630424E-6</v>
      </c>
      <c r="BS355" s="8">
        <f t="shared" si="754"/>
        <v>27.019268437124929</v>
      </c>
      <c r="BT355" s="7">
        <f t="shared" si="755"/>
        <v>1.360388845064511E-2</v>
      </c>
      <c r="BU355" s="9">
        <f t="shared" si="756"/>
        <v>0.43918956937461034</v>
      </c>
      <c r="BV355" s="4">
        <f t="shared" si="757"/>
        <v>959.69231440938995</v>
      </c>
      <c r="BW355" s="6">
        <f t="shared" si="758"/>
        <v>5.41938462881878E-6</v>
      </c>
      <c r="BX355" s="8">
        <f t="shared" si="759"/>
        <v>26.925461615707984</v>
      </c>
      <c r="BY355" s="7">
        <f t="shared" si="760"/>
        <v>1.3563058932990094E-2</v>
      </c>
      <c r="BZ355" s="9">
        <f t="shared" si="761"/>
        <v>0.44071968158180364</v>
      </c>
      <c r="CA355" s="4">
        <f t="shared" si="762"/>
        <v>950.62382916625472</v>
      </c>
      <c r="CB355" s="6">
        <f t="shared" si="763"/>
        <v>5.4012476583325103E-6</v>
      </c>
      <c r="CC355" s="8">
        <f t="shared" si="764"/>
        <v>26.821174035411929</v>
      </c>
      <c r="CD355" s="7">
        <f t="shared" si="765"/>
        <v>1.3517667654012947E-2</v>
      </c>
      <c r="CE355" s="9">
        <f t="shared" si="766"/>
        <v>0.44243331235427957</v>
      </c>
      <c r="CF355" s="4">
        <f t="shared" si="767"/>
        <v>939.37075172557081</v>
      </c>
      <c r="CG355" s="6">
        <f t="shared" si="768"/>
        <v>5.3787415034511418E-6</v>
      </c>
      <c r="CH355" s="8">
        <f t="shared" si="769"/>
        <v>26.691763644844066</v>
      </c>
      <c r="CI355" s="7">
        <f t="shared" si="770"/>
        <v>1.3461341645449584E-2</v>
      </c>
      <c r="CJ355" s="9">
        <f t="shared" si="771"/>
        <v>0.44457837359915764</v>
      </c>
      <c r="CK355" s="4">
        <f t="shared" si="772"/>
        <v>920.81950678245903</v>
      </c>
      <c r="CL355" s="6">
        <f t="shared" si="773"/>
        <v>5.3416390135649182E-6</v>
      </c>
      <c r="CM355" s="8">
        <f t="shared" si="774"/>
        <v>26.478424327998276</v>
      </c>
      <c r="CN355" s="7">
        <f t="shared" si="775"/>
        <v>1.3368485483476597E-2</v>
      </c>
      <c r="CO355" s="9">
        <f t="shared" si="776"/>
        <v>0.4481603860834793</v>
      </c>
      <c r="CP355" s="4">
        <f t="shared" si="777"/>
        <v>878.99952636394585</v>
      </c>
      <c r="CQ355" s="6">
        <f t="shared" si="778"/>
        <v>5.2579990527278925E-6</v>
      </c>
      <c r="CR355" s="8">
        <f t="shared" si="779"/>
        <v>25.997494553185376</v>
      </c>
      <c r="CS355" s="7">
        <f t="shared" si="780"/>
        <v>1.3159160293315141E-2</v>
      </c>
      <c r="CT355" s="9">
        <f t="shared" si="781"/>
        <v>0.45645094166445094</v>
      </c>
      <c r="CU355" s="4">
        <f t="shared" si="782"/>
        <v>778.462960269988</v>
      </c>
      <c r="CV355" s="6">
        <f t="shared" si="783"/>
        <v>5.0569259205399765E-6</v>
      </c>
      <c r="CW355" s="8">
        <f t="shared" si="784"/>
        <v>24.841324043104862</v>
      </c>
      <c r="CX355" s="7">
        <f t="shared" si="785"/>
        <v>1.2655935863145838E-2</v>
      </c>
      <c r="CY355" s="9">
        <f t="shared" si="786"/>
        <v>0.47769518440832354</v>
      </c>
      <c r="CZ355" s="5">
        <f t="shared" si="787"/>
        <v>574.2582264591623</v>
      </c>
      <c r="DA355" s="6">
        <f t="shared" si="788"/>
        <v>6.0644533429291397E-6</v>
      </c>
      <c r="DB355" s="8">
        <f t="shared" si="789"/>
        <v>36.841511432684285</v>
      </c>
      <c r="DC355" s="7">
        <f t="shared" si="790"/>
        <v>1.517746824041988E-2</v>
      </c>
      <c r="DD355" s="9">
        <f t="shared" si="791"/>
        <v>0.32209810098047043</v>
      </c>
    </row>
    <row r="356" spans="2:108" x14ac:dyDescent="0.25">
      <c r="B356">
        <v>89</v>
      </c>
      <c r="C356">
        <f t="shared" si="699"/>
        <v>8.7007705304727373E-2</v>
      </c>
      <c r="D356" s="4">
        <f t="shared" si="700"/>
        <v>1018.5505690613998</v>
      </c>
      <c r="E356" s="6">
        <f t="shared" si="647"/>
        <v>5.5371011381228007E-6</v>
      </c>
      <c r="F356" s="8">
        <f t="shared" si="701"/>
        <v>27.602331544206095</v>
      </c>
      <c r="G356" s="7">
        <f t="shared" si="583"/>
        <v>1.3857667281064535E-2</v>
      </c>
      <c r="H356" s="9">
        <f t="shared" si="702"/>
        <v>0.42991226486476897</v>
      </c>
      <c r="I356" s="4">
        <f t="shared" si="703"/>
        <v>1018.2265118845999</v>
      </c>
      <c r="J356" s="6">
        <f t="shared" si="650"/>
        <v>5.5364530237691997E-6</v>
      </c>
      <c r="K356" s="8">
        <f t="shared" si="704"/>
        <v>27.598604886672895</v>
      </c>
      <c r="L356" s="7">
        <f t="shared" si="651"/>
        <v>1.3856045249454808E-2</v>
      </c>
      <c r="M356" s="9">
        <f t="shared" si="705"/>
        <v>0.42997031619696685</v>
      </c>
      <c r="N356" s="4">
        <f t="shared" si="706"/>
        <v>1017.3216228667827</v>
      </c>
      <c r="O356" s="6">
        <f t="shared" si="654"/>
        <v>5.5346432457335657E-6</v>
      </c>
      <c r="P356" s="8">
        <f t="shared" si="655"/>
        <v>27.588198662968001</v>
      </c>
      <c r="Q356" s="7">
        <f t="shared" si="584"/>
        <v>1.3857667281064535E-2</v>
      </c>
      <c r="R356" s="9">
        <f t="shared" si="707"/>
        <v>0.43013250030153527</v>
      </c>
      <c r="S356" s="4">
        <f t="shared" si="708"/>
        <v>1015.820655340372</v>
      </c>
      <c r="T356" s="6">
        <f t="shared" si="658"/>
        <v>5.531641310680745E-6</v>
      </c>
      <c r="U356" s="8">
        <f t="shared" si="659"/>
        <v>27.570937536414277</v>
      </c>
      <c r="V356" s="7">
        <f t="shared" si="660"/>
        <v>1.3844003006163881E-2</v>
      </c>
      <c r="W356" s="9">
        <f t="shared" si="709"/>
        <v>0.43040179007497037</v>
      </c>
      <c r="X356" s="4">
        <f t="shared" si="710"/>
        <v>1013.7213781431283</v>
      </c>
      <c r="Y356" s="6">
        <f t="shared" si="663"/>
        <v>5.5274427562862568E-6</v>
      </c>
      <c r="Z356" s="8">
        <f t="shared" si="664"/>
        <v>27.546795848645974</v>
      </c>
      <c r="AA356" s="7">
        <f t="shared" si="665"/>
        <v>1.3833495311178921E-2</v>
      </c>
      <c r="AB356" s="9">
        <f t="shared" si="711"/>
        <v>0.43077898913971818</v>
      </c>
      <c r="AC356" s="4">
        <f t="shared" si="712"/>
        <v>1011.0225257826409</v>
      </c>
      <c r="AD356" s="6">
        <f t="shared" si="713"/>
        <v>5.5220450515652826E-6</v>
      </c>
      <c r="AE356" s="8">
        <f t="shared" si="714"/>
        <v>27.515759046500371</v>
      </c>
      <c r="AF356" s="7">
        <f t="shared" si="715"/>
        <v>1.3819986510411367E-2</v>
      </c>
      <c r="AG356" s="9">
        <f t="shared" si="716"/>
        <v>0.43126489258987627</v>
      </c>
      <c r="AH356" s="4">
        <f t="shared" si="717"/>
        <v>1007.7239872027598</v>
      </c>
      <c r="AI356" s="6">
        <f t="shared" si="718"/>
        <v>5.5154479744055199E-6</v>
      </c>
      <c r="AJ356" s="8">
        <f t="shared" si="719"/>
        <v>27.477825852831735</v>
      </c>
      <c r="AK356" s="7">
        <f t="shared" si="720"/>
        <v>1.3803476047982195E-2</v>
      </c>
      <c r="AL356" s="9">
        <f t="shared" si="721"/>
        <v>0.4318602546385592</v>
      </c>
      <c r="AM356" s="4">
        <f t="shared" si="722"/>
        <v>1003.8257591127878</v>
      </c>
      <c r="AN356" s="6">
        <f t="shared" si="723"/>
        <v>5.5076515182255762E-6</v>
      </c>
      <c r="AO356" s="8">
        <f t="shared" si="724"/>
        <v>27.432996229797059</v>
      </c>
      <c r="AP356" s="7">
        <f t="shared" si="725"/>
        <v>1.3783963907420196E-2</v>
      </c>
      <c r="AQ356" s="9">
        <f t="shared" si="726"/>
        <v>0.43256597895160664</v>
      </c>
      <c r="AR356" s="4">
        <f t="shared" si="727"/>
        <v>999.32784729367108</v>
      </c>
      <c r="AS356" s="6">
        <f t="shared" si="728"/>
        <v>5.4986556945873428E-6</v>
      </c>
      <c r="AT356" s="8">
        <f t="shared" si="729"/>
        <v>27.381270243877218</v>
      </c>
      <c r="AU356" s="7">
        <f t="shared" si="730"/>
        <v>1.376145011766124E-2</v>
      </c>
      <c r="AV356" s="9">
        <f t="shared" si="731"/>
        <v>0.43338313978955778</v>
      </c>
      <c r="AW356" s="4">
        <f t="shared" si="732"/>
        <v>994.23025323195134</v>
      </c>
      <c r="AX356" s="6">
        <f t="shared" si="733"/>
        <v>5.4884605064639036E-6</v>
      </c>
      <c r="AY356" s="8">
        <f t="shared" si="734"/>
        <v>27.32264791216744</v>
      </c>
      <c r="AZ356" s="7">
        <f t="shared" si="735"/>
        <v>1.3735934686146044E-2</v>
      </c>
      <c r="BA356" s="9">
        <f t="shared" si="736"/>
        <v>0.43431298854579248</v>
      </c>
      <c r="BB356" s="4">
        <f t="shared" si="737"/>
        <v>988.53296577997844</v>
      </c>
      <c r="BC356" s="6">
        <f t="shared" si="738"/>
        <v>5.4770659315599572E-6</v>
      </c>
      <c r="BD356" s="8">
        <f t="shared" si="739"/>
        <v>27.257129106469751</v>
      </c>
      <c r="BE356" s="7">
        <f t="shared" si="740"/>
        <v>1.3707417557076303E-2</v>
      </c>
      <c r="BF356" s="9">
        <f t="shared" si="741"/>
        <v>0.43535696013199154</v>
      </c>
      <c r="BG356" s="4">
        <f t="shared" si="742"/>
        <v>982.23587314895701</v>
      </c>
      <c r="BH356" s="6">
        <f t="shared" si="743"/>
        <v>5.4644717462979148E-6</v>
      </c>
      <c r="BI356" s="8">
        <f t="shared" si="744"/>
        <v>27.184712541213003</v>
      </c>
      <c r="BJ356" s="7">
        <f t="shared" si="745"/>
        <v>1.3675898170905828E-2</v>
      </c>
      <c r="BK356" s="9">
        <f t="shared" si="746"/>
        <v>0.43651669487870193</v>
      </c>
      <c r="BL356" s="4">
        <f t="shared" si="747"/>
        <v>975.33802996953557</v>
      </c>
      <c r="BM356" s="6">
        <f t="shared" si="748"/>
        <v>5.4506760599390722E-6</v>
      </c>
      <c r="BN356" s="8">
        <f t="shared" si="749"/>
        <v>27.105387344649657</v>
      </c>
      <c r="BO356" s="7">
        <f t="shared" si="750"/>
        <v>1.3641371795695066E-2</v>
      </c>
      <c r="BP356" s="9">
        <f t="shared" si="751"/>
        <v>0.43779418160796907</v>
      </c>
      <c r="BQ356" s="4">
        <f t="shared" si="752"/>
        <v>967.83231765068979</v>
      </c>
      <c r="BR356" s="6">
        <f t="shared" si="753"/>
        <v>5.4356646353013803E-6</v>
      </c>
      <c r="BS356" s="8">
        <f t="shared" si="754"/>
        <v>27.01907165298293</v>
      </c>
      <c r="BT356" s="7">
        <f t="shared" si="755"/>
        <v>1.3603802800140395E-2</v>
      </c>
      <c r="BU356" s="9">
        <f t="shared" si="756"/>
        <v>0.43919276806121565</v>
      </c>
      <c r="BV356" s="4">
        <f t="shared" si="757"/>
        <v>959.67154724748821</v>
      </c>
      <c r="BW356" s="6">
        <f t="shared" si="758"/>
        <v>5.419343094494977E-6</v>
      </c>
      <c r="BX356" s="8">
        <f t="shared" si="759"/>
        <v>26.925222793346116</v>
      </c>
      <c r="BY356" s="7">
        <f t="shared" si="760"/>
        <v>1.3562954985305981E-2</v>
      </c>
      <c r="BZ356" s="9">
        <f t="shared" si="761"/>
        <v>0.44072359069394301</v>
      </c>
      <c r="CA356" s="4">
        <f t="shared" si="762"/>
        <v>950.58501229262106</v>
      </c>
      <c r="CB356" s="6">
        <f t="shared" si="763"/>
        <v>5.4011700245852428E-6</v>
      </c>
      <c r="CC356" s="8">
        <f t="shared" si="764"/>
        <v>26.820727641365142</v>
      </c>
      <c r="CD356" s="7">
        <f t="shared" si="765"/>
        <v>1.3517473360534722E-2</v>
      </c>
      <c r="CE356" s="9">
        <f t="shared" si="766"/>
        <v>0.44244067604699422</v>
      </c>
      <c r="CF356" s="4">
        <f t="shared" si="767"/>
        <v>939.2595089678432</v>
      </c>
      <c r="CG356" s="6">
        <f t="shared" si="768"/>
        <v>5.3785190179356869E-6</v>
      </c>
      <c r="CH356" s="8">
        <f t="shared" si="769"/>
        <v>26.690484353130195</v>
      </c>
      <c r="CI356" s="7">
        <f t="shared" si="770"/>
        <v>1.3460784832386012E-2</v>
      </c>
      <c r="CJ356" s="9">
        <f t="shared" si="771"/>
        <v>0.44459968252041909</v>
      </c>
      <c r="CK356" s="4">
        <f t="shared" si="772"/>
        <v>920.48239004458935</v>
      </c>
      <c r="CL356" s="6">
        <f t="shared" si="773"/>
        <v>5.3409647800891789E-6</v>
      </c>
      <c r="CM356" s="8">
        <f t="shared" si="774"/>
        <v>26.474547485512776</v>
      </c>
      <c r="CN356" s="7">
        <f t="shared" si="775"/>
        <v>1.3366798083708472E-2</v>
      </c>
      <c r="CO356" s="9">
        <f t="shared" si="776"/>
        <v>0.44822601316269706</v>
      </c>
      <c r="CP356" s="4">
        <f t="shared" si="777"/>
        <v>878.16181664091505</v>
      </c>
      <c r="CQ356" s="6">
        <f t="shared" si="778"/>
        <v>5.2563236332818304E-6</v>
      </c>
      <c r="CR356" s="8">
        <f t="shared" si="779"/>
        <v>25.987860891370524</v>
      </c>
      <c r="CS356" s="7">
        <f t="shared" si="780"/>
        <v>1.31549672318809E-2</v>
      </c>
      <c r="CT356" s="9">
        <f t="shared" si="781"/>
        <v>0.45662014735727213</v>
      </c>
      <c r="CU356" s="4">
        <f t="shared" si="782"/>
        <v>776.99371255714539</v>
      </c>
      <c r="CV356" s="6">
        <f t="shared" si="783"/>
        <v>5.0539874251142908E-6</v>
      </c>
      <c r="CW356" s="8">
        <f t="shared" si="784"/>
        <v>24.82442769440717</v>
      </c>
      <c r="CX356" s="7">
        <f t="shared" si="785"/>
        <v>1.2648581709609481E-2</v>
      </c>
      <c r="CY356" s="9">
        <f t="shared" si="786"/>
        <v>0.47802031997665689</v>
      </c>
      <c r="CZ356" s="5">
        <f t="shared" si="787"/>
        <v>572.77040119753747</v>
      </c>
      <c r="DA356" s="6">
        <f t="shared" si="788"/>
        <v>6.0884178873040376E-6</v>
      </c>
      <c r="DB356" s="8">
        <f t="shared" si="789"/>
        <v>36.884658365271406</v>
      </c>
      <c r="DC356" s="7">
        <f t="shared" si="790"/>
        <v>1.5237444150956025E-2</v>
      </c>
      <c r="DD356" s="9">
        <f t="shared" si="791"/>
        <v>0.32172131709076174</v>
      </c>
    </row>
    <row r="357" spans="2:108" x14ac:dyDescent="0.25">
      <c r="B357">
        <v>90</v>
      </c>
      <c r="C357">
        <f t="shared" si="699"/>
        <v>8.7985319971072631E-2</v>
      </c>
      <c r="D357" s="4">
        <f t="shared" si="700"/>
        <v>1018.5340243389805</v>
      </c>
      <c r="E357" s="6">
        <f t="shared" si="647"/>
        <v>5.5370680486779618E-6</v>
      </c>
      <c r="F357" s="8">
        <f t="shared" si="701"/>
        <v>27.602141279898277</v>
      </c>
      <c r="G357" s="7">
        <f t="shared" si="583"/>
        <v>1.3857584468324502E-2</v>
      </c>
      <c r="H357" s="9">
        <f t="shared" si="702"/>
        <v>0.42991522829281131</v>
      </c>
      <c r="I357" s="4">
        <f t="shared" si="703"/>
        <v>1018.2099478454516</v>
      </c>
      <c r="J357" s="6">
        <f t="shared" si="650"/>
        <v>5.5364198956909035E-6</v>
      </c>
      <c r="K357" s="8">
        <f t="shared" si="704"/>
        <v>27.598414400222694</v>
      </c>
      <c r="L357" s="7">
        <f t="shared" si="651"/>
        <v>1.385596234002707E-2</v>
      </c>
      <c r="M357" s="9">
        <f t="shared" si="705"/>
        <v>0.42997328388627087</v>
      </c>
      <c r="N357" s="4">
        <f t="shared" si="706"/>
        <v>1017.3050297609979</v>
      </c>
      <c r="O357" s="6">
        <f t="shared" si="654"/>
        <v>5.5346100595219964E-6</v>
      </c>
      <c r="P357" s="8">
        <f t="shared" si="655"/>
        <v>27.588007842251475</v>
      </c>
      <c r="Q357" s="7">
        <f t="shared" si="584"/>
        <v>1.3857584468324502E-2</v>
      </c>
      <c r="R357" s="9">
        <f t="shared" si="707"/>
        <v>0.43013547544176206</v>
      </c>
      <c r="S357" s="4">
        <f t="shared" si="708"/>
        <v>1015.8040490976762</v>
      </c>
      <c r="T357" s="6">
        <f t="shared" si="658"/>
        <v>5.531608098195353E-6</v>
      </c>
      <c r="U357" s="8">
        <f t="shared" si="659"/>
        <v>27.570746564623278</v>
      </c>
      <c r="V357" s="7">
        <f t="shared" si="660"/>
        <v>1.3843919885491048E-2</v>
      </c>
      <c r="W357" s="9">
        <f t="shared" si="709"/>
        <v>0.43040477130003468</v>
      </c>
      <c r="X357" s="4">
        <f t="shared" si="710"/>
        <v>1013.7047745574533</v>
      </c>
      <c r="Y357" s="6">
        <f t="shared" si="663"/>
        <v>5.5274095491149072E-6</v>
      </c>
      <c r="Z357" s="8">
        <f t="shared" si="664"/>
        <v>27.54660490741071</v>
      </c>
      <c r="AA357" s="7">
        <f t="shared" si="665"/>
        <v>1.3833412203805509E-2</v>
      </c>
      <c r="AB357" s="9">
        <f t="shared" si="711"/>
        <v>0.43078197511467187</v>
      </c>
      <c r="AC357" s="4">
        <f t="shared" si="712"/>
        <v>1011.0059336378725</v>
      </c>
      <c r="AD357" s="6">
        <f t="shared" si="713"/>
        <v>5.5220118672757463E-6</v>
      </c>
      <c r="AE357" s="8">
        <f t="shared" si="714"/>
        <v>27.515568236835534</v>
      </c>
      <c r="AF357" s="7">
        <f t="shared" si="715"/>
        <v>1.3819903460304123E-2</v>
      </c>
      <c r="AG357" s="9">
        <f t="shared" si="716"/>
        <v>0.43126788324261883</v>
      </c>
      <c r="AH357" s="4">
        <f t="shared" si="717"/>
        <v>1007.7074113332405</v>
      </c>
      <c r="AI357" s="6">
        <f t="shared" si="718"/>
        <v>5.5154148226664815E-6</v>
      </c>
      <c r="AJ357" s="8">
        <f t="shared" si="719"/>
        <v>27.477635230332265</v>
      </c>
      <c r="AK357" s="7">
        <f t="shared" si="720"/>
        <v>1.3803393079338871E-2</v>
      </c>
      <c r="AL357" s="9">
        <f t="shared" si="721"/>
        <v>0.43186325061257486</v>
      </c>
      <c r="AM357" s="4">
        <f t="shared" si="722"/>
        <v>1003.8092032125858</v>
      </c>
      <c r="AN357" s="6">
        <f t="shared" si="723"/>
        <v>5.5076184064251712E-6</v>
      </c>
      <c r="AO357" s="8">
        <f t="shared" si="724"/>
        <v>27.432805836944738</v>
      </c>
      <c r="AP357" s="7">
        <f t="shared" si="725"/>
        <v>1.378388103873103E-2</v>
      </c>
      <c r="AQ357" s="9">
        <f t="shared" si="726"/>
        <v>0.43256898110424968</v>
      </c>
      <c r="AR357" s="4">
        <f t="shared" si="727"/>
        <v>999.31131488800497</v>
      </c>
      <c r="AS357" s="6">
        <f t="shared" si="728"/>
        <v>5.4986226297760109E-6</v>
      </c>
      <c r="AT357" s="8">
        <f t="shared" si="729"/>
        <v>27.381080121212058</v>
      </c>
      <c r="AU357" s="7">
        <f t="shared" si="730"/>
        <v>1.3761367366571324E-2</v>
      </c>
      <c r="AV357" s="9">
        <f t="shared" si="731"/>
        <v>0.43338614901918665</v>
      </c>
      <c r="AW357" s="4">
        <f t="shared" si="732"/>
        <v>994.21374772366801</v>
      </c>
      <c r="AX357" s="6">
        <f t="shared" si="733"/>
        <v>5.4884274954473369E-6</v>
      </c>
      <c r="AY357" s="8">
        <f t="shared" si="734"/>
        <v>27.322458098822182</v>
      </c>
      <c r="AZ357" s="7">
        <f t="shared" si="735"/>
        <v>1.3735852069687941E-2</v>
      </c>
      <c r="BA357" s="9">
        <f t="shared" si="736"/>
        <v>0.43431600578534491</v>
      </c>
      <c r="BB357" s="4">
        <f t="shared" si="737"/>
        <v>988.51648929324404</v>
      </c>
      <c r="BC357" s="6">
        <f t="shared" si="738"/>
        <v>5.4770329785864884E-6</v>
      </c>
      <c r="BD357" s="8">
        <f t="shared" si="739"/>
        <v>27.256939626872306</v>
      </c>
      <c r="BE357" s="7">
        <f t="shared" si="740"/>
        <v>1.3707335085882288E-2</v>
      </c>
      <c r="BF357" s="9">
        <f t="shared" si="741"/>
        <v>0.43535998656352348</v>
      </c>
      <c r="BG357" s="4">
        <f t="shared" si="742"/>
        <v>982.21941721413293</v>
      </c>
      <c r="BH357" s="6">
        <f t="shared" si="743"/>
        <v>5.4644388344282664E-6</v>
      </c>
      <c r="BI357" s="8">
        <f t="shared" si="744"/>
        <v>27.184523297962528</v>
      </c>
      <c r="BJ357" s="7">
        <f t="shared" si="745"/>
        <v>1.3675815802582076E-2</v>
      </c>
      <c r="BK357" s="9">
        <f t="shared" si="746"/>
        <v>0.43651973366063385</v>
      </c>
      <c r="BL357" s="4">
        <f t="shared" si="747"/>
        <v>975.32150934765707</v>
      </c>
      <c r="BM357" s="6">
        <f t="shared" si="748"/>
        <v>5.450643018695314E-6</v>
      </c>
      <c r="BN357" s="8">
        <f t="shared" si="749"/>
        <v>27.105197357498056</v>
      </c>
      <c r="BO357" s="7">
        <f t="shared" si="750"/>
        <v>1.3641289103587568E-2</v>
      </c>
      <c r="BP357" s="9">
        <f t="shared" si="751"/>
        <v>0.43779725021759602</v>
      </c>
      <c r="BQ357" s="4">
        <f t="shared" si="752"/>
        <v>967.81516215936426</v>
      </c>
      <c r="BR357" s="6">
        <f t="shared" si="753"/>
        <v>5.4356303243187287E-6</v>
      </c>
      <c r="BS357" s="8">
        <f t="shared" si="754"/>
        <v>27.018874364832691</v>
      </c>
      <c r="BT357" s="7">
        <f t="shared" si="755"/>
        <v>1.3603716930265561E-2</v>
      </c>
      <c r="BU357" s="9">
        <f t="shared" si="756"/>
        <v>0.43919597498714602</v>
      </c>
      <c r="BV357" s="4">
        <f t="shared" si="757"/>
        <v>959.650573856444</v>
      </c>
      <c r="BW357" s="6">
        <f t="shared" si="758"/>
        <v>5.4193011477128883E-6</v>
      </c>
      <c r="BX357" s="8">
        <f t="shared" si="759"/>
        <v>26.924981599349103</v>
      </c>
      <c r="BY357" s="7">
        <f t="shared" si="760"/>
        <v>1.356285000536518E-2</v>
      </c>
      <c r="BZ357" s="9">
        <f t="shared" si="761"/>
        <v>0.44072753869606235</v>
      </c>
      <c r="CA357" s="4">
        <f t="shared" si="762"/>
        <v>950.54541732000348</v>
      </c>
      <c r="CB357" s="6">
        <f t="shared" si="763"/>
        <v>5.4010908346400073E-6</v>
      </c>
      <c r="CC357" s="8">
        <f t="shared" si="764"/>
        <v>26.82027229918004</v>
      </c>
      <c r="CD357" s="7">
        <f t="shared" si="765"/>
        <v>1.3517275172369884E-2</v>
      </c>
      <c r="CE357" s="9">
        <f t="shared" si="766"/>
        <v>0.44244818760026866</v>
      </c>
      <c r="CF357" s="4">
        <f t="shared" si="767"/>
        <v>939.14606763468441</v>
      </c>
      <c r="CG357" s="6">
        <f t="shared" si="768"/>
        <v>5.378292135269369E-6</v>
      </c>
      <c r="CH357" s="8">
        <f t="shared" si="769"/>
        <v>26.68917977779887</v>
      </c>
      <c r="CI357" s="7">
        <f t="shared" si="770"/>
        <v>1.3460217014601355E-2</v>
      </c>
      <c r="CJ357" s="9">
        <f t="shared" si="771"/>
        <v>0.44462141468989602</v>
      </c>
      <c r="CK357" s="4">
        <f t="shared" si="772"/>
        <v>920.14130214983857</v>
      </c>
      <c r="CL357" s="6">
        <f t="shared" si="773"/>
        <v>5.3402826042996772E-6</v>
      </c>
      <c r="CM357" s="8">
        <f t="shared" si="774"/>
        <v>26.470624974723144</v>
      </c>
      <c r="CN357" s="7">
        <f t="shared" si="775"/>
        <v>1.3365090806762955E-2</v>
      </c>
      <c r="CO357" s="9">
        <f t="shared" si="776"/>
        <v>0.44829243287792869</v>
      </c>
      <c r="CP357" s="4">
        <f t="shared" si="777"/>
        <v>877.32204351616735</v>
      </c>
      <c r="CQ357" s="6">
        <f t="shared" si="778"/>
        <v>5.2546440870323355E-6</v>
      </c>
      <c r="CR357" s="8">
        <f t="shared" si="779"/>
        <v>25.978203500435924</v>
      </c>
      <c r="CS357" s="7">
        <f t="shared" si="780"/>
        <v>1.3150763842322341E-2</v>
      </c>
      <c r="CT357" s="9">
        <f t="shared" si="781"/>
        <v>0.45678989578778117</v>
      </c>
      <c r="CU357" s="4">
        <f t="shared" si="782"/>
        <v>775.53277022185591</v>
      </c>
      <c r="CV357" s="6">
        <f t="shared" si="783"/>
        <v>5.051065540443712E-6</v>
      </c>
      <c r="CW357" s="8">
        <f t="shared" si="784"/>
        <v>24.807626857551341</v>
      </c>
      <c r="CX357" s="7">
        <f t="shared" si="785"/>
        <v>1.2641269127702724E-2</v>
      </c>
      <c r="CY357" s="9">
        <f t="shared" si="786"/>
        <v>0.47834405676356584</v>
      </c>
      <c r="CZ357" s="5">
        <f t="shared" si="787"/>
        <v>571.29742731327747</v>
      </c>
      <c r="DA357" s="6">
        <f t="shared" si="788"/>
        <v>6.1120982121247444E-6</v>
      </c>
      <c r="DB357" s="8">
        <f t="shared" si="789"/>
        <v>36.927374607914949</v>
      </c>
      <c r="DC357" s="7">
        <f t="shared" si="790"/>
        <v>1.5296708747048294E-2</v>
      </c>
      <c r="DD357" s="9">
        <f t="shared" si="791"/>
        <v>0.32134916158308302</v>
      </c>
    </row>
    <row r="358" spans="2:108" x14ac:dyDescent="0.25">
      <c r="B358">
        <v>91</v>
      </c>
      <c r="C358">
        <f t="shared" si="699"/>
        <v>8.896293463741789E-2</v>
      </c>
      <c r="D358" s="4">
        <f t="shared" si="700"/>
        <v>1018.5174786303468</v>
      </c>
      <c r="E358" s="6">
        <f t="shared" si="647"/>
        <v>5.537034957260694E-6</v>
      </c>
      <c r="F358" s="8">
        <f t="shared" si="701"/>
        <v>27.601951004248988</v>
      </c>
      <c r="G358" s="7">
        <f t="shared" si="583"/>
        <v>1.3857501650648082E-2</v>
      </c>
      <c r="H358" s="9">
        <f t="shared" si="702"/>
        <v>0.42991819193835901</v>
      </c>
      <c r="I358" s="4">
        <f t="shared" si="703"/>
        <v>1018.1933834349501</v>
      </c>
      <c r="J358" s="6">
        <f t="shared" si="650"/>
        <v>5.5363867668699008E-6</v>
      </c>
      <c r="K358" s="8">
        <f t="shared" si="704"/>
        <v>27.598223909501925</v>
      </c>
      <c r="L358" s="7">
        <f t="shared" si="651"/>
        <v>1.3855879428740567E-2</v>
      </c>
      <c r="M358" s="9">
        <f t="shared" si="705"/>
        <v>0.42997625168307646</v>
      </c>
      <c r="N358" s="4">
        <f t="shared" si="706"/>
        <v>1017.2884368290313</v>
      </c>
      <c r="O358" s="6">
        <f t="shared" si="654"/>
        <v>5.5345768736580631E-6</v>
      </c>
      <c r="P358" s="8">
        <f t="shared" si="655"/>
        <v>27.587817023533859</v>
      </c>
      <c r="Q358" s="7">
        <f t="shared" si="584"/>
        <v>1.3857501650648082E-2</v>
      </c>
      <c r="R358" s="9">
        <f t="shared" si="707"/>
        <v>0.4301384505919798</v>
      </c>
      <c r="S358" s="4">
        <f t="shared" si="708"/>
        <v>1015.7874431488851</v>
      </c>
      <c r="T358" s="6">
        <f t="shared" si="658"/>
        <v>5.5315748862977705E-6</v>
      </c>
      <c r="U358" s="8">
        <f t="shared" si="659"/>
        <v>27.570555596212181</v>
      </c>
      <c r="V358" s="7">
        <f t="shared" si="660"/>
        <v>1.3843836766289324E-2</v>
      </c>
      <c r="W358" s="9">
        <f t="shared" si="709"/>
        <v>0.43040775251363472</v>
      </c>
      <c r="X358" s="4">
        <f t="shared" si="710"/>
        <v>1013.6881712174655</v>
      </c>
      <c r="Y358" s="6">
        <f t="shared" si="663"/>
        <v>5.5273763424349317E-6</v>
      </c>
      <c r="Z358" s="8">
        <f t="shared" si="664"/>
        <v>27.546413969000852</v>
      </c>
      <c r="AA358" s="7">
        <f t="shared" si="665"/>
        <v>1.3833329097661854E-2</v>
      </c>
      <c r="AB358" s="9">
        <f t="shared" si="711"/>
        <v>0.43078496108683567</v>
      </c>
      <c r="AC358" s="4">
        <f t="shared" si="712"/>
        <v>1010.9893416979995</v>
      </c>
      <c r="AD358" s="6">
        <f t="shared" si="713"/>
        <v>5.5219786833959994E-6</v>
      </c>
      <c r="AE358" s="8">
        <f t="shared" si="714"/>
        <v>27.515377429526993</v>
      </c>
      <c r="AF358" s="7">
        <f t="shared" si="715"/>
        <v>1.3819820411222452E-2</v>
      </c>
      <c r="AG358" s="9">
        <f t="shared" si="716"/>
        <v>0.43127087389990759</v>
      </c>
      <c r="AH358" s="4">
        <f t="shared" si="717"/>
        <v>1007.6908356561245</v>
      </c>
      <c r="AI358" s="6">
        <f t="shared" si="718"/>
        <v>5.5153816713122492E-6</v>
      </c>
      <c r="AJ358" s="8">
        <f t="shared" si="719"/>
        <v>27.477444610045431</v>
      </c>
      <c r="AK358" s="7">
        <f t="shared" si="720"/>
        <v>1.3803310111658596E-2</v>
      </c>
      <c r="AL358" s="9">
        <f t="shared" si="721"/>
        <v>0.43186624659338285</v>
      </c>
      <c r="AM358" s="4">
        <f t="shared" si="722"/>
        <v>1003.7926475034088</v>
      </c>
      <c r="AN358" s="6">
        <f t="shared" si="723"/>
        <v>5.5075852950068187E-6</v>
      </c>
      <c r="AO358" s="8">
        <f t="shared" si="724"/>
        <v>27.432615446289201</v>
      </c>
      <c r="AP358" s="7">
        <f t="shared" si="725"/>
        <v>1.3783798170998026E-2</v>
      </c>
      <c r="AQ358" s="9">
        <f t="shared" si="726"/>
        <v>0.43257198326392482</v>
      </c>
      <c r="AR358" s="4">
        <f t="shared" si="727"/>
        <v>999.29478267204672</v>
      </c>
      <c r="AS358" s="6">
        <f t="shared" si="728"/>
        <v>5.4985895653440939E-6</v>
      </c>
      <c r="AT358" s="8">
        <f t="shared" si="729"/>
        <v>27.380890000728535</v>
      </c>
      <c r="AU358" s="7">
        <f t="shared" si="730"/>
        <v>1.3761284616430969E-2</v>
      </c>
      <c r="AV358" s="9">
        <f t="shared" si="731"/>
        <v>0.43338915825607421</v>
      </c>
      <c r="AW358" s="4">
        <f t="shared" si="732"/>
        <v>994.1972423866182</v>
      </c>
      <c r="AX358" s="6">
        <f t="shared" si="733"/>
        <v>5.4883944847732366E-6</v>
      </c>
      <c r="AY358" s="8">
        <f t="shared" si="734"/>
        <v>27.322268287446107</v>
      </c>
      <c r="AZ358" s="7">
        <f t="shared" si="735"/>
        <v>1.3735769454086926E-2</v>
      </c>
      <c r="BA358" s="9">
        <f t="shared" si="736"/>
        <v>0.43431902303551762</v>
      </c>
      <c r="BB358" s="4">
        <f t="shared" si="737"/>
        <v>988.50001282331846</v>
      </c>
      <c r="BC358" s="6">
        <f t="shared" si="738"/>
        <v>5.4770000256466375E-6</v>
      </c>
      <c r="BD358" s="8">
        <f t="shared" si="739"/>
        <v>27.256750147468161</v>
      </c>
      <c r="BE358" s="7">
        <f t="shared" si="740"/>
        <v>1.3707252614772406E-2</v>
      </c>
      <c r="BF358" s="9">
        <f t="shared" si="741"/>
        <v>0.43536301303404534</v>
      </c>
      <c r="BG358" s="4">
        <f t="shared" si="742"/>
        <v>982.20296018242641</v>
      </c>
      <c r="BH358" s="6">
        <f t="shared" si="743"/>
        <v>5.4644059203648535E-6</v>
      </c>
      <c r="BI358" s="8">
        <f t="shared" si="744"/>
        <v>27.184334042097902</v>
      </c>
      <c r="BJ358" s="7">
        <f t="shared" si="745"/>
        <v>1.3675733428768006E-2</v>
      </c>
      <c r="BK358" s="9">
        <f t="shared" si="746"/>
        <v>0.43652277268743112</v>
      </c>
      <c r="BL358" s="4">
        <f t="shared" si="747"/>
        <v>975.30498062900233</v>
      </c>
      <c r="BM358" s="6">
        <f t="shared" si="748"/>
        <v>5.4506099612580054E-6</v>
      </c>
      <c r="BN358" s="8">
        <f t="shared" si="749"/>
        <v>27.105007277233526</v>
      </c>
      <c r="BO358" s="7">
        <f t="shared" si="750"/>
        <v>1.3641206370952572E-2</v>
      </c>
      <c r="BP358" s="9">
        <f t="shared" si="751"/>
        <v>0.43780032037420141</v>
      </c>
      <c r="BQ358" s="4">
        <f t="shared" si="752"/>
        <v>967.79796101551392</v>
      </c>
      <c r="BR358" s="6">
        <f t="shared" si="753"/>
        <v>5.435595922031028E-6</v>
      </c>
      <c r="BS358" s="8">
        <f t="shared" si="754"/>
        <v>27.018676551678411</v>
      </c>
      <c r="BT358" s="7">
        <f t="shared" si="755"/>
        <v>1.3603630831882169E-2</v>
      </c>
      <c r="BU358" s="9">
        <f t="shared" si="756"/>
        <v>0.43919919049405631</v>
      </c>
      <c r="BV358" s="4">
        <f t="shared" si="757"/>
        <v>959.62938831223175</v>
      </c>
      <c r="BW358" s="6">
        <f t="shared" si="758"/>
        <v>5.4192587766244635E-6</v>
      </c>
      <c r="BX358" s="8">
        <f t="shared" si="759"/>
        <v>26.924737965590666</v>
      </c>
      <c r="BY358" s="7">
        <f t="shared" si="760"/>
        <v>1.356274396351565E-2</v>
      </c>
      <c r="BZ358" s="9">
        <f t="shared" si="761"/>
        <v>0.44073152670541038</v>
      </c>
      <c r="CA358" s="4">
        <f t="shared" si="762"/>
        <v>950.50503185345622</v>
      </c>
      <c r="CB358" s="6">
        <f t="shared" si="763"/>
        <v>5.4010100637069128E-6</v>
      </c>
      <c r="CC358" s="8">
        <f t="shared" si="764"/>
        <v>26.819807866314747</v>
      </c>
      <c r="CD358" s="7">
        <f t="shared" si="765"/>
        <v>1.3517073027476937E-2</v>
      </c>
      <c r="CE358" s="9">
        <f t="shared" si="766"/>
        <v>0.44245584938071597</v>
      </c>
      <c r="CF358" s="4">
        <f t="shared" si="767"/>
        <v>939.03042171625884</v>
      </c>
      <c r="CG358" s="6">
        <f t="shared" si="768"/>
        <v>5.3780608434325176E-6</v>
      </c>
      <c r="CH358" s="8">
        <f t="shared" si="769"/>
        <v>26.687849849736978</v>
      </c>
      <c r="CI358" s="7">
        <f t="shared" si="770"/>
        <v>1.345963816201406E-2</v>
      </c>
      <c r="CJ358" s="9">
        <f t="shared" si="771"/>
        <v>0.44464357138290966</v>
      </c>
      <c r="CK358" s="4">
        <f t="shared" si="772"/>
        <v>919.79629330685668</v>
      </c>
      <c r="CL358" s="6">
        <f t="shared" si="773"/>
        <v>5.339592586613714E-6</v>
      </c>
      <c r="CM358" s="8">
        <f t="shared" si="774"/>
        <v>26.466657373028852</v>
      </c>
      <c r="CN358" s="7">
        <f t="shared" si="775"/>
        <v>1.3363363903953776E-2</v>
      </c>
      <c r="CO358" s="9">
        <f t="shared" si="776"/>
        <v>0.44835963614395341</v>
      </c>
      <c r="CP358" s="4">
        <f t="shared" si="777"/>
        <v>876.4803264053977</v>
      </c>
      <c r="CQ358" s="6">
        <f t="shared" si="778"/>
        <v>5.2529606528107964E-6</v>
      </c>
      <c r="CR358" s="8">
        <f t="shared" si="779"/>
        <v>25.968523753662073</v>
      </c>
      <c r="CS358" s="7">
        <f t="shared" si="780"/>
        <v>1.3146550722361244E-2</v>
      </c>
      <c r="CT358" s="9">
        <f t="shared" si="781"/>
        <v>0.45696016386162408</v>
      </c>
      <c r="CU358" s="4">
        <f t="shared" si="782"/>
        <v>774.08008492559691</v>
      </c>
      <c r="CV358" s="6">
        <f t="shared" si="783"/>
        <v>5.0481601698511945E-6</v>
      </c>
      <c r="CW358" s="8">
        <f t="shared" si="784"/>
        <v>24.790920976644365</v>
      </c>
      <c r="CX358" s="7">
        <f t="shared" si="785"/>
        <v>1.2633997875472546E-2</v>
      </c>
      <c r="CY358" s="9">
        <f t="shared" si="786"/>
        <v>0.47866639891666213</v>
      </c>
      <c r="CZ358" s="5">
        <f t="shared" si="787"/>
        <v>569.83898217129831</v>
      </c>
      <c r="DA358" s="6">
        <f t="shared" si="788"/>
        <v>6.13550138537122E-6</v>
      </c>
      <c r="DB358" s="8">
        <f t="shared" si="789"/>
        <v>36.969669517032344</v>
      </c>
      <c r="DC358" s="7">
        <f t="shared" si="790"/>
        <v>1.5355279717684514E-2</v>
      </c>
      <c r="DD358" s="9">
        <f t="shared" si="791"/>
        <v>0.32098152417215498</v>
      </c>
    </row>
    <row r="359" spans="2:108" x14ac:dyDescent="0.25">
      <c r="B359">
        <v>92</v>
      </c>
      <c r="C359">
        <f t="shared" si="699"/>
        <v>8.9940549303763134E-2</v>
      </c>
      <c r="D359" s="4">
        <f t="shared" si="700"/>
        <v>1018.5009319668901</v>
      </c>
      <c r="E359" s="6">
        <f t="shared" si="647"/>
        <v>5.5370018639337812E-6</v>
      </c>
      <c r="F359" s="8">
        <f t="shared" si="701"/>
        <v>27.601760717619236</v>
      </c>
      <c r="G359" s="7">
        <f t="shared" si="583"/>
        <v>1.3857418828192407E-2</v>
      </c>
      <c r="H359" s="9">
        <f t="shared" si="702"/>
        <v>0.42992115579579732</v>
      </c>
      <c r="I359" s="4">
        <f t="shared" si="703"/>
        <v>1018.1768186601785</v>
      </c>
      <c r="J359" s="6">
        <f t="shared" si="650"/>
        <v>5.5363536373203567E-6</v>
      </c>
      <c r="K359" s="8">
        <f t="shared" si="704"/>
        <v>27.598033414592052</v>
      </c>
      <c r="L359" s="7">
        <f t="shared" si="651"/>
        <v>1.3855796515630745E-2</v>
      </c>
      <c r="M359" s="9">
        <f t="shared" si="705"/>
        <v>0.42997921958611801</v>
      </c>
      <c r="N359" s="4">
        <f t="shared" si="706"/>
        <v>1017.271844067299</v>
      </c>
      <c r="O359" s="6">
        <f t="shared" si="654"/>
        <v>5.534543688134598E-6</v>
      </c>
      <c r="P359" s="8">
        <f t="shared" si="655"/>
        <v>27.587626206773937</v>
      </c>
      <c r="Q359" s="7">
        <f t="shared" si="584"/>
        <v>1.3857418828192407E-2</v>
      </c>
      <c r="R359" s="9">
        <f t="shared" si="707"/>
        <v>0.43014142575283071</v>
      </c>
      <c r="S359" s="4">
        <f t="shared" si="708"/>
        <v>1015.7708374918361</v>
      </c>
      <c r="T359" s="6">
        <f t="shared" si="658"/>
        <v>5.5315416749836726E-6</v>
      </c>
      <c r="U359" s="8">
        <f t="shared" si="659"/>
        <v>27.570364631156114</v>
      </c>
      <c r="V359" s="7">
        <f t="shared" si="660"/>
        <v>1.3843753648547881E-2</v>
      </c>
      <c r="W359" s="9">
        <f t="shared" si="709"/>
        <v>0.4304107337161574</v>
      </c>
      <c r="X359" s="4">
        <f t="shared" si="710"/>
        <v>1013.6715681231102</v>
      </c>
      <c r="Y359" s="6">
        <f t="shared" si="663"/>
        <v>5.5273431362462208E-6</v>
      </c>
      <c r="Z359" s="8">
        <f t="shared" si="664"/>
        <v>27.546223033415767</v>
      </c>
      <c r="AA359" s="7">
        <f t="shared" si="665"/>
        <v>1.3833245992747685E-2</v>
      </c>
      <c r="AB359" s="9">
        <f t="shared" si="711"/>
        <v>0.43078794705621853</v>
      </c>
      <c r="AC359" s="4">
        <f t="shared" si="712"/>
        <v>1010.9727499633368</v>
      </c>
      <c r="AD359" s="6">
        <f t="shared" si="713"/>
        <v>5.521945499926674E-6</v>
      </c>
      <c r="AE359" s="8">
        <f t="shared" si="714"/>
        <v>27.515186624578373</v>
      </c>
      <c r="AF359" s="7">
        <f t="shared" si="715"/>
        <v>1.3819737363167944E-2</v>
      </c>
      <c r="AG359" s="9">
        <f t="shared" si="716"/>
        <v>0.43127386456168493</v>
      </c>
      <c r="AH359" s="4">
        <f t="shared" si="717"/>
        <v>1007.674260171547</v>
      </c>
      <c r="AI359" s="6">
        <f t="shared" si="718"/>
        <v>5.5153485203430943E-6</v>
      </c>
      <c r="AJ359" s="8">
        <f t="shared" si="719"/>
        <v>27.477253991972788</v>
      </c>
      <c r="AK359" s="7">
        <f t="shared" si="720"/>
        <v>1.3803227144942054E-2</v>
      </c>
      <c r="AL359" s="9">
        <f t="shared" si="721"/>
        <v>0.43186924258095821</v>
      </c>
      <c r="AM359" s="4">
        <f t="shared" si="722"/>
        <v>1003.7760919852528</v>
      </c>
      <c r="AN359" s="6">
        <f t="shared" si="723"/>
        <v>5.5075521839705061E-6</v>
      </c>
      <c r="AO359" s="8">
        <f t="shared" si="724"/>
        <v>27.432425057830407</v>
      </c>
      <c r="AP359" s="7">
        <f t="shared" si="725"/>
        <v>1.378371530422115E-2</v>
      </c>
      <c r="AQ359" s="9">
        <f t="shared" si="726"/>
        <v>0.43257498543063222</v>
      </c>
      <c r="AR359" s="4">
        <f t="shared" si="727"/>
        <v>999.27825064554054</v>
      </c>
      <c r="AS359" s="6">
        <f t="shared" si="728"/>
        <v>5.498556501291081E-6</v>
      </c>
      <c r="AT359" s="8">
        <f t="shared" si="729"/>
        <v>27.380699882423716</v>
      </c>
      <c r="AU359" s="7">
        <f t="shared" si="730"/>
        <v>1.3761201867238896E-2</v>
      </c>
      <c r="AV359" s="9">
        <f t="shared" si="731"/>
        <v>0.43339216750026621</v>
      </c>
      <c r="AW359" s="4">
        <f t="shared" si="732"/>
        <v>994.18073721879671</v>
      </c>
      <c r="AX359" s="6">
        <f t="shared" si="733"/>
        <v>5.4883614744375938E-6</v>
      </c>
      <c r="AY359" s="8">
        <f t="shared" si="734"/>
        <v>27.322078478016159</v>
      </c>
      <c r="AZ359" s="7">
        <f t="shared" si="735"/>
        <v>1.3735686839332966E-2</v>
      </c>
      <c r="BA359" s="9">
        <f t="shared" si="736"/>
        <v>0.43432204029667676</v>
      </c>
      <c r="BB359" s="4">
        <f t="shared" si="737"/>
        <v>988.48353635615467</v>
      </c>
      <c r="BC359" s="6">
        <f t="shared" si="738"/>
        <v>5.47696707271231E-6</v>
      </c>
      <c r="BD359" s="8">
        <f t="shared" si="739"/>
        <v>27.25656066809578</v>
      </c>
      <c r="BE359" s="7">
        <f t="shared" si="740"/>
        <v>1.3707170143676348E-2</v>
      </c>
      <c r="BF359" s="9">
        <f t="shared" si="741"/>
        <v>0.43536603954613806</v>
      </c>
      <c r="BG359" s="4">
        <f t="shared" si="742"/>
        <v>982.18650196811336</v>
      </c>
      <c r="BH359" s="6">
        <f t="shared" si="743"/>
        <v>5.4643730039362274E-6</v>
      </c>
      <c r="BI359" s="8">
        <f t="shared" si="744"/>
        <v>27.184144772633303</v>
      </c>
      <c r="BJ359" s="7">
        <f t="shared" si="745"/>
        <v>1.3675651049034532E-2</v>
      </c>
      <c r="BK359" s="9">
        <f t="shared" si="746"/>
        <v>0.43652581197493356</v>
      </c>
      <c r="BL359" s="4">
        <f t="shared" si="747"/>
        <v>975.28844337041733</v>
      </c>
      <c r="BM359" s="6">
        <f t="shared" si="748"/>
        <v>5.4505768867408347E-6</v>
      </c>
      <c r="BN359" s="8">
        <f t="shared" si="749"/>
        <v>27.104817098759799</v>
      </c>
      <c r="BO359" s="7">
        <f t="shared" si="750"/>
        <v>1.3641123595571918E-2</v>
      </c>
      <c r="BP359" s="9">
        <f t="shared" si="751"/>
        <v>0.43780339216016562</v>
      </c>
      <c r="BQ359" s="4">
        <f t="shared" si="752"/>
        <v>967.78071235373454</v>
      </c>
      <c r="BR359" s="6">
        <f t="shared" si="753"/>
        <v>5.4355614247074689E-6</v>
      </c>
      <c r="BS359" s="8">
        <f t="shared" si="754"/>
        <v>27.018478192067946</v>
      </c>
      <c r="BT359" s="7">
        <f t="shared" si="755"/>
        <v>1.3603544495653149E-2</v>
      </c>
      <c r="BU359" s="9">
        <f t="shared" si="756"/>
        <v>0.43920241493104062</v>
      </c>
      <c r="BV359" s="4">
        <f t="shared" si="757"/>
        <v>959.60798465355299</v>
      </c>
      <c r="BW359" s="6">
        <f t="shared" si="758"/>
        <v>5.4192159693071066E-6</v>
      </c>
      <c r="BX359" s="8">
        <f t="shared" si="759"/>
        <v>26.924491823515858</v>
      </c>
      <c r="BY359" s="7">
        <f t="shared" si="760"/>
        <v>1.3562636829918784E-2</v>
      </c>
      <c r="BZ359" s="9">
        <f t="shared" si="761"/>
        <v>0.44073555584635488</v>
      </c>
      <c r="CA359" s="4">
        <f t="shared" si="762"/>
        <v>950.46384367292387</v>
      </c>
      <c r="CB359" s="6">
        <f t="shared" si="763"/>
        <v>5.4009276873458482E-6</v>
      </c>
      <c r="CC359" s="8">
        <f t="shared" si="764"/>
        <v>26.819334202238622</v>
      </c>
      <c r="CD359" s="7">
        <f t="shared" si="765"/>
        <v>1.351686686468977E-2</v>
      </c>
      <c r="CE359" s="9">
        <f t="shared" si="766"/>
        <v>0.44246366372239732</v>
      </c>
      <c r="CF359" s="4">
        <f t="shared" si="767"/>
        <v>938.91256590551063</v>
      </c>
      <c r="CG359" s="6">
        <f t="shared" si="768"/>
        <v>5.3778251318110215E-6</v>
      </c>
      <c r="CH359" s="8">
        <f t="shared" si="769"/>
        <v>26.686494507913373</v>
      </c>
      <c r="CI359" s="7">
        <f t="shared" si="770"/>
        <v>1.3459048248060261E-2</v>
      </c>
      <c r="CJ359" s="9">
        <f t="shared" si="771"/>
        <v>0.44466615374301371</v>
      </c>
      <c r="CK359" s="4">
        <f t="shared" si="772"/>
        <v>919.44741395272808</v>
      </c>
      <c r="CL359" s="6">
        <f t="shared" si="773"/>
        <v>5.338894827905456E-6</v>
      </c>
      <c r="CM359" s="8">
        <f t="shared" si="774"/>
        <v>26.46264526045637</v>
      </c>
      <c r="CN359" s="7">
        <f t="shared" si="775"/>
        <v>1.3361617627738062E-2</v>
      </c>
      <c r="CO359" s="9">
        <f t="shared" si="776"/>
        <v>0.4484276138277965</v>
      </c>
      <c r="CP359" s="4">
        <f t="shared" si="777"/>
        <v>875.63678146904306</v>
      </c>
      <c r="CQ359" s="6">
        <f t="shared" si="778"/>
        <v>5.2512735629380861E-6</v>
      </c>
      <c r="CR359" s="8">
        <f t="shared" si="779"/>
        <v>25.958822986893992</v>
      </c>
      <c r="CS359" s="7">
        <f t="shared" si="780"/>
        <v>1.3142328453425554E-2</v>
      </c>
      <c r="CT359" s="9">
        <f t="shared" si="781"/>
        <v>0.45713092907598546</v>
      </c>
      <c r="CU359" s="4">
        <f t="shared" si="782"/>
        <v>772.63560673823918</v>
      </c>
      <c r="CV359" s="6">
        <f t="shared" si="783"/>
        <v>5.0452712134764783E-6</v>
      </c>
      <c r="CW359" s="8">
        <f t="shared" si="784"/>
        <v>24.774309477489751</v>
      </c>
      <c r="CX359" s="7">
        <f t="shared" si="785"/>
        <v>1.2626767702999319E-2</v>
      </c>
      <c r="CY359" s="9">
        <f t="shared" si="786"/>
        <v>0.47898735100972334</v>
      </c>
      <c r="CZ359" s="5">
        <f t="shared" si="787"/>
        <v>568.39475407443592</v>
      </c>
      <c r="DA359" s="6">
        <f t="shared" si="788"/>
        <v>6.1586342130873216E-6</v>
      </c>
      <c r="DB359" s="8">
        <f t="shared" si="789"/>
        <v>37.011552131841356</v>
      </c>
      <c r="DC359" s="7">
        <f t="shared" si="790"/>
        <v>1.5413174096306718E-2</v>
      </c>
      <c r="DD359" s="9">
        <f t="shared" si="791"/>
        <v>0.32061829850980439</v>
      </c>
    </row>
    <row r="360" spans="2:108" x14ac:dyDescent="0.25">
      <c r="B360">
        <v>93</v>
      </c>
      <c r="C360">
        <f t="shared" si="699"/>
        <v>9.0918163970108379E-2</v>
      </c>
      <c r="D360" s="4">
        <f t="shared" si="700"/>
        <v>1018.4843843787612</v>
      </c>
      <c r="E360" s="6">
        <f t="shared" si="647"/>
        <v>5.5369687687575235E-6</v>
      </c>
      <c r="F360" s="8">
        <f t="shared" si="701"/>
        <v>27.601570420355753</v>
      </c>
      <c r="G360" s="7">
        <f t="shared" si="583"/>
        <v>1.3857336001108387E-2</v>
      </c>
      <c r="H360" s="9">
        <f t="shared" si="702"/>
        <v>0.42992411985973339</v>
      </c>
      <c r="I360" s="4">
        <f t="shared" si="703"/>
        <v>1018.1602535281662</v>
      </c>
      <c r="J360" s="6">
        <f t="shared" si="650"/>
        <v>5.5363205070563334E-6</v>
      </c>
      <c r="K360" s="8">
        <f t="shared" si="704"/>
        <v>27.59784291557391</v>
      </c>
      <c r="L360" s="7">
        <f t="shared" si="651"/>
        <v>1.3855713600732801E-2</v>
      </c>
      <c r="M360" s="9">
        <f t="shared" si="705"/>
        <v>0.42998218759413964</v>
      </c>
      <c r="N360" s="4">
        <f t="shared" si="706"/>
        <v>1017.255251472352</v>
      </c>
      <c r="O360" s="6">
        <f t="shared" si="654"/>
        <v>5.5345105029447046E-6</v>
      </c>
      <c r="P360" s="8">
        <f t="shared" si="655"/>
        <v>27.587435391932047</v>
      </c>
      <c r="Q360" s="7">
        <f t="shared" si="584"/>
        <v>1.3857336001108387E-2</v>
      </c>
      <c r="R360" s="9">
        <f t="shared" si="707"/>
        <v>0.43014440092493278</v>
      </c>
      <c r="S360" s="4">
        <f t="shared" si="708"/>
        <v>1015.7542321243836</v>
      </c>
      <c r="T360" s="6">
        <f t="shared" si="658"/>
        <v>5.5315084642487673E-6</v>
      </c>
      <c r="U360" s="8">
        <f t="shared" si="659"/>
        <v>27.57017366943041</v>
      </c>
      <c r="V360" s="7">
        <f t="shared" si="660"/>
        <v>1.3843670532255981E-2</v>
      </c>
      <c r="W360" s="9">
        <f t="shared" si="709"/>
        <v>0.43041371490798658</v>
      </c>
      <c r="X360" s="4">
        <f t="shared" si="710"/>
        <v>1013.6549652743128</v>
      </c>
      <c r="Y360" s="6">
        <f t="shared" si="663"/>
        <v>5.5273099305486264E-6</v>
      </c>
      <c r="Z360" s="8">
        <f t="shared" si="664"/>
        <v>27.546032100654596</v>
      </c>
      <c r="AA360" s="7">
        <f t="shared" si="665"/>
        <v>1.383316288906263E-2</v>
      </c>
      <c r="AB360" s="9">
        <f t="shared" si="711"/>
        <v>0.43079093302283289</v>
      </c>
      <c r="AC360" s="4">
        <f t="shared" si="712"/>
        <v>1010.9561584341922</v>
      </c>
      <c r="AD360" s="6">
        <f t="shared" si="713"/>
        <v>5.5219123168683848E-6</v>
      </c>
      <c r="AE360" s="8">
        <f t="shared" si="714"/>
        <v>27.51499582199321</v>
      </c>
      <c r="AF360" s="7">
        <f t="shared" si="715"/>
        <v>1.381965431614213E-2</v>
      </c>
      <c r="AG360" s="9">
        <f t="shared" si="716"/>
        <v>0.43127685522789488</v>
      </c>
      <c r="AH360" s="4">
        <f t="shared" si="717"/>
        <v>1007.6576848796433</v>
      </c>
      <c r="AI360" s="6">
        <f t="shared" si="718"/>
        <v>5.5153153697592868E-6</v>
      </c>
      <c r="AJ360" s="8">
        <f t="shared" si="719"/>
        <v>27.477063376115897</v>
      </c>
      <c r="AK360" s="7">
        <f t="shared" si="720"/>
        <v>1.380314417918992E-2</v>
      </c>
      <c r="AL360" s="9">
        <f t="shared" si="721"/>
        <v>0.43187223857527585</v>
      </c>
      <c r="AM360" s="4">
        <f t="shared" si="722"/>
        <v>1003.7595366581118</v>
      </c>
      <c r="AN360" s="6">
        <f t="shared" si="723"/>
        <v>5.5075190733162239E-6</v>
      </c>
      <c r="AO360" s="8">
        <f t="shared" si="724"/>
        <v>27.432234671568285</v>
      </c>
      <c r="AP360" s="7">
        <f t="shared" si="725"/>
        <v>1.3783632438400381E-2</v>
      </c>
      <c r="AQ360" s="9">
        <f t="shared" si="726"/>
        <v>0.43257798760437233</v>
      </c>
      <c r="AR360" s="4">
        <f t="shared" si="727"/>
        <v>999.26171880820823</v>
      </c>
      <c r="AS360" s="6">
        <f t="shared" si="728"/>
        <v>5.4985234376164174E-6</v>
      </c>
      <c r="AT360" s="8">
        <f t="shared" si="729"/>
        <v>27.380509766294395</v>
      </c>
      <c r="AU360" s="7">
        <f t="shared" si="730"/>
        <v>1.3761119118993713E-2</v>
      </c>
      <c r="AV360" s="9">
        <f t="shared" si="731"/>
        <v>0.43339517675181288</v>
      </c>
      <c r="AW360" s="4">
        <f t="shared" si="732"/>
        <v>994.16423221804655</v>
      </c>
      <c r="AX360" s="6">
        <f t="shared" si="733"/>
        <v>5.4883284644360936E-6</v>
      </c>
      <c r="AY360" s="8">
        <f t="shared" si="734"/>
        <v>27.321888670507533</v>
      </c>
      <c r="AZ360" s="7">
        <f t="shared" si="735"/>
        <v>1.3735604225415263E-2</v>
      </c>
      <c r="BA360" s="9">
        <f t="shared" si="736"/>
        <v>0.43432505756921613</v>
      </c>
      <c r="BB360" s="4">
        <f t="shared" si="737"/>
        <v>988.46705987682913</v>
      </c>
      <c r="BC360" s="6">
        <f t="shared" si="738"/>
        <v>5.4769341197536584E-6</v>
      </c>
      <c r="BD360" s="8">
        <f t="shared" si="739"/>
        <v>27.256371188583536</v>
      </c>
      <c r="BE360" s="7">
        <f t="shared" si="740"/>
        <v>1.3707087672519415E-2</v>
      </c>
      <c r="BF360" s="9">
        <f t="shared" si="741"/>
        <v>0.43536906610254389</v>
      </c>
      <c r="BG360" s="4">
        <f t="shared" si="742"/>
        <v>982.17004248128728</v>
      </c>
      <c r="BH360" s="6">
        <f t="shared" si="743"/>
        <v>5.4643400849625755E-6</v>
      </c>
      <c r="BI360" s="8">
        <f t="shared" si="744"/>
        <v>27.183955488534803</v>
      </c>
      <c r="BJ360" s="7">
        <f t="shared" si="745"/>
        <v>1.3675568662931637E-2</v>
      </c>
      <c r="BK360" s="9">
        <f t="shared" si="746"/>
        <v>0.43652885153975429</v>
      </c>
      <c r="BL360" s="4">
        <f t="shared" si="747"/>
        <v>975.27189711318056</v>
      </c>
      <c r="BM360" s="6">
        <f t="shared" si="748"/>
        <v>5.4505437942263619E-6</v>
      </c>
      <c r="BN360" s="8">
        <f t="shared" si="749"/>
        <v>27.104626816801577</v>
      </c>
      <c r="BO360" s="7">
        <f t="shared" si="750"/>
        <v>1.364104077514953E-2</v>
      </c>
      <c r="BP360" s="9">
        <f t="shared" si="751"/>
        <v>0.43780646566076531</v>
      </c>
      <c r="BQ360" s="4">
        <f t="shared" si="752"/>
        <v>967.76341426929309</v>
      </c>
      <c r="BR360" s="6">
        <f t="shared" si="753"/>
        <v>5.435526828538587E-6</v>
      </c>
      <c r="BS360" s="8">
        <f t="shared" si="754"/>
        <v>27.018279264096869</v>
      </c>
      <c r="BT360" s="7">
        <f t="shared" si="755"/>
        <v>1.3603457912044576E-2</v>
      </c>
      <c r="BU360" s="9">
        <f t="shared" si="756"/>
        <v>0.43920564865456685</v>
      </c>
      <c r="BV360" s="4">
        <f t="shared" si="757"/>
        <v>959.58635688479626</v>
      </c>
      <c r="BW360" s="6">
        <f t="shared" si="758"/>
        <v>5.4191727137695931E-6</v>
      </c>
      <c r="BX360" s="8">
        <f t="shared" si="759"/>
        <v>26.924243104175154</v>
      </c>
      <c r="BY360" s="7">
        <f t="shared" si="760"/>
        <v>1.3562528574564229E-2</v>
      </c>
      <c r="BZ360" s="9">
        <f t="shared" si="761"/>
        <v>0.44073962724982757</v>
      </c>
      <c r="CA360" s="4">
        <f t="shared" si="762"/>
        <v>950.42184073786575</v>
      </c>
      <c r="CB360" s="6">
        <f t="shared" si="763"/>
        <v>5.4008436814757322E-6</v>
      </c>
      <c r="CC360" s="8">
        <f t="shared" si="764"/>
        <v>26.818851168485455</v>
      </c>
      <c r="CD360" s="7">
        <f t="shared" si="765"/>
        <v>1.351665662374082E-2</v>
      </c>
      <c r="CE360" s="9">
        <f t="shared" si="766"/>
        <v>0.44247163292595437</v>
      </c>
      <c r="CF360" s="4">
        <f t="shared" si="767"/>
        <v>938.79249558463903</v>
      </c>
      <c r="CG360" s="6">
        <f t="shared" si="768"/>
        <v>5.3775849911692781E-6</v>
      </c>
      <c r="CH360" s="8">
        <f t="shared" si="769"/>
        <v>26.685113699223351</v>
      </c>
      <c r="CI360" s="7">
        <f t="shared" si="770"/>
        <v>1.3458447249626075E-2</v>
      </c>
      <c r="CJ360" s="9">
        <f t="shared" si="771"/>
        <v>0.44468916278454029</v>
      </c>
      <c r="CK360" s="4">
        <f t="shared" si="772"/>
        <v>919.09471471055917</v>
      </c>
      <c r="CL360" s="6">
        <f t="shared" si="773"/>
        <v>5.338189429421119E-6</v>
      </c>
      <c r="CM360" s="8">
        <f t="shared" si="774"/>
        <v>26.458589219171429</v>
      </c>
      <c r="CN360" s="7">
        <f t="shared" si="775"/>
        <v>1.3359852231504064E-2</v>
      </c>
      <c r="CO360" s="9">
        <f t="shared" si="776"/>
        <v>0.44849635675660221</v>
      </c>
      <c r="CP360" s="4">
        <f t="shared" si="777"/>
        <v>874.79152168083488</v>
      </c>
      <c r="CQ360" s="6">
        <f t="shared" si="778"/>
        <v>5.2495830433616705E-6</v>
      </c>
      <c r="CR360" s="8">
        <f t="shared" si="779"/>
        <v>25.949102499329598</v>
      </c>
      <c r="CS360" s="7">
        <f t="shared" si="780"/>
        <v>1.3138097600992535E-2</v>
      </c>
      <c r="CT360" s="9">
        <f t="shared" si="781"/>
        <v>0.45730216950757641</v>
      </c>
      <c r="CU360" s="4">
        <f t="shared" si="782"/>
        <v>771.19928429101401</v>
      </c>
      <c r="CV360" s="6">
        <f t="shared" si="783"/>
        <v>5.0423985685820286E-6</v>
      </c>
      <c r="CW360" s="8">
        <f t="shared" si="784"/>
        <v>24.75779176934666</v>
      </c>
      <c r="CX360" s="7">
        <f t="shared" si="785"/>
        <v>1.261957835316248E-2</v>
      </c>
      <c r="CY360" s="9">
        <f t="shared" si="786"/>
        <v>0.47930691801076769</v>
      </c>
      <c r="CZ360" s="5">
        <f t="shared" si="787"/>
        <v>566.96444179398679</v>
      </c>
      <c r="DA360" s="6">
        <f t="shared" si="788"/>
        <v>6.1815032516314098E-6</v>
      </c>
      <c r="DB360" s="8">
        <f t="shared" si="789"/>
        <v>37.053031187974383</v>
      </c>
      <c r="DC360" s="7">
        <f t="shared" si="790"/>
        <v>1.5470408291470662E-2</v>
      </c>
      <c r="DD360" s="9">
        <f t="shared" si="791"/>
        <v>0.32025938200622073</v>
      </c>
    </row>
    <row r="361" spans="2:108" x14ac:dyDescent="0.25">
      <c r="B361">
        <v>94</v>
      </c>
      <c r="C361">
        <f t="shared" si="699"/>
        <v>9.1895778636453637E-2</v>
      </c>
      <c r="D361" s="4">
        <f t="shared" si="700"/>
        <v>1018.4678358949302</v>
      </c>
      <c r="E361" s="6">
        <f t="shared" si="647"/>
        <v>5.5369356717898614E-6</v>
      </c>
      <c r="F361" s="8">
        <f t="shared" si="701"/>
        <v>27.601380112791695</v>
      </c>
      <c r="G361" s="7">
        <f t="shared" si="583"/>
        <v>1.3857253169541032E-2</v>
      </c>
      <c r="H361" s="9">
        <f t="shared" si="702"/>
        <v>0.42992708412498554</v>
      </c>
      <c r="I361" s="4">
        <f t="shared" si="703"/>
        <v>1018.143688045885</v>
      </c>
      <c r="J361" s="6">
        <f t="shared" si="650"/>
        <v>5.5362873760917707E-6</v>
      </c>
      <c r="K361" s="8">
        <f t="shared" si="704"/>
        <v>27.597652412527676</v>
      </c>
      <c r="L361" s="7">
        <f t="shared" si="651"/>
        <v>1.3855630684081622E-2</v>
      </c>
      <c r="M361" s="9">
        <f t="shared" si="705"/>
        <v>0.42998515570589563</v>
      </c>
      <c r="N361" s="4">
        <f t="shared" si="706"/>
        <v>1017.2386590408734</v>
      </c>
      <c r="O361" s="6">
        <f t="shared" si="654"/>
        <v>5.5344773180817474E-6</v>
      </c>
      <c r="P361" s="8">
        <f t="shared" si="655"/>
        <v>27.587244578970044</v>
      </c>
      <c r="Q361" s="7">
        <f t="shared" si="584"/>
        <v>1.3857253169541032E-2</v>
      </c>
      <c r="R361" s="9">
        <f t="shared" si="707"/>
        <v>0.43014737610888037</v>
      </c>
      <c r="S361" s="4">
        <f t="shared" si="708"/>
        <v>1015.7376270444008</v>
      </c>
      <c r="T361" s="6">
        <f t="shared" si="658"/>
        <v>5.5314752540888026E-6</v>
      </c>
      <c r="U361" s="8">
        <f t="shared" si="659"/>
        <v>27.56998271101061</v>
      </c>
      <c r="V361" s="7">
        <f t="shared" si="660"/>
        <v>1.3843587417402983E-2</v>
      </c>
      <c r="W361" s="9">
        <f t="shared" si="709"/>
        <v>0.43041669608950273</v>
      </c>
      <c r="X361" s="4">
        <f t="shared" si="710"/>
        <v>1013.6383626709796</v>
      </c>
      <c r="Y361" s="6">
        <f t="shared" si="663"/>
        <v>5.5272767253419597E-6</v>
      </c>
      <c r="Z361" s="8">
        <f t="shared" si="664"/>
        <v>27.545841170716265</v>
      </c>
      <c r="AA361" s="7">
        <f t="shared" si="665"/>
        <v>1.3833079786606218E-2</v>
      </c>
      <c r="AB361" s="9">
        <f t="shared" si="711"/>
        <v>0.43079391898669456</v>
      </c>
      <c r="AC361" s="4">
        <f t="shared" si="712"/>
        <v>1010.9395671108659</v>
      </c>
      <c r="AD361" s="6">
        <f t="shared" si="713"/>
        <v>5.5218791342217324E-6</v>
      </c>
      <c r="AE361" s="8">
        <f t="shared" si="714"/>
        <v>27.514805021774958</v>
      </c>
      <c r="AF361" s="7">
        <f t="shared" si="715"/>
        <v>1.3819571270146521E-2</v>
      </c>
      <c r="AG361" s="9">
        <f t="shared" si="716"/>
        <v>0.43127984589848256</v>
      </c>
      <c r="AH361" s="4">
        <f t="shared" si="717"/>
        <v>1007.6411097805491</v>
      </c>
      <c r="AI361" s="6">
        <f t="shared" si="718"/>
        <v>5.5152822195610987E-6</v>
      </c>
      <c r="AJ361" s="8">
        <f t="shared" si="719"/>
        <v>27.476872762476312</v>
      </c>
      <c r="AK361" s="7">
        <f t="shared" si="720"/>
        <v>1.3803061214402871E-2</v>
      </c>
      <c r="AL361" s="9">
        <f t="shared" si="721"/>
        <v>0.43187523457631066</v>
      </c>
      <c r="AM361" s="4">
        <f t="shared" si="722"/>
        <v>1003.7429815219773</v>
      </c>
      <c r="AN361" s="6">
        <f t="shared" si="723"/>
        <v>5.5074859630439553E-6</v>
      </c>
      <c r="AO361" s="8">
        <f t="shared" si="724"/>
        <v>27.432044287502737</v>
      </c>
      <c r="AP361" s="7">
        <f t="shared" si="725"/>
        <v>1.3783549573535671E-2</v>
      </c>
      <c r="AQ361" s="9">
        <f t="shared" si="726"/>
        <v>0.43258098978514614</v>
      </c>
      <c r="AR361" s="4">
        <f t="shared" si="727"/>
        <v>999.24518715974773</v>
      </c>
      <c r="AS361" s="6">
        <f t="shared" si="728"/>
        <v>5.4984903743194957E-6</v>
      </c>
      <c r="AT361" s="8">
        <f t="shared" si="729"/>
        <v>27.3803196523371</v>
      </c>
      <c r="AU361" s="7">
        <f t="shared" si="730"/>
        <v>1.3761036371693902E-2</v>
      </c>
      <c r="AV361" s="9">
        <f t="shared" si="731"/>
        <v>0.43339818601076863</v>
      </c>
      <c r="AW361" s="4">
        <f t="shared" si="732"/>
        <v>994.14772738204942</v>
      </c>
      <c r="AX361" s="6">
        <f t="shared" si="733"/>
        <v>5.4882954547640994E-6</v>
      </c>
      <c r="AY361" s="8">
        <f t="shared" si="734"/>
        <v>27.32169886489357</v>
      </c>
      <c r="AZ361" s="7">
        <f t="shared" si="735"/>
        <v>1.3735521612322214E-2</v>
      </c>
      <c r="BA361" s="9">
        <f t="shared" si="736"/>
        <v>0.43432807485355923</v>
      </c>
      <c r="BB361" s="4">
        <f t="shared" si="737"/>
        <v>988.45058336950387</v>
      </c>
      <c r="BC361" s="6">
        <f t="shared" si="738"/>
        <v>5.4769011667390077E-6</v>
      </c>
      <c r="BD361" s="8">
        <f t="shared" si="739"/>
        <v>27.256181708749295</v>
      </c>
      <c r="BE361" s="7">
        <f t="shared" si="740"/>
        <v>1.3707005201222332E-2</v>
      </c>
      <c r="BF361" s="9">
        <f t="shared" si="741"/>
        <v>0.43537209270617311</v>
      </c>
      <c r="BG361" s="4">
        <f t="shared" si="742"/>
        <v>982.1535816277393</v>
      </c>
      <c r="BH361" s="6">
        <f t="shared" si="743"/>
        <v>5.4643071632554789E-6</v>
      </c>
      <c r="BI361" s="8">
        <f t="shared" si="744"/>
        <v>27.183766188719002</v>
      </c>
      <c r="BJ361" s="7">
        <f t="shared" si="745"/>
        <v>1.3675486269987769E-2</v>
      </c>
      <c r="BK361" s="9">
        <f t="shared" si="746"/>
        <v>0.43653189139930193</v>
      </c>
      <c r="BL361" s="4">
        <f t="shared" si="747"/>
        <v>975.25534138281421</v>
      </c>
      <c r="BM361" s="6">
        <f t="shared" si="748"/>
        <v>5.450510682765629E-6</v>
      </c>
      <c r="BN361" s="8">
        <f t="shared" si="749"/>
        <v>27.104436425902364</v>
      </c>
      <c r="BO361" s="7">
        <f t="shared" si="750"/>
        <v>1.3640957907310462E-2</v>
      </c>
      <c r="BP361" s="9">
        <f t="shared" si="751"/>
        <v>0.43780954096420899</v>
      </c>
      <c r="BQ361" s="4">
        <f t="shared" si="752"/>
        <v>967.74606481851106</v>
      </c>
      <c r="BR361" s="6">
        <f t="shared" si="753"/>
        <v>5.4354921296370226E-6</v>
      </c>
      <c r="BS361" s="8">
        <f t="shared" si="754"/>
        <v>27.018079745412876</v>
      </c>
      <c r="BT361" s="7">
        <f t="shared" si="755"/>
        <v>1.3603371071327586E-2</v>
      </c>
      <c r="BU361" s="9">
        <f t="shared" si="756"/>
        <v>0.43920889202840568</v>
      </c>
      <c r="BV361" s="4">
        <f t="shared" si="757"/>
        <v>959.56449897898653</v>
      </c>
      <c r="BW361" s="6">
        <f t="shared" si="758"/>
        <v>5.4191289979579743E-6</v>
      </c>
      <c r="BX361" s="8">
        <f t="shared" si="759"/>
        <v>26.923991738258344</v>
      </c>
      <c r="BY361" s="7">
        <f t="shared" si="760"/>
        <v>1.3562419167284638E-2</v>
      </c>
      <c r="BZ361" s="9">
        <f t="shared" si="761"/>
        <v>0.44074374205277195</v>
      </c>
      <c r="CA361" s="4">
        <f t="shared" si="762"/>
        <v>950.37901119160472</v>
      </c>
      <c r="CB361" s="6">
        <f t="shared" si="763"/>
        <v>5.40075802238321E-6</v>
      </c>
      <c r="CC361" s="8">
        <f t="shared" si="764"/>
        <v>26.818358628703454</v>
      </c>
      <c r="CD361" s="7">
        <f t="shared" si="765"/>
        <v>1.3516442245282822E-2</v>
      </c>
      <c r="CE361" s="9">
        <f t="shared" si="766"/>
        <v>0.44247975925779442</v>
      </c>
      <c r="CF361" s="4">
        <f t="shared" si="767"/>
        <v>938.6702068114065</v>
      </c>
      <c r="CG361" s="6">
        <f t="shared" si="768"/>
        <v>5.3773404136228133E-6</v>
      </c>
      <c r="CH361" s="8">
        <f t="shared" si="769"/>
        <v>26.683707378331174</v>
      </c>
      <c r="CI361" s="7">
        <f t="shared" si="770"/>
        <v>1.345783514697908E-2</v>
      </c>
      <c r="CJ361" s="9">
        <f t="shared" si="771"/>
        <v>0.44471259939517616</v>
      </c>
      <c r="CK361" s="4">
        <f t="shared" si="772"/>
        <v>918.73824634898494</v>
      </c>
      <c r="CL361" s="6">
        <f t="shared" si="773"/>
        <v>5.3374764926979704E-6</v>
      </c>
      <c r="CM361" s="8">
        <f t="shared" si="774"/>
        <v>26.454489833013326</v>
      </c>
      <c r="CN361" s="7">
        <f t="shared" si="775"/>
        <v>1.3358067969368444E-2</v>
      </c>
      <c r="CO361" s="9">
        <f t="shared" si="776"/>
        <v>0.44856585572514984</v>
      </c>
      <c r="CP361" s="4">
        <f t="shared" si="777"/>
        <v>873.9446568961032</v>
      </c>
      <c r="CQ361" s="6">
        <f t="shared" si="778"/>
        <v>5.2478893137922069E-6</v>
      </c>
      <c r="CR361" s="8">
        <f t="shared" si="779"/>
        <v>25.939363554305189</v>
      </c>
      <c r="CS361" s="7">
        <f t="shared" si="780"/>
        <v>1.3133858714930634E-2</v>
      </c>
      <c r="CT361" s="9">
        <f t="shared" si="781"/>
        <v>0.45747386380065547</v>
      </c>
      <c r="CU361" s="4">
        <f t="shared" si="782"/>
        <v>769.77106491967913</v>
      </c>
      <c r="CV361" s="6">
        <f t="shared" si="783"/>
        <v>5.0395421298393584E-6</v>
      </c>
      <c r="CW361" s="8">
        <f t="shared" si="784"/>
        <v>24.74136724657631</v>
      </c>
      <c r="CX361" s="7">
        <f t="shared" si="785"/>
        <v>1.26124295623571E-2</v>
      </c>
      <c r="CY361" s="9">
        <f t="shared" si="786"/>
        <v>0.47962510525201418</v>
      </c>
      <c r="CZ361" s="5">
        <f t="shared" si="787"/>
        <v>565.54775412306947</v>
      </c>
      <c r="DA361" s="6">
        <f t="shared" si="788"/>
        <v>6.2041148192610887E-6</v>
      </c>
      <c r="DB361" s="8">
        <f t="shared" si="789"/>
        <v>37.094115130430978</v>
      </c>
      <c r="DC361" s="7">
        <f t="shared" si="790"/>
        <v>1.5526998115838872E-2</v>
      </c>
      <c r="DD361" s="9">
        <f t="shared" si="791"/>
        <v>0.31990467566061137</v>
      </c>
    </row>
    <row r="362" spans="2:108" x14ac:dyDescent="0.25">
      <c r="B362">
        <v>95</v>
      </c>
      <c r="C362">
        <f t="shared" si="699"/>
        <v>9.2873393302798896E-2</v>
      </c>
      <c r="D362" s="4">
        <f t="shared" si="700"/>
        <v>1018.4512865432442</v>
      </c>
      <c r="E362" s="6">
        <f t="shared" si="647"/>
        <v>5.5369025730864882E-6</v>
      </c>
      <c r="F362" s="8">
        <f t="shared" si="701"/>
        <v>27.601189795247308</v>
      </c>
      <c r="G362" s="7">
        <f t="shared" si="583"/>
        <v>1.3857170333629723E-2</v>
      </c>
      <c r="H362" s="9">
        <f t="shared" si="702"/>
        <v>0.42993004858657302</v>
      </c>
      <c r="I362" s="4">
        <f t="shared" si="703"/>
        <v>1018.1271222202448</v>
      </c>
      <c r="J362" s="6">
        <f t="shared" si="650"/>
        <v>5.5362542444404905E-6</v>
      </c>
      <c r="K362" s="8">
        <f t="shared" si="704"/>
        <v>27.597461905532814</v>
      </c>
      <c r="L362" s="7">
        <f t="shared" si="651"/>
        <v>1.3855547765711801E-2</v>
      </c>
      <c r="M362" s="9">
        <f t="shared" si="705"/>
        <v>0.42998812392015129</v>
      </c>
      <c r="N362" s="4">
        <f t="shared" si="706"/>
        <v>1017.2220667696733</v>
      </c>
      <c r="O362" s="6">
        <f t="shared" si="654"/>
        <v>5.5344441335393472E-6</v>
      </c>
      <c r="P362" s="8">
        <f t="shared" si="655"/>
        <v>27.587053767851245</v>
      </c>
      <c r="Q362" s="7">
        <f t="shared" si="584"/>
        <v>1.3857170333629723E-2</v>
      </c>
      <c r="R362" s="9">
        <f t="shared" si="707"/>
        <v>0.43015035130524509</v>
      </c>
      <c r="S362" s="4">
        <f t="shared" si="708"/>
        <v>1015.7210222497795</v>
      </c>
      <c r="T362" s="6">
        <f t="shared" si="658"/>
        <v>5.5314420444995603E-6</v>
      </c>
      <c r="U362" s="8">
        <f t="shared" si="659"/>
        <v>27.569791755872465</v>
      </c>
      <c r="V362" s="7">
        <f t="shared" si="660"/>
        <v>1.3843504303978325E-2</v>
      </c>
      <c r="W362" s="9">
        <f t="shared" si="709"/>
        <v>0.43041967726108321</v>
      </c>
      <c r="X362" s="4">
        <f t="shared" si="710"/>
        <v>1013.6217603129987</v>
      </c>
      <c r="Y362" s="6">
        <f t="shared" si="663"/>
        <v>5.5272435206259977E-6</v>
      </c>
      <c r="Z362" s="8">
        <f t="shared" si="664"/>
        <v>27.545650243599482</v>
      </c>
      <c r="AA362" s="7">
        <f t="shared" si="665"/>
        <v>1.3832996685377888E-2</v>
      </c>
      <c r="AB362" s="9">
        <f t="shared" si="711"/>
        <v>0.4307969049478228</v>
      </c>
      <c r="AC362" s="4">
        <f t="shared" si="712"/>
        <v>1010.9229759936509</v>
      </c>
      <c r="AD362" s="6">
        <f t="shared" si="713"/>
        <v>5.5218459519873022E-6</v>
      </c>
      <c r="AE362" s="8">
        <f t="shared" si="714"/>
        <v>27.514614223926984</v>
      </c>
      <c r="AF362" s="7">
        <f t="shared" si="715"/>
        <v>1.3819488225182575E-2</v>
      </c>
      <c r="AG362" s="9">
        <f t="shared" si="716"/>
        <v>0.43128283657339456</v>
      </c>
      <c r="AH362" s="4">
        <f t="shared" si="717"/>
        <v>1007.6245348743998</v>
      </c>
      <c r="AI362" s="6">
        <f t="shared" si="718"/>
        <v>5.5152490697488002E-6</v>
      </c>
      <c r="AJ362" s="8">
        <f t="shared" si="719"/>
        <v>27.476682151055599</v>
      </c>
      <c r="AK362" s="7">
        <f t="shared" si="720"/>
        <v>1.3802978250581585E-2</v>
      </c>
      <c r="AL362" s="9">
        <f t="shared" si="721"/>
        <v>0.43187823058403757</v>
      </c>
      <c r="AM362" s="4">
        <f t="shared" si="722"/>
        <v>1003.7264265768389</v>
      </c>
      <c r="AN362" s="6">
        <f t="shared" si="723"/>
        <v>5.5074528531536782E-6</v>
      </c>
      <c r="AO362" s="8">
        <f t="shared" si="724"/>
        <v>27.431853905633645</v>
      </c>
      <c r="AP362" s="7">
        <f t="shared" si="725"/>
        <v>1.3783466709626973E-2</v>
      </c>
      <c r="AQ362" s="9">
        <f t="shared" si="726"/>
        <v>0.432583991972955</v>
      </c>
      <c r="AR362" s="4">
        <f t="shared" si="727"/>
        <v>999.22865569983117</v>
      </c>
      <c r="AS362" s="6">
        <f t="shared" si="728"/>
        <v>5.498457311399663E-6</v>
      </c>
      <c r="AT362" s="8">
        <f t="shared" si="729"/>
        <v>27.380129540548058</v>
      </c>
      <c r="AU362" s="7">
        <f t="shared" si="730"/>
        <v>1.376095362533783E-2</v>
      </c>
      <c r="AV362" s="9">
        <f t="shared" si="731"/>
        <v>0.43340119527719262</v>
      </c>
      <c r="AW362" s="4">
        <f t="shared" si="732"/>
        <v>994.13122270831707</v>
      </c>
      <c r="AX362" s="6">
        <f t="shared" si="733"/>
        <v>5.4882624454166348E-6</v>
      </c>
      <c r="AY362" s="8">
        <f t="shared" si="734"/>
        <v>27.321509061145647</v>
      </c>
      <c r="AZ362" s="7">
        <f t="shared" si="735"/>
        <v>1.3735439000041363E-2</v>
      </c>
      <c r="BA362" s="9">
        <f t="shared" si="736"/>
        <v>0.43433109215016064</v>
      </c>
      <c r="BB362" s="4">
        <f t="shared" si="737"/>
        <v>988.43410681738715</v>
      </c>
      <c r="BC362" s="6">
        <f t="shared" si="738"/>
        <v>5.4768682136347748E-6</v>
      </c>
      <c r="BD362" s="8">
        <f t="shared" si="739"/>
        <v>27.255992228399951</v>
      </c>
      <c r="BE362" s="7">
        <f t="shared" si="740"/>
        <v>1.3706922729701053E-2</v>
      </c>
      <c r="BF362" s="9">
        <f t="shared" si="741"/>
        <v>0.43537511936011147</v>
      </c>
      <c r="BG362" s="4">
        <f t="shared" si="742"/>
        <v>982.13711930883835</v>
      </c>
      <c r="BH362" s="6">
        <f t="shared" si="743"/>
        <v>5.464274238617677E-6</v>
      </c>
      <c r="BI362" s="8">
        <f t="shared" si="744"/>
        <v>27.183576872051638</v>
      </c>
      <c r="BJ362" s="7">
        <f t="shared" si="745"/>
        <v>1.3675403869709243E-2</v>
      </c>
      <c r="BK362" s="9">
        <f t="shared" si="746"/>
        <v>0.43653493157180262</v>
      </c>
      <c r="BL362" s="4">
        <f t="shared" si="747"/>
        <v>975.23877568890407</v>
      </c>
      <c r="BM362" s="6">
        <f t="shared" si="748"/>
        <v>5.450477551377809E-6</v>
      </c>
      <c r="BN362" s="8">
        <f t="shared" si="749"/>
        <v>27.104245920422397</v>
      </c>
      <c r="BO362" s="7">
        <f t="shared" si="750"/>
        <v>1.36408749896E-2</v>
      </c>
      <c r="BP362" s="9">
        <f t="shared" si="751"/>
        <v>0.43781261816167022</v>
      </c>
      <c r="BQ362" s="4">
        <f t="shared" si="752"/>
        <v>967.72866201917736</v>
      </c>
      <c r="BR362" s="6">
        <f t="shared" si="753"/>
        <v>5.435457324038355E-6</v>
      </c>
      <c r="BS362" s="8">
        <f t="shared" si="754"/>
        <v>27.017879613220536</v>
      </c>
      <c r="BT362" s="7">
        <f t="shared" si="755"/>
        <v>1.360328396358044E-2</v>
      </c>
      <c r="BU362" s="9">
        <f t="shared" si="756"/>
        <v>0.43921214542355419</v>
      </c>
      <c r="BV362" s="4">
        <f t="shared" si="757"/>
        <v>959.54240488072048</v>
      </c>
      <c r="BW362" s="6">
        <f t="shared" si="758"/>
        <v>5.4190848097614417E-6</v>
      </c>
      <c r="BX362" s="8">
        <f t="shared" si="759"/>
        <v>26.923737656128285</v>
      </c>
      <c r="BY362" s="7">
        <f t="shared" si="760"/>
        <v>1.3562308577770374E-2</v>
      </c>
      <c r="BZ362" s="9">
        <f t="shared" si="761"/>
        <v>0.44074790139759329</v>
      </c>
      <c r="CA362" s="4">
        <f t="shared" si="762"/>
        <v>950.33534336540379</v>
      </c>
      <c r="CB362" s="6">
        <f t="shared" si="763"/>
        <v>5.4006706867308077E-6</v>
      </c>
      <c r="CC362" s="8">
        <f t="shared" si="764"/>
        <v>26.817856448702145</v>
      </c>
      <c r="CD362" s="7">
        <f t="shared" si="765"/>
        <v>1.351622367090923E-2</v>
      </c>
      <c r="CE362" s="9">
        <f t="shared" si="766"/>
        <v>0.44248804494932642</v>
      </c>
      <c r="CF362" s="4">
        <f t="shared" si="767"/>
        <v>938.54569630530807</v>
      </c>
      <c r="CG362" s="6">
        <f t="shared" si="768"/>
        <v>5.3770913926106166E-6</v>
      </c>
      <c r="CH362" s="8">
        <f t="shared" si="769"/>
        <v>26.682275507511044</v>
      </c>
      <c r="CI362" s="7">
        <f t="shared" si="770"/>
        <v>1.3457211923699076E-2</v>
      </c>
      <c r="CJ362" s="9">
        <f t="shared" si="771"/>
        <v>0.44473646433856301</v>
      </c>
      <c r="CK362" s="4">
        <f t="shared" si="772"/>
        <v>918.37805974353637</v>
      </c>
      <c r="CL362" s="6">
        <f t="shared" si="773"/>
        <v>5.3367561194870728E-6</v>
      </c>
      <c r="CM362" s="8">
        <f t="shared" si="774"/>
        <v>26.450347687050666</v>
      </c>
      <c r="CN362" s="7">
        <f t="shared" si="775"/>
        <v>1.3356265095982933E-2</v>
      </c>
      <c r="CO362" s="9">
        <f t="shared" si="776"/>
        <v>0.44863610150302247</v>
      </c>
      <c r="CP362" s="4">
        <f t="shared" si="777"/>
        <v>873.09629391972726</v>
      </c>
      <c r="CQ362" s="6">
        <f t="shared" si="778"/>
        <v>5.2461925878394547E-6</v>
      </c>
      <c r="CR362" s="8">
        <f t="shared" si="779"/>
        <v>25.929607380076863</v>
      </c>
      <c r="CS362" s="7">
        <f t="shared" si="780"/>
        <v>1.3129612329839615E-2</v>
      </c>
      <c r="CT362" s="9">
        <f t="shared" si="781"/>
        <v>0.45764599115510102</v>
      </c>
      <c r="CU362" s="4">
        <f t="shared" si="782"/>
        <v>768.35089479846238</v>
      </c>
      <c r="CV362" s="6">
        <f t="shared" si="783"/>
        <v>5.0367017895969253E-6</v>
      </c>
      <c r="CW362" s="8">
        <f t="shared" si="784"/>
        <v>24.725035290182319</v>
      </c>
      <c r="CX362" s="7">
        <f t="shared" si="785"/>
        <v>1.2605321061164361E-2</v>
      </c>
      <c r="CY362" s="9">
        <f t="shared" si="786"/>
        <v>0.47994191840162165</v>
      </c>
      <c r="CZ362" s="5">
        <f t="shared" si="787"/>
        <v>564.14440945161948</v>
      </c>
      <c r="DA362" s="6">
        <f t="shared" si="788"/>
        <v>6.226475007092458E-6</v>
      </c>
      <c r="DB362" s="8">
        <f t="shared" si="789"/>
        <v>37.134812125903032</v>
      </c>
      <c r="DC362" s="7">
        <f t="shared" si="790"/>
        <v>1.5582958813608296E-2</v>
      </c>
      <c r="DD362" s="9">
        <f t="shared" si="791"/>
        <v>0.31955408390070938</v>
      </c>
    </row>
    <row r="363" spans="2:108" x14ac:dyDescent="0.25">
      <c r="B363">
        <v>96</v>
      </c>
      <c r="C363">
        <f t="shared" si="699"/>
        <v>9.385100796914414E-2</v>
      </c>
      <c r="D363" s="4">
        <f t="shared" si="700"/>
        <v>1018.4347363504813</v>
      </c>
      <c r="E363" s="6">
        <f t="shared" si="647"/>
        <v>5.5368694727009626E-6</v>
      </c>
      <c r="F363" s="8">
        <f t="shared" si="701"/>
        <v>27.600999468030537</v>
      </c>
      <c r="G363" s="7">
        <f t="shared" si="583"/>
        <v>1.3857087493508505E-2</v>
      </c>
      <c r="H363" s="9">
        <f t="shared" si="702"/>
        <v>0.42993301323970629</v>
      </c>
      <c r="I363" s="4">
        <f t="shared" si="703"/>
        <v>1018.1105560580903</v>
      </c>
      <c r="J363" s="6">
        <f t="shared" si="650"/>
        <v>5.5362211121161815E-6</v>
      </c>
      <c r="K363" s="8">
        <f t="shared" si="704"/>
        <v>27.597271394668038</v>
      </c>
      <c r="L363" s="7">
        <f t="shared" si="651"/>
        <v>1.3855464845657594E-2</v>
      </c>
      <c r="M363" s="9">
        <f t="shared" si="705"/>
        <v>0.42999109223568366</v>
      </c>
      <c r="N363" s="4">
        <f t="shared" si="706"/>
        <v>1017.205474655686</v>
      </c>
      <c r="O363" s="6">
        <f t="shared" si="654"/>
        <v>5.5344109493113724E-6</v>
      </c>
      <c r="P363" s="8">
        <f t="shared" si="655"/>
        <v>27.586862958540387</v>
      </c>
      <c r="Q363" s="7">
        <f t="shared" si="584"/>
        <v>1.3857087493508505E-2</v>
      </c>
      <c r="R363" s="9">
        <f t="shared" si="707"/>
        <v>0.4301533265145765</v>
      </c>
      <c r="S363" s="4">
        <f t="shared" si="708"/>
        <v>1015.7044177384313</v>
      </c>
      <c r="T363" s="6">
        <f t="shared" si="658"/>
        <v>5.5314088354768627E-6</v>
      </c>
      <c r="U363" s="8">
        <f t="shared" si="659"/>
        <v>27.56960080399196</v>
      </c>
      <c r="V363" s="7">
        <f t="shared" si="660"/>
        <v>1.3843421191971555E-2</v>
      </c>
      <c r="W363" s="9">
        <f t="shared" si="709"/>
        <v>0.43042265842310157</v>
      </c>
      <c r="X363" s="4">
        <f t="shared" si="710"/>
        <v>1013.6051582002401</v>
      </c>
      <c r="Y363" s="6">
        <f t="shared" si="663"/>
        <v>5.5272103164004805E-6</v>
      </c>
      <c r="Z363" s="8">
        <f t="shared" si="664"/>
        <v>27.545459319302761</v>
      </c>
      <c r="AA363" s="7">
        <f t="shared" si="665"/>
        <v>1.3832913585376992E-2</v>
      </c>
      <c r="AB363" s="9">
        <f t="shared" si="711"/>
        <v>0.43079989090623988</v>
      </c>
      <c r="AC363" s="4">
        <f t="shared" si="712"/>
        <v>1010.9063850828326</v>
      </c>
      <c r="AD363" s="6">
        <f t="shared" si="713"/>
        <v>5.5218127701656658E-6</v>
      </c>
      <c r="AE363" s="8">
        <f t="shared" si="714"/>
        <v>27.514423428452574</v>
      </c>
      <c r="AF363" s="7">
        <f t="shared" si="715"/>
        <v>1.3819405181251727E-2</v>
      </c>
      <c r="AG363" s="9">
        <f t="shared" si="716"/>
        <v>0.43128582725257864</v>
      </c>
      <c r="AH363" s="4">
        <f t="shared" si="717"/>
        <v>1007.6079601613308</v>
      </c>
      <c r="AI363" s="6">
        <f t="shared" si="718"/>
        <v>5.5152159203226623E-6</v>
      </c>
      <c r="AJ363" s="8">
        <f t="shared" si="719"/>
        <v>27.476491541855303</v>
      </c>
      <c r="AK363" s="7">
        <f t="shared" si="720"/>
        <v>1.3802895287726741E-2</v>
      </c>
      <c r="AL363" s="9">
        <f t="shared" si="721"/>
        <v>0.43188122659843159</v>
      </c>
      <c r="AM363" s="4">
        <f t="shared" si="722"/>
        <v>1003.7098718226829</v>
      </c>
      <c r="AN363" s="6">
        <f t="shared" si="723"/>
        <v>5.5074197436453664E-6</v>
      </c>
      <c r="AO363" s="8">
        <f t="shared" si="724"/>
        <v>27.43166352596085</v>
      </c>
      <c r="AP363" s="7">
        <f t="shared" si="725"/>
        <v>1.3783383846674213E-2</v>
      </c>
      <c r="AQ363" s="9">
        <f t="shared" si="726"/>
        <v>0.43258699416780072</v>
      </c>
      <c r="AR363" s="4">
        <f t="shared" si="727"/>
        <v>999.21212442810315</v>
      </c>
      <c r="AS363" s="6">
        <f t="shared" si="728"/>
        <v>5.4984242488562068E-6</v>
      </c>
      <c r="AT363" s="8">
        <f t="shared" si="729"/>
        <v>27.379939430923187</v>
      </c>
      <c r="AU363" s="7">
        <f t="shared" si="730"/>
        <v>1.3760870879923713E-2</v>
      </c>
      <c r="AV363" s="9">
        <f t="shared" si="731"/>
        <v>0.43340420455114881</v>
      </c>
      <c r="AW363" s="4">
        <f t="shared" si="732"/>
        <v>994.11471819418159</v>
      </c>
      <c r="AX363" s="6">
        <f t="shared" si="733"/>
        <v>5.4882294363883636E-6</v>
      </c>
      <c r="AY363" s="8">
        <f t="shared" si="734"/>
        <v>27.321319259233086</v>
      </c>
      <c r="AZ363" s="7">
        <f t="shared" si="735"/>
        <v>1.3735356388559354E-2</v>
      </c>
      <c r="BA363" s="9">
        <f t="shared" si="736"/>
        <v>0.43433410945950768</v>
      </c>
      <c r="BB363" s="4">
        <f t="shared" si="737"/>
        <v>988.41763020269411</v>
      </c>
      <c r="BC363" s="6">
        <f t="shared" si="738"/>
        <v>5.4768352604053885E-6</v>
      </c>
      <c r="BD363" s="8">
        <f t="shared" si="739"/>
        <v>27.255802747330982</v>
      </c>
      <c r="BE363" s="7">
        <f t="shared" si="740"/>
        <v>1.3706840257866551E-2</v>
      </c>
      <c r="BF363" s="9">
        <f t="shared" si="741"/>
        <v>0.43537814606762704</v>
      </c>
      <c r="BG363" s="4">
        <f t="shared" si="742"/>
        <v>982.12065542141204</v>
      </c>
      <c r="BH363" s="6">
        <f t="shared" si="743"/>
        <v>5.4642413108428243E-6</v>
      </c>
      <c r="BI363" s="8">
        <f t="shared" si="744"/>
        <v>27.183387537346238</v>
      </c>
      <c r="BJ363" s="7">
        <f t="shared" si="745"/>
        <v>1.367532146157964E-2</v>
      </c>
      <c r="BK363" s="9">
        <f t="shared" si="746"/>
        <v>0.43653797207632228</v>
      </c>
      <c r="BL363" s="4">
        <f t="shared" si="747"/>
        <v>975.22219952492924</v>
      </c>
      <c r="BM363" s="6">
        <f t="shared" si="748"/>
        <v>5.4504443990498582E-6</v>
      </c>
      <c r="BN363" s="8">
        <f t="shared" si="749"/>
        <v>27.104055294536685</v>
      </c>
      <c r="BO363" s="7">
        <f t="shared" si="750"/>
        <v>1.3640792019482807E-2</v>
      </c>
      <c r="BP363" s="9">
        <f t="shared" si="751"/>
        <v>0.43781569734731995</v>
      </c>
      <c r="BQ363" s="4">
        <f t="shared" si="752"/>
        <v>967.71120385098914</v>
      </c>
      <c r="BR363" s="6">
        <f t="shared" si="753"/>
        <v>5.4354224077019787E-6</v>
      </c>
      <c r="BS363" s="8">
        <f t="shared" si="754"/>
        <v>27.017678844286372</v>
      </c>
      <c r="BT363" s="7">
        <f t="shared" si="755"/>
        <v>1.3603196578690748E-2</v>
      </c>
      <c r="BU363" s="9">
        <f t="shared" si="756"/>
        <v>0.43921540921815388</v>
      </c>
      <c r="BV363" s="4">
        <f t="shared" si="757"/>
        <v>959.52006850908504</v>
      </c>
      <c r="BW363" s="6">
        <f t="shared" si="758"/>
        <v>5.4190401370181701E-6</v>
      </c>
      <c r="BX363" s="8">
        <f t="shared" si="759"/>
        <v>26.923480787854476</v>
      </c>
      <c r="BY363" s="7">
        <f t="shared" si="760"/>
        <v>1.3562196775584113E-2</v>
      </c>
      <c r="BZ363" s="9">
        <f t="shared" si="761"/>
        <v>0.44075210643161206</v>
      </c>
      <c r="CA363" s="4">
        <f t="shared" si="762"/>
        <v>950.29082578227769</v>
      </c>
      <c r="CB363" s="6">
        <f t="shared" si="763"/>
        <v>5.400581651564556E-6</v>
      </c>
      <c r="CC363" s="8">
        <f t="shared" si="764"/>
        <v>26.81734449649619</v>
      </c>
      <c r="CD363" s="7">
        <f t="shared" si="765"/>
        <v>1.3516000843173301E-2</v>
      </c>
      <c r="CE363" s="9">
        <f t="shared" si="766"/>
        <v>0.44249649219624715</v>
      </c>
      <c r="CF363" s="4">
        <f t="shared" si="767"/>
        <v>938.41896143362749</v>
      </c>
      <c r="CG363" s="6">
        <f t="shared" si="768"/>
        <v>5.3768379228672559E-6</v>
      </c>
      <c r="CH363" s="8">
        <f t="shared" si="769"/>
        <v>26.680818056486714</v>
      </c>
      <c r="CI363" s="7">
        <f t="shared" si="770"/>
        <v>1.3456577566608299E-2</v>
      </c>
      <c r="CJ363" s="9">
        <f t="shared" si="771"/>
        <v>0.44476075825691791</v>
      </c>
      <c r="CK363" s="4">
        <f t="shared" si="772"/>
        <v>918.01420583981303</v>
      </c>
      <c r="CL363" s="6">
        <f t="shared" si="773"/>
        <v>5.3360284116796263E-6</v>
      </c>
      <c r="CM363" s="8">
        <f t="shared" si="774"/>
        <v>26.446163367157851</v>
      </c>
      <c r="CN363" s="7">
        <f t="shared" si="775"/>
        <v>1.3354443866349977E-2</v>
      </c>
      <c r="CO363" s="9">
        <f t="shared" si="776"/>
        <v>0.44870708484144067</v>
      </c>
      <c r="CP363" s="4">
        <f t="shared" si="777"/>
        <v>872.24653657363694</v>
      </c>
      <c r="CQ363" s="6">
        <f t="shared" si="778"/>
        <v>5.2444930731472746E-6</v>
      </c>
      <c r="CR363" s="8">
        <f t="shared" si="779"/>
        <v>25.919835170596826</v>
      </c>
      <c r="CS363" s="7">
        <f t="shared" si="780"/>
        <v>1.3125358965388427E-2</v>
      </c>
      <c r="CT363" s="9">
        <f t="shared" si="781"/>
        <v>0.45781853131455158</v>
      </c>
      <c r="CU363" s="4">
        <f t="shared" si="782"/>
        <v>766.93871906533059</v>
      </c>
      <c r="CV363" s="6">
        <f t="shared" si="783"/>
        <v>5.0338774381306615E-6</v>
      </c>
      <c r="CW363" s="8">
        <f t="shared" si="784"/>
        <v>24.708795269251301</v>
      </c>
      <c r="CX363" s="7">
        <f t="shared" si="785"/>
        <v>1.2598252574978548E-2</v>
      </c>
      <c r="CY363" s="9">
        <f t="shared" si="786"/>
        <v>0.48025736343710729</v>
      </c>
      <c r="CZ363" s="5">
        <f t="shared" si="787"/>
        <v>562.75413536189421</v>
      </c>
      <c r="DA363" s="6">
        <f t="shared" si="788"/>
        <v>6.2485896894716457E-6</v>
      </c>
      <c r="DB363" s="8">
        <f t="shared" si="789"/>
        <v>37.175130074505063</v>
      </c>
      <c r="DC363" s="7">
        <f t="shared" si="790"/>
        <v>1.5638305086467075E-2</v>
      </c>
      <c r="DD363" s="9">
        <f t="shared" si="791"/>
        <v>0.31920751443062401</v>
      </c>
    </row>
    <row r="364" spans="2:108" x14ac:dyDescent="0.25">
      <c r="B364">
        <v>97</v>
      </c>
      <c r="C364">
        <f t="shared" si="699"/>
        <v>9.4828622635489385E-2</v>
      </c>
      <c r="D364" s="4">
        <f t="shared" si="700"/>
        <v>1018.418185342402</v>
      </c>
      <c r="E364" s="6">
        <f t="shared" si="647"/>
        <v>5.5368363706848046E-6</v>
      </c>
      <c r="F364" s="8">
        <f t="shared" si="701"/>
        <v>27.600809131437622</v>
      </c>
      <c r="G364" s="7">
        <f t="shared" si="583"/>
        <v>1.3857004649306311E-2</v>
      </c>
      <c r="H364" s="9">
        <f t="shared" si="702"/>
        <v>0.4299359780797779</v>
      </c>
      <c r="I364" s="4">
        <f t="shared" si="703"/>
        <v>1018.093989566198</v>
      </c>
      <c r="J364" s="6">
        <f t="shared" si="650"/>
        <v>5.5361879791323965E-6</v>
      </c>
      <c r="K364" s="8">
        <f t="shared" si="704"/>
        <v>27.597080880011276</v>
      </c>
      <c r="L364" s="7">
        <f t="shared" si="651"/>
        <v>1.3855381923952919E-2</v>
      </c>
      <c r="M364" s="9">
        <f t="shared" si="705"/>
        <v>0.42999406065128182</v>
      </c>
      <c r="N364" s="4">
        <f t="shared" si="706"/>
        <v>1017.1888826959652</v>
      </c>
      <c r="O364" s="6">
        <f t="shared" si="654"/>
        <v>5.5343777653919302E-6</v>
      </c>
      <c r="P364" s="8">
        <f t="shared" si="655"/>
        <v>27.586672151003597</v>
      </c>
      <c r="Q364" s="7">
        <f t="shared" si="584"/>
        <v>1.3857004649306311E-2</v>
      </c>
      <c r="R364" s="9">
        <f t="shared" si="707"/>
        <v>0.43015630173740238</v>
      </c>
      <c r="S364" s="4">
        <f t="shared" si="708"/>
        <v>1015.6878135082881</v>
      </c>
      <c r="T364" s="6">
        <f t="shared" si="658"/>
        <v>5.5313756270165772E-6</v>
      </c>
      <c r="U364" s="8">
        <f t="shared" si="659"/>
        <v>27.569409855345313</v>
      </c>
      <c r="V364" s="7">
        <f t="shared" si="660"/>
        <v>1.3843338081372331E-2</v>
      </c>
      <c r="W364" s="9">
        <f t="shared" si="709"/>
        <v>0.430425639575928</v>
      </c>
      <c r="X364" s="4">
        <f t="shared" si="710"/>
        <v>1013.5885563325565</v>
      </c>
      <c r="Y364" s="6">
        <f t="shared" si="663"/>
        <v>5.5271771126651133E-6</v>
      </c>
      <c r="Z364" s="8">
        <f t="shared" si="664"/>
        <v>27.545268397824401</v>
      </c>
      <c r="AA364" s="7">
        <f t="shared" si="665"/>
        <v>1.3832830486602788E-2</v>
      </c>
      <c r="AB364" s="9">
        <f t="shared" si="711"/>
        <v>0.43080287686197144</v>
      </c>
      <c r="AC364" s="4">
        <f t="shared" si="712"/>
        <v>1010.8897943786889</v>
      </c>
      <c r="AD364" s="6">
        <f t="shared" si="713"/>
        <v>5.5217795887573782E-6</v>
      </c>
      <c r="AE364" s="8">
        <f t="shared" si="714"/>
        <v>27.514232635354922</v>
      </c>
      <c r="AF364" s="7">
        <f t="shared" si="715"/>
        <v>1.3819322138355364E-2</v>
      </c>
      <c r="AG364" s="9">
        <f t="shared" si="716"/>
        <v>0.431288817935984</v>
      </c>
      <c r="AH364" s="4">
        <f t="shared" si="717"/>
        <v>1007.5913856414767</v>
      </c>
      <c r="AI364" s="6">
        <f t="shared" si="718"/>
        <v>5.5151827712829535E-6</v>
      </c>
      <c r="AJ364" s="8">
        <f t="shared" si="719"/>
        <v>27.476300934876981</v>
      </c>
      <c r="AK364" s="7">
        <f t="shared" si="720"/>
        <v>1.3802812325839011E-2</v>
      </c>
      <c r="AL364" s="9">
        <f t="shared" si="721"/>
        <v>0.43188422261946768</v>
      </c>
      <c r="AM364" s="4">
        <f t="shared" si="722"/>
        <v>1003.6933172594927</v>
      </c>
      <c r="AN364" s="6">
        <f t="shared" si="723"/>
        <v>5.507386634518986E-6</v>
      </c>
      <c r="AO364" s="8">
        <f t="shared" si="724"/>
        <v>27.431473148484166</v>
      </c>
      <c r="AP364" s="7">
        <f t="shared" si="725"/>
        <v>1.3783300984677314E-2</v>
      </c>
      <c r="AQ364" s="9">
        <f t="shared" si="726"/>
        <v>0.43258999636968581</v>
      </c>
      <c r="AR364" s="4">
        <f t="shared" si="727"/>
        <v>999.19559334417886</v>
      </c>
      <c r="AS364" s="6">
        <f t="shared" si="728"/>
        <v>5.498391186688358E-6</v>
      </c>
      <c r="AT364" s="8">
        <f t="shared" si="729"/>
        <v>27.379749323458057</v>
      </c>
      <c r="AU364" s="7">
        <f t="shared" si="730"/>
        <v>1.3760788135449627E-2</v>
      </c>
      <c r="AV364" s="9">
        <f t="shared" si="731"/>
        <v>0.43340721383270692</v>
      </c>
      <c r="AW364" s="4">
        <f t="shared" si="732"/>
        <v>994.09821383678559</v>
      </c>
      <c r="AX364" s="6">
        <f t="shared" si="733"/>
        <v>5.4881964276735717E-6</v>
      </c>
      <c r="AY364" s="8">
        <f t="shared" si="734"/>
        <v>27.321129459123036</v>
      </c>
      <c r="AZ364" s="7">
        <f t="shared" si="735"/>
        <v>1.3735273777861887E-2</v>
      </c>
      <c r="BA364" s="9">
        <f t="shared" si="736"/>
        <v>0.43433712678212233</v>
      </c>
      <c r="BB364" s="4">
        <f t="shared" si="737"/>
        <v>988.40115350660597</v>
      </c>
      <c r="BC364" s="6">
        <f t="shared" si="738"/>
        <v>5.4768023070132118E-6</v>
      </c>
      <c r="BD364" s="8">
        <f t="shared" si="739"/>
        <v>27.25561326532597</v>
      </c>
      <c r="BE364" s="7">
        <f t="shared" si="740"/>
        <v>1.3706757785624638E-2</v>
      </c>
      <c r="BF364" s="9">
        <f t="shared" si="741"/>
        <v>0.43538117283217836</v>
      </c>
      <c r="BG364" s="4">
        <f t="shared" si="742"/>
        <v>982.10418985762715</v>
      </c>
      <c r="BH364" s="6">
        <f t="shared" si="743"/>
        <v>5.4642083797152542E-6</v>
      </c>
      <c r="BI364" s="8">
        <f t="shared" si="744"/>
        <v>27.183198183362713</v>
      </c>
      <c r="BJ364" s="7">
        <f t="shared" si="745"/>
        <v>1.3675239045059212E-2</v>
      </c>
      <c r="BK364" s="9">
        <f t="shared" si="746"/>
        <v>0.43654101293278863</v>
      </c>
      <c r="BL364" s="4">
        <f t="shared" si="747"/>
        <v>975.20561236810067</v>
      </c>
      <c r="BM364" s="6">
        <f t="shared" si="748"/>
        <v>5.4504112247362017E-6</v>
      </c>
      <c r="BN364" s="8">
        <f t="shared" si="749"/>
        <v>27.103864542233158</v>
      </c>
      <c r="BO364" s="7">
        <f t="shared" si="750"/>
        <v>1.3640708994342131E-2</v>
      </c>
      <c r="BP364" s="9">
        <f t="shared" si="751"/>
        <v>0.43781877861835639</v>
      </c>
      <c r="BQ364" s="4">
        <f t="shared" si="752"/>
        <v>967.69368825601919</v>
      </c>
      <c r="BR364" s="6">
        <f t="shared" si="753"/>
        <v>5.4353873765120386E-6</v>
      </c>
      <c r="BS364" s="8">
        <f t="shared" si="754"/>
        <v>27.017477414944217</v>
      </c>
      <c r="BT364" s="7">
        <f t="shared" si="755"/>
        <v>1.360310890635778E-2</v>
      </c>
      <c r="BU364" s="9">
        <f t="shared" si="756"/>
        <v>0.43921868379740436</v>
      </c>
      <c r="BV364" s="4">
        <f t="shared" si="757"/>
        <v>959.49748376055527</v>
      </c>
      <c r="BW364" s="6">
        <f t="shared" si="758"/>
        <v>5.4189949675211109E-6</v>
      </c>
      <c r="BX364" s="8">
        <f t="shared" si="759"/>
        <v>26.923221063246384</v>
      </c>
      <c r="BY364" s="7">
        <f t="shared" si="760"/>
        <v>1.3562083730175352E-2</v>
      </c>
      <c r="BZ364" s="9">
        <f t="shared" si="761"/>
        <v>0.4407563583065211</v>
      </c>
      <c r="CA364" s="4">
        <f t="shared" si="762"/>
        <v>950.24544716054322</v>
      </c>
      <c r="CB364" s="6">
        <f t="shared" si="763"/>
        <v>5.4004908943210869E-6</v>
      </c>
      <c r="CC364" s="8">
        <f t="shared" si="764"/>
        <v>26.816822642346246</v>
      </c>
      <c r="CD364" s="7">
        <f t="shared" si="765"/>
        <v>1.3515773705605831E-2</v>
      </c>
      <c r="CE364" s="9">
        <f t="shared" si="766"/>
        <v>0.44250510315787628</v>
      </c>
      <c r="CF364" s="4">
        <f t="shared" si="767"/>
        <v>938.29000019740567</v>
      </c>
      <c r="CG364" s="6">
        <f t="shared" si="768"/>
        <v>5.376580000394812E-6</v>
      </c>
      <c r="CH364" s="8">
        <f t="shared" si="769"/>
        <v>26.679335002270165</v>
      </c>
      <c r="CI364" s="7">
        <f t="shared" si="770"/>
        <v>1.3455932065701186E-2</v>
      </c>
      <c r="CJ364" s="9">
        <f t="shared" si="771"/>
        <v>0.44478548167366849</v>
      </c>
      <c r="CK364" s="4">
        <f t="shared" si="772"/>
        <v>917.64673561840425</v>
      </c>
      <c r="CL364" s="6">
        <f t="shared" si="773"/>
        <v>5.3352934712368085E-6</v>
      </c>
      <c r="CM364" s="8">
        <f t="shared" si="774"/>
        <v>26.441937459611648</v>
      </c>
      <c r="CN364" s="7">
        <f t="shared" si="775"/>
        <v>1.3352604535647157E-2</v>
      </c>
      <c r="CO364" s="9">
        <f t="shared" si="776"/>
        <v>0.44877879647977137</v>
      </c>
      <c r="CP364" s="4">
        <f t="shared" si="777"/>
        <v>871.39548576377899</v>
      </c>
      <c r="CQ364" s="6">
        <f t="shared" si="778"/>
        <v>5.2427909715275579E-6</v>
      </c>
      <c r="CR364" s="8">
        <f t="shared" si="779"/>
        <v>25.91004808628346</v>
      </c>
      <c r="CS364" s="7">
        <f t="shared" si="780"/>
        <v>1.3121099126650394E-2</v>
      </c>
      <c r="CT364" s="9">
        <f t="shared" si="781"/>
        <v>0.45799146455463186</v>
      </c>
      <c r="CU364" s="4">
        <f t="shared" si="782"/>
        <v>765.5344819390973</v>
      </c>
      <c r="CV364" s="6">
        <f t="shared" si="783"/>
        <v>5.0310689638781946E-6</v>
      </c>
      <c r="CW364" s="8">
        <f t="shared" si="784"/>
        <v>24.69264654229962</v>
      </c>
      <c r="CX364" s="7">
        <f t="shared" si="785"/>
        <v>1.2591223824593231E-2</v>
      </c>
      <c r="CY364" s="9">
        <f t="shared" si="786"/>
        <v>0.48057144662034945</v>
      </c>
      <c r="CZ364" s="5">
        <f t="shared" si="787"/>
        <v>561.37666824342386</v>
      </c>
      <c r="DA364" s="6">
        <f t="shared" si="788"/>
        <v>6.2704645337938252E-6</v>
      </c>
      <c r="DB364" s="8">
        <f t="shared" si="789"/>
        <v>37.215076620940707</v>
      </c>
      <c r="DC364" s="7">
        <f t="shared" si="790"/>
        <v>1.5693051118168534E-2</v>
      </c>
      <c r="DD364" s="9">
        <f t="shared" si="791"/>
        <v>0.31886487808655062</v>
      </c>
    </row>
    <row r="365" spans="2:108" x14ac:dyDescent="0.25">
      <c r="B365">
        <v>98</v>
      </c>
      <c r="C365">
        <f t="shared" si="699"/>
        <v>9.5806237301834643E-2</v>
      </c>
      <c r="D365" s="4">
        <f t="shared" si="700"/>
        <v>1018.4016335437974</v>
      </c>
      <c r="E365" s="6">
        <f t="shared" si="647"/>
        <v>5.5368032670875952E-6</v>
      </c>
      <c r="F365" s="8">
        <f t="shared" si="701"/>
        <v>27.600618785753667</v>
      </c>
      <c r="G365" s="7">
        <f t="shared" si="583"/>
        <v>1.3856921801147231E-2</v>
      </c>
      <c r="H365" s="9">
        <f t="shared" si="702"/>
        <v>0.42993894310235364</v>
      </c>
      <c r="I365" s="4">
        <f t="shared" si="703"/>
        <v>1018.0774227512738</v>
      </c>
      <c r="J365" s="6">
        <f t="shared" si="650"/>
        <v>5.5361548455025489E-6</v>
      </c>
      <c r="K365" s="8">
        <f t="shared" si="704"/>
        <v>27.596890361639648</v>
      </c>
      <c r="L365" s="7">
        <f t="shared" si="651"/>
        <v>1.3855299000631349E-2</v>
      </c>
      <c r="M365" s="9">
        <f t="shared" si="705"/>
        <v>0.42999702916574745</v>
      </c>
      <c r="N365" s="4">
        <f t="shared" si="706"/>
        <v>1017.1722908876812</v>
      </c>
      <c r="O365" s="6">
        <f t="shared" si="654"/>
        <v>5.5343445817753633E-6</v>
      </c>
      <c r="P365" s="8">
        <f t="shared" si="655"/>
        <v>27.586481345208334</v>
      </c>
      <c r="Q365" s="7">
        <f t="shared" si="584"/>
        <v>1.3856921801147231E-2</v>
      </c>
      <c r="R365" s="9">
        <f t="shared" si="707"/>
        <v>0.4301592769742299</v>
      </c>
      <c r="S365" s="4">
        <f t="shared" si="708"/>
        <v>1015.6712095573025</v>
      </c>
      <c r="T365" s="6">
        <f t="shared" si="658"/>
        <v>5.5313424191146058E-6</v>
      </c>
      <c r="U365" s="8">
        <f t="shared" si="659"/>
        <v>27.569218909908976</v>
      </c>
      <c r="V365" s="7">
        <f t="shared" si="660"/>
        <v>1.3843254972170397E-2</v>
      </c>
      <c r="W365" s="9">
        <f t="shared" si="709"/>
        <v>0.43042862071992877</v>
      </c>
      <c r="X365" s="4">
        <f t="shared" si="710"/>
        <v>1013.5719547097842</v>
      </c>
      <c r="Y365" s="6">
        <f t="shared" si="663"/>
        <v>5.5271439094195684E-6</v>
      </c>
      <c r="Z365" s="8">
        <f t="shared" si="664"/>
        <v>27.545077479162519</v>
      </c>
      <c r="AA365" s="7">
        <f t="shared" si="665"/>
        <v>1.3832747389054463E-2</v>
      </c>
      <c r="AB365" s="9">
        <f t="shared" si="711"/>
        <v>0.4308058628150459</v>
      </c>
      <c r="AC365" s="4">
        <f t="shared" si="712"/>
        <v>1010.8732038814903</v>
      </c>
      <c r="AD365" s="6">
        <f t="shared" si="713"/>
        <v>5.5217464077629813E-6</v>
      </c>
      <c r="AE365" s="8">
        <f t="shared" si="714"/>
        <v>27.514041844637138</v>
      </c>
      <c r="AF365" s="7">
        <f t="shared" si="715"/>
        <v>1.381923909649484E-2</v>
      </c>
      <c r="AG365" s="9">
        <f t="shared" si="716"/>
        <v>0.43129180862356131</v>
      </c>
      <c r="AH365" s="4">
        <f t="shared" si="717"/>
        <v>1007.5748113149722</v>
      </c>
      <c r="AI365" s="6">
        <f t="shared" si="718"/>
        <v>5.5151496226299449E-6</v>
      </c>
      <c r="AJ365" s="8">
        <f t="shared" si="719"/>
        <v>27.476110330122179</v>
      </c>
      <c r="AK365" s="7">
        <f t="shared" si="720"/>
        <v>1.3802729364919074E-2</v>
      </c>
      <c r="AL365" s="9">
        <f t="shared" si="721"/>
        <v>0.43188721864712104</v>
      </c>
      <c r="AM365" s="4">
        <f t="shared" si="722"/>
        <v>1003.6767628872479</v>
      </c>
      <c r="AN365" s="6">
        <f t="shared" si="723"/>
        <v>5.5073535257744963E-6</v>
      </c>
      <c r="AO365" s="8">
        <f t="shared" si="724"/>
        <v>27.43128277320335</v>
      </c>
      <c r="AP365" s="7">
        <f t="shared" si="725"/>
        <v>1.3783218123636169E-2</v>
      </c>
      <c r="AQ365" s="9">
        <f t="shared" si="726"/>
        <v>0.43259299857861339</v>
      </c>
      <c r="AR365" s="4">
        <f t="shared" si="727"/>
        <v>999.17906244764208</v>
      </c>
      <c r="AS365" s="6">
        <f t="shared" si="728"/>
        <v>5.4983581248952849E-6</v>
      </c>
      <c r="AT365" s="8">
        <f t="shared" si="729"/>
        <v>27.379559218147882</v>
      </c>
      <c r="AU365" s="7">
        <f t="shared" si="730"/>
        <v>1.3760705391913488E-2</v>
      </c>
      <c r="AV365" s="9">
        <f t="shared" si="731"/>
        <v>0.43341022312194205</v>
      </c>
      <c r="AW365" s="4">
        <f t="shared" si="732"/>
        <v>994.08170963307202</v>
      </c>
      <c r="AX365" s="6">
        <f t="shared" si="733"/>
        <v>5.4881634192661443E-6</v>
      </c>
      <c r="AY365" s="8">
        <f t="shared" si="734"/>
        <v>27.320939660780326</v>
      </c>
      <c r="AZ365" s="7">
        <f t="shared" si="735"/>
        <v>1.3735191167933659E-2</v>
      </c>
      <c r="BA365" s="9">
        <f t="shared" si="736"/>
        <v>0.43434014411856331</v>
      </c>
      <c r="BB365" s="4">
        <f t="shared" si="737"/>
        <v>988.38467670922864</v>
      </c>
      <c r="BC365" s="6">
        <f t="shared" si="738"/>
        <v>5.4767693534184579E-6</v>
      </c>
      <c r="BD365" s="8">
        <f t="shared" si="739"/>
        <v>27.255423782156129</v>
      </c>
      <c r="BE365" s="7">
        <f t="shared" si="740"/>
        <v>1.3706675312875735E-2</v>
      </c>
      <c r="BF365" s="9">
        <f t="shared" si="741"/>
        <v>0.43538419965742153</v>
      </c>
      <c r="BG365" s="4">
        <f t="shared" si="742"/>
        <v>982.08772250487084</v>
      </c>
      <c r="BH365" s="6">
        <f t="shared" si="743"/>
        <v>5.4641754450097416E-6</v>
      </c>
      <c r="BI365" s="8">
        <f t="shared" si="744"/>
        <v>27.183008808806015</v>
      </c>
      <c r="BJ365" s="7">
        <f t="shared" si="745"/>
        <v>1.3675156619584291E-2</v>
      </c>
      <c r="BK365" s="9">
        <f t="shared" si="746"/>
        <v>0.43654405416201331</v>
      </c>
      <c r="BL365" s="4">
        <f t="shared" si="747"/>
        <v>975.18901367920978</v>
      </c>
      <c r="BM365" s="6">
        <f t="shared" si="748"/>
        <v>5.4503780273584198E-6</v>
      </c>
      <c r="BN365" s="8">
        <f t="shared" si="749"/>
        <v>27.103673657310914</v>
      </c>
      <c r="BO365" s="7">
        <f t="shared" si="750"/>
        <v>1.3640625911479017E-2</v>
      </c>
      <c r="BP365" s="9">
        <f t="shared" si="751"/>
        <v>0.43782186207503354</v>
      </c>
      <c r="BQ365" s="4">
        <f t="shared" si="752"/>
        <v>967.67611313920997</v>
      </c>
      <c r="BR365" s="6">
        <f t="shared" si="753"/>
        <v>5.4353522262784204E-6</v>
      </c>
      <c r="BS365" s="8">
        <f t="shared" si="754"/>
        <v>27.017275301100916</v>
      </c>
      <c r="BT365" s="7">
        <f t="shared" si="755"/>
        <v>1.3603020936094969E-2</v>
      </c>
      <c r="BU365" s="9">
        <f t="shared" si="756"/>
        <v>0.43922196955347131</v>
      </c>
      <c r="BV365" s="4">
        <f t="shared" si="757"/>
        <v>959.47464451187068</v>
      </c>
      <c r="BW365" s="6">
        <f t="shared" si="758"/>
        <v>5.4189492890237418E-6</v>
      </c>
      <c r="BX365" s="8">
        <f t="shared" si="759"/>
        <v>26.922958411886512</v>
      </c>
      <c r="BY365" s="7">
        <f t="shared" si="760"/>
        <v>1.3561969410894803E-2</v>
      </c>
      <c r="BZ365" s="9">
        <f t="shared" si="761"/>
        <v>0.44076065817784688</v>
      </c>
      <c r="CA365" s="4">
        <f t="shared" si="762"/>
        <v>950.19919641711454</v>
      </c>
      <c r="CB365" s="6">
        <f t="shared" si="763"/>
        <v>5.4003983928342301E-6</v>
      </c>
      <c r="CC365" s="8">
        <f t="shared" si="764"/>
        <v>26.816290758796818</v>
      </c>
      <c r="CD365" s="7">
        <f t="shared" si="765"/>
        <v>1.3515542202731694E-2</v>
      </c>
      <c r="CE365" s="9">
        <f t="shared" si="766"/>
        <v>0.4425138799565404</v>
      </c>
      <c r="CF365" s="4">
        <f t="shared" si="767"/>
        <v>938.15881121734378</v>
      </c>
      <c r="CG365" s="6">
        <f t="shared" si="768"/>
        <v>5.3763176224346883E-6</v>
      </c>
      <c r="CH365" s="8">
        <f t="shared" si="769"/>
        <v>26.677826328999451</v>
      </c>
      <c r="CI365" s="7">
        <f t="shared" si="770"/>
        <v>1.3455275414073813E-2</v>
      </c>
      <c r="CJ365" s="9">
        <f t="shared" si="771"/>
        <v>0.44481063499609913</v>
      </c>
      <c r="CK365" s="4">
        <f t="shared" si="772"/>
        <v>917.2757000615037</v>
      </c>
      <c r="CL365" s="6">
        <f t="shared" si="773"/>
        <v>5.3345514001230083E-6</v>
      </c>
      <c r="CM365" s="8">
        <f t="shared" si="774"/>
        <v>26.437670550707292</v>
      </c>
      <c r="CN365" s="7">
        <f t="shared" si="775"/>
        <v>1.335074735906009E-2</v>
      </c>
      <c r="CO365" s="9">
        <f t="shared" si="776"/>
        <v>0.44885122715172154</v>
      </c>
      <c r="CP365" s="4">
        <f t="shared" si="777"/>
        <v>870.54323954646986</v>
      </c>
      <c r="CQ365" s="6">
        <f t="shared" si="778"/>
        <v>5.241086479092941E-6</v>
      </c>
      <c r="CR365" s="8">
        <f t="shared" si="779"/>
        <v>25.900247254784404</v>
      </c>
      <c r="CS365" s="7">
        <f t="shared" si="780"/>
        <v>1.3116833304435339E-2</v>
      </c>
      <c r="CT365" s="9">
        <f t="shared" si="781"/>
        <v>0.45816477167127634</v>
      </c>
      <c r="CU365" s="4">
        <f t="shared" si="782"/>
        <v>764.13812682885509</v>
      </c>
      <c r="CV365" s="6">
        <f t="shared" si="783"/>
        <v>5.02827625365771E-6</v>
      </c>
      <c r="CW365" s="8">
        <f t="shared" si="784"/>
        <v>24.676588458531832</v>
      </c>
      <c r="CX365" s="7">
        <f t="shared" si="785"/>
        <v>1.2584234526749012E-2</v>
      </c>
      <c r="CY365" s="9">
        <f t="shared" si="786"/>
        <v>0.48088417447408843</v>
      </c>
      <c r="CZ365" s="5">
        <f t="shared" si="787"/>
        <v>560.01175292640312</v>
      </c>
      <c r="DA365" s="6">
        <f t="shared" si="788"/>
        <v>6.2921050098026757E-6</v>
      </c>
      <c r="DB365" s="8">
        <f t="shared" si="789"/>
        <v>37.254659165134306</v>
      </c>
      <c r="DC365" s="7">
        <f t="shared" si="790"/>
        <v>1.5747210597804869E-2</v>
      </c>
      <c r="DD365" s="9">
        <f t="shared" si="791"/>
        <v>0.31852608869989424</v>
      </c>
    </row>
    <row r="366" spans="2:108" x14ac:dyDescent="0.25">
      <c r="B366">
        <v>99</v>
      </c>
      <c r="C366">
        <f t="shared" si="699"/>
        <v>9.6783851968179901E-2</v>
      </c>
      <c r="D366" s="4">
        <f t="shared" si="700"/>
        <v>1018.3850809785354</v>
      </c>
      <c r="E366" s="6">
        <f t="shared" si="647"/>
        <v>5.5367701619570716E-6</v>
      </c>
      <c r="F366" s="8">
        <f t="shared" si="701"/>
        <v>27.600428431253157</v>
      </c>
      <c r="G366" s="7">
        <f t="shared" si="583"/>
        <v>1.3856838949150735E-2</v>
      </c>
      <c r="H366" s="9">
        <f t="shared" si="702"/>
        <v>0.42994190830316448</v>
      </c>
      <c r="I366" s="4">
        <f t="shared" si="703"/>
        <v>1018.0608556199503</v>
      </c>
      <c r="J366" s="6">
        <f t="shared" si="650"/>
        <v>5.5361217112399008E-6</v>
      </c>
      <c r="K366" s="8">
        <f t="shared" si="704"/>
        <v>27.59669983962943</v>
      </c>
      <c r="L366" s="7">
        <f t="shared" si="651"/>
        <v>1.3855216075726073E-2</v>
      </c>
      <c r="M366" s="9">
        <f t="shared" si="705"/>
        <v>0.42999999777789533</v>
      </c>
      <c r="N366" s="4">
        <f t="shared" si="706"/>
        <v>1017.155699228117</v>
      </c>
      <c r="O366" s="6">
        <f t="shared" si="654"/>
        <v>5.5343113984562345E-6</v>
      </c>
      <c r="P366" s="8">
        <f t="shared" si="655"/>
        <v>27.586290541123347</v>
      </c>
      <c r="Q366" s="7">
        <f t="shared" si="584"/>
        <v>1.3856838949150735E-2</v>
      </c>
      <c r="R366" s="9">
        <f t="shared" si="707"/>
        <v>0.4301622522255461</v>
      </c>
      <c r="S366" s="4">
        <f t="shared" si="708"/>
        <v>1015.6546058834485</v>
      </c>
      <c r="T366" s="6">
        <f t="shared" si="658"/>
        <v>5.5313092117668981E-6</v>
      </c>
      <c r="U366" s="8">
        <f t="shared" si="659"/>
        <v>27.569027967659657</v>
      </c>
      <c r="V366" s="7">
        <f t="shared" si="660"/>
        <v>1.3843171864355613E-2</v>
      </c>
      <c r="W366" s="9">
        <f t="shared" si="709"/>
        <v>0.43043160185546636</v>
      </c>
      <c r="X366" s="4">
        <f t="shared" si="710"/>
        <v>1013.5553533317433</v>
      </c>
      <c r="Y366" s="6">
        <f t="shared" si="663"/>
        <v>5.5271107066634873E-6</v>
      </c>
      <c r="Z366" s="8">
        <f t="shared" si="664"/>
        <v>27.544886563315046</v>
      </c>
      <c r="AA366" s="7">
        <f t="shared" si="665"/>
        <v>1.3832664292731115E-2</v>
      </c>
      <c r="AB366" s="9">
        <f t="shared" si="711"/>
        <v>0.43080884876549469</v>
      </c>
      <c r="AC366" s="4">
        <f t="shared" si="712"/>
        <v>1010.8566135914999</v>
      </c>
      <c r="AD366" s="6">
        <f t="shared" si="713"/>
        <v>5.5217132271830004E-6</v>
      </c>
      <c r="AE366" s="8">
        <f t="shared" si="714"/>
        <v>27.513851056302251</v>
      </c>
      <c r="AF366" s="7">
        <f t="shared" si="715"/>
        <v>1.3819156055671475E-2</v>
      </c>
      <c r="AG366" s="9">
        <f t="shared" si="716"/>
        <v>0.43129479931526238</v>
      </c>
      <c r="AH366" s="4">
        <f t="shared" si="717"/>
        <v>1007.5582371819511</v>
      </c>
      <c r="AI366" s="6">
        <f t="shared" si="718"/>
        <v>5.5151164743639025E-6</v>
      </c>
      <c r="AJ366" s="8">
        <f t="shared" si="719"/>
        <v>27.475919727592437</v>
      </c>
      <c r="AK366" s="7">
        <f t="shared" si="720"/>
        <v>1.3802646404967594E-2</v>
      </c>
      <c r="AL366" s="9">
        <f t="shared" si="721"/>
        <v>0.43189021468136679</v>
      </c>
      <c r="AM366" s="4">
        <f t="shared" si="722"/>
        <v>1003.6602087059247</v>
      </c>
      <c r="AN366" s="6">
        <f t="shared" si="723"/>
        <v>5.5073204174118499E-6</v>
      </c>
      <c r="AO366" s="8">
        <f t="shared" si="724"/>
        <v>27.431092400118132</v>
      </c>
      <c r="AP366" s="7">
        <f t="shared" si="725"/>
        <v>1.3783135263550659E-2</v>
      </c>
      <c r="AQ366" s="9">
        <f t="shared" si="726"/>
        <v>0.43259600079458721</v>
      </c>
      <c r="AR366" s="4">
        <f t="shared" si="727"/>
        <v>999.16253173804284</v>
      </c>
      <c r="AS366" s="6">
        <f t="shared" si="728"/>
        <v>5.4983250634760862E-6</v>
      </c>
      <c r="AT366" s="8">
        <f t="shared" si="729"/>
        <v>27.37936911498749</v>
      </c>
      <c r="AU366" s="7">
        <f t="shared" si="730"/>
        <v>1.3760622649313043E-2</v>
      </c>
      <c r="AV366" s="9">
        <f t="shared" si="731"/>
        <v>0.43341323241893553</v>
      </c>
      <c r="AW366" s="4">
        <f t="shared" si="732"/>
        <v>994.06520557977376</v>
      </c>
      <c r="AX366" s="6">
        <f t="shared" si="733"/>
        <v>5.4881304111595483E-6</v>
      </c>
      <c r="AY366" s="8">
        <f t="shared" si="734"/>
        <v>27.320749864167396</v>
      </c>
      <c r="AZ366" s="7">
        <f t="shared" si="735"/>
        <v>1.3735108558758322E-2</v>
      </c>
      <c r="BA366" s="9">
        <f t="shared" si="736"/>
        <v>0.43434316146942747</v>
      </c>
      <c r="BB366" s="4">
        <f t="shared" si="737"/>
        <v>988.36819978955111</v>
      </c>
      <c r="BC366" s="6">
        <f t="shared" si="738"/>
        <v>5.4767363995791029E-6</v>
      </c>
      <c r="BD366" s="8">
        <f t="shared" si="739"/>
        <v>27.255234297579836</v>
      </c>
      <c r="BE366" s="7">
        <f t="shared" si="740"/>
        <v>1.370659283951467E-2</v>
      </c>
      <c r="BF366" s="9">
        <f t="shared" si="741"/>
        <v>0.43538722654721801</v>
      </c>
      <c r="BG366" s="4">
        <f t="shared" si="742"/>
        <v>982.07125324563276</v>
      </c>
      <c r="BH366" s="6">
        <f t="shared" si="743"/>
        <v>5.4641425064912661E-6</v>
      </c>
      <c r="BI366" s="8">
        <f t="shared" si="744"/>
        <v>27.182819412324775</v>
      </c>
      <c r="BJ366" s="7">
        <f t="shared" si="745"/>
        <v>1.3675074184566694E-2</v>
      </c>
      <c r="BK366" s="9">
        <f t="shared" si="746"/>
        <v>0.4365470957857136</v>
      </c>
      <c r="BL366" s="4">
        <f t="shared" si="747"/>
        <v>975.17240290248617</v>
      </c>
      <c r="BM366" s="6">
        <f t="shared" si="748"/>
        <v>5.4503448058049726E-6</v>
      </c>
      <c r="BN366" s="8">
        <f t="shared" si="749"/>
        <v>27.10348263337859</v>
      </c>
      <c r="BO366" s="7">
        <f t="shared" si="750"/>
        <v>1.3640542768111623E-2</v>
      </c>
      <c r="BP366" s="9">
        <f t="shared" si="751"/>
        <v>0.43782494782068776</v>
      </c>
      <c r="BQ366" s="4">
        <f t="shared" si="752"/>
        <v>967.65847636889271</v>
      </c>
      <c r="BR366" s="6">
        <f t="shared" si="753"/>
        <v>5.435316952737786E-6</v>
      </c>
      <c r="BS366" s="8">
        <f t="shared" si="754"/>
        <v>27.017072478242266</v>
      </c>
      <c r="BT366" s="7">
        <f t="shared" si="755"/>
        <v>1.3602932657232485E-2</v>
      </c>
      <c r="BU366" s="9">
        <f t="shared" si="756"/>
        <v>0.43922526688539054</v>
      </c>
      <c r="BV366" s="4">
        <f t="shared" si="757"/>
        <v>959.45154462288497</v>
      </c>
      <c r="BW366" s="6">
        <f t="shared" si="758"/>
        <v>5.4189030892457704E-6</v>
      </c>
      <c r="BX366" s="8">
        <f t="shared" si="759"/>
        <v>26.922692763163177</v>
      </c>
      <c r="BY366" s="7">
        <f t="shared" si="760"/>
        <v>1.3561853787008657E-2</v>
      </c>
      <c r="BZ366" s="9">
        <f t="shared" si="761"/>
        <v>0.44076500720441608</v>
      </c>
      <c r="CA366" s="4">
        <f t="shared" si="762"/>
        <v>950.15206267054975</v>
      </c>
      <c r="CB366" s="6">
        <f t="shared" si="763"/>
        <v>5.4003041253411004E-6</v>
      </c>
      <c r="CC366" s="8">
        <f t="shared" si="764"/>
        <v>26.815748720711319</v>
      </c>
      <c r="CD366" s="7">
        <f t="shared" si="765"/>
        <v>1.3515306280085055E-2</v>
      </c>
      <c r="CE366" s="9">
        <f t="shared" si="766"/>
        <v>0.44252282467700282</v>
      </c>
      <c r="CF366" s="4">
        <f t="shared" si="767"/>
        <v>938.02539371966361</v>
      </c>
      <c r="CG366" s="6">
        <f t="shared" si="768"/>
        <v>5.3760507874393276E-6</v>
      </c>
      <c r="CH366" s="8">
        <f t="shared" si="769"/>
        <v>26.676292027776128</v>
      </c>
      <c r="CI366" s="7">
        <f t="shared" si="770"/>
        <v>1.3454607607853117E-2</v>
      </c>
      <c r="CJ366" s="9">
        <f t="shared" si="771"/>
        <v>0.44483621851800359</v>
      </c>
      <c r="CK366" s="4">
        <f t="shared" si="772"/>
        <v>916.90115012116291</v>
      </c>
      <c r="CL366" s="6">
        <f t="shared" si="773"/>
        <v>5.3338023002423268E-6</v>
      </c>
      <c r="CM366" s="8">
        <f t="shared" si="774"/>
        <v>26.433363226393375</v>
      </c>
      <c r="CN366" s="7">
        <f t="shared" si="775"/>
        <v>1.3348872591623517E-2</v>
      </c>
      <c r="CO366" s="9">
        <f t="shared" si="776"/>
        <v>0.44892436759122917</v>
      </c>
      <c r="CP366" s="4">
        <f t="shared" si="777"/>
        <v>869.68989319406683</v>
      </c>
      <c r="CQ366" s="6">
        <f t="shared" si="778"/>
        <v>5.2393797863881337E-6</v>
      </c>
      <c r="CR366" s="8">
        <f t="shared" si="779"/>
        <v>25.890433771731768</v>
      </c>
      <c r="CS366" s="7">
        <f t="shared" si="780"/>
        <v>1.3112561975618279E-2</v>
      </c>
      <c r="CT366" s="9">
        <f t="shared" si="781"/>
        <v>0.45833843396916413</v>
      </c>
      <c r="CU366" s="4">
        <f t="shared" si="782"/>
        <v>762.74959643618899</v>
      </c>
      <c r="CV366" s="6">
        <f t="shared" si="783"/>
        <v>5.0254991928723787E-6</v>
      </c>
      <c r="CW366" s="8">
        <f t="shared" si="784"/>
        <v>24.660620359016171</v>
      </c>
      <c r="CX366" s="7">
        <f t="shared" si="785"/>
        <v>1.2577284394645147E-2</v>
      </c>
      <c r="CY366" s="9">
        <f t="shared" si="786"/>
        <v>0.48119555375983708</v>
      </c>
      <c r="CZ366" s="5">
        <f t="shared" si="787"/>
        <v>558.65914233257126</v>
      </c>
      <c r="DA366" s="6">
        <f t="shared" si="788"/>
        <v>6.3135163984010118E-6</v>
      </c>
      <c r="DB366" s="8">
        <f t="shared" si="789"/>
        <v>37.293884872355434</v>
      </c>
      <c r="DC366" s="7">
        <f t="shared" si="790"/>
        <v>1.5800796741857481E-2</v>
      </c>
      <c r="DD366" s="9">
        <f t="shared" si="791"/>
        <v>0.31819106296738081</v>
      </c>
    </row>
    <row r="367" spans="2:108" x14ac:dyDescent="0.25">
      <c r="B367">
        <v>100</v>
      </c>
      <c r="C367">
        <f t="shared" si="699"/>
        <v>9.7761466634525146E-2</v>
      </c>
      <c r="D367" s="4">
        <f t="shared" si="700"/>
        <v>1018.3685276696038</v>
      </c>
      <c r="E367" s="6">
        <f t="shared" si="647"/>
        <v>5.536737055339208E-6</v>
      </c>
      <c r="F367" s="8">
        <f t="shared" si="701"/>
        <v>27.600238068200444</v>
      </c>
      <c r="G367" s="7">
        <f t="shared" si="583"/>
        <v>1.3856756093431883E-2</v>
      </c>
      <c r="H367" s="9">
        <f t="shared" si="702"/>
        <v>0.42994487367809897</v>
      </c>
      <c r="I367" s="4">
        <f t="shared" si="703"/>
        <v>1018.0442881787849</v>
      </c>
      <c r="J367" s="6">
        <f t="shared" si="650"/>
        <v>5.5360885763575702E-6</v>
      </c>
      <c r="K367" s="8">
        <f t="shared" si="704"/>
        <v>27.596509314056025</v>
      </c>
      <c r="L367" s="7">
        <f t="shared" si="651"/>
        <v>1.3855133149269923E-2</v>
      </c>
      <c r="M367" s="9">
        <f t="shared" si="705"/>
        <v>0.43000296648655367</v>
      </c>
      <c r="N367" s="4">
        <f t="shared" si="706"/>
        <v>1017.1391077146645</v>
      </c>
      <c r="O367" s="6">
        <f t="shared" si="654"/>
        <v>5.5342782154293296E-6</v>
      </c>
      <c r="P367" s="8">
        <f t="shared" si="655"/>
        <v>27.586099738718641</v>
      </c>
      <c r="Q367" s="7">
        <f t="shared" si="584"/>
        <v>1.3856756093431883E-2</v>
      </c>
      <c r="R367" s="9">
        <f t="shared" si="707"/>
        <v>0.43016522749181846</v>
      </c>
      <c r="S367" s="4">
        <f t="shared" si="708"/>
        <v>1015.6380024847219</v>
      </c>
      <c r="T367" s="6">
        <f t="shared" si="658"/>
        <v>5.531276004969445E-6</v>
      </c>
      <c r="U367" s="8">
        <f t="shared" si="659"/>
        <v>27.568837028574301</v>
      </c>
      <c r="V367" s="7">
        <f t="shared" si="660"/>
        <v>1.3843088757917951E-2</v>
      </c>
      <c r="W367" s="9">
        <f t="shared" si="709"/>
        <v>0.43043458298289955</v>
      </c>
      <c r="X367" s="4">
        <f t="shared" si="710"/>
        <v>1013.5387521982384</v>
      </c>
      <c r="Y367" s="6">
        <f t="shared" si="663"/>
        <v>5.5270775043964772E-6</v>
      </c>
      <c r="Z367" s="8">
        <f t="shared" si="664"/>
        <v>27.544695650279742</v>
      </c>
      <c r="AA367" s="7">
        <f t="shared" si="665"/>
        <v>1.3832581197631762E-2</v>
      </c>
      <c r="AB367" s="9">
        <f t="shared" si="711"/>
        <v>0.43081183471335188</v>
      </c>
      <c r="AC367" s="4">
        <f t="shared" si="712"/>
        <v>1010.8400235089733</v>
      </c>
      <c r="AD367" s="6">
        <f t="shared" si="713"/>
        <v>5.5216800470179479E-6</v>
      </c>
      <c r="AE367" s="8">
        <f t="shared" si="714"/>
        <v>27.513660270353192</v>
      </c>
      <c r="AF367" s="7">
        <f t="shared" si="715"/>
        <v>1.381907301588655E-2</v>
      </c>
      <c r="AG367" s="9">
        <f t="shared" si="716"/>
        <v>0.43129779001104046</v>
      </c>
      <c r="AH367" s="4">
        <f t="shared" si="717"/>
        <v>1007.5416632425465</v>
      </c>
      <c r="AI367" s="6">
        <f t="shared" si="718"/>
        <v>5.5150833264850939E-6</v>
      </c>
      <c r="AJ367" s="8">
        <f t="shared" si="719"/>
        <v>27.475729127289284</v>
      </c>
      <c r="AK367" s="7">
        <f t="shared" si="720"/>
        <v>1.380256344598524E-2</v>
      </c>
      <c r="AL367" s="9">
        <f t="shared" si="721"/>
        <v>0.43189321072218034</v>
      </c>
      <c r="AM367" s="4">
        <f t="shared" si="722"/>
        <v>1003.6436547154946</v>
      </c>
      <c r="AN367" s="6">
        <f t="shared" si="723"/>
        <v>5.5072873094309892E-6</v>
      </c>
      <c r="AO367" s="8">
        <f t="shared" si="724"/>
        <v>27.430902029228186</v>
      </c>
      <c r="AP367" s="7">
        <f t="shared" si="725"/>
        <v>1.3783052404420643E-2</v>
      </c>
      <c r="AQ367" s="9">
        <f t="shared" si="726"/>
        <v>0.43259900301761184</v>
      </c>
      <c r="AR367" s="4">
        <f t="shared" si="727"/>
        <v>999.1460012148957</v>
      </c>
      <c r="AS367" s="6">
        <f t="shared" si="728"/>
        <v>5.4982920024297912E-6</v>
      </c>
      <c r="AT367" s="8">
        <f t="shared" si="729"/>
        <v>27.379179013971299</v>
      </c>
      <c r="AU367" s="7">
        <f t="shared" si="730"/>
        <v>1.3760539907645862E-2</v>
      </c>
      <c r="AV367" s="9">
        <f t="shared" si="731"/>
        <v>0.43341624172377524</v>
      </c>
      <c r="AW367" s="4">
        <f t="shared" si="732"/>
        <v>994.04870167340232</v>
      </c>
      <c r="AX367" s="6">
        <f t="shared" si="733"/>
        <v>5.488097403346805E-6</v>
      </c>
      <c r="AY367" s="8">
        <f t="shared" si="734"/>
        <v>27.320560069244124</v>
      </c>
      <c r="AZ367" s="7">
        <f t="shared" si="735"/>
        <v>1.3735025950318405E-2</v>
      </c>
      <c r="BA367" s="9">
        <f t="shared" si="736"/>
        <v>0.43434617883535248</v>
      </c>
      <c r="BB367" s="4">
        <f t="shared" si="737"/>
        <v>988.35172272540262</v>
      </c>
      <c r="BC367" s="6">
        <f t="shared" si="738"/>
        <v>5.4767034454508063E-6</v>
      </c>
      <c r="BD367" s="8">
        <f t="shared" si="739"/>
        <v>27.255044811342131</v>
      </c>
      <c r="BE367" s="7">
        <f t="shared" si="740"/>
        <v>1.3706510365430474E-2</v>
      </c>
      <c r="BF367" s="9">
        <f t="shared" si="741"/>
        <v>0.43539025350564259</v>
      </c>
      <c r="BG367" s="4">
        <f t="shared" si="742"/>
        <v>982.05478195738726</v>
      </c>
      <c r="BH367" s="6">
        <f t="shared" si="743"/>
        <v>5.4641095639147752E-6</v>
      </c>
      <c r="BI367" s="8">
        <f t="shared" si="744"/>
        <v>27.182629992509952</v>
      </c>
      <c r="BJ367" s="7">
        <f t="shared" si="745"/>
        <v>1.3674991739393128E-2</v>
      </c>
      <c r="BK367" s="9">
        <f t="shared" si="746"/>
        <v>0.43655013782653407</v>
      </c>
      <c r="BL367" s="4">
        <f t="shared" si="747"/>
        <v>975.15577946546557</v>
      </c>
      <c r="BM367" s="6">
        <f t="shared" si="748"/>
        <v>5.4503115589309315E-6</v>
      </c>
      <c r="BN367" s="8">
        <f t="shared" si="749"/>
        <v>27.103291463852855</v>
      </c>
      <c r="BO367" s="7">
        <f t="shared" si="750"/>
        <v>1.3640459561374539E-2</v>
      </c>
      <c r="BP367" s="9">
        <f t="shared" si="751"/>
        <v>0.43782803596176251</v>
      </c>
      <c r="BQ367" s="4">
        <f t="shared" si="752"/>
        <v>967.6407757773311</v>
      </c>
      <c r="BR367" s="6">
        <f t="shared" si="753"/>
        <v>5.4352815515546634E-6</v>
      </c>
      <c r="BS367" s="8">
        <f t="shared" si="754"/>
        <v>27.016868921439308</v>
      </c>
      <c r="BT367" s="7">
        <f t="shared" si="755"/>
        <v>1.3602844058919967E-2</v>
      </c>
      <c r="BU367" s="9">
        <f t="shared" si="756"/>
        <v>0.43922857619896666</v>
      </c>
      <c r="BV367" s="4">
        <f t="shared" si="757"/>
        <v>959.42817793938855</v>
      </c>
      <c r="BW367" s="6">
        <f t="shared" si="758"/>
        <v>5.4188563558787773E-6</v>
      </c>
      <c r="BX367" s="8">
        <f t="shared" si="759"/>
        <v>26.922424046302968</v>
      </c>
      <c r="BY367" s="7">
        <f t="shared" si="760"/>
        <v>1.3561736827712705E-2</v>
      </c>
      <c r="BZ367" s="9">
        <f t="shared" si="761"/>
        <v>0.4407694065478267</v>
      </c>
      <c r="CA367" s="4">
        <f t="shared" si="762"/>
        <v>950.10403524385333</v>
      </c>
      <c r="CB367" s="6">
        <f t="shared" si="763"/>
        <v>5.4002080704877066E-6</v>
      </c>
      <c r="CC367" s="8">
        <f t="shared" si="764"/>
        <v>26.815196405304313</v>
      </c>
      <c r="CD367" s="7">
        <f t="shared" si="765"/>
        <v>1.3515065884223418E-2</v>
      </c>
      <c r="CE367" s="9">
        <f t="shared" si="766"/>
        <v>0.44253193936593993</v>
      </c>
      <c r="CF367" s="4">
        <f t="shared" si="767"/>
        <v>937.88974752194611</v>
      </c>
      <c r="CG367" s="6">
        <f t="shared" si="768"/>
        <v>5.3757794950438925E-6</v>
      </c>
      <c r="CH367" s="8">
        <f t="shared" si="769"/>
        <v>26.674732096502382</v>
      </c>
      <c r="CI367" s="7">
        <f t="shared" si="770"/>
        <v>1.3453928646126026E-2</v>
      </c>
      <c r="CJ367" s="9">
        <f t="shared" si="771"/>
        <v>0.44486223242234013</v>
      </c>
      <c r="CK367" s="4">
        <f t="shared" si="772"/>
        <v>916.52313668912973</v>
      </c>
      <c r="CL367" s="6">
        <f t="shared" si="773"/>
        <v>5.3330462733782596E-6</v>
      </c>
      <c r="CM367" s="8">
        <f t="shared" si="774"/>
        <v>26.429016071924991</v>
      </c>
      <c r="CN367" s="7">
        <f t="shared" si="775"/>
        <v>1.3346980488070332E-2</v>
      </c>
      <c r="CO367" s="9">
        <f t="shared" si="776"/>
        <v>0.44899820853805933</v>
      </c>
      <c r="CP367" s="4">
        <f t="shared" si="777"/>
        <v>868.83553925989531</v>
      </c>
      <c r="CQ367" s="6">
        <f t="shared" si="778"/>
        <v>5.2376710785197913E-6</v>
      </c>
      <c r="CR367" s="8">
        <f t="shared" si="779"/>
        <v>25.880608701488796</v>
      </c>
      <c r="CS367" s="7">
        <f t="shared" si="780"/>
        <v>1.3108285603464446E-2</v>
      </c>
      <c r="CT367" s="9">
        <f t="shared" si="781"/>
        <v>0.45851243325027619</v>
      </c>
      <c r="CU367" s="4">
        <f t="shared" si="782"/>
        <v>761.36883285060185</v>
      </c>
      <c r="CV367" s="6">
        <f t="shared" si="783"/>
        <v>5.0227376657012043E-6</v>
      </c>
      <c r="CW367" s="8">
        <f t="shared" si="784"/>
        <v>24.644741577781922</v>
      </c>
      <c r="CX367" s="7">
        <f t="shared" si="785"/>
        <v>1.2570373138417176E-2</v>
      </c>
      <c r="CY367" s="9">
        <f t="shared" si="786"/>
        <v>0.48150559145712557</v>
      </c>
      <c r="CZ367" s="5">
        <f t="shared" si="787"/>
        <v>557.31859714268171</v>
      </c>
      <c r="DA367" s="6">
        <f t="shared" si="788"/>
        <v>6.3347038000013848E-6</v>
      </c>
      <c r="DB367" s="8">
        <f t="shared" si="789"/>
        <v>37.332760682862229</v>
      </c>
      <c r="DC367" s="7">
        <f t="shared" si="790"/>
        <v>1.5853822315095936E-2</v>
      </c>
      <c r="DD367" s="9">
        <f t="shared" si="791"/>
        <v>0.31785972032776311</v>
      </c>
    </row>
    <row r="368" spans="2:108" x14ac:dyDescent="0.25">
      <c r="B368">
        <v>101</v>
      </c>
      <c r="C368">
        <f t="shared" si="699"/>
        <v>9.873908130087039E-2</v>
      </c>
      <c r="D368" s="4">
        <f t="shared" si="700"/>
        <v>1018.3519736391519</v>
      </c>
      <c r="E368" s="6">
        <f t="shared" si="647"/>
        <v>5.5367039472783044E-6</v>
      </c>
      <c r="F368" s="8">
        <f t="shared" si="701"/>
        <v>27.600047696850247</v>
      </c>
      <c r="G368" s="7">
        <f t="shared" si="583"/>
        <v>1.3856673234101545E-2</v>
      </c>
      <c r="H368" s="9">
        <f t="shared" si="702"/>
        <v>0.42994783922319557</v>
      </c>
      <c r="I368" s="4">
        <f t="shared" si="703"/>
        <v>1018.027720434258</v>
      </c>
      <c r="J368" s="6">
        <f t="shared" si="650"/>
        <v>5.5360554408685158E-6</v>
      </c>
      <c r="K368" s="8">
        <f t="shared" si="704"/>
        <v>27.596318784993965</v>
      </c>
      <c r="L368" s="7">
        <f t="shared" si="651"/>
        <v>1.3855050221295328E-2</v>
      </c>
      <c r="M368" s="9">
        <f t="shared" si="705"/>
        <v>0.4300059352905643</v>
      </c>
      <c r="N368" s="4">
        <f t="shared" si="706"/>
        <v>1017.1225163448214</v>
      </c>
      <c r="O368" s="6">
        <f t="shared" si="654"/>
        <v>5.5342450326896426E-6</v>
      </c>
      <c r="P368" s="8">
        <f t="shared" si="655"/>
        <v>27.585908937965446</v>
      </c>
      <c r="Q368" s="7">
        <f t="shared" si="584"/>
        <v>1.3856673234101545E-2</v>
      </c>
      <c r="R368" s="9">
        <f t="shared" si="707"/>
        <v>0.43016820277349538</v>
      </c>
      <c r="S368" s="4">
        <f t="shared" si="708"/>
        <v>1015.6213993591406</v>
      </c>
      <c r="T368" s="6">
        <f t="shared" si="658"/>
        <v>5.5312427987182815E-6</v>
      </c>
      <c r="U368" s="8">
        <f t="shared" si="659"/>
        <v>27.568646092630118</v>
      </c>
      <c r="V368" s="7">
        <f t="shared" si="660"/>
        <v>1.3843005652847481E-2</v>
      </c>
      <c r="W368" s="9">
        <f t="shared" si="709"/>
        <v>0.43043756410258294</v>
      </c>
      <c r="X368" s="4">
        <f t="shared" si="710"/>
        <v>1013.5221513090595</v>
      </c>
      <c r="Y368" s="6">
        <f t="shared" si="663"/>
        <v>5.5270443026181195E-6</v>
      </c>
      <c r="Z368" s="8">
        <f t="shared" si="664"/>
        <v>27.544504740054183</v>
      </c>
      <c r="AA368" s="7">
        <f t="shared" si="665"/>
        <v>1.3832498103755355E-2</v>
      </c>
      <c r="AB368" s="9">
        <f t="shared" si="711"/>
        <v>0.4308148206586544</v>
      </c>
      <c r="AC368" s="4">
        <f t="shared" si="712"/>
        <v>1010.8234336341585</v>
      </c>
      <c r="AD368" s="6">
        <f t="shared" si="713"/>
        <v>5.5216468672683177E-6</v>
      </c>
      <c r="AE368" s="8">
        <f t="shared" si="714"/>
        <v>27.513469486792822</v>
      </c>
      <c r="AF368" s="7">
        <f t="shared" si="715"/>
        <v>1.3818989977141297E-2</v>
      </c>
      <c r="AG368" s="9">
        <f t="shared" si="716"/>
        <v>0.43130078071085021</v>
      </c>
      <c r="AH368" s="4">
        <f t="shared" si="717"/>
        <v>1007.5250894968907</v>
      </c>
      <c r="AI368" s="6">
        <f t="shared" si="718"/>
        <v>5.5150501789937817E-6</v>
      </c>
      <c r="AJ368" s="8">
        <f t="shared" si="719"/>
        <v>27.475538529214241</v>
      </c>
      <c r="AK368" s="7">
        <f t="shared" si="720"/>
        <v>1.3802480487972672E-2</v>
      </c>
      <c r="AL368" s="9">
        <f t="shared" si="721"/>
        <v>0.43189620676953716</v>
      </c>
      <c r="AM368" s="4">
        <f t="shared" si="722"/>
        <v>1003.6271009159246</v>
      </c>
      <c r="AN368" s="6">
        <f t="shared" si="723"/>
        <v>5.5072542018318499E-6</v>
      </c>
      <c r="AO368" s="8">
        <f t="shared" si="724"/>
        <v>27.430711660533134</v>
      </c>
      <c r="AP368" s="7">
        <f t="shared" si="725"/>
        <v>1.3782969546245959E-2</v>
      </c>
      <c r="AQ368" s="9">
        <f t="shared" si="726"/>
        <v>0.43260200524769266</v>
      </c>
      <c r="AR368" s="4">
        <f t="shared" si="727"/>
        <v>999.12947087767702</v>
      </c>
      <c r="AS368" s="6">
        <f t="shared" si="728"/>
        <v>5.4982589417553547E-6</v>
      </c>
      <c r="AT368" s="8">
        <f t="shared" si="729"/>
        <v>27.378988915093284</v>
      </c>
      <c r="AU368" s="7">
        <f t="shared" si="730"/>
        <v>1.3760457166909329E-2</v>
      </c>
      <c r="AV368" s="9">
        <f t="shared" si="731"/>
        <v>0.43341925103655593</v>
      </c>
      <c r="AW368" s="4">
        <f t="shared" si="732"/>
        <v>994.0321979102373</v>
      </c>
      <c r="AX368" s="6">
        <f t="shared" si="733"/>
        <v>5.4880643958204748E-6</v>
      </c>
      <c r="AY368" s="8">
        <f t="shared" si="734"/>
        <v>27.320370275967726</v>
      </c>
      <c r="AZ368" s="7">
        <f t="shared" si="735"/>
        <v>1.3734943342595295E-2</v>
      </c>
      <c r="BA368" s="9">
        <f t="shared" si="736"/>
        <v>0.43434919621701823</v>
      </c>
      <c r="BB368" s="4">
        <f t="shared" si="737"/>
        <v>988.33524549340927</v>
      </c>
      <c r="BC368" s="6">
        <f t="shared" si="738"/>
        <v>5.4766704909868195E-6</v>
      </c>
      <c r="BD368" s="8">
        <f t="shared" si="739"/>
        <v>27.254855323174205</v>
      </c>
      <c r="BE368" s="7">
        <f t="shared" si="740"/>
        <v>1.3706427890506148E-2</v>
      </c>
      <c r="BF368" s="9">
        <f t="shared" si="741"/>
        <v>0.43539328053699133</v>
      </c>
      <c r="BG368" s="4">
        <f t="shared" si="742"/>
        <v>982.03830851247653</v>
      </c>
      <c r="BH368" s="6">
        <f t="shared" si="743"/>
        <v>5.4640766170249537E-6</v>
      </c>
      <c r="BI368" s="8">
        <f t="shared" si="744"/>
        <v>27.182440547893478</v>
      </c>
      <c r="BJ368" s="7">
        <f t="shared" si="745"/>
        <v>1.3674909283424614E-2</v>
      </c>
      <c r="BK368" s="9">
        <f t="shared" si="746"/>
        <v>0.43655318030806867</v>
      </c>
      <c r="BL368" s="4">
        <f t="shared" si="747"/>
        <v>975.13914277886704</v>
      </c>
      <c r="BM368" s="6">
        <f t="shared" si="748"/>
        <v>5.4502782855577348E-6</v>
      </c>
      <c r="BN368" s="8">
        <f t="shared" si="749"/>
        <v>27.103100141956972</v>
      </c>
      <c r="BO368" s="7">
        <f t="shared" si="750"/>
        <v>1.3640376288318191E-2</v>
      </c>
      <c r="BP368" s="9">
        <f t="shared" si="751"/>
        <v>0.43783112660783147</v>
      </c>
      <c r="BQ368" s="4">
        <f t="shared" si="752"/>
        <v>967.62300916128777</v>
      </c>
      <c r="BR368" s="6">
        <f t="shared" si="753"/>
        <v>5.4352460183225763E-6</v>
      </c>
      <c r="BS368" s="8">
        <f t="shared" si="754"/>
        <v>27.016664605354809</v>
      </c>
      <c r="BT368" s="7">
        <f t="shared" si="755"/>
        <v>1.3602755130129362E-2</v>
      </c>
      <c r="BU368" s="9">
        <f t="shared" si="756"/>
        <v>0.43923189790666817</v>
      </c>
      <c r="BV368" s="4">
        <f t="shared" si="757"/>
        <v>959.40453829590103</v>
      </c>
      <c r="BW368" s="6">
        <f t="shared" si="758"/>
        <v>5.4188090765918024E-6</v>
      </c>
      <c r="BX368" s="8">
        <f t="shared" si="759"/>
        <v>26.922152190402862</v>
      </c>
      <c r="BY368" s="7">
        <f t="shared" si="760"/>
        <v>1.3561618502146341E-2</v>
      </c>
      <c r="BZ368" s="9">
        <f t="shared" si="761"/>
        <v>0.44077385737192532</v>
      </c>
      <c r="CA368" s="4">
        <f t="shared" si="762"/>
        <v>950.05510366704129</v>
      </c>
      <c r="CB368" s="6">
        <f t="shared" si="763"/>
        <v>5.400110207334083E-6</v>
      </c>
      <c r="CC368" s="8">
        <f t="shared" si="764"/>
        <v>26.814633692170972</v>
      </c>
      <c r="CD368" s="7">
        <f t="shared" si="765"/>
        <v>1.3514820962740471E-2</v>
      </c>
      <c r="CE368" s="9">
        <f t="shared" si="766"/>
        <v>0.44254122603146229</v>
      </c>
      <c r="CF368" s="4">
        <f t="shared" si="767"/>
        <v>937.75187301896733</v>
      </c>
      <c r="CG368" s="6">
        <f t="shared" si="768"/>
        <v>5.3755037460379355E-6</v>
      </c>
      <c r="CH368" s="8">
        <f t="shared" si="769"/>
        <v>26.673146539718125</v>
      </c>
      <c r="CI368" s="7">
        <f t="shared" si="770"/>
        <v>1.3453238530868546E-2</v>
      </c>
      <c r="CJ368" s="9">
        <f t="shared" si="771"/>
        <v>0.44488867678388655</v>
      </c>
      <c r="CK368" s="4">
        <f t="shared" si="772"/>
        <v>916.14171056821829</v>
      </c>
      <c r="CL368" s="6">
        <f t="shared" si="773"/>
        <v>5.3322834211364372E-6</v>
      </c>
      <c r="CM368" s="8">
        <f t="shared" si="774"/>
        <v>26.424629671534511</v>
      </c>
      <c r="CN368" s="7">
        <f t="shared" si="775"/>
        <v>1.3345071302688291E-2</v>
      </c>
      <c r="CO368" s="9">
        <f t="shared" si="776"/>
        <v>0.44907274074311715</v>
      </c>
      <c r="CP368" s="4">
        <f t="shared" si="777"/>
        <v>867.98026764237738</v>
      </c>
      <c r="CQ368" s="6">
        <f t="shared" si="778"/>
        <v>5.2359605352847556E-6</v>
      </c>
      <c r="CR368" s="8">
        <f t="shared" si="779"/>
        <v>25.870773077887339</v>
      </c>
      <c r="CS368" s="7">
        <f t="shared" si="780"/>
        <v>1.3104004637950235E-2</v>
      </c>
      <c r="CT368" s="9">
        <f t="shared" si="781"/>
        <v>0.45868675180258461</v>
      </c>
      <c r="CU368" s="4">
        <f t="shared" si="782"/>
        <v>759.99577763855712</v>
      </c>
      <c r="CV368" s="6">
        <f t="shared" si="783"/>
        <v>5.0199915552771146E-6</v>
      </c>
      <c r="CW368" s="8">
        <f t="shared" si="784"/>
        <v>24.628951442843405</v>
      </c>
      <c r="CX368" s="7">
        <f t="shared" si="785"/>
        <v>1.2563500465582633E-2</v>
      </c>
      <c r="CY368" s="9">
        <f t="shared" si="786"/>
        <v>0.48181429474400334</v>
      </c>
      <c r="CZ368" s="5">
        <f t="shared" si="787"/>
        <v>555.98988547970828</v>
      </c>
      <c r="DA368" s="6">
        <f t="shared" si="788"/>
        <v>6.3556721424434911E-6</v>
      </c>
      <c r="DB368" s="8">
        <f t="shared" si="789"/>
        <v>37.371293321088459</v>
      </c>
      <c r="DC368" s="7">
        <f t="shared" si="790"/>
        <v>1.5906299650392839E-2</v>
      </c>
      <c r="DD368" s="9">
        <f t="shared" si="791"/>
        <v>0.31753198284474782</v>
      </c>
    </row>
    <row r="369" spans="2:108" x14ac:dyDescent="0.25">
      <c r="B369">
        <v>102</v>
      </c>
      <c r="C369">
        <f t="shared" si="699"/>
        <v>9.9716695967215649E-2</v>
      </c>
      <c r="D369" s="4">
        <f t="shared" si="700"/>
        <v>1018.3354189085285</v>
      </c>
      <c r="E369" s="6">
        <f t="shared" si="647"/>
        <v>5.536670837817058E-6</v>
      </c>
      <c r="F369" s="8">
        <f t="shared" si="701"/>
        <v>27.599857317448077</v>
      </c>
      <c r="G369" s="7">
        <f t="shared" si="583"/>
        <v>1.3856590371266577E-2</v>
      </c>
      <c r="H369" s="9">
        <f t="shared" si="702"/>
        <v>0.42995080493463578</v>
      </c>
      <c r="I369" s="4">
        <f t="shared" si="703"/>
        <v>1018.0111523927718</v>
      </c>
      <c r="J369" s="6">
        <f t="shared" si="650"/>
        <v>5.5360223047855439E-6</v>
      </c>
      <c r="K369" s="8">
        <f t="shared" si="704"/>
        <v>27.596128252516877</v>
      </c>
      <c r="L369" s="7">
        <f t="shared" si="651"/>
        <v>1.3854967291834341E-2</v>
      </c>
      <c r="M369" s="9">
        <f t="shared" si="705"/>
        <v>0.43000890418878301</v>
      </c>
      <c r="N369" s="4">
        <f t="shared" si="706"/>
        <v>1017.1059251161878</v>
      </c>
      <c r="O369" s="6">
        <f t="shared" si="654"/>
        <v>5.5342118502323757E-6</v>
      </c>
      <c r="P369" s="8">
        <f t="shared" si="655"/>
        <v>27.585718138836157</v>
      </c>
      <c r="Q369" s="7">
        <f t="shared" si="584"/>
        <v>1.3856590371266577E-2</v>
      </c>
      <c r="R369" s="9">
        <f t="shared" si="707"/>
        <v>0.43017117807100708</v>
      </c>
      <c r="S369" s="4">
        <f t="shared" si="708"/>
        <v>1015.604796504745</v>
      </c>
      <c r="T369" s="6">
        <f t="shared" si="658"/>
        <v>5.5312095930094911E-6</v>
      </c>
      <c r="U369" s="8">
        <f t="shared" si="659"/>
        <v>27.568455159804564</v>
      </c>
      <c r="V369" s="7">
        <f t="shared" si="660"/>
        <v>1.3842922549134405E-2</v>
      </c>
      <c r="W369" s="9">
        <f t="shared" si="709"/>
        <v>0.4304405452148673</v>
      </c>
      <c r="X369" s="4">
        <f t="shared" si="710"/>
        <v>1013.505550663982</v>
      </c>
      <c r="Y369" s="6">
        <f t="shared" si="663"/>
        <v>5.5270111013279645E-6</v>
      </c>
      <c r="Z369" s="8">
        <f t="shared" si="664"/>
        <v>27.544313832635794</v>
      </c>
      <c r="AA369" s="7">
        <f t="shared" si="665"/>
        <v>1.383241501110077E-2</v>
      </c>
      <c r="AB369" s="9">
        <f t="shared" si="711"/>
        <v>0.43081780660144153</v>
      </c>
      <c r="AC369" s="4">
        <f t="shared" si="712"/>
        <v>1010.8068439672961</v>
      </c>
      <c r="AD369" s="6">
        <f t="shared" si="713"/>
        <v>5.5216136879345924E-6</v>
      </c>
      <c r="AE369" s="8">
        <f t="shared" si="714"/>
        <v>27.513278705623904</v>
      </c>
      <c r="AF369" s="7">
        <f t="shared" si="715"/>
        <v>1.3818906939436928E-2</v>
      </c>
      <c r="AG369" s="9">
        <f t="shared" si="716"/>
        <v>0.43130377141464743</v>
      </c>
      <c r="AH369" s="4">
        <f t="shared" si="717"/>
        <v>1007.5085159451149</v>
      </c>
      <c r="AI369" s="6">
        <f t="shared" si="718"/>
        <v>5.515017031890231E-6</v>
      </c>
      <c r="AJ369" s="8">
        <f t="shared" si="719"/>
        <v>27.475347933368823</v>
      </c>
      <c r="AK369" s="7">
        <f t="shared" si="720"/>
        <v>1.3802397530930552E-2</v>
      </c>
      <c r="AL369" s="9">
        <f t="shared" si="721"/>
        <v>0.43189920282341288</v>
      </c>
      <c r="AM369" s="4">
        <f t="shared" si="722"/>
        <v>1003.6105473071766</v>
      </c>
      <c r="AN369" s="6">
        <f t="shared" si="723"/>
        <v>5.5072210946143539E-6</v>
      </c>
      <c r="AO369" s="8">
        <f t="shared" si="724"/>
        <v>27.43052129403253</v>
      </c>
      <c r="AP369" s="7">
        <f t="shared" si="725"/>
        <v>1.3782886689026412E-2</v>
      </c>
      <c r="AQ369" s="9">
        <f t="shared" si="726"/>
        <v>0.4326050074848361</v>
      </c>
      <c r="AR369" s="4">
        <f t="shared" si="727"/>
        <v>999.11294072582257</v>
      </c>
      <c r="AS369" s="6">
        <f t="shared" si="728"/>
        <v>5.4982258814516459E-6</v>
      </c>
      <c r="AT369" s="8">
        <f t="shared" si="729"/>
        <v>27.378798818346958</v>
      </c>
      <c r="AU369" s="7">
        <f t="shared" si="730"/>
        <v>1.3760374427100612E-2</v>
      </c>
      <c r="AV369" s="9">
        <f t="shared" si="731"/>
        <v>0.43342226035737985</v>
      </c>
      <c r="AW369" s="4">
        <f t="shared" si="732"/>
        <v>994.01569428631421</v>
      </c>
      <c r="AX369" s="6">
        <f t="shared" si="733"/>
        <v>5.4880313885726287E-6</v>
      </c>
      <c r="AY369" s="8">
        <f t="shared" si="734"/>
        <v>27.320180484292614</v>
      </c>
      <c r="AZ369" s="7">
        <f t="shared" si="735"/>
        <v>1.3734860735569144E-2</v>
      </c>
      <c r="BA369" s="9">
        <f t="shared" si="736"/>
        <v>0.43435221361514931</v>
      </c>
      <c r="BB369" s="4">
        <f t="shared" si="737"/>
        <v>988.31876806895002</v>
      </c>
      <c r="BC369" s="6">
        <f t="shared" si="738"/>
        <v>5.4766375361379004E-6</v>
      </c>
      <c r="BD369" s="8">
        <f t="shared" si="739"/>
        <v>27.254665832792924</v>
      </c>
      <c r="BE369" s="7">
        <f t="shared" si="740"/>
        <v>1.3706345414618454E-2</v>
      </c>
      <c r="BF369" s="9">
        <f t="shared" si="741"/>
        <v>0.43539630764578963</v>
      </c>
      <c r="BG369" s="4">
        <f t="shared" si="742"/>
        <v>982.02183277799497</v>
      </c>
      <c r="BH369" s="6">
        <f t="shared" si="743"/>
        <v>5.4640436655559907E-6</v>
      </c>
      <c r="BI369" s="8">
        <f t="shared" si="744"/>
        <v>27.18225107694694</v>
      </c>
      <c r="BJ369" s="7">
        <f t="shared" si="745"/>
        <v>1.3674826815995914E-2</v>
      </c>
      <c r="BK369" s="9">
        <f t="shared" si="746"/>
        <v>0.43655622325488175</v>
      </c>
      <c r="BL369" s="4">
        <f t="shared" si="747"/>
        <v>975.12249223648075</v>
      </c>
      <c r="BM369" s="6">
        <f t="shared" si="748"/>
        <v>5.4502449844729625E-6</v>
      </c>
      <c r="BN369" s="8">
        <f t="shared" si="749"/>
        <v>27.102908660719528</v>
      </c>
      <c r="BO369" s="7">
        <f t="shared" si="750"/>
        <v>1.3640292945908263E-2</v>
      </c>
      <c r="BP369" s="9">
        <f t="shared" si="751"/>
        <v>0.43783421987161963</v>
      </c>
      <c r="BQ369" s="4">
        <f t="shared" si="752"/>
        <v>967.60517428261414</v>
      </c>
      <c r="BR369" s="6">
        <f t="shared" si="753"/>
        <v>5.4352103485652284E-6</v>
      </c>
      <c r="BS369" s="8">
        <f t="shared" si="754"/>
        <v>27.016459504250061</v>
      </c>
      <c r="BT369" s="7">
        <f t="shared" si="755"/>
        <v>1.3602665859657864E-2</v>
      </c>
      <c r="BU369" s="9">
        <f t="shared" si="756"/>
        <v>0.43923523242751783</v>
      </c>
      <c r="BV369" s="4">
        <f t="shared" si="757"/>
        <v>959.38061951843099</v>
      </c>
      <c r="BW369" s="6">
        <f t="shared" si="758"/>
        <v>5.4187612390368622E-6</v>
      </c>
      <c r="BX369" s="8">
        <f t="shared" si="759"/>
        <v>26.921877124461957</v>
      </c>
      <c r="BY369" s="7">
        <f t="shared" si="760"/>
        <v>1.3561498779406345E-2</v>
      </c>
      <c r="BZ369" s="9">
        <f t="shared" si="761"/>
        <v>0.4407783608422905</v>
      </c>
      <c r="CA369" s="4">
        <f t="shared" si="762"/>
        <v>950.00525767947465</v>
      </c>
      <c r="CB369" s="6">
        <f t="shared" si="763"/>
        <v>5.4000105153589498E-6</v>
      </c>
      <c r="CC369" s="8">
        <f t="shared" si="764"/>
        <v>26.814060463313957</v>
      </c>
      <c r="CD369" s="7">
        <f t="shared" si="765"/>
        <v>1.351457146427773E-2</v>
      </c>
      <c r="CE369" s="9">
        <f t="shared" si="766"/>
        <v>0.44255068664267883</v>
      </c>
      <c r="CF369" s="4">
        <f t="shared" si="767"/>
        <v>937.61177116854969</v>
      </c>
      <c r="CG369" s="6">
        <f t="shared" si="768"/>
        <v>5.3752235423371003E-6</v>
      </c>
      <c r="CH369" s="8">
        <f t="shared" si="769"/>
        <v>26.67153536843832</v>
      </c>
      <c r="CI369" s="7">
        <f t="shared" si="770"/>
        <v>1.3452537266874943E-2</v>
      </c>
      <c r="CJ369" s="9">
        <f t="shared" si="771"/>
        <v>0.44491555157188967</v>
      </c>
      <c r="CK369" s="4">
        <f t="shared" si="772"/>
        <v>915.75692244515858</v>
      </c>
      <c r="CL369" s="6">
        <f t="shared" si="773"/>
        <v>5.3315138448903175E-6</v>
      </c>
      <c r="CM369" s="8">
        <f t="shared" si="774"/>
        <v>26.42020460811932</v>
      </c>
      <c r="CN369" s="7">
        <f t="shared" si="775"/>
        <v>1.3343145289184092E-2</v>
      </c>
      <c r="CO369" s="9">
        <f t="shared" si="776"/>
        <v>0.44914795497348731</v>
      </c>
      <c r="CP369" s="4">
        <f t="shared" si="777"/>
        <v>867.12416564831324</v>
      </c>
      <c r="CQ369" s="6">
        <f t="shared" si="778"/>
        <v>5.2342483312966274E-6</v>
      </c>
      <c r="CR369" s="8">
        <f t="shared" si="779"/>
        <v>25.860927904955602</v>
      </c>
      <c r="CS369" s="7">
        <f t="shared" si="780"/>
        <v>1.3099719516079978E-2</v>
      </c>
      <c r="CT369" s="9">
        <f t="shared" si="781"/>
        <v>0.45886137238888342</v>
      </c>
      <c r="CU369" s="4">
        <f t="shared" si="782"/>
        <v>758.63037192652121</v>
      </c>
      <c r="CV369" s="6">
        <f t="shared" si="783"/>
        <v>5.0172607438530425E-6</v>
      </c>
      <c r="CW369" s="8">
        <f t="shared" si="784"/>
        <v>24.613249277154992</v>
      </c>
      <c r="CX369" s="7">
        <f t="shared" si="785"/>
        <v>1.2556666081456691E-2</v>
      </c>
      <c r="CY369" s="9">
        <f t="shared" si="786"/>
        <v>0.48212167097872655</v>
      </c>
      <c r="CZ369" s="5">
        <f t="shared" si="787"/>
        <v>554.67278260698265</v>
      </c>
      <c r="DA369" s="6">
        <f t="shared" si="788"/>
        <v>6.3764261885036807E-6</v>
      </c>
      <c r="DB369" s="8">
        <f t="shared" si="789"/>
        <v>37.409489304397496</v>
      </c>
      <c r="DC369" s="7">
        <f t="shared" si="790"/>
        <v>1.5958240667517821E-2</v>
      </c>
      <c r="DD369" s="9">
        <f t="shared" si="791"/>
        <v>0.31720777509579579</v>
      </c>
    </row>
    <row r="370" spans="2:108" x14ac:dyDescent="0.25">
      <c r="B370">
        <v>103</v>
      </c>
      <c r="C370">
        <f t="shared" si="699"/>
        <v>0.10069431063356091</v>
      </c>
      <c r="D370" s="4">
        <f t="shared" si="700"/>
        <v>1018.3188634983197</v>
      </c>
      <c r="E370" s="6">
        <f t="shared" si="647"/>
        <v>5.5366377269966405E-6</v>
      </c>
      <c r="F370" s="8">
        <f t="shared" si="701"/>
        <v>27.599666930230676</v>
      </c>
      <c r="G370" s="7">
        <f t="shared" si="583"/>
        <v>1.385650750503002E-2</v>
      </c>
      <c r="H370" s="9">
        <f t="shared" si="702"/>
        <v>0.42995377080873776</v>
      </c>
      <c r="I370" s="4">
        <f t="shared" si="703"/>
        <v>1017.9945840606488</v>
      </c>
      <c r="J370" s="6">
        <f t="shared" si="650"/>
        <v>5.5359891681212982E-6</v>
      </c>
      <c r="K370" s="8">
        <f t="shared" si="704"/>
        <v>27.59593771669746</v>
      </c>
      <c r="L370" s="7">
        <f t="shared" si="651"/>
        <v>1.3854884360918602E-2</v>
      </c>
      <c r="M370" s="9">
        <f t="shared" si="705"/>
        <v>0.43001187318008016</v>
      </c>
      <c r="N370" s="4">
        <f t="shared" si="706"/>
        <v>1017.0893340264629</v>
      </c>
      <c r="O370" s="6">
        <f t="shared" si="654"/>
        <v>5.5341786680529264E-6</v>
      </c>
      <c r="P370" s="8">
        <f t="shared" si="655"/>
        <v>27.585527341304321</v>
      </c>
      <c r="Q370" s="7">
        <f t="shared" si="584"/>
        <v>1.385650750503002E-2</v>
      </c>
      <c r="R370" s="9">
        <f t="shared" si="707"/>
        <v>0.43017415338476589</v>
      </c>
      <c r="S370" s="4">
        <f t="shared" si="708"/>
        <v>1015.5881939195983</v>
      </c>
      <c r="T370" s="6">
        <f t="shared" si="658"/>
        <v>5.5311763878391967E-6</v>
      </c>
      <c r="U370" s="8">
        <f t="shared" si="659"/>
        <v>27.568264230075378</v>
      </c>
      <c r="V370" s="7">
        <f t="shared" si="660"/>
        <v>1.384283944676902E-2</v>
      </c>
      <c r="W370" s="9">
        <f t="shared" si="709"/>
        <v>0.43044352632009913</v>
      </c>
      <c r="X370" s="4">
        <f t="shared" si="710"/>
        <v>1013.4889502627677</v>
      </c>
      <c r="Y370" s="6">
        <f t="shared" si="663"/>
        <v>5.5269779005255353E-6</v>
      </c>
      <c r="Z370" s="8">
        <f t="shared" si="664"/>
        <v>27.544122928021828</v>
      </c>
      <c r="AA370" s="7">
        <f t="shared" si="665"/>
        <v>1.3832331919666815E-2</v>
      </c>
      <c r="AB370" s="9">
        <f t="shared" si="711"/>
        <v>0.43082079254175532</v>
      </c>
      <c r="AC370" s="4">
        <f t="shared" si="712"/>
        <v>1010.7902545086192</v>
      </c>
      <c r="AD370" s="6">
        <f t="shared" si="713"/>
        <v>5.5215805090172389E-6</v>
      </c>
      <c r="AE370" s="8">
        <f t="shared" si="714"/>
        <v>27.513087926849121</v>
      </c>
      <c r="AF370" s="7">
        <f t="shared" si="715"/>
        <v>1.3818823902774609E-2</v>
      </c>
      <c r="AG370" s="9">
        <f t="shared" si="716"/>
        <v>0.43130676212238944</v>
      </c>
      <c r="AH370" s="4">
        <f t="shared" si="717"/>
        <v>1007.4919425873493</v>
      </c>
      <c r="AI370" s="6">
        <f t="shared" si="718"/>
        <v>5.5149838851746993E-6</v>
      </c>
      <c r="AJ370" s="8">
        <f t="shared" si="719"/>
        <v>27.475157339754517</v>
      </c>
      <c r="AK370" s="7">
        <f t="shared" si="720"/>
        <v>1.3802314574859524E-2</v>
      </c>
      <c r="AL370" s="9">
        <f t="shared" si="721"/>
        <v>0.43190219888378345</v>
      </c>
      <c r="AM370" s="4">
        <f t="shared" si="722"/>
        <v>1003.5939938892068</v>
      </c>
      <c r="AN370" s="6">
        <f t="shared" si="723"/>
        <v>5.5071879877784141E-6</v>
      </c>
      <c r="AO370" s="8">
        <f t="shared" si="724"/>
        <v>27.430330929725876</v>
      </c>
      <c r="AP370" s="7">
        <f t="shared" si="725"/>
        <v>1.3782803832761781E-2</v>
      </c>
      <c r="AQ370" s="9">
        <f t="shared" si="726"/>
        <v>0.43260800972904945</v>
      </c>
      <c r="AR370" s="4">
        <f t="shared" si="727"/>
        <v>999.09641075872537</v>
      </c>
      <c r="AS370" s="6">
        <f t="shared" si="728"/>
        <v>5.4981928215174518E-6</v>
      </c>
      <c r="AT370" s="8">
        <f t="shared" si="729"/>
        <v>27.378608723725343</v>
      </c>
      <c r="AU370" s="7">
        <f t="shared" si="730"/>
        <v>1.3760291688216679E-2</v>
      </c>
      <c r="AV370" s="9">
        <f t="shared" si="731"/>
        <v>0.43342526968635681</v>
      </c>
      <c r="AW370" s="4">
        <f t="shared" si="732"/>
        <v>993.99919079741301</v>
      </c>
      <c r="AX370" s="6">
        <f t="shared" si="733"/>
        <v>5.4879983815948261E-6</v>
      </c>
      <c r="AY370" s="8">
        <f t="shared" si="734"/>
        <v>27.319990694170251</v>
      </c>
      <c r="AZ370" s="7">
        <f t="shared" si="735"/>
        <v>1.3734778129218831E-2</v>
      </c>
      <c r="BA370" s="9">
        <f t="shared" si="736"/>
        <v>0.43435523103051715</v>
      </c>
      <c r="BB370" s="4">
        <f t="shared" si="737"/>
        <v>988.30229042611222</v>
      </c>
      <c r="BC370" s="6">
        <f t="shared" si="738"/>
        <v>5.4766045808522247E-6</v>
      </c>
      <c r="BD370" s="8">
        <f t="shared" si="739"/>
        <v>27.25447633990029</v>
      </c>
      <c r="BE370" s="7">
        <f t="shared" si="740"/>
        <v>1.3706262937637692E-2</v>
      </c>
      <c r="BF370" s="9">
        <f t="shared" si="741"/>
        <v>0.43539933483680032</v>
      </c>
      <c r="BG370" s="4">
        <f t="shared" si="742"/>
        <v>982.00535461567404</v>
      </c>
      <c r="BH370" s="6">
        <f t="shared" si="743"/>
        <v>5.4640107092313487E-6</v>
      </c>
      <c r="BI370" s="8">
        <f t="shared" si="744"/>
        <v>27.182061578080251</v>
      </c>
      <c r="BJ370" s="7">
        <f t="shared" si="745"/>
        <v>1.3674744336414938E-2</v>
      </c>
      <c r="BK370" s="9">
        <f t="shared" si="746"/>
        <v>0.43655926669252959</v>
      </c>
      <c r="BL370" s="4">
        <f t="shared" si="747"/>
        <v>975.10582721506489</v>
      </c>
      <c r="BM370" s="6">
        <f t="shared" si="748"/>
        <v>5.4502116544301302E-6</v>
      </c>
      <c r="BN370" s="8">
        <f t="shared" si="749"/>
        <v>27.102717012973244</v>
      </c>
      <c r="BO370" s="7">
        <f t="shared" si="750"/>
        <v>1.3640209531025183E-2</v>
      </c>
      <c r="BP370" s="9">
        <f t="shared" si="751"/>
        <v>0.43783731586902258</v>
      </c>
      <c r="BQ370" s="4">
        <f t="shared" si="752"/>
        <v>967.58726886886086</v>
      </c>
      <c r="BR370" s="6">
        <f t="shared" si="753"/>
        <v>5.435174537737722E-6</v>
      </c>
      <c r="BS370" s="8">
        <f t="shared" si="754"/>
        <v>27.016253591991898</v>
      </c>
      <c r="BT370" s="7">
        <f t="shared" si="755"/>
        <v>1.3602576236130993E-2</v>
      </c>
      <c r="BU370" s="9">
        <f t="shared" si="756"/>
        <v>0.4392385801869792</v>
      </c>
      <c r="BV370" s="4">
        <f t="shared" si="757"/>
        <v>959.356415427201</v>
      </c>
      <c r="BW370" s="6">
        <f t="shared" si="758"/>
        <v>5.4187128308544026E-6</v>
      </c>
      <c r="BX370" s="8">
        <f t="shared" si="759"/>
        <v>26.921598777412811</v>
      </c>
      <c r="BY370" s="7">
        <f t="shared" si="760"/>
        <v>1.3561377628560536E-2</v>
      </c>
      <c r="BZ370" s="9">
        <f t="shared" si="761"/>
        <v>0.44078291812572234</v>
      </c>
      <c r="CA370" s="4">
        <f t="shared" si="762"/>
        <v>949.95448723196762</v>
      </c>
      <c r="CB370" s="6">
        <f t="shared" si="763"/>
        <v>5.3999089744639355E-6</v>
      </c>
      <c r="CC370" s="8">
        <f t="shared" si="764"/>
        <v>26.813476603167629</v>
      </c>
      <c r="CD370" s="7">
        <f t="shared" si="765"/>
        <v>1.3514317338535141E-2</v>
      </c>
      <c r="CE370" s="9">
        <f t="shared" si="766"/>
        <v>0.44256032312930399</v>
      </c>
      <c r="CF370" s="4">
        <f t="shared" si="767"/>
        <v>937.46944347744704</v>
      </c>
      <c r="CG370" s="6">
        <f t="shared" si="768"/>
        <v>5.3749388869548939E-6</v>
      </c>
      <c r="CH370" s="8">
        <f t="shared" si="769"/>
        <v>26.669898599990638</v>
      </c>
      <c r="CI370" s="7">
        <f t="shared" si="770"/>
        <v>1.3451824861687105E-2</v>
      </c>
      <c r="CJ370" s="9">
        <f t="shared" si="771"/>
        <v>0.44494285665270822</v>
      </c>
      <c r="CK370" s="4">
        <f t="shared" si="772"/>
        <v>915.36882286487514</v>
      </c>
      <c r="CL370" s="6">
        <f t="shared" si="773"/>
        <v>5.3307376457297508E-6</v>
      </c>
      <c r="CM370" s="8">
        <f t="shared" si="774"/>
        <v>26.415741462946063</v>
      </c>
      <c r="CN370" s="7">
        <f t="shared" si="775"/>
        <v>1.3341202700554652E-2</v>
      </c>
      <c r="CO370" s="9">
        <f t="shared" si="776"/>
        <v>0.44922384201720822</v>
      </c>
      <c r="CP370" s="4">
        <f t="shared" si="777"/>
        <v>866.26731805527356</v>
      </c>
      <c r="CQ370" s="6">
        <f t="shared" si="778"/>
        <v>5.2325346361105473E-6</v>
      </c>
      <c r="CR370" s="8">
        <f t="shared" si="779"/>
        <v>25.851074157635644</v>
      </c>
      <c r="CS370" s="7">
        <f t="shared" si="780"/>
        <v>1.309543066219823E-2</v>
      </c>
      <c r="CT370" s="9">
        <f t="shared" si="781"/>
        <v>0.45903627823576765</v>
      </c>
      <c r="CU370" s="4">
        <f t="shared" si="782"/>
        <v>757.27255647836466</v>
      </c>
      <c r="CV370" s="6">
        <f t="shared" si="783"/>
        <v>5.0145451129567298E-6</v>
      </c>
      <c r="CW370" s="8">
        <f t="shared" si="784"/>
        <v>24.597634399501192</v>
      </c>
      <c r="CX370" s="7">
        <f t="shared" si="785"/>
        <v>1.2549869689539596E-2</v>
      </c>
      <c r="CY370" s="9">
        <f t="shared" si="786"/>
        <v>0.48242772768256681</v>
      </c>
      <c r="CZ370" s="5">
        <f t="shared" si="787"/>
        <v>553.36707064049938</v>
      </c>
      <c r="DA370" s="6">
        <f t="shared" si="788"/>
        <v>6.3969705430200445E-6</v>
      </c>
      <c r="DB370" s="8">
        <f t="shared" si="789"/>
        <v>37.44735495142551</v>
      </c>
      <c r="DC370" s="7">
        <f t="shared" si="790"/>
        <v>1.6009656890969455E-2</v>
      </c>
      <c r="DD370" s="9">
        <f t="shared" si="791"/>
        <v>0.31688702406646674</v>
      </c>
    </row>
    <row r="371" spans="2:108" x14ac:dyDescent="0.25">
      <c r="B371">
        <v>104</v>
      </c>
      <c r="C371">
        <f t="shared" si="699"/>
        <v>0.10167192529990615</v>
      </c>
      <c r="D371" s="4">
        <f t="shared" si="700"/>
        <v>1018.3023074283833</v>
      </c>
      <c r="E371" s="6">
        <f t="shared" si="647"/>
        <v>5.5366046148567675E-6</v>
      </c>
      <c r="F371" s="8">
        <f t="shared" si="701"/>
        <v>27.599476535426405</v>
      </c>
      <c r="G371" s="7">
        <f t="shared" si="583"/>
        <v>1.3856424635491273E-2</v>
      </c>
      <c r="H371" s="9">
        <f t="shared" si="702"/>
        <v>0.42995673684194979</v>
      </c>
      <c r="I371" s="4">
        <f t="shared" si="703"/>
        <v>1017.9780154441307</v>
      </c>
      <c r="J371" s="6">
        <f t="shared" si="650"/>
        <v>5.5359560308882614E-6</v>
      </c>
      <c r="K371" s="8">
        <f t="shared" si="704"/>
        <v>27.595747177607503</v>
      </c>
      <c r="L371" s="7">
        <f t="shared" si="651"/>
        <v>1.3854801428579352E-2</v>
      </c>
      <c r="M371" s="9">
        <f t="shared" si="705"/>
        <v>0.43001484226333991</v>
      </c>
      <c r="N371" s="4">
        <f t="shared" si="706"/>
        <v>1017.0727430734416</v>
      </c>
      <c r="O371" s="6">
        <f t="shared" si="654"/>
        <v>5.5341454861468841E-6</v>
      </c>
      <c r="P371" s="8">
        <f t="shared" si="655"/>
        <v>27.585336545344578</v>
      </c>
      <c r="Q371" s="7">
        <f t="shared" si="584"/>
        <v>1.3856424635491273E-2</v>
      </c>
      <c r="R371" s="9">
        <f t="shared" si="707"/>
        <v>0.43017712871516711</v>
      </c>
      <c r="S371" s="4">
        <f t="shared" si="708"/>
        <v>1015.5715916017873</v>
      </c>
      <c r="T371" s="6">
        <f t="shared" si="658"/>
        <v>5.5311431832035758E-6</v>
      </c>
      <c r="U371" s="8">
        <f t="shared" si="659"/>
        <v>27.568073303420555</v>
      </c>
      <c r="V371" s="7">
        <f t="shared" si="660"/>
        <v>1.3842756345741763E-2</v>
      </c>
      <c r="W371" s="9">
        <f t="shared" si="709"/>
        <v>0.43044650741862084</v>
      </c>
      <c r="X371" s="4">
        <f t="shared" si="710"/>
        <v>1013.4723501051651</v>
      </c>
      <c r="Y371" s="6">
        <f t="shared" si="663"/>
        <v>5.5269447002103305E-6</v>
      </c>
      <c r="Z371" s="8">
        <f t="shared" si="664"/>
        <v>27.543932026209397</v>
      </c>
      <c r="AA371" s="7">
        <f t="shared" si="665"/>
        <v>1.3832248829452231E-2</v>
      </c>
      <c r="AB371" s="9">
        <f t="shared" si="711"/>
        <v>0.43082377847963998</v>
      </c>
      <c r="AC371" s="4">
        <f t="shared" si="712"/>
        <v>1010.7736652583536</v>
      </c>
      <c r="AD371" s="6">
        <f t="shared" si="713"/>
        <v>5.521547330516707E-6</v>
      </c>
      <c r="AE371" s="8">
        <f t="shared" si="714"/>
        <v>27.512897150471066</v>
      </c>
      <c r="AF371" s="7">
        <f t="shared" si="715"/>
        <v>1.3818740867155465E-2</v>
      </c>
      <c r="AG371" s="9">
        <f t="shared" si="716"/>
        <v>0.43130975283403489</v>
      </c>
      <c r="AH371" s="4">
        <f t="shared" si="717"/>
        <v>1007.4753694237226</v>
      </c>
      <c r="AI371" s="6">
        <f t="shared" si="718"/>
        <v>5.5149507388474458E-6</v>
      </c>
      <c r="AJ371" s="8">
        <f t="shared" si="719"/>
        <v>27.474966748372808</v>
      </c>
      <c r="AK371" s="7">
        <f t="shared" si="720"/>
        <v>1.380223161976024E-2</v>
      </c>
      <c r="AL371" s="9">
        <f t="shared" si="721"/>
        <v>0.43190519495062507</v>
      </c>
      <c r="AM371" s="4">
        <f t="shared" si="722"/>
        <v>1003.5774406619652</v>
      </c>
      <c r="AN371" s="6">
        <f t="shared" si="723"/>
        <v>5.5071548813239305E-6</v>
      </c>
      <c r="AO371" s="8">
        <f t="shared" si="724"/>
        <v>27.430140567612597</v>
      </c>
      <c r="AP371" s="7">
        <f t="shared" si="725"/>
        <v>1.3782720977451819E-2</v>
      </c>
      <c r="AQ371" s="9">
        <f t="shared" si="726"/>
        <v>0.4326110119803413</v>
      </c>
      <c r="AR371" s="4">
        <f t="shared" si="727"/>
        <v>999.07988097573275</v>
      </c>
      <c r="AS371" s="6">
        <f t="shared" si="728"/>
        <v>5.4981597619514655E-6</v>
      </c>
      <c r="AT371" s="8">
        <f t="shared" si="729"/>
        <v>27.378418631220924</v>
      </c>
      <c r="AU371" s="7">
        <f t="shared" si="730"/>
        <v>1.3760208950254257E-2</v>
      </c>
      <c r="AV371" s="9">
        <f t="shared" si="731"/>
        <v>0.43342827902360537</v>
      </c>
      <c r="AW371" s="4">
        <f t="shared" si="732"/>
        <v>993.98268743904532</v>
      </c>
      <c r="AX371" s="6">
        <f t="shared" si="733"/>
        <v>5.4879653748780909E-6</v>
      </c>
      <c r="AY371" s="8">
        <f t="shared" si="734"/>
        <v>27.31980090554902</v>
      </c>
      <c r="AZ371" s="7">
        <f t="shared" si="735"/>
        <v>1.3734695523521887E-2</v>
      </c>
      <c r="BA371" s="9">
        <f t="shared" si="736"/>
        <v>0.43435824846394233</v>
      </c>
      <c r="BB371" s="4">
        <f t="shared" si="737"/>
        <v>988.28581253764662</v>
      </c>
      <c r="BC371" s="6">
        <f t="shared" si="738"/>
        <v>5.4765716250752937E-6</v>
      </c>
      <c r="BD371" s="8">
        <f t="shared" si="739"/>
        <v>27.254286844182936</v>
      </c>
      <c r="BE371" s="7">
        <f t="shared" si="740"/>
        <v>1.3706180459427467E-2</v>
      </c>
      <c r="BF371" s="9">
        <f t="shared" si="741"/>
        <v>0.43540236211503225</v>
      </c>
      <c r="BG371" s="4">
        <f t="shared" si="742"/>
        <v>981.98887388176865</v>
      </c>
      <c r="BH371" s="6">
        <f t="shared" si="743"/>
        <v>5.4639777477635379E-6</v>
      </c>
      <c r="BI371" s="8">
        <f t="shared" si="744"/>
        <v>27.18187204964034</v>
      </c>
      <c r="BJ371" s="7">
        <f t="shared" si="745"/>
        <v>1.3674661843962186E-2</v>
      </c>
      <c r="BK371" s="9">
        <f t="shared" si="746"/>
        <v>0.4365623106475815</v>
      </c>
      <c r="BL371" s="4">
        <f t="shared" si="747"/>
        <v>975.08914707425356</v>
      </c>
      <c r="BM371" s="6">
        <f t="shared" si="748"/>
        <v>5.4501782941485079E-6</v>
      </c>
      <c r="BN371" s="8">
        <f t="shared" si="749"/>
        <v>27.102525191353916</v>
      </c>
      <c r="BO371" s="7">
        <f t="shared" si="750"/>
        <v>1.364012604046368E-2</v>
      </c>
      <c r="BP371" s="9">
        <f t="shared" si="751"/>
        <v>0.43784041471912377</v>
      </c>
      <c r="BQ371" s="4">
        <f t="shared" si="752"/>
        <v>967.56929061390974</v>
      </c>
      <c r="BR371" s="6">
        <f t="shared" si="753"/>
        <v>5.4351385812278196E-6</v>
      </c>
      <c r="BS371" s="8">
        <f t="shared" si="754"/>
        <v>27.016046842059961</v>
      </c>
      <c r="BT371" s="7">
        <f t="shared" si="755"/>
        <v>1.3602486248005731E-2</v>
      </c>
      <c r="BU371" s="9">
        <f t="shared" si="756"/>
        <v>0.43924194161683938</v>
      </c>
      <c r="BV371" s="4">
        <f t="shared" si="757"/>
        <v>959.33191983933693</v>
      </c>
      <c r="BW371" s="6">
        <f t="shared" si="758"/>
        <v>5.4186638396786742E-6</v>
      </c>
      <c r="BX371" s="8">
        <f t="shared" si="759"/>
        <v>26.921317078152374</v>
      </c>
      <c r="BY371" s="7">
        <f t="shared" si="760"/>
        <v>1.3561255018661239E-2</v>
      </c>
      <c r="BZ371" s="9">
        <f t="shared" si="761"/>
        <v>0.44078753038973933</v>
      </c>
      <c r="CA371" s="4">
        <f t="shared" si="762"/>
        <v>949.90278248867628</v>
      </c>
      <c r="CB371" s="6">
        <f t="shared" si="763"/>
        <v>5.399805564977353E-6</v>
      </c>
      <c r="CC371" s="8">
        <f t="shared" si="764"/>
        <v>26.812881998619776</v>
      </c>
      <c r="CD371" s="7">
        <f t="shared" si="765"/>
        <v>1.3514058536280491E-2</v>
      </c>
      <c r="CE371" s="9">
        <f t="shared" si="766"/>
        <v>0.44257013738130591</v>
      </c>
      <c r="CF371" s="4">
        <f t="shared" si="767"/>
        <v>937.32489198727808</v>
      </c>
      <c r="CG371" s="6">
        <f t="shared" si="768"/>
        <v>5.3746497839745572E-6</v>
      </c>
      <c r="CH371" s="8">
        <f t="shared" si="769"/>
        <v>26.6682362578537</v>
      </c>
      <c r="CI371" s="7">
        <f t="shared" si="770"/>
        <v>1.3451101325524132E-2</v>
      </c>
      <c r="CJ371" s="9">
        <f t="shared" si="771"/>
        <v>0.44497059179244497</v>
      </c>
      <c r="CK371" s="4">
        <f t="shared" si="772"/>
        <v>914.97746220614317</v>
      </c>
      <c r="CL371" s="6">
        <f t="shared" si="773"/>
        <v>5.3299549244122867E-6</v>
      </c>
      <c r="CM371" s="8">
        <f t="shared" si="774"/>
        <v>26.411240815370647</v>
      </c>
      <c r="CN371" s="7">
        <f t="shared" si="775"/>
        <v>1.3339243788965241E-2</v>
      </c>
      <c r="CO371" s="9">
        <f t="shared" si="776"/>
        <v>0.44930039268779304</v>
      </c>
      <c r="CP371" s="4">
        <f t="shared" si="777"/>
        <v>865.40980717306559</v>
      </c>
      <c r="CQ371" s="6">
        <f t="shared" si="778"/>
        <v>5.2308196143461317E-6</v>
      </c>
      <c r="CR371" s="8">
        <f t="shared" si="779"/>
        <v>25.841212782490253</v>
      </c>
      <c r="CS371" s="7">
        <f t="shared" si="780"/>
        <v>1.3091138488297446E-2</v>
      </c>
      <c r="CT371" s="9">
        <f t="shared" si="781"/>
        <v>0.45921145302276895</v>
      </c>
      <c r="CU371" s="4">
        <f t="shared" si="782"/>
        <v>755.9222717674628</v>
      </c>
      <c r="CV371" s="6">
        <f t="shared" si="783"/>
        <v>5.0118445435349262E-6</v>
      </c>
      <c r="CW371" s="8">
        <f t="shared" si="784"/>
        <v>24.582106125325822</v>
      </c>
      <c r="CX371" s="7">
        <f t="shared" si="785"/>
        <v>1.2543110991877545E-2</v>
      </c>
      <c r="CY371" s="9">
        <f t="shared" si="786"/>
        <v>0.48273247252367452</v>
      </c>
      <c r="CZ371" s="5">
        <f t="shared" si="787"/>
        <v>552.07253827466786</v>
      </c>
      <c r="DA371" s="6">
        <f t="shared" si="788"/>
        <v>6.4173096596551986E-6</v>
      </c>
      <c r="DB371" s="8">
        <f t="shared" si="789"/>
        <v>37.484896390034628</v>
      </c>
      <c r="DC371" s="7">
        <f t="shared" si="790"/>
        <v>1.606055946690042E-2</v>
      </c>
      <c r="DD371" s="9">
        <f t="shared" si="791"/>
        <v>0.31656965905000162</v>
      </c>
    </row>
    <row r="372" spans="2:108" x14ac:dyDescent="0.25">
      <c r="B372">
        <v>105</v>
      </c>
      <c r="C372">
        <f t="shared" si="699"/>
        <v>0.1026495399662514</v>
      </c>
      <c r="D372" s="4">
        <f t="shared" si="700"/>
        <v>1018.2857507178818</v>
      </c>
      <c r="E372" s="6">
        <f t="shared" si="647"/>
        <v>5.5365715014357632E-6</v>
      </c>
      <c r="F372" s="8">
        <f t="shared" si="701"/>
        <v>27.599286133255639</v>
      </c>
      <c r="G372" s="7">
        <f t="shared" si="583"/>
        <v>1.3856341762746244E-2</v>
      </c>
      <c r="H372" s="9">
        <f t="shared" si="702"/>
        <v>0.42995970303084446</v>
      </c>
      <c r="I372" s="4">
        <f t="shared" si="703"/>
        <v>1017.9614465493781</v>
      </c>
      <c r="J372" s="6">
        <f t="shared" si="650"/>
        <v>5.535922893098757E-6</v>
      </c>
      <c r="K372" s="8">
        <f t="shared" si="704"/>
        <v>27.595556635317848</v>
      </c>
      <c r="L372" s="7">
        <f t="shared" si="651"/>
        <v>1.3854718494847438E-2</v>
      </c>
      <c r="M372" s="9">
        <f t="shared" si="705"/>
        <v>0.43001781143746143</v>
      </c>
      <c r="N372" s="4">
        <f t="shared" si="706"/>
        <v>1017.0561522550121</v>
      </c>
      <c r="O372" s="6">
        <f t="shared" si="654"/>
        <v>5.5341123045100246E-6</v>
      </c>
      <c r="P372" s="8">
        <f t="shared" si="655"/>
        <v>27.585145750932639</v>
      </c>
      <c r="Q372" s="7">
        <f t="shared" si="584"/>
        <v>1.3856341762746244E-2</v>
      </c>
      <c r="R372" s="9">
        <f t="shared" si="707"/>
        <v>0.43018010406258939</v>
      </c>
      <c r="S372" s="4">
        <f t="shared" si="708"/>
        <v>1015.5549895494216</v>
      </c>
      <c r="T372" s="6">
        <f t="shared" si="658"/>
        <v>5.5311099790988438E-6</v>
      </c>
      <c r="U372" s="8">
        <f t="shared" si="659"/>
        <v>27.56788237981835</v>
      </c>
      <c r="V372" s="7">
        <f t="shared" si="660"/>
        <v>1.3842673246043153E-2</v>
      </c>
      <c r="W372" s="9">
        <f t="shared" si="709"/>
        <v>0.43044948851077075</v>
      </c>
      <c r="X372" s="4">
        <f t="shared" si="710"/>
        <v>1013.4557501909101</v>
      </c>
      <c r="Y372" s="6">
        <f t="shared" si="663"/>
        <v>5.5269115003818206E-6</v>
      </c>
      <c r="Z372" s="8">
        <f t="shared" si="664"/>
        <v>27.543741127195467</v>
      </c>
      <c r="AA372" s="7">
        <f t="shared" si="665"/>
        <v>1.3832165740455695E-2</v>
      </c>
      <c r="AB372" s="9">
        <f t="shared" si="711"/>
        <v>0.43082676441514195</v>
      </c>
      <c r="AC372" s="4">
        <f t="shared" si="712"/>
        <v>1010.7570762167175</v>
      </c>
      <c r="AD372" s="6">
        <f t="shared" si="713"/>
        <v>5.5215141524334353E-6</v>
      </c>
      <c r="AE372" s="8">
        <f t="shared" si="714"/>
        <v>27.51270637649225</v>
      </c>
      <c r="AF372" s="7">
        <f t="shared" si="715"/>
        <v>1.3818657832580598E-2</v>
      </c>
      <c r="AG372" s="9">
        <f t="shared" si="716"/>
        <v>0.43131274354954374</v>
      </c>
      <c r="AH372" s="4">
        <f t="shared" si="717"/>
        <v>1007.4587964543621</v>
      </c>
      <c r="AI372" s="6">
        <f t="shared" si="718"/>
        <v>5.5149175929087247E-6</v>
      </c>
      <c r="AJ372" s="8">
        <f t="shared" si="719"/>
        <v>27.474776159225165</v>
      </c>
      <c r="AK372" s="7">
        <f t="shared" si="720"/>
        <v>1.380214866563333E-2</v>
      </c>
      <c r="AL372" s="9">
        <f t="shared" si="721"/>
        <v>0.43190819102391392</v>
      </c>
      <c r="AM372" s="4">
        <f t="shared" si="722"/>
        <v>1003.5608876253954</v>
      </c>
      <c r="AN372" s="6">
        <f t="shared" si="723"/>
        <v>5.5071217752507913E-6</v>
      </c>
      <c r="AO372" s="8">
        <f t="shared" si="724"/>
        <v>27.429950207692045</v>
      </c>
      <c r="AP372" s="7">
        <f t="shared" si="725"/>
        <v>1.3782638123096247E-2</v>
      </c>
      <c r="AQ372" s="9">
        <f t="shared" si="726"/>
        <v>0.43261401423872115</v>
      </c>
      <c r="AR372" s="4">
        <f t="shared" si="727"/>
        <v>999.0633513761436</v>
      </c>
      <c r="AS372" s="6">
        <f t="shared" si="728"/>
        <v>5.4981267027522877E-6</v>
      </c>
      <c r="AT372" s="8">
        <f t="shared" si="729"/>
        <v>27.378228540825653</v>
      </c>
      <c r="AU372" s="7">
        <f t="shared" si="730"/>
        <v>1.3760126213209843E-2</v>
      </c>
      <c r="AV372" s="9">
        <f t="shared" si="731"/>
        <v>0.43343128836925238</v>
      </c>
      <c r="AW372" s="4">
        <f t="shared" si="732"/>
        <v>993.96618420644245</v>
      </c>
      <c r="AX372" s="6">
        <f t="shared" si="733"/>
        <v>5.4879323684128855E-6</v>
      </c>
      <c r="AY372" s="8">
        <f t="shared" si="734"/>
        <v>27.319611118374088</v>
      </c>
      <c r="AZ372" s="7">
        <f t="shared" si="735"/>
        <v>1.3734612918454446E-2</v>
      </c>
      <c r="BA372" s="9">
        <f t="shared" si="736"/>
        <v>0.43436126591629654</v>
      </c>
      <c r="BB372" s="4">
        <f t="shared" si="737"/>
        <v>988.26933437492119</v>
      </c>
      <c r="BC372" s="6">
        <f t="shared" si="738"/>
        <v>5.4765386687498436E-6</v>
      </c>
      <c r="BD372" s="8">
        <f t="shared" si="739"/>
        <v>27.254097345311592</v>
      </c>
      <c r="BE372" s="7">
        <f t="shared" si="740"/>
        <v>1.370609797984447E-2</v>
      </c>
      <c r="BF372" s="9">
        <f t="shared" si="741"/>
        <v>0.43540538948574853</v>
      </c>
      <c r="BG372" s="4">
        <f t="shared" si="742"/>
        <v>981.97239042694446</v>
      </c>
      <c r="BH372" s="6">
        <f t="shared" si="743"/>
        <v>5.4639447808538894E-6</v>
      </c>
      <c r="BI372" s="8">
        <f t="shared" si="744"/>
        <v>27.181682489909861</v>
      </c>
      <c r="BJ372" s="7">
        <f t="shared" si="745"/>
        <v>1.3674579337890184E-2</v>
      </c>
      <c r="BK372" s="9">
        <f t="shared" si="746"/>
        <v>0.43656535514764044</v>
      </c>
      <c r="BL372" s="4">
        <f t="shared" si="747"/>
        <v>975.0724511564739</v>
      </c>
      <c r="BM372" s="6">
        <f t="shared" si="748"/>
        <v>5.4501449023129475E-6</v>
      </c>
      <c r="BN372" s="8">
        <f t="shared" si="749"/>
        <v>27.102333188299447</v>
      </c>
      <c r="BO372" s="7">
        <f t="shared" si="750"/>
        <v>1.364004247093234E-2</v>
      </c>
      <c r="BP372" s="9">
        <f t="shared" si="751"/>
        <v>0.43784351654421066</v>
      </c>
      <c r="BQ372" s="4">
        <f t="shared" si="752"/>
        <v>967.55123717862443</v>
      </c>
      <c r="BR372" s="6">
        <f t="shared" si="753"/>
        <v>5.435102474357249E-6</v>
      </c>
      <c r="BS372" s="8">
        <f t="shared" si="754"/>
        <v>27.015839227554181</v>
      </c>
      <c r="BT372" s="7">
        <f t="shared" si="755"/>
        <v>1.3602395883573792E-2</v>
      </c>
      <c r="BU372" s="9">
        <f t="shared" si="756"/>
        <v>0.4392453171550878</v>
      </c>
      <c r="BV372" s="4">
        <f t="shared" si="757"/>
        <v>959.30712657151821</v>
      </c>
      <c r="BW372" s="6">
        <f t="shared" si="758"/>
        <v>5.4186142531430368E-6</v>
      </c>
      <c r="BX372" s="8">
        <f t="shared" si="759"/>
        <v>26.92103195557246</v>
      </c>
      <c r="BY372" s="7">
        <f t="shared" si="760"/>
        <v>1.3561130918758537E-2</v>
      </c>
      <c r="BZ372" s="9">
        <f t="shared" si="761"/>
        <v>0.44079219880208204</v>
      </c>
      <c r="CA372" s="4">
        <f t="shared" si="762"/>
        <v>949.85013382877378</v>
      </c>
      <c r="CB372" s="6">
        <f t="shared" si="763"/>
        <v>5.3997002676575478E-6</v>
      </c>
      <c r="CC372" s="8">
        <f t="shared" si="764"/>
        <v>26.812276539030897</v>
      </c>
      <c r="CD372" s="7">
        <f t="shared" si="765"/>
        <v>1.3513795009357819E-2</v>
      </c>
      <c r="CE372" s="9">
        <f t="shared" si="766"/>
        <v>0.44258013124859424</v>
      </c>
      <c r="CF372" s="4">
        <f t="shared" si="767"/>
        <v>937.17811926052411</v>
      </c>
      <c r="CG372" s="6">
        <f t="shared" si="768"/>
        <v>5.3743562385210485E-6</v>
      </c>
      <c r="CH372" s="8">
        <f t="shared" si="769"/>
        <v>26.666548371496027</v>
      </c>
      <c r="CI372" s="7">
        <f t="shared" si="770"/>
        <v>1.3450366671212223E-2</v>
      </c>
      <c r="CJ372" s="9">
        <f t="shared" si="771"/>
        <v>0.44499875665956568</v>
      </c>
      <c r="CK372" s="4">
        <f t="shared" si="772"/>
        <v>914.58289065857446</v>
      </c>
      <c r="CL372" s="6">
        <f t="shared" si="773"/>
        <v>5.3291657813171495E-6</v>
      </c>
      <c r="CM372" s="8">
        <f t="shared" si="774"/>
        <v>26.406703242573606</v>
      </c>
      <c r="CN372" s="7">
        <f t="shared" si="775"/>
        <v>1.3337268805634295E-2</v>
      </c>
      <c r="CO372" s="9">
        <f t="shared" si="776"/>
        <v>0.44937759782850417</v>
      </c>
      <c r="CP372" s="4">
        <f t="shared" si="777"/>
        <v>864.55171290424096</v>
      </c>
      <c r="CQ372" s="6">
        <f t="shared" si="778"/>
        <v>5.2291034258084824E-6</v>
      </c>
      <c r="CR372" s="8">
        <f t="shared" si="779"/>
        <v>25.83134469839877</v>
      </c>
      <c r="CS372" s="7">
        <f t="shared" si="780"/>
        <v>1.3086843394320822E-2</v>
      </c>
      <c r="CT372" s="9">
        <f t="shared" si="781"/>
        <v>0.45938688087165214</v>
      </c>
      <c r="CU372" s="4">
        <f t="shared" si="782"/>
        <v>754.57945804381291</v>
      </c>
      <c r="CV372" s="6">
        <f t="shared" si="783"/>
        <v>5.0091589160876263E-6</v>
      </c>
      <c r="CW372" s="8">
        <f t="shared" si="784"/>
        <v>24.566663767503847</v>
      </c>
      <c r="CX372" s="7">
        <f t="shared" si="785"/>
        <v>1.2536389689398646E-2</v>
      </c>
      <c r="CY372" s="9">
        <f t="shared" si="786"/>
        <v>0.48303591330193996</v>
      </c>
      <c r="CZ372" s="5">
        <f t="shared" si="787"/>
        <v>550.78898052082729</v>
      </c>
      <c r="DA372" s="6">
        <f t="shared" si="788"/>
        <v>6.4374478473174485E-6</v>
      </c>
      <c r="DB372" s="8">
        <f t="shared" si="789"/>
        <v>37.522119564896002</v>
      </c>
      <c r="DC372" s="7">
        <f t="shared" si="790"/>
        <v>1.6110959179187725E-2</v>
      </c>
      <c r="DD372" s="9">
        <f t="shared" si="791"/>
        <v>0.31625561155185206</v>
      </c>
    </row>
    <row r="373" spans="2:108" x14ac:dyDescent="0.25">
      <c r="B373">
        <v>106</v>
      </c>
      <c r="C373">
        <f t="shared" si="699"/>
        <v>0.10362715463259665</v>
      </c>
      <c r="D373" s="4">
        <f t="shared" si="700"/>
        <v>1018.269193385314</v>
      </c>
      <c r="E373" s="6">
        <f t="shared" si="647"/>
        <v>5.5365383867706284E-6</v>
      </c>
      <c r="F373" s="8">
        <f t="shared" si="701"/>
        <v>27.599095723931111</v>
      </c>
      <c r="G373" s="7">
        <f t="shared" si="583"/>
        <v>1.3856258886887537E-2</v>
      </c>
      <c r="H373" s="9">
        <f t="shared" si="702"/>
        <v>0.4299626693721133</v>
      </c>
      <c r="I373" s="4">
        <f t="shared" si="703"/>
        <v>1017.9448773824693</v>
      </c>
      <c r="J373" s="6">
        <f t="shared" si="650"/>
        <v>5.5358897547649391E-6</v>
      </c>
      <c r="K373" s="8">
        <f t="shared" si="704"/>
        <v>27.595366089898395</v>
      </c>
      <c r="L373" s="7">
        <f t="shared" si="651"/>
        <v>1.3854635559753272E-2</v>
      </c>
      <c r="M373" s="9">
        <f t="shared" si="705"/>
        <v>0.43002078070135835</v>
      </c>
      <c r="N373" s="4">
        <f t="shared" si="706"/>
        <v>1017.0395615691518</v>
      </c>
      <c r="O373" s="6">
        <f t="shared" si="654"/>
        <v>5.5340791231383034E-6</v>
      </c>
      <c r="P373" s="8">
        <f t="shared" si="655"/>
        <v>27.584954958045245</v>
      </c>
      <c r="Q373" s="7">
        <f t="shared" si="584"/>
        <v>1.3856258886887537E-2</v>
      </c>
      <c r="R373" s="9">
        <f t="shared" si="707"/>
        <v>0.43018307942739525</v>
      </c>
      <c r="S373" s="4">
        <f t="shared" si="708"/>
        <v>1015.538387760635</v>
      </c>
      <c r="T373" s="6">
        <f t="shared" si="658"/>
        <v>5.5310767755212713E-6</v>
      </c>
      <c r="U373" s="8">
        <f t="shared" si="659"/>
        <v>27.5676914592473</v>
      </c>
      <c r="V373" s="7">
        <f t="shared" si="660"/>
        <v>1.3842590147663862E-2</v>
      </c>
      <c r="W373" s="9">
        <f t="shared" si="709"/>
        <v>0.43045246959688299</v>
      </c>
      <c r="X373" s="4">
        <f t="shared" si="710"/>
        <v>1013.4391505197262</v>
      </c>
      <c r="Y373" s="6">
        <f t="shared" si="663"/>
        <v>5.5268783010394535E-6</v>
      </c>
      <c r="Z373" s="8">
        <f t="shared" si="664"/>
        <v>27.543550230976852</v>
      </c>
      <c r="AA373" s="7">
        <f t="shared" si="665"/>
        <v>1.3832082652675827E-2</v>
      </c>
      <c r="AB373" s="9">
        <f t="shared" si="711"/>
        <v>0.43082975034831017</v>
      </c>
      <c r="AC373" s="4">
        <f t="shared" si="712"/>
        <v>1010.7404873839217</v>
      </c>
      <c r="AD373" s="6">
        <f t="shared" si="713"/>
        <v>5.5214809747678441E-6</v>
      </c>
      <c r="AE373" s="8">
        <f t="shared" si="714"/>
        <v>27.512515604915102</v>
      </c>
      <c r="AF373" s="7">
        <f t="shared" si="715"/>
        <v>1.3818574799051058E-2</v>
      </c>
      <c r="AG373" s="9">
        <f t="shared" si="716"/>
        <v>0.43131573426887715</v>
      </c>
      <c r="AH373" s="4">
        <f t="shared" si="717"/>
        <v>1007.4422236793937</v>
      </c>
      <c r="AI373" s="6">
        <f t="shared" si="718"/>
        <v>5.5148844473587883E-6</v>
      </c>
      <c r="AJ373" s="8">
        <f t="shared" si="719"/>
        <v>27.474585572313025</v>
      </c>
      <c r="AK373" s="7">
        <f t="shared" si="720"/>
        <v>1.3802065712479432E-2</v>
      </c>
      <c r="AL373" s="9">
        <f t="shared" si="721"/>
        <v>0.43191118710362686</v>
      </c>
      <c r="AM373" s="4">
        <f t="shared" si="722"/>
        <v>1003.5443347794336</v>
      </c>
      <c r="AN373" s="6">
        <f t="shared" si="723"/>
        <v>5.5070886695588677E-6</v>
      </c>
      <c r="AO373" s="8">
        <f t="shared" si="724"/>
        <v>27.429759849963485</v>
      </c>
      <c r="AP373" s="7">
        <f t="shared" si="725"/>
        <v>1.3782555269694739E-2</v>
      </c>
      <c r="AQ373" s="9">
        <f t="shared" si="726"/>
        <v>0.43261701650420009</v>
      </c>
      <c r="AR373" s="4">
        <f t="shared" si="727"/>
        <v>999.04682195920554</v>
      </c>
      <c r="AS373" s="6">
        <f t="shared" si="728"/>
        <v>5.4980936439184114E-6</v>
      </c>
      <c r="AT373" s="8">
        <f t="shared" si="729"/>
        <v>27.378038452530863</v>
      </c>
      <c r="AU373" s="7">
        <f t="shared" si="730"/>
        <v>1.3760043477079669E-2</v>
      </c>
      <c r="AV373" s="9">
        <f t="shared" si="731"/>
        <v>0.43343429772343445</v>
      </c>
      <c r="AW373" s="4">
        <f t="shared" si="732"/>
        <v>993.94968109454169</v>
      </c>
      <c r="AX373" s="6">
        <f t="shared" si="733"/>
        <v>5.4878993621890836E-6</v>
      </c>
      <c r="AY373" s="8">
        <f t="shared" si="734"/>
        <v>27.319421332587229</v>
      </c>
      <c r="AZ373" s="7">
        <f t="shared" si="735"/>
        <v>1.3734530313991166E-2</v>
      </c>
      <c r="BA373" s="9">
        <f t="shared" si="736"/>
        <v>0.43436428338850536</v>
      </c>
      <c r="BB373" s="4">
        <f t="shared" si="737"/>
        <v>988.2528559078753</v>
      </c>
      <c r="BC373" s="6">
        <f t="shared" si="738"/>
        <v>5.4765057118157512E-6</v>
      </c>
      <c r="BD373" s="8">
        <f t="shared" si="739"/>
        <v>27.253907842940563</v>
      </c>
      <c r="BE373" s="7">
        <f t="shared" si="740"/>
        <v>1.3706015498738225E-2</v>
      </c>
      <c r="BF373" s="9">
        <f t="shared" si="741"/>
        <v>0.43540841695447491</v>
      </c>
      <c r="BG373" s="4">
        <f t="shared" si="742"/>
        <v>981.95590409616659</v>
      </c>
      <c r="BH373" s="6">
        <f t="shared" si="743"/>
        <v>5.463911808192334E-6</v>
      </c>
      <c r="BI373" s="8">
        <f t="shared" si="744"/>
        <v>27.181492897105915</v>
      </c>
      <c r="BJ373" s="7">
        <f t="shared" si="745"/>
        <v>1.3674496817422919E-2</v>
      </c>
      <c r="BK373" s="9">
        <f t="shared" si="746"/>
        <v>0.43656840022136401</v>
      </c>
      <c r="BL373" s="4">
        <f t="shared" si="747"/>
        <v>975.05573878687358</v>
      </c>
      <c r="BM373" s="6">
        <f t="shared" si="748"/>
        <v>5.4501114775737477E-6</v>
      </c>
      <c r="BN373" s="8">
        <f t="shared" si="749"/>
        <v>27.102140996049044</v>
      </c>
      <c r="BO373" s="7">
        <f t="shared" si="750"/>
        <v>1.3639958819053272E-2</v>
      </c>
      <c r="BP373" s="9">
        <f t="shared" si="751"/>
        <v>0.43784662146978759</v>
      </c>
      <c r="BQ373" s="4">
        <f t="shared" si="752"/>
        <v>967.53310619152069</v>
      </c>
      <c r="BR373" s="6">
        <f t="shared" si="753"/>
        <v>5.4350662123830415E-6</v>
      </c>
      <c r="BS373" s="8">
        <f t="shared" si="754"/>
        <v>27.015630721202488</v>
      </c>
      <c r="BT373" s="7">
        <f t="shared" si="755"/>
        <v>1.3602305130964984E-2</v>
      </c>
      <c r="BU373" s="9">
        <f t="shared" si="756"/>
        <v>0.43924870724579207</v>
      </c>
      <c r="BV373" s="4">
        <f t="shared" si="757"/>
        <v>959.28202944258851</v>
      </c>
      <c r="BW373" s="6">
        <f t="shared" si="758"/>
        <v>5.4185640588851782E-6</v>
      </c>
      <c r="BX373" s="8">
        <f t="shared" si="759"/>
        <v>26.920743338589766</v>
      </c>
      <c r="BY373" s="7">
        <f t="shared" si="760"/>
        <v>1.3561005297913355E-2</v>
      </c>
      <c r="BZ373" s="9">
        <f t="shared" si="761"/>
        <v>0.44079692453022457</v>
      </c>
      <c r="CA373" s="4">
        <f t="shared" si="762"/>
        <v>949.79653184791914</v>
      </c>
      <c r="CB373" s="6">
        <f t="shared" si="763"/>
        <v>5.3995930636958383E-6</v>
      </c>
      <c r="CC373" s="8">
        <f t="shared" si="764"/>
        <v>26.811660116251069</v>
      </c>
      <c r="CD373" s="7">
        <f t="shared" si="765"/>
        <v>1.351352671069476E-2</v>
      </c>
      <c r="CE373" s="9">
        <f t="shared" si="766"/>
        <v>0.44259030654074766</v>
      </c>
      <c r="CF373" s="4">
        <f t="shared" si="767"/>
        <v>937.02912836660528</v>
      </c>
      <c r="CG373" s="6">
        <f t="shared" si="768"/>
        <v>5.3740582567332105E-6</v>
      </c>
      <c r="CH373" s="8">
        <f t="shared" si="769"/>
        <v>26.66483497621596</v>
      </c>
      <c r="CI373" s="7">
        <f t="shared" si="770"/>
        <v>1.3449620914115024E-2</v>
      </c>
      <c r="CJ373" s="9">
        <f t="shared" si="771"/>
        <v>0.44502735082750172</v>
      </c>
      <c r="CK373" s="4">
        <f t="shared" si="772"/>
        <v>914.18515820088396</v>
      </c>
      <c r="CL373" s="6">
        <f t="shared" si="773"/>
        <v>5.328370316401768E-6</v>
      </c>
      <c r="CM373" s="8">
        <f t="shared" si="774"/>
        <v>26.402129319310163</v>
      </c>
      <c r="CN373" s="7">
        <f t="shared" si="775"/>
        <v>1.3335278000724624E-2</v>
      </c>
      <c r="CO373" s="9">
        <f t="shared" si="776"/>
        <v>0.44945544831639167</v>
      </c>
      <c r="CP373" s="4">
        <f t="shared" si="777"/>
        <v>863.69311280361865</v>
      </c>
      <c r="CQ373" s="6">
        <f t="shared" si="778"/>
        <v>5.2273862256072375E-6</v>
      </c>
      <c r="CR373" s="8">
        <f t="shared" si="779"/>
        <v>25.821470797241613</v>
      </c>
      <c r="CS373" s="7">
        <f t="shared" si="780"/>
        <v>1.3082545768460243E-2</v>
      </c>
      <c r="CT373" s="9">
        <f t="shared" si="781"/>
        <v>0.45956254633587912</v>
      </c>
      <c r="CU373" s="4">
        <f t="shared" si="782"/>
        <v>753.24405539647114</v>
      </c>
      <c r="CV373" s="6">
        <f t="shared" si="783"/>
        <v>5.0064881107929428E-6</v>
      </c>
      <c r="CW373" s="8">
        <f t="shared" si="784"/>
        <v>24.551306637059419</v>
      </c>
      <c r="CX373" s="7">
        <f t="shared" si="785"/>
        <v>1.2529705482225437E-2</v>
      </c>
      <c r="CY373" s="9">
        <f t="shared" si="786"/>
        <v>0.48333805793479323</v>
      </c>
      <c r="CZ373" s="5">
        <f t="shared" si="787"/>
        <v>549.51619845787684</v>
      </c>
      <c r="DA373" s="6">
        <f t="shared" si="788"/>
        <v>6.45738927625974E-6</v>
      </c>
      <c r="DB373" s="8">
        <f t="shared" si="789"/>
        <v>37.559030244721569</v>
      </c>
      <c r="DC373" s="7">
        <f t="shared" si="790"/>
        <v>1.6160866464696499E-2</v>
      </c>
      <c r="DD373" s="9">
        <f t="shared" si="791"/>
        <v>0.31594481519888529</v>
      </c>
    </row>
    <row r="374" spans="2:108" x14ac:dyDescent="0.25">
      <c r="B374">
        <v>107</v>
      </c>
      <c r="C374">
        <f t="shared" si="699"/>
        <v>0.10460476929894191</v>
      </c>
      <c r="D374" s="4">
        <f t="shared" si="700"/>
        <v>1018.2526354485444</v>
      </c>
      <c r="E374" s="6">
        <f t="shared" si="647"/>
        <v>5.5365052708970893E-6</v>
      </c>
      <c r="F374" s="8">
        <f t="shared" si="701"/>
        <v>27.59890530765826</v>
      </c>
      <c r="G374" s="7">
        <f t="shared" si="583"/>
        <v>1.3856176008004567E-2</v>
      </c>
      <c r="H374" s="9">
        <f t="shared" si="702"/>
        <v>0.4299656358625612</v>
      </c>
      <c r="I374" s="4">
        <f t="shared" si="703"/>
        <v>1017.9283079493998</v>
      </c>
      <c r="J374" s="6">
        <f t="shared" si="650"/>
        <v>5.5358566158987999E-6</v>
      </c>
      <c r="K374" s="8">
        <f t="shared" si="704"/>
        <v>27.595175541418097</v>
      </c>
      <c r="L374" s="7">
        <f t="shared" si="651"/>
        <v>1.3854552623326868E-2</v>
      </c>
      <c r="M374" s="9">
        <f t="shared" si="705"/>
        <v>0.43002375005395899</v>
      </c>
      <c r="N374" s="4">
        <f t="shared" si="706"/>
        <v>1017.0229710139255</v>
      </c>
      <c r="O374" s="6">
        <f t="shared" si="654"/>
        <v>5.5340459420278512E-6</v>
      </c>
      <c r="P374" s="8">
        <f t="shared" si="655"/>
        <v>27.584764166660143</v>
      </c>
      <c r="Q374" s="7">
        <f t="shared" si="584"/>
        <v>1.3856176008004567E-2</v>
      </c>
      <c r="R374" s="9">
        <f t="shared" si="707"/>
        <v>0.43018605480993161</v>
      </c>
      <c r="S374" s="4">
        <f t="shared" si="708"/>
        <v>1015.5217862335849</v>
      </c>
      <c r="T374" s="6">
        <f t="shared" si="658"/>
        <v>5.5310435724671702E-6</v>
      </c>
      <c r="U374" s="8">
        <f t="shared" si="659"/>
        <v>27.567500541686226</v>
      </c>
      <c r="V374" s="7">
        <f t="shared" si="660"/>
        <v>1.3842507050594661E-2</v>
      </c>
      <c r="W374" s="9">
        <f t="shared" si="709"/>
        <v>0.43045545067728702</v>
      </c>
      <c r="X374" s="4">
        <f t="shared" si="710"/>
        <v>1013.4225510913258</v>
      </c>
      <c r="Y374" s="6">
        <f t="shared" si="663"/>
        <v>5.5268451021826522E-6</v>
      </c>
      <c r="Z374" s="8">
        <f t="shared" si="664"/>
        <v>27.543359337550246</v>
      </c>
      <c r="AA374" s="7">
        <f t="shared" si="665"/>
        <v>1.3831999566111182E-2</v>
      </c>
      <c r="AB374" s="9">
        <f t="shared" si="711"/>
        <v>0.43083273627919538</v>
      </c>
      <c r="AC374" s="4">
        <f t="shared" si="712"/>
        <v>1010.72389876017</v>
      </c>
      <c r="AD374" s="6">
        <f t="shared" si="713"/>
        <v>5.5214477975203398E-6</v>
      </c>
      <c r="AE374" s="8">
        <f t="shared" si="714"/>
        <v>27.512324835741953</v>
      </c>
      <c r="AF374" s="7">
        <f t="shared" si="715"/>
        <v>1.381849176656786E-2</v>
      </c>
      <c r="AG374" s="9">
        <f t="shared" si="716"/>
        <v>0.43131872499199791</v>
      </c>
      <c r="AH374" s="4">
        <f t="shared" si="717"/>
        <v>1007.4256510989412</v>
      </c>
      <c r="AI374" s="6">
        <f t="shared" si="718"/>
        <v>5.5148513021978831E-6</v>
      </c>
      <c r="AJ374" s="8">
        <f t="shared" si="719"/>
        <v>27.474394987637822</v>
      </c>
      <c r="AK374" s="7">
        <f t="shared" si="720"/>
        <v>1.380198276029916E-2</v>
      </c>
      <c r="AL374" s="9">
        <f t="shared" si="721"/>
        <v>0.43191418318974079</v>
      </c>
      <c r="AM374" s="4">
        <f t="shared" si="722"/>
        <v>1003.5277821240086</v>
      </c>
      <c r="AN374" s="6">
        <f t="shared" si="723"/>
        <v>5.5070555642480175E-6</v>
      </c>
      <c r="AO374" s="8">
        <f t="shared" si="724"/>
        <v>27.429569494426097</v>
      </c>
      <c r="AP374" s="7">
        <f t="shared" si="725"/>
        <v>1.3782472417246939E-2</v>
      </c>
      <c r="AQ374" s="9">
        <f t="shared" si="726"/>
        <v>0.43262001877679052</v>
      </c>
      <c r="AR374" s="4">
        <f t="shared" si="727"/>
        <v>999.0302927241122</v>
      </c>
      <c r="AS374" s="6">
        <f t="shared" si="728"/>
        <v>5.4980605854482248E-6</v>
      </c>
      <c r="AT374" s="8">
        <f t="shared" si="729"/>
        <v>27.377848366327289</v>
      </c>
      <c r="AU374" s="7">
        <f t="shared" si="730"/>
        <v>1.3759960741859697E-2</v>
      </c>
      <c r="AV374" s="9">
        <f t="shared" si="731"/>
        <v>0.43343730708629785</v>
      </c>
      <c r="AW374" s="4">
        <f t="shared" si="732"/>
        <v>993.93317809797372</v>
      </c>
      <c r="AX374" s="6">
        <f t="shared" si="733"/>
        <v>5.4878663561959483E-6</v>
      </c>
      <c r="AY374" s="8">
        <f t="shared" si="734"/>
        <v>27.319231548126695</v>
      </c>
      <c r="AZ374" s="7">
        <f t="shared" si="735"/>
        <v>1.3734447710105171E-2</v>
      </c>
      <c r="BA374" s="9">
        <f t="shared" si="736"/>
        <v>0.43436730088155062</v>
      </c>
      <c r="BB374" s="4">
        <f t="shared" si="737"/>
        <v>988.23637710497269</v>
      </c>
      <c r="BC374" s="6">
        <f t="shared" si="738"/>
        <v>5.4764727542099465E-6</v>
      </c>
      <c r="BD374" s="8">
        <f t="shared" si="739"/>
        <v>27.253718336707188</v>
      </c>
      <c r="BE374" s="7">
        <f t="shared" si="740"/>
        <v>1.370593301595089E-2</v>
      </c>
      <c r="BF374" s="9">
        <f t="shared" si="741"/>
        <v>0.43541144452700858</v>
      </c>
      <c r="BG374" s="4">
        <f t="shared" si="742"/>
        <v>981.93941472858967</v>
      </c>
      <c r="BH374" s="6">
        <f t="shared" si="743"/>
        <v>5.4638788294571798E-6</v>
      </c>
      <c r="BI374" s="8">
        <f t="shared" si="744"/>
        <v>27.18130326937878</v>
      </c>
      <c r="BJ374" s="7">
        <f t="shared" si="745"/>
        <v>1.3674414281755299E-2</v>
      </c>
      <c r="BK374" s="9">
        <f t="shared" si="746"/>
        <v>0.43657144589848451</v>
      </c>
      <c r="BL374" s="4">
        <f t="shared" si="747"/>
        <v>975.03900927325844</v>
      </c>
      <c r="BM374" s="6">
        <f t="shared" si="748"/>
        <v>5.4500780185465169E-6</v>
      </c>
      <c r="BN374" s="8">
        <f t="shared" si="749"/>
        <v>27.101948606642473</v>
      </c>
      <c r="BO374" s="7">
        <f t="shared" si="750"/>
        <v>1.3639875081361772E-2</v>
      </c>
      <c r="BP374" s="9">
        <f t="shared" si="751"/>
        <v>0.43784972962458846</v>
      </c>
      <c r="BQ374" s="4">
        <f t="shared" si="752"/>
        <v>967.51489524945339</v>
      </c>
      <c r="BR374" s="6">
        <f t="shared" si="753"/>
        <v>5.4350297904989078E-6</v>
      </c>
      <c r="BS374" s="8">
        <f t="shared" si="754"/>
        <v>27.015421295368711</v>
      </c>
      <c r="BT374" s="7">
        <f t="shared" si="755"/>
        <v>1.3602213978150635E-2</v>
      </c>
      <c r="BU374" s="9">
        <f t="shared" si="756"/>
        <v>0.43925211233896999</v>
      </c>
      <c r="BV374" s="4">
        <f t="shared" si="757"/>
        <v>959.25662227612497</v>
      </c>
      <c r="BW374" s="6">
        <f t="shared" si="758"/>
        <v>5.4185132445522503E-6</v>
      </c>
      <c r="BX374" s="8">
        <f t="shared" si="759"/>
        <v>26.920451156175439</v>
      </c>
      <c r="BY374" s="7">
        <f t="shared" si="760"/>
        <v>1.3560878125210301E-2</v>
      </c>
      <c r="BZ374" s="9">
        <f t="shared" si="761"/>
        <v>0.44080170874089364</v>
      </c>
      <c r="CA374" s="4">
        <f t="shared" si="762"/>
        <v>949.74196735952444</v>
      </c>
      <c r="CB374" s="6">
        <f t="shared" si="763"/>
        <v>5.3994839347190498E-6</v>
      </c>
      <c r="CC374" s="8">
        <f t="shared" si="764"/>
        <v>26.811032624634528</v>
      </c>
      <c r="CD374" s="7">
        <f t="shared" si="765"/>
        <v>1.3513253594308886E-2</v>
      </c>
      <c r="CE374" s="9">
        <f t="shared" si="766"/>
        <v>0.44260066502677858</v>
      </c>
      <c r="CF374" s="4">
        <f t="shared" si="767"/>
        <v>936.87792286804722</v>
      </c>
      <c r="CG374" s="6">
        <f t="shared" si="768"/>
        <v>5.3737558457360944E-6</v>
      </c>
      <c r="CH374" s="8">
        <f t="shared" si="769"/>
        <v>26.663096112982544</v>
      </c>
      <c r="CI374" s="7">
        <f t="shared" si="770"/>
        <v>1.3448864072064349E-2</v>
      </c>
      <c r="CJ374" s="9">
        <f t="shared" si="771"/>
        <v>0.44505637377723495</v>
      </c>
      <c r="CK374" s="4">
        <f t="shared" si="772"/>
        <v>913.78431458039086</v>
      </c>
      <c r="CL374" s="6">
        <f t="shared" si="773"/>
        <v>5.3275686291607822E-6</v>
      </c>
      <c r="CM374" s="8">
        <f t="shared" si="774"/>
        <v>26.397519617674494</v>
      </c>
      <c r="CN374" s="7">
        <f t="shared" si="775"/>
        <v>1.3333271623240823E-2</v>
      </c>
      <c r="CO374" s="9">
        <f t="shared" si="776"/>
        <v>0.44953393506610423</v>
      </c>
      <c r="CP374" s="4">
        <f t="shared" si="777"/>
        <v>862.83408213679979</v>
      </c>
      <c r="CQ374" s="6">
        <f t="shared" si="778"/>
        <v>5.2256681642736E-6</v>
      </c>
      <c r="CR374" s="8">
        <f t="shared" si="779"/>
        <v>25.811591944573195</v>
      </c>
      <c r="CS374" s="7">
        <f t="shared" si="780"/>
        <v>1.3078245987449185E-2</v>
      </c>
      <c r="CT374" s="9">
        <f t="shared" si="781"/>
        <v>0.45973843439024337</v>
      </c>
      <c r="CU374" s="4">
        <f t="shared" si="782"/>
        <v>751.91600381159037</v>
      </c>
      <c r="CV374" s="6">
        <f t="shared" si="783"/>
        <v>5.0038320076231808E-6</v>
      </c>
      <c r="CW374" s="8">
        <f t="shared" si="784"/>
        <v>24.53603404383329</v>
      </c>
      <c r="CX374" s="7">
        <f t="shared" si="785"/>
        <v>1.2523058069965377E-2</v>
      </c>
      <c r="CY374" s="9">
        <f t="shared" si="786"/>
        <v>0.48363891444389151</v>
      </c>
      <c r="CZ374" s="5">
        <f t="shared" si="787"/>
        <v>548.25399899441015</v>
      </c>
      <c r="DA374" s="6">
        <f t="shared" si="788"/>
        <v>6.4771379838745594E-6</v>
      </c>
      <c r="DB374" s="8">
        <f t="shared" si="789"/>
        <v>37.595634029162099</v>
      </c>
      <c r="DC374" s="7">
        <f t="shared" si="790"/>
        <v>1.6210291427782866E-2</v>
      </c>
      <c r="DD374" s="9">
        <f t="shared" si="791"/>
        <v>0.31563720565300896</v>
      </c>
    </row>
    <row r="375" spans="2:108" x14ac:dyDescent="0.25">
      <c r="B375">
        <v>108</v>
      </c>
      <c r="C375">
        <f t="shared" si="699"/>
        <v>0.10558238396528716</v>
      </c>
      <c r="D375" s="4">
        <f t="shared" si="700"/>
        <v>1018.2360769248319</v>
      </c>
      <c r="E375" s="6">
        <f t="shared" si="647"/>
        <v>5.5364721538496642E-6</v>
      </c>
      <c r="F375" s="8">
        <f t="shared" si="701"/>
        <v>27.598714884635566</v>
      </c>
      <c r="G375" s="7">
        <f t="shared" si="583"/>
        <v>1.385609312618372E-2</v>
      </c>
      <c r="H375" s="9">
        <f t="shared" si="702"/>
        <v>0.42996860249910124</v>
      </c>
      <c r="I375" s="4">
        <f t="shared" si="703"/>
        <v>1017.9117382560828</v>
      </c>
      <c r="J375" s="6">
        <f t="shared" si="650"/>
        <v>5.5358234765121657E-6</v>
      </c>
      <c r="K375" s="8">
        <f t="shared" si="704"/>
        <v>27.594984989944951</v>
      </c>
      <c r="L375" s="7">
        <f t="shared" si="651"/>
        <v>1.3854469685597826E-2</v>
      </c>
      <c r="M375" s="9">
        <f t="shared" si="705"/>
        <v>0.43002671949420657</v>
      </c>
      <c r="N375" s="4">
        <f t="shared" si="706"/>
        <v>1017.0063805874817</v>
      </c>
      <c r="O375" s="6">
        <f t="shared" si="654"/>
        <v>5.5340127611749639E-6</v>
      </c>
      <c r="P375" s="8">
        <f t="shared" si="655"/>
        <v>27.58457337675604</v>
      </c>
      <c r="Q375" s="7">
        <f t="shared" si="584"/>
        <v>1.385609312618372E-2</v>
      </c>
      <c r="R375" s="9">
        <f t="shared" si="707"/>
        <v>0.43018903021053045</v>
      </c>
      <c r="S375" s="4">
        <f t="shared" si="708"/>
        <v>1015.5051849664525</v>
      </c>
      <c r="T375" s="6">
        <f t="shared" si="658"/>
        <v>5.531010369932905E-6</v>
      </c>
      <c r="U375" s="8">
        <f t="shared" si="659"/>
        <v>27.567309627114202</v>
      </c>
      <c r="V375" s="7">
        <f t="shared" si="660"/>
        <v>1.3842423954826452E-2</v>
      </c>
      <c r="W375" s="9">
        <f t="shared" si="709"/>
        <v>0.43045843175230858</v>
      </c>
      <c r="X375" s="4">
        <f t="shared" si="710"/>
        <v>1013.4059519054094</v>
      </c>
      <c r="Y375" s="6">
        <f t="shared" si="663"/>
        <v>5.5268119038108196E-6</v>
      </c>
      <c r="Z375" s="8">
        <f t="shared" si="664"/>
        <v>27.543168446912208</v>
      </c>
      <c r="AA375" s="7">
        <f t="shared" si="665"/>
        <v>1.3831916480760263E-2</v>
      </c>
      <c r="AB375" s="9">
        <f t="shared" si="711"/>
        <v>0.43083572220785038</v>
      </c>
      <c r="AC375" s="4">
        <f t="shared" si="712"/>
        <v>1010.7073103456584</v>
      </c>
      <c r="AD375" s="6">
        <f t="shared" si="713"/>
        <v>5.5214146206913172E-6</v>
      </c>
      <c r="AE375" s="8">
        <f t="shared" si="714"/>
        <v>27.512134068975072</v>
      </c>
      <c r="AF375" s="7">
        <f t="shared" si="715"/>
        <v>1.3818408735131994E-2</v>
      </c>
      <c r="AG375" s="9">
        <f t="shared" si="716"/>
        <v>0.43132171571886979</v>
      </c>
      <c r="AH375" s="4">
        <f t="shared" si="717"/>
        <v>1007.4090787131269</v>
      </c>
      <c r="AI375" s="6">
        <f t="shared" si="718"/>
        <v>5.5148181574262547E-6</v>
      </c>
      <c r="AJ375" s="8">
        <f t="shared" si="719"/>
        <v>27.474204405200958</v>
      </c>
      <c r="AK375" s="7">
        <f t="shared" si="720"/>
        <v>1.3801899809093125E-2</v>
      </c>
      <c r="AL375" s="9">
        <f t="shared" si="721"/>
        <v>0.43191717928223305</v>
      </c>
      <c r="AM375" s="4">
        <f t="shared" si="722"/>
        <v>1003.5112296590404</v>
      </c>
      <c r="AN375" s="6">
        <f t="shared" si="723"/>
        <v>5.5070224593180814E-6</v>
      </c>
      <c r="AO375" s="8">
        <f t="shared" si="724"/>
        <v>27.429379141078964</v>
      </c>
      <c r="AP375" s="7">
        <f t="shared" si="725"/>
        <v>1.3782389565752453E-2</v>
      </c>
      <c r="AQ375" s="9">
        <f t="shared" si="726"/>
        <v>0.43262302105650624</v>
      </c>
      <c r="AR375" s="4">
        <f t="shared" si="727"/>
        <v>999.01376366999966</v>
      </c>
      <c r="AS375" s="6">
        <f t="shared" si="728"/>
        <v>5.49802752734E-6</v>
      </c>
      <c r="AT375" s="8">
        <f t="shared" si="729"/>
        <v>27.377658282204997</v>
      </c>
      <c r="AU375" s="7">
        <f t="shared" si="730"/>
        <v>1.3759878007545604E-2</v>
      </c>
      <c r="AV375" s="9">
        <f t="shared" si="731"/>
        <v>0.43344031645799924</v>
      </c>
      <c r="AW375" s="4">
        <f t="shared" si="732"/>
        <v>993.9166752110483</v>
      </c>
      <c r="AX375" s="6">
        <f t="shared" si="733"/>
        <v>5.4878333504220971E-6</v>
      </c>
      <c r="AY375" s="8">
        <f t="shared" si="734"/>
        <v>27.319041764927057</v>
      </c>
      <c r="AZ375" s="7">
        <f t="shared" si="735"/>
        <v>1.3734365106767978E-2</v>
      </c>
      <c r="BA375" s="9">
        <f t="shared" si="736"/>
        <v>0.43437031839647261</v>
      </c>
      <c r="BB375" s="4">
        <f t="shared" si="737"/>
        <v>988.21989793315436</v>
      </c>
      <c r="BC375" s="6">
        <f t="shared" si="738"/>
        <v>5.4764397958663091E-6</v>
      </c>
      <c r="BD375" s="8">
        <f t="shared" si="739"/>
        <v>27.253528826231275</v>
      </c>
      <c r="BE375" s="7">
        <f t="shared" si="740"/>
        <v>1.3705850531316989E-2</v>
      </c>
      <c r="BF375" s="9">
        <f t="shared" si="741"/>
        <v>0.43541447220942714</v>
      </c>
      <c r="BG375" s="4">
        <f t="shared" si="742"/>
        <v>981.92292215744965</v>
      </c>
      <c r="BH375" s="6">
        <f t="shared" si="743"/>
        <v>5.4638458443148997E-6</v>
      </c>
      <c r="BI375" s="8">
        <f t="shared" si="744"/>
        <v>27.181113604810669</v>
      </c>
      <c r="BJ375" s="7">
        <f t="shared" si="745"/>
        <v>1.3674331730052607E-2</v>
      </c>
      <c r="BK375" s="9">
        <f t="shared" si="746"/>
        <v>0.43657449220982925</v>
      </c>
      <c r="BL375" s="4">
        <f t="shared" si="747"/>
        <v>975.02226190604006</v>
      </c>
      <c r="BM375" s="6">
        <f t="shared" si="748"/>
        <v>5.4500445238120811E-6</v>
      </c>
      <c r="BN375" s="8">
        <f t="shared" si="749"/>
        <v>27.101756011919459</v>
      </c>
      <c r="BO375" s="7">
        <f t="shared" si="750"/>
        <v>1.363979125430608E-2</v>
      </c>
      <c r="BP375" s="9">
        <f t="shared" si="751"/>
        <v>0.4378528411405862</v>
      </c>
      <c r="BQ375" s="4">
        <f t="shared" si="752"/>
        <v>967.49660191832152</v>
      </c>
      <c r="BR375" s="6">
        <f t="shared" si="753"/>
        <v>5.4349932038366437E-6</v>
      </c>
      <c r="BS375" s="8">
        <f t="shared" si="754"/>
        <v>27.015210922060696</v>
      </c>
      <c r="BT375" s="7">
        <f t="shared" si="755"/>
        <v>1.360212241294712E-2</v>
      </c>
      <c r="BU375" s="9">
        <f t="shared" si="756"/>
        <v>0.43925553289045821</v>
      </c>
      <c r="BV375" s="4">
        <f t="shared" si="757"/>
        <v>959.23089890296387</v>
      </c>
      <c r="BW375" s="6">
        <f t="shared" si="758"/>
        <v>5.4184617978059282E-6</v>
      </c>
      <c r="BX375" s="8">
        <f t="shared" si="759"/>
        <v>26.920155337384085</v>
      </c>
      <c r="BY375" s="7">
        <f t="shared" si="760"/>
        <v>1.3560749369770328E-2</v>
      </c>
      <c r="BZ375" s="9">
        <f t="shared" si="761"/>
        <v>0.44080655259959622</v>
      </c>
      <c r="CA375" s="4">
        <f t="shared" si="762"/>
        <v>949.68643139582798</v>
      </c>
      <c r="CB375" s="6">
        <f t="shared" si="763"/>
        <v>5.399372862791656E-6</v>
      </c>
      <c r="CC375" s="8">
        <f t="shared" si="764"/>
        <v>26.810393961052021</v>
      </c>
      <c r="CD375" s="7">
        <f t="shared" si="765"/>
        <v>1.3512975615313075E-2</v>
      </c>
      <c r="CE375" s="9">
        <f t="shared" si="766"/>
        <v>0.44261120843493423</v>
      </c>
      <c r="CF375" s="4">
        <f t="shared" si="767"/>
        <v>936.72450680675206</v>
      </c>
      <c r="CG375" s="6">
        <f t="shared" si="768"/>
        <v>5.3734490136135042E-6</v>
      </c>
      <c r="CH375" s="8">
        <f t="shared" si="769"/>
        <v>26.661331828277646</v>
      </c>
      <c r="CI375" s="7">
        <f t="shared" si="770"/>
        <v>1.3448096165291483E-2</v>
      </c>
      <c r="CJ375" s="9">
        <f t="shared" si="771"/>
        <v>0.44508582489986187</v>
      </c>
      <c r="CK375" s="4">
        <f t="shared" si="772"/>
        <v>913.38040929370732</v>
      </c>
      <c r="CL375" s="6">
        <f t="shared" si="773"/>
        <v>5.3267608185874152E-6</v>
      </c>
      <c r="CM375" s="8">
        <f t="shared" si="774"/>
        <v>26.392874706877635</v>
      </c>
      <c r="CN375" s="7">
        <f t="shared" si="775"/>
        <v>1.3331249920932594E-2</v>
      </c>
      <c r="CO375" s="9">
        <f t="shared" si="776"/>
        <v>0.44961304903348115</v>
      </c>
      <c r="CP375" s="4">
        <f t="shared" si="777"/>
        <v>861.97469393765596</v>
      </c>
      <c r="CQ375" s="6">
        <f t="shared" si="778"/>
        <v>5.2239493878753126E-6</v>
      </c>
      <c r="CR375" s="8">
        <f t="shared" si="779"/>
        <v>25.801708980283042</v>
      </c>
      <c r="CS375" s="7">
        <f t="shared" si="780"/>
        <v>1.3073944416850442E-2</v>
      </c>
      <c r="CT375" s="9">
        <f t="shared" si="781"/>
        <v>0.45991453042067926</v>
      </c>
      <c r="CU375" s="4">
        <f t="shared" si="782"/>
        <v>750.59524322632728</v>
      </c>
      <c r="CV375" s="6">
        <f t="shared" si="783"/>
        <v>5.0011904864526553E-6</v>
      </c>
      <c r="CW375" s="8">
        <f t="shared" si="784"/>
        <v>24.520845297102763</v>
      </c>
      <c r="CX375" s="7">
        <f t="shared" si="785"/>
        <v>1.2516447151980694E-2</v>
      </c>
      <c r="CY375" s="9">
        <f t="shared" si="786"/>
        <v>0.4839384909426423</v>
      </c>
      <c r="CZ375" s="5">
        <f t="shared" si="787"/>
        <v>547.00219464177394</v>
      </c>
      <c r="DA375" s="6">
        <f t="shared" si="788"/>
        <v>6.4966978802018419E-6</v>
      </c>
      <c r="DB375" s="8">
        <f t="shared" si="789"/>
        <v>37.631936355388554</v>
      </c>
      <c r="DC375" s="7">
        <f t="shared" si="790"/>
        <v>1.625924385407853E-2</v>
      </c>
      <c r="DD375" s="9">
        <f t="shared" si="791"/>
        <v>0.3153327205289746</v>
      </c>
    </row>
    <row r="376" spans="2:108" x14ac:dyDescent="0.25">
      <c r="B376">
        <v>109</v>
      </c>
      <c r="C376">
        <f t="shared" si="699"/>
        <v>0.1065599986316324</v>
      </c>
      <c r="D376" s="4">
        <f t="shared" si="700"/>
        <v>1018.2195178308558</v>
      </c>
      <c r="E376" s="6">
        <f t="shared" si="647"/>
        <v>5.5364390356617126E-6</v>
      </c>
      <c r="F376" s="8">
        <f t="shared" si="701"/>
        <v>27.598524455054843</v>
      </c>
      <c r="G376" s="7">
        <f t="shared" si="583"/>
        <v>1.3856010241508484E-2</v>
      </c>
      <c r="H376" s="9">
        <f t="shared" si="702"/>
        <v>0.4299715692787503</v>
      </c>
      <c r="I376" s="4">
        <f t="shared" si="703"/>
        <v>1017.8951683083482</v>
      </c>
      <c r="J376" s="6">
        <f t="shared" si="650"/>
        <v>5.5357903366166968E-6</v>
      </c>
      <c r="K376" s="8">
        <f t="shared" si="704"/>
        <v>27.594794435546003</v>
      </c>
      <c r="L376" s="7">
        <f t="shared" si="651"/>
        <v>1.3854386746595325E-2</v>
      </c>
      <c r="M376" s="9">
        <f t="shared" si="705"/>
        <v>0.43002968902105904</v>
      </c>
      <c r="N376" s="4">
        <f t="shared" si="706"/>
        <v>1016.9897902880502</v>
      </c>
      <c r="O376" s="6">
        <f t="shared" si="654"/>
        <v>5.5339795805761009E-6</v>
      </c>
      <c r="P376" s="8">
        <f t="shared" si="655"/>
        <v>27.584382588312579</v>
      </c>
      <c r="Q376" s="7">
        <f t="shared" si="584"/>
        <v>1.3856010241508484E-2</v>
      </c>
      <c r="R376" s="9">
        <f t="shared" si="707"/>
        <v>0.43019200562950916</v>
      </c>
      <c r="S376" s="4">
        <f t="shared" si="708"/>
        <v>1015.4885839574434</v>
      </c>
      <c r="T376" s="6">
        <f t="shared" si="658"/>
        <v>5.530977167914887E-6</v>
      </c>
      <c r="U376" s="8">
        <f t="shared" si="659"/>
        <v>27.567118715510599</v>
      </c>
      <c r="V376" s="7">
        <f t="shared" si="660"/>
        <v>1.3842340860350249E-2</v>
      </c>
      <c r="W376" s="9">
        <f t="shared" si="709"/>
        <v>0.43046141282226874</v>
      </c>
      <c r="X376" s="4">
        <f t="shared" si="710"/>
        <v>1013.3893529616674</v>
      </c>
      <c r="Y376" s="6">
        <f t="shared" si="663"/>
        <v>5.5267787059233357E-6</v>
      </c>
      <c r="Z376" s="8">
        <f t="shared" si="664"/>
        <v>27.542977559059175</v>
      </c>
      <c r="AA376" s="7">
        <f t="shared" si="665"/>
        <v>1.3831833396621522E-2</v>
      </c>
      <c r="AB376" s="9">
        <f t="shared" si="711"/>
        <v>0.43083870813433006</v>
      </c>
      <c r="AC376" s="4">
        <f t="shared" si="712"/>
        <v>1010.6907221405758</v>
      </c>
      <c r="AD376" s="6">
        <f t="shared" si="713"/>
        <v>5.5213814442811525E-6</v>
      </c>
      <c r="AE376" s="8">
        <f t="shared" si="714"/>
        <v>27.511943304616622</v>
      </c>
      <c r="AF376" s="7">
        <f t="shared" si="715"/>
        <v>1.3818325704744401E-2</v>
      </c>
      <c r="AG376" s="9">
        <f t="shared" si="716"/>
        <v>0.43132470644945808</v>
      </c>
      <c r="AH376" s="4">
        <f t="shared" si="717"/>
        <v>1007.3925065220704</v>
      </c>
      <c r="AI376" s="6">
        <f t="shared" si="718"/>
        <v>5.5147850130441413E-6</v>
      </c>
      <c r="AJ376" s="8">
        <f t="shared" si="719"/>
        <v>27.474013825003809</v>
      </c>
      <c r="AK376" s="7">
        <f t="shared" si="720"/>
        <v>1.3801816858861929E-2</v>
      </c>
      <c r="AL376" s="9">
        <f t="shared" si="721"/>
        <v>0.43192017538108135</v>
      </c>
      <c r="AM376" s="4">
        <f t="shared" si="722"/>
        <v>1003.4946773844403</v>
      </c>
      <c r="AN376" s="6">
        <f t="shared" si="723"/>
        <v>5.5069893547688807E-6</v>
      </c>
      <c r="AO376" s="8">
        <f t="shared" si="724"/>
        <v>27.429188789921064</v>
      </c>
      <c r="AP376" s="7">
        <f t="shared" si="725"/>
        <v>1.3782306715210831E-2</v>
      </c>
      <c r="AQ376" s="9">
        <f t="shared" si="726"/>
        <v>0.43262602334336292</v>
      </c>
      <c r="AR376" s="4">
        <f t="shared" si="727"/>
        <v>998.99723479594365</v>
      </c>
      <c r="AS376" s="6">
        <f t="shared" si="728"/>
        <v>5.4979944695918879E-6</v>
      </c>
      <c r="AT376" s="8">
        <f t="shared" si="729"/>
        <v>27.377468200153352</v>
      </c>
      <c r="AU376" s="7">
        <f t="shared" si="730"/>
        <v>1.3759795274132763E-2</v>
      </c>
      <c r="AV376" s="9">
        <f t="shared" si="731"/>
        <v>0.43344332583870665</v>
      </c>
      <c r="AW376" s="4">
        <f t="shared" si="732"/>
        <v>993.90017242774059</v>
      </c>
      <c r="AX376" s="6">
        <f t="shared" si="733"/>
        <v>5.487800344855481E-6</v>
      </c>
      <c r="AY376" s="8">
        <f t="shared" si="734"/>
        <v>27.318851982919014</v>
      </c>
      <c r="AZ376" s="7">
        <f t="shared" si="735"/>
        <v>1.3734282503949431E-2</v>
      </c>
      <c r="BA376" s="9">
        <f t="shared" si="736"/>
        <v>0.43437333593437322</v>
      </c>
      <c r="BB376" s="4">
        <f t="shared" si="737"/>
        <v>988.20341835779095</v>
      </c>
      <c r="BC376" s="6">
        <f t="shared" si="738"/>
        <v>5.4764068367155823E-6</v>
      </c>
      <c r="BD376" s="8">
        <f t="shared" si="739"/>
        <v>27.253339311114594</v>
      </c>
      <c r="BE376" s="7">
        <f t="shared" si="740"/>
        <v>1.3705768044663188E-2</v>
      </c>
      <c r="BF376" s="9">
        <f t="shared" si="741"/>
        <v>0.43541750000809659</v>
      </c>
      <c r="BG376" s="4">
        <f t="shared" si="742"/>
        <v>981.90642620995686</v>
      </c>
      <c r="BH376" s="6">
        <f t="shared" si="743"/>
        <v>5.4638128524199146E-6</v>
      </c>
      <c r="BI376" s="8">
        <f t="shared" si="744"/>
        <v>27.180923901414502</v>
      </c>
      <c r="BJ376" s="7">
        <f t="shared" si="745"/>
        <v>1.367424916144996E-2</v>
      </c>
      <c r="BK376" s="9">
        <f t="shared" si="746"/>
        <v>0.4365775391873401</v>
      </c>
      <c r="BL376" s="4">
        <f t="shared" si="747"/>
        <v>975.00549595819359</v>
      </c>
      <c r="BM376" s="6">
        <f t="shared" si="748"/>
        <v>5.4500109919163872E-6</v>
      </c>
      <c r="BN376" s="8">
        <f t="shared" si="749"/>
        <v>27.101563203519227</v>
      </c>
      <c r="BO376" s="7">
        <f t="shared" si="750"/>
        <v>1.3639707334247145E-2</v>
      </c>
      <c r="BP376" s="9">
        <f t="shared" si="751"/>
        <v>0.43785595615300094</v>
      </c>
      <c r="BQ376" s="4">
        <f t="shared" si="752"/>
        <v>967.47822373378779</v>
      </c>
      <c r="BR376" s="6">
        <f t="shared" si="753"/>
        <v>5.4349564474675763E-6</v>
      </c>
      <c r="BS376" s="8">
        <f t="shared" si="754"/>
        <v>27.014999572938557</v>
      </c>
      <c r="BT376" s="7">
        <f t="shared" si="755"/>
        <v>1.3602030423019489E-2</v>
      </c>
      <c r="BU376" s="9">
        <f t="shared" si="756"/>
        <v>0.43925896936177933</v>
      </c>
      <c r="BV376" s="4">
        <f t="shared" si="757"/>
        <v>959.20485316368263</v>
      </c>
      <c r="BW376" s="6">
        <f t="shared" si="758"/>
        <v>5.4184097063273655E-6</v>
      </c>
      <c r="BX376" s="8">
        <f t="shared" si="759"/>
        <v>26.919855811382348</v>
      </c>
      <c r="BY376" s="7">
        <f t="shared" si="760"/>
        <v>1.3560619000763134E-2</v>
      </c>
      <c r="BZ376" s="9">
        <f t="shared" si="761"/>
        <v>0.44081145727015481</v>
      </c>
      <c r="CA376" s="4">
        <f t="shared" si="762"/>
        <v>949.62991520877836</v>
      </c>
      <c r="CB376" s="6">
        <f t="shared" si="763"/>
        <v>5.3992598304175579E-6</v>
      </c>
      <c r="CC376" s="8">
        <f t="shared" si="764"/>
        <v>26.809744024900951</v>
      </c>
      <c r="CD376" s="7">
        <f t="shared" si="765"/>
        <v>1.3512692729919947E-2</v>
      </c>
      <c r="CE376" s="9">
        <f t="shared" si="766"/>
        <v>0.44262193845253395</v>
      </c>
      <c r="CF376" s="4">
        <f t="shared" si="767"/>
        <v>936.56888469038313</v>
      </c>
      <c r="CG376" s="6">
        <f t="shared" si="768"/>
        <v>5.3731377693807671E-6</v>
      </c>
      <c r="CH376" s="8">
        <f t="shared" si="769"/>
        <v>26.659542173939407</v>
      </c>
      <c r="CI376" s="7">
        <f t="shared" si="770"/>
        <v>1.3447317216359033E-2</v>
      </c>
      <c r="CJ376" s="9">
        <f t="shared" si="771"/>
        <v>0.44511570349913504</v>
      </c>
      <c r="CK376" s="4">
        <f t="shared" si="772"/>
        <v>912.97349156857069</v>
      </c>
      <c r="CL376" s="6">
        <f t="shared" si="773"/>
        <v>5.3259469831371422E-6</v>
      </c>
      <c r="CM376" s="8">
        <f t="shared" si="774"/>
        <v>26.388195153038563</v>
      </c>
      <c r="CN376" s="7">
        <f t="shared" si="775"/>
        <v>1.3329213140203817E-2</v>
      </c>
      <c r="CO376" s="9">
        <f t="shared" si="776"/>
        <v>0.44969278121893375</v>
      </c>
      <c r="CP376" s="4">
        <f t="shared" si="777"/>
        <v>861.11501906477531</v>
      </c>
      <c r="CQ376" s="6">
        <f t="shared" si="778"/>
        <v>5.2222300381295508E-6</v>
      </c>
      <c r="CR376" s="8">
        <f t="shared" si="779"/>
        <v>25.791822719244916</v>
      </c>
      <c r="CS376" s="7">
        <f t="shared" si="780"/>
        <v>1.3069641411338675E-2</v>
      </c>
      <c r="CT376" s="9">
        <f t="shared" si="781"/>
        <v>0.46009082021424913</v>
      </c>
      <c r="CU376" s="4">
        <f t="shared" si="782"/>
        <v>749.28171357886879</v>
      </c>
      <c r="CV376" s="6">
        <f t="shared" si="783"/>
        <v>4.9985634271577382E-6</v>
      </c>
      <c r="CW376" s="8">
        <f t="shared" si="784"/>
        <v>24.505739706156991</v>
      </c>
      <c r="CX376" s="7">
        <f t="shared" si="785"/>
        <v>1.2509872427638754E-2</v>
      </c>
      <c r="CY376" s="9">
        <f t="shared" si="786"/>
        <v>0.48423679562451472</v>
      </c>
      <c r="CZ376" s="5">
        <f t="shared" si="787"/>
        <v>545.76060329750089</v>
      </c>
      <c r="DA376" s="6">
        <f t="shared" si="788"/>
        <v>6.5160727531659218E-6</v>
      </c>
      <c r="DB376" s="8">
        <f t="shared" si="789"/>
        <v>37.667942504372469</v>
      </c>
      <c r="DC376" s="7">
        <f t="shared" si="790"/>
        <v>1.6307733223597277E-2</v>
      </c>
      <c r="DD376" s="9">
        <f t="shared" si="791"/>
        <v>0.31503129931613422</v>
      </c>
    </row>
    <row r="377" spans="2:108" x14ac:dyDescent="0.25">
      <c r="B377">
        <v>110</v>
      </c>
      <c r="C377">
        <f t="shared" si="699"/>
        <v>0.10753761329797766</v>
      </c>
      <c r="D377" s="4">
        <f t="shared" si="700"/>
        <v>1018.2029581827417</v>
      </c>
      <c r="E377" s="6">
        <f t="shared" si="647"/>
        <v>5.5364059163654836E-6</v>
      </c>
      <c r="F377" s="8">
        <f t="shared" si="701"/>
        <v>27.598334019101529</v>
      </c>
      <c r="G377" s="7">
        <f t="shared" si="583"/>
        <v>1.3855927354059567E-2</v>
      </c>
      <c r="H377" s="9">
        <f t="shared" si="702"/>
        <v>0.42997453619862441</v>
      </c>
      <c r="I377" s="4">
        <f t="shared" si="703"/>
        <v>1017.8785981119429</v>
      </c>
      <c r="J377" s="6">
        <f t="shared" si="650"/>
        <v>5.5357571962238866E-6</v>
      </c>
      <c r="K377" s="8">
        <f t="shared" si="704"/>
        <v>27.594603878287344</v>
      </c>
      <c r="L377" s="7">
        <f t="shared" si="651"/>
        <v>1.3854303806348132E-2</v>
      </c>
      <c r="M377" s="9">
        <f t="shared" si="705"/>
        <v>0.43003265863348922</v>
      </c>
      <c r="N377" s="4">
        <f t="shared" si="706"/>
        <v>1016.9732001139396</v>
      </c>
      <c r="O377" s="6">
        <f t="shared" si="654"/>
        <v>5.5339464002278792E-6</v>
      </c>
      <c r="P377" s="8">
        <f t="shared" si="655"/>
        <v>27.584191801310304</v>
      </c>
      <c r="Q377" s="7">
        <f t="shared" si="584"/>
        <v>1.3855927354059567E-2</v>
      </c>
      <c r="R377" s="9">
        <f t="shared" si="707"/>
        <v>0.43019498106717097</v>
      </c>
      <c r="S377" s="4">
        <f t="shared" si="708"/>
        <v>1015.4719832047874</v>
      </c>
      <c r="T377" s="6">
        <f t="shared" si="658"/>
        <v>5.5309439664095755E-6</v>
      </c>
      <c r="U377" s="8">
        <f t="shared" si="659"/>
        <v>27.566927806855055</v>
      </c>
      <c r="V377" s="7">
        <f t="shared" si="660"/>
        <v>1.3842257767157194E-2</v>
      </c>
      <c r="W377" s="9">
        <f t="shared" si="709"/>
        <v>0.43046439388748431</v>
      </c>
      <c r="X377" s="4">
        <f t="shared" si="710"/>
        <v>1013.3727542597798</v>
      </c>
      <c r="Y377" s="6">
        <f t="shared" si="663"/>
        <v>5.5267455085195601E-6</v>
      </c>
      <c r="Z377" s="8">
        <f t="shared" si="664"/>
        <v>27.542786673987464</v>
      </c>
      <c r="AA377" s="7">
        <f t="shared" si="665"/>
        <v>1.3831750313693355E-2</v>
      </c>
      <c r="AB377" s="9">
        <f t="shared" si="711"/>
        <v>0.43084169405869099</v>
      </c>
      <c r="AC377" s="4">
        <f t="shared" si="712"/>
        <v>1010.6741341451038</v>
      </c>
      <c r="AD377" s="6">
        <f t="shared" si="713"/>
        <v>5.521348268290208E-6</v>
      </c>
      <c r="AE377" s="8">
        <f t="shared" si="714"/>
        <v>27.511752542668695</v>
      </c>
      <c r="AF377" s="7">
        <f t="shared" si="715"/>
        <v>1.3818242675405988E-2</v>
      </c>
      <c r="AG377" s="9">
        <f t="shared" si="716"/>
        <v>0.43132769718372932</v>
      </c>
      <c r="AH377" s="4">
        <f t="shared" si="717"/>
        <v>1007.3759345258898</v>
      </c>
      <c r="AI377" s="6">
        <f t="shared" si="718"/>
        <v>5.5147518690517799E-6</v>
      </c>
      <c r="AJ377" s="8">
        <f t="shared" si="719"/>
        <v>27.473823247047733</v>
      </c>
      <c r="AK377" s="7">
        <f t="shared" si="720"/>
        <v>1.3801733909606163E-2</v>
      </c>
      <c r="AL377" s="9">
        <f t="shared" si="721"/>
        <v>0.4319231714862638</v>
      </c>
      <c r="AM377" s="4">
        <f t="shared" si="722"/>
        <v>1003.4781253001097</v>
      </c>
      <c r="AN377" s="6">
        <f t="shared" si="723"/>
        <v>5.5069562506002197E-6</v>
      </c>
      <c r="AO377" s="8">
        <f t="shared" si="724"/>
        <v>27.428998440951261</v>
      </c>
      <c r="AP377" s="7">
        <f t="shared" si="725"/>
        <v>1.3782223865621583E-2</v>
      </c>
      <c r="AQ377" s="9">
        <f t="shared" si="726"/>
        <v>0.43262902563737776</v>
      </c>
      <c r="AR377" s="4">
        <f t="shared" si="727"/>
        <v>998.9807061009559</v>
      </c>
      <c r="AS377" s="6">
        <f t="shared" si="728"/>
        <v>5.4979614122019131E-6</v>
      </c>
      <c r="AT377" s="8">
        <f t="shared" si="729"/>
        <v>27.377278120160994</v>
      </c>
      <c r="AU377" s="7">
        <f t="shared" si="730"/>
        <v>1.3759712541616231E-2</v>
      </c>
      <c r="AV377" s="9">
        <f t="shared" si="731"/>
        <v>0.43344633522859927</v>
      </c>
      <c r="AW377" s="4">
        <f t="shared" si="732"/>
        <v>993.88366974167673</v>
      </c>
      <c r="AX377" s="6">
        <f t="shared" si="733"/>
        <v>5.4877673394833538E-6</v>
      </c>
      <c r="AY377" s="8">
        <f t="shared" si="734"/>
        <v>27.31866220202928</v>
      </c>
      <c r="AZ377" s="7">
        <f t="shared" si="735"/>
        <v>1.373419990161763E-2</v>
      </c>
      <c r="BA377" s="9">
        <f t="shared" si="736"/>
        <v>0.43437635349641779</v>
      </c>
      <c r="BB377" s="4">
        <f t="shared" si="737"/>
        <v>988.18693834263456</v>
      </c>
      <c r="BC377" s="6">
        <f t="shared" si="738"/>
        <v>5.4763738766852703E-6</v>
      </c>
      <c r="BD377" s="8">
        <f t="shared" si="739"/>
        <v>27.253149790940299</v>
      </c>
      <c r="BE377" s="7">
        <f t="shared" si="740"/>
        <v>1.3705685555808056E-2</v>
      </c>
      <c r="BF377" s="9">
        <f t="shared" si="741"/>
        <v>0.43542052792968094</v>
      </c>
      <c r="BG377" s="4">
        <f t="shared" si="742"/>
        <v>981.88992670719108</v>
      </c>
      <c r="BH377" s="6">
        <f t="shared" si="743"/>
        <v>5.4637798534143827E-6</v>
      </c>
      <c r="BI377" s="8">
        <f t="shared" si="744"/>
        <v>27.180734157132697</v>
      </c>
      <c r="BJ377" s="7">
        <f t="shared" si="745"/>
        <v>1.3674166575051798E-2</v>
      </c>
      <c r="BK377" s="9">
        <f t="shared" si="746"/>
        <v>0.43658058686409329</v>
      </c>
      <c r="BL377" s="4">
        <f t="shared" si="747"/>
        <v>974.98871068522521</v>
      </c>
      <c r="BM377" s="6">
        <f t="shared" si="748"/>
        <v>5.4499774213704512E-6</v>
      </c>
      <c r="BN377" s="8">
        <f t="shared" si="749"/>
        <v>27.101370172880088</v>
      </c>
      <c r="BO377" s="7">
        <f t="shared" si="750"/>
        <v>1.3639623317458502E-2</v>
      </c>
      <c r="BP377" s="9">
        <f t="shared" si="751"/>
        <v>0.4378590748003065</v>
      </c>
      <c r="BQ377" s="4">
        <f t="shared" si="752"/>
        <v>967.4597582020142</v>
      </c>
      <c r="BR377" s="6">
        <f t="shared" si="753"/>
        <v>5.4349195164040283E-6</v>
      </c>
      <c r="BS377" s="8">
        <f t="shared" si="754"/>
        <v>27.014787219323161</v>
      </c>
      <c r="BT377" s="7">
        <f t="shared" si="755"/>
        <v>1.3601937995885105E-2</v>
      </c>
      <c r="BU377" s="9">
        <f t="shared" si="756"/>
        <v>0.439262422220004</v>
      </c>
      <c r="BV377" s="4">
        <f t="shared" si="757"/>
        <v>959.17847891103543</v>
      </c>
      <c r="BW377" s="6">
        <f t="shared" si="758"/>
        <v>5.418356957822071E-6</v>
      </c>
      <c r="BX377" s="8">
        <f t="shared" si="759"/>
        <v>26.919552507476908</v>
      </c>
      <c r="BY377" s="7">
        <f t="shared" si="760"/>
        <v>1.3560486987419379E-2</v>
      </c>
      <c r="BZ377" s="9">
        <f t="shared" si="761"/>
        <v>0.44081642391425174</v>
      </c>
      <c r="CA377" s="4">
        <f t="shared" si="762"/>
        <v>949.57241027073655</v>
      </c>
      <c r="CB377" s="6">
        <f t="shared" si="763"/>
        <v>5.3991448205414735E-6</v>
      </c>
      <c r="CC377" s="8">
        <f t="shared" si="764"/>
        <v>26.809082718113469</v>
      </c>
      <c r="CD377" s="7">
        <f t="shared" si="765"/>
        <v>1.3512404895445364E-2</v>
      </c>
      <c r="CE377" s="9">
        <f t="shared" si="766"/>
        <v>0.44263285672583946</v>
      </c>
      <c r="CF377" s="4">
        <f t="shared" si="767"/>
        <v>936.41106147887513</v>
      </c>
      <c r="CG377" s="6">
        <f t="shared" si="768"/>
        <v>5.3728221229577504E-6</v>
      </c>
      <c r="CH377" s="8">
        <f t="shared" si="769"/>
        <v>26.657727207007063</v>
      </c>
      <c r="CI377" s="7">
        <f t="shared" si="770"/>
        <v>1.344652725009338E-2</v>
      </c>
      <c r="CJ377" s="9">
        <f t="shared" si="771"/>
        <v>0.44514600879398047</v>
      </c>
      <c r="CK377" s="4">
        <f t="shared" si="772"/>
        <v>912.56361034677582</v>
      </c>
      <c r="CL377" s="6">
        <f t="shared" si="773"/>
        <v>5.3251272206935515E-6</v>
      </c>
      <c r="CM377" s="8">
        <f t="shared" si="774"/>
        <v>26.383481518987921</v>
      </c>
      <c r="CN377" s="7">
        <f t="shared" si="775"/>
        <v>1.3327161526027117E-2</v>
      </c>
      <c r="CO377" s="9">
        <f t="shared" si="776"/>
        <v>0.44977312267062414</v>
      </c>
      <c r="CP377" s="4">
        <f t="shared" si="777"/>
        <v>860.25512625685531</v>
      </c>
      <c r="CQ377" s="6">
        <f t="shared" si="778"/>
        <v>5.2205102525137108E-6</v>
      </c>
      <c r="CR377" s="8">
        <f t="shared" si="779"/>
        <v>25.781933951953835</v>
      </c>
      <c r="CS377" s="7">
        <f t="shared" si="780"/>
        <v>1.3065337314977679E-2</v>
      </c>
      <c r="CT377" s="9">
        <f t="shared" si="781"/>
        <v>0.4602672899493101</v>
      </c>
      <c r="CU377" s="4">
        <f t="shared" si="782"/>
        <v>747.97535485481558</v>
      </c>
      <c r="CV377" s="6">
        <f t="shared" si="783"/>
        <v>4.9959507097096314E-6</v>
      </c>
      <c r="CW377" s="8">
        <f t="shared" si="784"/>
        <v>24.49071658083038</v>
      </c>
      <c r="CX377" s="7">
        <f t="shared" si="785"/>
        <v>1.2503333596544264E-2</v>
      </c>
      <c r="CY377" s="9">
        <f t="shared" si="786"/>
        <v>0.48453383675209521</v>
      </c>
      <c r="CZ377" s="5">
        <f t="shared" si="787"/>
        <v>544.52904803859815</v>
      </c>
      <c r="DA377" s="6">
        <f t="shared" si="788"/>
        <v>6.5352662735565268E-6</v>
      </c>
      <c r="DB377" s="8">
        <f t="shared" si="789"/>
        <v>37.703657606880654</v>
      </c>
      <c r="DC377" s="7">
        <f t="shared" si="790"/>
        <v>1.6355768723200867E-2</v>
      </c>
      <c r="DD377" s="9">
        <f t="shared" si="791"/>
        <v>0.31473288330393523</v>
      </c>
    </row>
    <row r="378" spans="2:108" x14ac:dyDescent="0.25">
      <c r="B378">
        <v>111</v>
      </c>
      <c r="C378">
        <f t="shared" si="699"/>
        <v>0.10851522796432292</v>
      </c>
      <c r="D378" s="4">
        <f t="shared" si="700"/>
        <v>1018.186397996085</v>
      </c>
      <c r="E378" s="6">
        <f t="shared" si="647"/>
        <v>5.5363727959921709E-6</v>
      </c>
      <c r="F378" s="8">
        <f t="shared" si="701"/>
        <v>27.598143576954975</v>
      </c>
      <c r="G378" s="7">
        <f t="shared" si="583"/>
        <v>1.3855844463915041E-2</v>
      </c>
      <c r="H378" s="9">
        <f t="shared" si="702"/>
        <v>0.42997750325593426</v>
      </c>
      <c r="I378" s="4">
        <f t="shared" si="703"/>
        <v>1017.8620276725311</v>
      </c>
      <c r="J378" s="6">
        <f t="shared" si="650"/>
        <v>5.5357240553450625E-6</v>
      </c>
      <c r="K378" s="8">
        <f t="shared" si="704"/>
        <v>27.594413318234107</v>
      </c>
      <c r="L378" s="7">
        <f t="shared" si="651"/>
        <v>1.3854220864884597E-2</v>
      </c>
      <c r="M378" s="9">
        <f t="shared" si="705"/>
        <v>0.43003562833048464</v>
      </c>
      <c r="N378" s="4">
        <f t="shared" si="706"/>
        <v>1016.956610063534</v>
      </c>
      <c r="O378" s="6">
        <f t="shared" si="654"/>
        <v>5.5339132201270682E-6</v>
      </c>
      <c r="P378" s="8">
        <f t="shared" si="655"/>
        <v>27.584001015730639</v>
      </c>
      <c r="Q378" s="7">
        <f t="shared" si="584"/>
        <v>1.3855844463915041E-2</v>
      </c>
      <c r="R378" s="9">
        <f t="shared" si="707"/>
        <v>0.4301979565238056</v>
      </c>
      <c r="S378" s="4">
        <f t="shared" si="708"/>
        <v>1015.4553827067384</v>
      </c>
      <c r="T378" s="6">
        <f t="shared" si="658"/>
        <v>5.5309107654134773E-6</v>
      </c>
      <c r="U378" s="8">
        <f t="shared" si="659"/>
        <v>27.566736901127491</v>
      </c>
      <c r="V378" s="7">
        <f t="shared" si="660"/>
        <v>1.3842174675238543E-2</v>
      </c>
      <c r="W378" s="9">
        <f t="shared" si="709"/>
        <v>0.43046737494826781</v>
      </c>
      <c r="X378" s="4">
        <f t="shared" si="710"/>
        <v>1013.3561557994167</v>
      </c>
      <c r="Y378" s="6">
        <f t="shared" si="663"/>
        <v>5.5267123115988339E-6</v>
      </c>
      <c r="Z378" s="8">
        <f t="shared" si="664"/>
        <v>27.542595791693291</v>
      </c>
      <c r="AA378" s="7">
        <f t="shared" si="665"/>
        <v>1.3831667231974112E-2</v>
      </c>
      <c r="AB378" s="9">
        <f t="shared" si="711"/>
        <v>0.43084467998099146</v>
      </c>
      <c r="AC378" s="4">
        <f t="shared" si="712"/>
        <v>1010.657546359417</v>
      </c>
      <c r="AD378" s="6">
        <f t="shared" si="713"/>
        <v>5.5213150927188346E-6</v>
      </c>
      <c r="AE378" s="8">
        <f t="shared" si="714"/>
        <v>27.511561783133295</v>
      </c>
      <c r="AF378" s="7">
        <f t="shared" si="715"/>
        <v>1.3818159647117629E-2</v>
      </c>
      <c r="AG378" s="9">
        <f t="shared" si="716"/>
        <v>0.43133068792165141</v>
      </c>
      <c r="AH378" s="4">
        <f t="shared" si="717"/>
        <v>1007.3593627247001</v>
      </c>
      <c r="AI378" s="6">
        <f t="shared" si="718"/>
        <v>5.5147187254494009E-6</v>
      </c>
      <c r="AJ378" s="8">
        <f t="shared" si="719"/>
        <v>27.473632671334052</v>
      </c>
      <c r="AK378" s="7">
        <f t="shared" si="720"/>
        <v>1.3801650961326404E-2</v>
      </c>
      <c r="AL378" s="9">
        <f t="shared" si="721"/>
        <v>0.43192616759775898</v>
      </c>
      <c r="AM378" s="4">
        <f t="shared" si="722"/>
        <v>1003.4615734059398</v>
      </c>
      <c r="AN378" s="6">
        <f t="shared" si="723"/>
        <v>5.5069231468118807E-6</v>
      </c>
      <c r="AO378" s="8">
        <f t="shared" si="724"/>
        <v>27.428808094168307</v>
      </c>
      <c r="AP378" s="7">
        <f t="shared" si="725"/>
        <v>1.3782141016984164E-2</v>
      </c>
      <c r="AQ378" s="9">
        <f t="shared" si="726"/>
        <v>0.43263202793857003</v>
      </c>
      <c r="AR378" s="4">
        <f t="shared" si="727"/>
        <v>998.96417758398093</v>
      </c>
      <c r="AS378" s="6">
        <f t="shared" si="728"/>
        <v>5.4979283551679624E-6</v>
      </c>
      <c r="AT378" s="8">
        <f t="shared" si="729"/>
        <v>27.377088042215782</v>
      </c>
      <c r="AU378" s="7">
        <f t="shared" si="730"/>
        <v>1.3759629809990719E-2</v>
      </c>
      <c r="AV378" s="9">
        <f t="shared" si="731"/>
        <v>0.43344934462786894</v>
      </c>
      <c r="AW378" s="4">
        <f t="shared" si="732"/>
        <v>993.86716714611907</v>
      </c>
      <c r="AX378" s="6">
        <f t="shared" si="733"/>
        <v>5.4877343342922385E-6</v>
      </c>
      <c r="AY378" s="8">
        <f t="shared" si="734"/>
        <v>27.318472422180371</v>
      </c>
      <c r="AZ378" s="7">
        <f t="shared" si="735"/>
        <v>1.3734117299738847E-2</v>
      </c>
      <c r="BA378" s="9">
        <f t="shared" si="736"/>
        <v>0.43437937108383862</v>
      </c>
      <c r="BB378" s="4">
        <f t="shared" si="737"/>
        <v>988.17045784977017</v>
      </c>
      <c r="BC378" s="6">
        <f t="shared" si="738"/>
        <v>5.4763409156995406E-6</v>
      </c>
      <c r="BD378" s="8">
        <f t="shared" si="739"/>
        <v>27.252960265272357</v>
      </c>
      <c r="BE378" s="7">
        <f t="shared" si="740"/>
        <v>1.3705603064561804E-2</v>
      </c>
      <c r="BF378" s="9">
        <f t="shared" si="741"/>
        <v>0.4354235559811509</v>
      </c>
      <c r="BG378" s="4">
        <f t="shared" si="742"/>
        <v>981.87342346399828</v>
      </c>
      <c r="BH378" s="6">
        <f t="shared" si="743"/>
        <v>5.4637468469279972E-6</v>
      </c>
      <c r="BI378" s="8">
        <f t="shared" si="744"/>
        <v>27.180544369835978</v>
      </c>
      <c r="BJ378" s="7">
        <f t="shared" si="745"/>
        <v>1.3674083969931351E-2</v>
      </c>
      <c r="BK378" s="9">
        <f t="shared" si="746"/>
        <v>0.43658363527431837</v>
      </c>
      <c r="BL378" s="4">
        <f t="shared" si="747"/>
        <v>974.97190532514981</v>
      </c>
      <c r="BM378" s="6">
        <f t="shared" si="748"/>
        <v>5.4499438106502998E-6</v>
      </c>
      <c r="BN378" s="8">
        <f t="shared" si="749"/>
        <v>27.101176911239222</v>
      </c>
      <c r="BO378" s="7">
        <f t="shared" si="750"/>
        <v>1.3639539200126109E-2</v>
      </c>
      <c r="BP378" s="9">
        <f t="shared" si="751"/>
        <v>0.43786219722423453</v>
      </c>
      <c r="BQ378" s="4">
        <f t="shared" si="752"/>
        <v>967.44120280041113</v>
      </c>
      <c r="BR378" s="6">
        <f t="shared" si="753"/>
        <v>5.4348824056008232E-6</v>
      </c>
      <c r="BS378" s="8">
        <f t="shared" si="754"/>
        <v>27.014573832204725</v>
      </c>
      <c r="BT378" s="7">
        <f t="shared" si="755"/>
        <v>1.3601845118917443E-2</v>
      </c>
      <c r="BU378" s="9">
        <f t="shared" si="756"/>
        <v>0.43926589193761262</v>
      </c>
      <c r="BV378" s="4">
        <f t="shared" si="757"/>
        <v>959.15177001234258</v>
      </c>
      <c r="BW378" s="6">
        <f t="shared" si="758"/>
        <v>5.4183035400246851E-6</v>
      </c>
      <c r="BX378" s="8">
        <f t="shared" si="759"/>
        <v>26.919245355141939</v>
      </c>
      <c r="BY378" s="7">
        <f t="shared" si="760"/>
        <v>1.3560353299042628E-2</v>
      </c>
      <c r="BZ378" s="9">
        <f t="shared" si="761"/>
        <v>0.44082145369098252</v>
      </c>
      <c r="CA378" s="4">
        <f t="shared" si="762"/>
        <v>949.51390827500143</v>
      </c>
      <c r="CB378" s="6">
        <f t="shared" si="763"/>
        <v>5.3990278165500035E-6</v>
      </c>
      <c r="CC378" s="8">
        <f t="shared" si="764"/>
        <v>26.808409945162516</v>
      </c>
      <c r="CD378" s="7">
        <f t="shared" si="765"/>
        <v>1.3512112070311074E-2</v>
      </c>
      <c r="CE378" s="9">
        <f t="shared" si="766"/>
        <v>0.44264396485995922</v>
      </c>
      <c r="CF378" s="4">
        <f t="shared" si="767"/>
        <v>936.25104257107898</v>
      </c>
      <c r="CG378" s="6">
        <f t="shared" si="768"/>
        <v>5.372502085142158E-6</v>
      </c>
      <c r="CH378" s="8">
        <f t="shared" si="769"/>
        <v>26.655886989567406</v>
      </c>
      <c r="CI378" s="7">
        <f t="shared" si="770"/>
        <v>1.3445726293517871E-2</v>
      </c>
      <c r="CJ378" s="9">
        <f t="shared" si="771"/>
        <v>0.44517673992098805</v>
      </c>
      <c r="CK378" s="4">
        <f t="shared" si="772"/>
        <v>912.15081426816414</v>
      </c>
      <c r="CL378" s="6">
        <f t="shared" si="773"/>
        <v>5.324301628536329E-6</v>
      </c>
      <c r="CM378" s="8">
        <f t="shared" si="774"/>
        <v>26.378734364083886</v>
      </c>
      <c r="CN378" s="7">
        <f t="shared" si="775"/>
        <v>1.3325095321863737E-2</v>
      </c>
      <c r="CO378" s="9">
        <f t="shared" si="776"/>
        <v>0.44985406448744975</v>
      </c>
      <c r="CP378" s="4">
        <f t="shared" si="777"/>
        <v>859.39508218703281</v>
      </c>
      <c r="CQ378" s="6">
        <f t="shared" si="778"/>
        <v>5.2187901643740661E-6</v>
      </c>
      <c r="CR378" s="8">
        <f t="shared" si="779"/>
        <v>25.772043445150878</v>
      </c>
      <c r="CS378" s="7">
        <f t="shared" si="780"/>
        <v>1.3061032461492306E-2</v>
      </c>
      <c r="CT378" s="9">
        <f t="shared" si="781"/>
        <v>0.46044392618586272</v>
      </c>
      <c r="CU378" s="4">
        <f t="shared" si="782"/>
        <v>746.67610713014426</v>
      </c>
      <c r="CV378" s="6">
        <f t="shared" si="783"/>
        <v>4.993352214260289E-6</v>
      </c>
      <c r="CW378" s="8">
        <f t="shared" si="784"/>
        <v>24.475775231996657</v>
      </c>
      <c r="CX378" s="7">
        <f t="shared" si="785"/>
        <v>1.2496830358754291E-2</v>
      </c>
      <c r="CY378" s="9">
        <f t="shared" si="786"/>
        <v>0.48482962264684354</v>
      </c>
      <c r="CZ378" s="5">
        <f t="shared" si="787"/>
        <v>543.30735692419807</v>
      </c>
      <c r="DA378" s="6">
        <f t="shared" si="788"/>
        <v>6.5542819997679291E-6</v>
      </c>
      <c r="DB378" s="8">
        <f t="shared" si="789"/>
        <v>37.739086649198256</v>
      </c>
      <c r="DC378" s="7">
        <f t="shared" si="790"/>
        <v>1.6403359258459677E-2</v>
      </c>
      <c r="DD378" s="9">
        <f t="shared" si="791"/>
        <v>0.31443741551095533</v>
      </c>
    </row>
    <row r="379" spans="2:108" x14ac:dyDescent="0.25">
      <c r="B379">
        <v>112</v>
      </c>
      <c r="C379">
        <f t="shared" si="699"/>
        <v>0.10949284263066816</v>
      </c>
      <c r="D379" s="4">
        <f t="shared" si="700"/>
        <v>1018.1698372859745</v>
      </c>
      <c r="E379" s="6">
        <f t="shared" si="647"/>
        <v>5.5363396745719492E-6</v>
      </c>
      <c r="F379" s="8">
        <f t="shared" si="701"/>
        <v>27.597953128788706</v>
      </c>
      <c r="G379" s="7">
        <f t="shared" si="583"/>
        <v>1.3855761571150422E-2</v>
      </c>
      <c r="H379" s="9">
        <f t="shared" si="702"/>
        <v>0.42998047044798104</v>
      </c>
      <c r="I379" s="4">
        <f t="shared" si="703"/>
        <v>1017.8454569956942</v>
      </c>
      <c r="J379" s="6">
        <f t="shared" si="650"/>
        <v>5.5356909139913891E-6</v>
      </c>
      <c r="K379" s="8">
        <f t="shared" si="704"/>
        <v>27.594222755450481</v>
      </c>
      <c r="L379" s="7">
        <f t="shared" si="651"/>
        <v>1.3854137922232657E-2</v>
      </c>
      <c r="M379" s="9">
        <f t="shared" si="705"/>
        <v>0.43003859811104778</v>
      </c>
      <c r="N379" s="4">
        <f t="shared" si="706"/>
        <v>1016.9400201352911</v>
      </c>
      <c r="O379" s="6">
        <f t="shared" si="654"/>
        <v>5.5338800402705831E-6</v>
      </c>
      <c r="P379" s="8">
        <f t="shared" si="655"/>
        <v>27.583810231555844</v>
      </c>
      <c r="Q379" s="7">
        <f t="shared" si="584"/>
        <v>1.3855761571150422E-2</v>
      </c>
      <c r="R379" s="9">
        <f t="shared" si="707"/>
        <v>0.43020093199968962</v>
      </c>
      <c r="S379" s="4">
        <f t="shared" si="708"/>
        <v>1015.4387824615748</v>
      </c>
      <c r="T379" s="6">
        <f t="shared" si="658"/>
        <v>5.5308775649231501E-6</v>
      </c>
      <c r="U379" s="8">
        <f t="shared" si="659"/>
        <v>27.566545998308108</v>
      </c>
      <c r="V379" s="7">
        <f t="shared" si="660"/>
        <v>1.3842091584585681E-2</v>
      </c>
      <c r="W379" s="9">
        <f t="shared" si="709"/>
        <v>0.43047035600492745</v>
      </c>
      <c r="X379" s="4">
        <f t="shared" si="710"/>
        <v>1013.3395575802392</v>
      </c>
      <c r="Y379" s="6">
        <f t="shared" si="663"/>
        <v>5.5266791151604794E-6</v>
      </c>
      <c r="Z379" s="8">
        <f t="shared" si="664"/>
        <v>27.542404912172749</v>
      </c>
      <c r="AA379" s="7">
        <f t="shared" si="665"/>
        <v>1.3831584151462097E-2</v>
      </c>
      <c r="AB379" s="9">
        <f t="shared" si="711"/>
        <v>0.43084766590129164</v>
      </c>
      <c r="AC379" s="4">
        <f t="shared" si="712"/>
        <v>1010.6409587836825</v>
      </c>
      <c r="AD379" s="6">
        <f t="shared" si="713"/>
        <v>5.521281917567365E-6</v>
      </c>
      <c r="AE379" s="8">
        <f t="shared" si="714"/>
        <v>27.511371026012348</v>
      </c>
      <c r="AF379" s="7">
        <f t="shared" si="715"/>
        <v>1.3818076619880165E-2</v>
      </c>
      <c r="AG379" s="9">
        <f t="shared" si="716"/>
        <v>0.43133367866319339</v>
      </c>
      <c r="AH379" s="4">
        <f t="shared" si="717"/>
        <v>1007.3427911186141</v>
      </c>
      <c r="AI379" s="6">
        <f t="shared" si="718"/>
        <v>5.5146855822372288E-6</v>
      </c>
      <c r="AJ379" s="8">
        <f t="shared" si="719"/>
        <v>27.473442097864059</v>
      </c>
      <c r="AK379" s="7">
        <f t="shared" si="720"/>
        <v>1.3801568014023212E-2</v>
      </c>
      <c r="AL379" s="9">
        <f t="shared" si="721"/>
        <v>0.43192916371554602</v>
      </c>
      <c r="AM379" s="4">
        <f t="shared" si="722"/>
        <v>1003.4450217018107</v>
      </c>
      <c r="AN379" s="6">
        <f t="shared" si="723"/>
        <v>5.5068900434036215E-6</v>
      </c>
      <c r="AO379" s="8">
        <f t="shared" si="724"/>
        <v>27.428617749570822</v>
      </c>
      <c r="AP379" s="7">
        <f t="shared" si="725"/>
        <v>1.3782058169297968E-2</v>
      </c>
      <c r="AQ379" s="9">
        <f t="shared" si="726"/>
        <v>0.43263503024696082</v>
      </c>
      <c r="AR379" s="4">
        <f t="shared" si="727"/>
        <v>998.9476492438921</v>
      </c>
      <c r="AS379" s="6">
        <f t="shared" si="728"/>
        <v>5.4978952984877843E-6</v>
      </c>
      <c r="AT379" s="8">
        <f t="shared" si="729"/>
        <v>27.37689796630476</v>
      </c>
      <c r="AU379" s="7">
        <f t="shared" si="730"/>
        <v>1.3759547079250589E-2</v>
      </c>
      <c r="AV379" s="9">
        <f t="shared" si="731"/>
        <v>0.43345235403672028</v>
      </c>
      <c r="AW379" s="4">
        <f t="shared" si="732"/>
        <v>993.85066463395106</v>
      </c>
      <c r="AX379" s="6">
        <f t="shared" si="733"/>
        <v>5.4877013292679022E-6</v>
      </c>
      <c r="AY379" s="8">
        <f t="shared" si="734"/>
        <v>27.318282643290438</v>
      </c>
      <c r="AZ379" s="7">
        <f t="shared" si="735"/>
        <v>1.3734034698277459E-2</v>
      </c>
      <c r="BA379" s="9">
        <f t="shared" si="736"/>
        <v>0.43438238869793722</v>
      </c>
      <c r="BB379" s="4">
        <f t="shared" si="737"/>
        <v>988.15397683956712</v>
      </c>
      <c r="BC379" s="6">
        <f t="shared" si="738"/>
        <v>5.4763079536791349E-6</v>
      </c>
      <c r="BD379" s="8">
        <f t="shared" si="739"/>
        <v>27.252770733655019</v>
      </c>
      <c r="BE379" s="7">
        <f t="shared" si="740"/>
        <v>1.3705520570726076E-2</v>
      </c>
      <c r="BF379" s="9">
        <f t="shared" si="741"/>
        <v>0.43542658416979263</v>
      </c>
      <c r="BG379" s="4">
        <f t="shared" si="742"/>
        <v>981.85691628888901</v>
      </c>
      <c r="BH379" s="6">
        <f t="shared" si="743"/>
        <v>5.4637138325777782E-6</v>
      </c>
      <c r="BI379" s="8">
        <f t="shared" si="744"/>
        <v>27.180354537322224</v>
      </c>
      <c r="BJ379" s="7">
        <f t="shared" si="745"/>
        <v>1.3674001345130136E-2</v>
      </c>
      <c r="BK379" s="9">
        <f t="shared" si="746"/>
        <v>0.43658668445341697</v>
      </c>
      <c r="BL379" s="4">
        <f t="shared" si="747"/>
        <v>974.95507909847879</v>
      </c>
      <c r="BM379" s="6">
        <f t="shared" si="748"/>
        <v>5.4499101581969579E-6</v>
      </c>
      <c r="BN379" s="8">
        <f t="shared" si="749"/>
        <v>27.100983409632505</v>
      </c>
      <c r="BO379" s="7">
        <f t="shared" si="750"/>
        <v>1.3639454978348328E-2</v>
      </c>
      <c r="BP379" s="9">
        <f t="shared" si="751"/>
        <v>0.43786532356977714</v>
      </c>
      <c r="BQ379" s="4">
        <f t="shared" si="752"/>
        <v>967.42255497839949</v>
      </c>
      <c r="BR379" s="6">
        <f t="shared" si="753"/>
        <v>5.4348451099568E-6</v>
      </c>
      <c r="BS379" s="8">
        <f t="shared" si="754"/>
        <v>27.014359382251591</v>
      </c>
      <c r="BT379" s="7">
        <f t="shared" si="755"/>
        <v>1.3601751779349858E-2</v>
      </c>
      <c r="BU379" s="9">
        <f t="shared" si="756"/>
        <v>0.43926937899235291</v>
      </c>
      <c r="BV379" s="4">
        <f t="shared" si="757"/>
        <v>959.12472035183214</v>
      </c>
      <c r="BW379" s="6">
        <f t="shared" si="758"/>
        <v>5.4182494407036648E-6</v>
      </c>
      <c r="BX379" s="8">
        <f t="shared" si="759"/>
        <v>26.918934284046067</v>
      </c>
      <c r="BY379" s="7">
        <f t="shared" si="760"/>
        <v>1.3560217905021078E-2</v>
      </c>
      <c r="BZ379" s="9">
        <f t="shared" si="761"/>
        <v>0.44082654775641755</v>
      </c>
      <c r="CA379" s="4">
        <f t="shared" si="762"/>
        <v>949.45440113616507</v>
      </c>
      <c r="CB379" s="6">
        <f t="shared" si="763"/>
        <v>5.3989088022723309E-6</v>
      </c>
      <c r="CC379" s="8">
        <f t="shared" si="764"/>
        <v>26.807725613065898</v>
      </c>
      <c r="CD379" s="7">
        <f t="shared" si="765"/>
        <v>1.3511814214046479E-2</v>
      </c>
      <c r="CE379" s="9">
        <f t="shared" si="766"/>
        <v>0.44265526441878417</v>
      </c>
      <c r="CF379" s="4">
        <f t="shared" si="767"/>
        <v>936.08883379154986</v>
      </c>
      <c r="CG379" s="6">
        <f t="shared" si="768"/>
        <v>5.3721776675831004E-6</v>
      </c>
      <c r="CH379" s="8">
        <f t="shared" si="769"/>
        <v>26.654021588602824</v>
      </c>
      <c r="CI379" s="7">
        <f t="shared" si="770"/>
        <v>1.3444914375786659E-2</v>
      </c>
      <c r="CJ379" s="9">
        <f t="shared" si="771"/>
        <v>0.44520789593687471</v>
      </c>
      <c r="CK379" s="4">
        <f t="shared" si="772"/>
        <v>911.7351516556289</v>
      </c>
      <c r="CL379" s="6">
        <f t="shared" si="773"/>
        <v>5.3234703033112587E-6</v>
      </c>
      <c r="CM379" s="8">
        <f t="shared" si="774"/>
        <v>26.37395424403973</v>
      </c>
      <c r="CN379" s="7">
        <f t="shared" si="775"/>
        <v>1.3323014769588455E-2</v>
      </c>
      <c r="CO379" s="9">
        <f t="shared" si="776"/>
        <v>0.44993559782184106</v>
      </c>
      <c r="CP379" s="4">
        <f t="shared" si="777"/>
        <v>858.53495151614572</v>
      </c>
      <c r="CQ379" s="6">
        <f t="shared" si="778"/>
        <v>5.2170699030322916E-6</v>
      </c>
      <c r="CR379" s="8">
        <f t="shared" si="779"/>
        <v>25.762151942435676</v>
      </c>
      <c r="CS379" s="7">
        <f t="shared" si="780"/>
        <v>1.3056727174535083E-2</v>
      </c>
      <c r="CT379" s="9">
        <f t="shared" si="781"/>
        <v>0.46062071585608294</v>
      </c>
      <c r="CU379" s="4">
        <f t="shared" si="782"/>
        <v>745.38391061095911</v>
      </c>
      <c r="CV379" s="6">
        <f t="shared" si="783"/>
        <v>4.9907678212219182E-6</v>
      </c>
      <c r="CW379" s="8">
        <f t="shared" si="784"/>
        <v>24.460914972026028</v>
      </c>
      <c r="CX379" s="7">
        <f t="shared" si="785"/>
        <v>1.2490362414977236E-2</v>
      </c>
      <c r="CY379" s="9">
        <f t="shared" si="786"/>
        <v>0.48512416167950989</v>
      </c>
      <c r="CZ379" s="5">
        <f t="shared" si="787"/>
        <v>542.09536280710506</v>
      </c>
      <c r="DA379" s="6">
        <f t="shared" si="788"/>
        <v>6.5731233823095441E-6</v>
      </c>
      <c r="DB379" s="8">
        <f t="shared" si="789"/>
        <v>37.774234478593954</v>
      </c>
      <c r="DC379" s="7">
        <f t="shared" si="790"/>
        <v>1.6450513464941349E-2</v>
      </c>
      <c r="DD379" s="9">
        <f t="shared" si="791"/>
        <v>0.31414484061728631</v>
      </c>
    </row>
    <row r="380" spans="2:108" x14ac:dyDescent="0.25">
      <c r="B380">
        <v>113</v>
      </c>
      <c r="C380">
        <f t="shared" si="699"/>
        <v>0.11047045729701341</v>
      </c>
      <c r="D380" s="4">
        <f t="shared" si="700"/>
        <v>1018.1532760670133</v>
      </c>
      <c r="E380" s="6">
        <f t="shared" si="647"/>
        <v>5.5363065521340268E-6</v>
      </c>
      <c r="F380" s="8">
        <f t="shared" si="701"/>
        <v>27.597762674770649</v>
      </c>
      <c r="G380" s="7">
        <f t="shared" si="583"/>
        <v>1.3855678675838813E-2</v>
      </c>
      <c r="H380" s="9">
        <f t="shared" si="702"/>
        <v>0.4299834377721532</v>
      </c>
      <c r="I380" s="4">
        <f t="shared" si="703"/>
        <v>1017.8288860869312</v>
      </c>
      <c r="J380" s="6">
        <f t="shared" si="650"/>
        <v>5.5356577721738627E-6</v>
      </c>
      <c r="K380" s="8">
        <f t="shared" si="704"/>
        <v>27.594032189999709</v>
      </c>
      <c r="L380" s="7">
        <f t="shared" si="651"/>
        <v>1.3854054978419836E-2</v>
      </c>
      <c r="M380" s="9">
        <f t="shared" si="705"/>
        <v>0.43004156797419552</v>
      </c>
      <c r="N380" s="4">
        <f t="shared" si="706"/>
        <v>1016.9234303277395</v>
      </c>
      <c r="O380" s="6">
        <f t="shared" si="654"/>
        <v>5.5338468606554794E-6</v>
      </c>
      <c r="P380" s="8">
        <f t="shared" si="655"/>
        <v>27.583619448769003</v>
      </c>
      <c r="Q380" s="7">
        <f t="shared" si="584"/>
        <v>1.3855678675838813E-2</v>
      </c>
      <c r="R380" s="9">
        <f t="shared" si="707"/>
        <v>0.43020390749508686</v>
      </c>
      <c r="S380" s="4">
        <f t="shared" si="708"/>
        <v>1015.4221824675992</v>
      </c>
      <c r="T380" s="6">
        <f t="shared" si="658"/>
        <v>5.530844364935199E-6</v>
      </c>
      <c r="U380" s="8">
        <f t="shared" si="659"/>
        <v>27.56635509837739</v>
      </c>
      <c r="V380" s="7">
        <f t="shared" si="660"/>
        <v>1.3842008495190114E-2</v>
      </c>
      <c r="W380" s="9">
        <f t="shared" si="709"/>
        <v>0.4304733370577668</v>
      </c>
      <c r="X380" s="4">
        <f t="shared" si="710"/>
        <v>1013.3229596018995</v>
      </c>
      <c r="Y380" s="6">
        <f t="shared" si="663"/>
        <v>5.5266459192037995E-6</v>
      </c>
      <c r="Z380" s="8">
        <f t="shared" si="664"/>
        <v>27.542214035421843</v>
      </c>
      <c r="AA380" s="7">
        <f t="shared" si="665"/>
        <v>1.3831501072155566E-2</v>
      </c>
      <c r="AB380" s="9">
        <f t="shared" si="711"/>
        <v>0.4308506518196531</v>
      </c>
      <c r="AC380" s="4">
        <f t="shared" si="712"/>
        <v>1010.6243714180606</v>
      </c>
      <c r="AD380" s="6">
        <f t="shared" si="713"/>
        <v>5.5212487428361212E-6</v>
      </c>
      <c r="AE380" s="8">
        <f t="shared" si="714"/>
        <v>27.511180271307694</v>
      </c>
      <c r="AF380" s="7">
        <f t="shared" si="715"/>
        <v>1.3817993593694396E-2</v>
      </c>
      <c r="AG380" s="9">
        <f t="shared" si="716"/>
        <v>0.43133666940832566</v>
      </c>
      <c r="AH380" s="4">
        <f t="shared" si="717"/>
        <v>1007.3262197077416</v>
      </c>
      <c r="AI380" s="6">
        <f t="shared" si="718"/>
        <v>5.5146524394154839E-6</v>
      </c>
      <c r="AJ380" s="8">
        <f t="shared" si="719"/>
        <v>27.473251526639029</v>
      </c>
      <c r="AK380" s="7">
        <f t="shared" si="720"/>
        <v>1.380148506769714E-2</v>
      </c>
      <c r="AL380" s="9">
        <f t="shared" si="721"/>
        <v>0.4319321598396042</v>
      </c>
      <c r="AM380" s="4">
        <f t="shared" si="722"/>
        <v>1003.4284701875904</v>
      </c>
      <c r="AN380" s="6">
        <f t="shared" si="723"/>
        <v>5.5068569403751812E-6</v>
      </c>
      <c r="AO380" s="8">
        <f t="shared" si="724"/>
        <v>27.428427407157287</v>
      </c>
      <c r="AP380" s="7">
        <f t="shared" si="725"/>
        <v>1.3781975322562342E-2</v>
      </c>
      <c r="AQ380" s="9">
        <f t="shared" si="726"/>
        <v>0.43263803256257355</v>
      </c>
      <c r="AR380" s="4">
        <f t="shared" si="727"/>
        <v>998.93112107948821</v>
      </c>
      <c r="AS380" s="6">
        <f t="shared" si="728"/>
        <v>5.4978622421589766E-6</v>
      </c>
      <c r="AT380" s="8">
        <f t="shared" si="729"/>
        <v>27.376707892414114</v>
      </c>
      <c r="AU380" s="7">
        <f t="shared" si="730"/>
        <v>1.3759464349389834E-2</v>
      </c>
      <c r="AV380" s="9">
        <f t="shared" si="731"/>
        <v>0.43345536345537156</v>
      </c>
      <c r="AW380" s="4">
        <f t="shared" si="732"/>
        <v>993.83416219766195</v>
      </c>
      <c r="AX380" s="6">
        <f t="shared" si="733"/>
        <v>5.4876683243953245E-6</v>
      </c>
      <c r="AY380" s="8">
        <f t="shared" si="734"/>
        <v>27.318092865273112</v>
      </c>
      <c r="AZ380" s="7">
        <f t="shared" si="735"/>
        <v>1.3733952097195879E-2</v>
      </c>
      <c r="BA380" s="9">
        <f t="shared" si="736"/>
        <v>0.43438540634008721</v>
      </c>
      <c r="BB380" s="4">
        <f t="shared" si="737"/>
        <v>988.13749527062987</v>
      </c>
      <c r="BC380" s="6">
        <f t="shared" si="738"/>
        <v>5.4762749905412605E-6</v>
      </c>
      <c r="BD380" s="8">
        <f t="shared" si="739"/>
        <v>27.252581195612244</v>
      </c>
      <c r="BE380" s="7">
        <f t="shared" si="740"/>
        <v>1.3705438074093667E-2</v>
      </c>
      <c r="BF380" s="9">
        <f t="shared" si="741"/>
        <v>0.43542961250321705</v>
      </c>
      <c r="BG380" s="4">
        <f t="shared" si="742"/>
        <v>981.84040498393915</v>
      </c>
      <c r="BH380" s="6">
        <f t="shared" si="743"/>
        <v>5.4636808099678792E-6</v>
      </c>
      <c r="BI380" s="8">
        <f t="shared" si="744"/>
        <v>27.180164657315299</v>
      </c>
      <c r="BJ380" s="7">
        <f t="shared" si="745"/>
        <v>1.3673918699657476E-2</v>
      </c>
      <c r="BK380" s="9">
        <f t="shared" si="746"/>
        <v>0.43658973443798155</v>
      </c>
      <c r="BL380" s="4">
        <f t="shared" si="747"/>
        <v>974.93823120821753</v>
      </c>
      <c r="BM380" s="6">
        <f t="shared" si="748"/>
        <v>5.4498764624164358E-6</v>
      </c>
      <c r="BN380" s="8">
        <f t="shared" si="749"/>
        <v>27.100789658894499</v>
      </c>
      <c r="BO380" s="7">
        <f t="shared" si="750"/>
        <v>1.3639370648135892E-2</v>
      </c>
      <c r="BP380" s="9">
        <f t="shared" si="751"/>
        <v>0.43786845398518776</v>
      </c>
      <c r="BQ380" s="4">
        <f t="shared" si="752"/>
        <v>967.40381215818525</v>
      </c>
      <c r="BR380" s="6">
        <f t="shared" si="753"/>
        <v>5.4348076243163708E-6</v>
      </c>
      <c r="BS380" s="8">
        <f t="shared" si="754"/>
        <v>27.014143839819127</v>
      </c>
      <c r="BT380" s="7">
        <f t="shared" si="755"/>
        <v>1.3601657964279494E-2</v>
      </c>
      <c r="BU380" s="9">
        <f t="shared" si="756"/>
        <v>0.43927288386709618</v>
      </c>
      <c r="BV380" s="4">
        <f t="shared" si="757"/>
        <v>959.09732383293237</v>
      </c>
      <c r="BW380" s="6">
        <f t="shared" si="758"/>
        <v>5.4181946476658651E-6</v>
      </c>
      <c r="BX380" s="8">
        <f t="shared" si="759"/>
        <v>26.918619224078721</v>
      </c>
      <c r="BY380" s="7">
        <f t="shared" si="760"/>
        <v>1.3560080774839018E-2</v>
      </c>
      <c r="BZ380" s="9">
        <f t="shared" si="761"/>
        <v>0.44083170726317322</v>
      </c>
      <c r="CA380" s="4">
        <f t="shared" si="762"/>
        <v>949.39388099030418</v>
      </c>
      <c r="CB380" s="6">
        <f t="shared" si="763"/>
        <v>5.3987877619806082E-6</v>
      </c>
      <c r="CC380" s="8">
        <f t="shared" si="764"/>
        <v>26.807029631388495</v>
      </c>
      <c r="CD380" s="7">
        <f t="shared" si="765"/>
        <v>1.3511511287289597E-2</v>
      </c>
      <c r="CE380" s="9">
        <f t="shared" si="766"/>
        <v>0.44266675692495433</v>
      </c>
      <c r="CF380" s="4">
        <f t="shared" si="767"/>
        <v>935.92444137748657</v>
      </c>
      <c r="CG380" s="6">
        <f t="shared" si="768"/>
        <v>5.3718488827549732E-6</v>
      </c>
      <c r="CH380" s="8">
        <f t="shared" si="769"/>
        <v>26.652131075841094</v>
      </c>
      <c r="CI380" s="7">
        <f t="shared" si="770"/>
        <v>1.3444091528119333E-2</v>
      </c>
      <c r="CJ380" s="9">
        <f t="shared" si="771"/>
        <v>0.44523947582091838</v>
      </c>
      <c r="CK380" s="4">
        <f t="shared" si="772"/>
        <v>911.31667050109581</v>
      </c>
      <c r="CL380" s="6">
        <f t="shared" si="773"/>
        <v>5.3226333410021923E-6</v>
      </c>
      <c r="CM380" s="8">
        <f t="shared" si="774"/>
        <v>26.369141710762602</v>
      </c>
      <c r="CN380" s="7">
        <f t="shared" si="775"/>
        <v>1.3320920109419442E-2</v>
      </c>
      <c r="CO380" s="9">
        <f t="shared" si="776"/>
        <v>0.45001771388238004</v>
      </c>
      <c r="CP380" s="4">
        <f t="shared" si="777"/>
        <v>857.67479694492272</v>
      </c>
      <c r="CQ380" s="6">
        <f t="shared" si="778"/>
        <v>5.2153495938898459E-6</v>
      </c>
      <c r="CR380" s="8">
        <f t="shared" si="779"/>
        <v>25.752260164866613</v>
      </c>
      <c r="CS380" s="7">
        <f t="shared" si="780"/>
        <v>1.3052421767947429E-2</v>
      </c>
      <c r="CT380" s="9">
        <f t="shared" si="781"/>
        <v>0.4607976462550375</v>
      </c>
      <c r="CU380" s="4">
        <f t="shared" si="782"/>
        <v>744.09870567022995</v>
      </c>
      <c r="CV380" s="6">
        <f t="shared" si="783"/>
        <v>4.9881974113404598E-6</v>
      </c>
      <c r="CW380" s="8">
        <f t="shared" si="784"/>
        <v>24.446135115207646</v>
      </c>
      <c r="CX380" s="7">
        <f t="shared" si="785"/>
        <v>1.2483929466756737E-2</v>
      </c>
      <c r="CY380" s="9">
        <f t="shared" si="786"/>
        <v>0.48541746226117527</v>
      </c>
      <c r="CZ380" s="5">
        <f t="shared" si="787"/>
        <v>540.89290315379765</v>
      </c>
      <c r="DA380" s="6">
        <f t="shared" si="788"/>
        <v>6.5917937681003704E-6</v>
      </c>
      <c r="DB380" s="8">
        <f t="shared" si="789"/>
        <v>37.809105808539869</v>
      </c>
      <c r="DC380" s="7">
        <f t="shared" si="790"/>
        <v>1.6497239718958466E-2</v>
      </c>
      <c r="DD380" s="9">
        <f t="shared" si="791"/>
        <v>0.31385510490009044</v>
      </c>
    </row>
    <row r="381" spans="2:108" x14ac:dyDescent="0.25">
      <c r="B381">
        <v>114</v>
      </c>
      <c r="C381">
        <f t="shared" si="699"/>
        <v>0.11144807196335867</v>
      </c>
      <c r="D381" s="4">
        <f t="shared" si="700"/>
        <v>1018.1367143533397</v>
      </c>
      <c r="E381" s="6">
        <f t="shared" si="647"/>
        <v>5.53627342870668E-6</v>
      </c>
      <c r="F381" s="8">
        <f t="shared" si="701"/>
        <v>27.597572215063405</v>
      </c>
      <c r="G381" s="7">
        <f t="shared" si="583"/>
        <v>1.3855595778050974E-2</v>
      </c>
      <c r="H381" s="9">
        <f t="shared" si="702"/>
        <v>0.42998640522592196</v>
      </c>
      <c r="I381" s="4">
        <f t="shared" si="703"/>
        <v>1017.812314951659</v>
      </c>
      <c r="J381" s="6">
        <f t="shared" si="650"/>
        <v>5.5356246299033186E-6</v>
      </c>
      <c r="K381" s="8">
        <f t="shared" si="704"/>
        <v>27.59384162194408</v>
      </c>
      <c r="L381" s="7">
        <f t="shared" si="651"/>
        <v>1.3853972033473251E-2</v>
      </c>
      <c r="M381" s="9">
        <f t="shared" si="705"/>
        <v>0.43004453791895969</v>
      </c>
      <c r="N381" s="4">
        <f t="shared" si="706"/>
        <v>1016.9068406394765</v>
      </c>
      <c r="O381" s="6">
        <f t="shared" si="654"/>
        <v>5.5338136812789536E-6</v>
      </c>
      <c r="P381" s="8">
        <f t="shared" si="655"/>
        <v>27.583428667353978</v>
      </c>
      <c r="Q381" s="7">
        <f t="shared" si="584"/>
        <v>1.3855595778050974E-2</v>
      </c>
      <c r="R381" s="9">
        <f t="shared" si="707"/>
        <v>0.4302068830102489</v>
      </c>
      <c r="S381" s="4">
        <f t="shared" si="708"/>
        <v>1015.4055827231388</v>
      </c>
      <c r="T381" s="6">
        <f t="shared" si="658"/>
        <v>5.5308111654462782E-6</v>
      </c>
      <c r="U381" s="8">
        <f t="shared" si="659"/>
        <v>27.566164201316095</v>
      </c>
      <c r="V381" s="7">
        <f t="shared" si="660"/>
        <v>1.3841925407043466E-2</v>
      </c>
      <c r="W381" s="9">
        <f t="shared" si="709"/>
        <v>0.43047631810708548</v>
      </c>
      <c r="X381" s="4">
        <f t="shared" si="710"/>
        <v>1013.3063618640412</v>
      </c>
      <c r="Y381" s="6">
        <f t="shared" si="663"/>
        <v>5.5266127237280835E-6</v>
      </c>
      <c r="Z381" s="8">
        <f t="shared" si="664"/>
        <v>27.542023161436472</v>
      </c>
      <c r="AA381" s="7">
        <f t="shared" si="665"/>
        <v>1.383141799405274E-2</v>
      </c>
      <c r="AB381" s="9">
        <f t="shared" si="711"/>
        <v>0.43085363773613899</v>
      </c>
      <c r="AC381" s="4">
        <f t="shared" si="712"/>
        <v>1010.6077842627041</v>
      </c>
      <c r="AD381" s="6">
        <f t="shared" si="713"/>
        <v>5.5212155685254089E-6</v>
      </c>
      <c r="AE381" s="8">
        <f t="shared" si="714"/>
        <v>27.510989519021095</v>
      </c>
      <c r="AF381" s="7">
        <f t="shared" si="715"/>
        <v>1.3817910568561088E-2</v>
      </c>
      <c r="AG381" s="9">
        <f t="shared" si="716"/>
        <v>0.43133966015702002</v>
      </c>
      <c r="AH381" s="4">
        <f t="shared" si="717"/>
        <v>1007.3096484921897</v>
      </c>
      <c r="AI381" s="6">
        <f t="shared" si="718"/>
        <v>5.5146192969843796E-6</v>
      </c>
      <c r="AJ381" s="8">
        <f t="shared" si="719"/>
        <v>27.473060957660181</v>
      </c>
      <c r="AK381" s="7">
        <f t="shared" si="720"/>
        <v>1.3801402122348721E-2</v>
      </c>
      <c r="AL381" s="9">
        <f t="shared" si="721"/>
        <v>0.43193515596991378</v>
      </c>
      <c r="AM381" s="4">
        <f t="shared" si="722"/>
        <v>1003.4119188631344</v>
      </c>
      <c r="AN381" s="6">
        <f t="shared" si="723"/>
        <v>5.5068238377262693E-6</v>
      </c>
      <c r="AO381" s="8">
        <f t="shared" si="724"/>
        <v>27.428237066926044</v>
      </c>
      <c r="AP381" s="7">
        <f t="shared" si="725"/>
        <v>1.378189247677656E-2</v>
      </c>
      <c r="AQ381" s="9">
        <f t="shared" si="726"/>
        <v>0.43264103488543376</v>
      </c>
      <c r="AR381" s="4">
        <f t="shared" si="727"/>
        <v>998.91459308948959</v>
      </c>
      <c r="AS381" s="6">
        <f t="shared" si="728"/>
        <v>5.4978291861789797E-6</v>
      </c>
      <c r="AT381" s="8">
        <f t="shared" si="729"/>
        <v>27.376517820529131</v>
      </c>
      <c r="AU381" s="7">
        <f t="shared" si="730"/>
        <v>1.3759381620402043E-2</v>
      </c>
      <c r="AV381" s="9">
        <f t="shared" si="731"/>
        <v>0.4334583728840552</v>
      </c>
      <c r="AW381" s="4">
        <f t="shared" si="732"/>
        <v>993.81765982933098</v>
      </c>
      <c r="AX381" s="6">
        <f t="shared" si="733"/>
        <v>5.4876353196586627E-6</v>
      </c>
      <c r="AY381" s="8">
        <f t="shared" si="734"/>
        <v>27.317903088037305</v>
      </c>
      <c r="AZ381" s="7">
        <f t="shared" si="735"/>
        <v>1.3733869496454451E-2</v>
      </c>
      <c r="BA381" s="9">
        <f t="shared" si="736"/>
        <v>0.43438842401173738</v>
      </c>
      <c r="BB381" s="4">
        <f t="shared" si="737"/>
        <v>988.12101309974844</v>
      </c>
      <c r="BC381" s="6">
        <f t="shared" si="738"/>
        <v>5.4762420261994974E-6</v>
      </c>
      <c r="BD381" s="8">
        <f t="shared" si="739"/>
        <v>27.252391650647105</v>
      </c>
      <c r="BE381" s="7">
        <f t="shared" si="740"/>
        <v>1.3705355574448293E-2</v>
      </c>
      <c r="BF381" s="9">
        <f t="shared" si="741"/>
        <v>0.43543264098936901</v>
      </c>
      <c r="BG381" s="4">
        <f t="shared" si="742"/>
        <v>981.8238893446927</v>
      </c>
      <c r="BH381" s="6">
        <f t="shared" si="743"/>
        <v>5.4636477786893857E-6</v>
      </c>
      <c r="BI381" s="8">
        <f t="shared" si="744"/>
        <v>27.179974727463964</v>
      </c>
      <c r="BJ381" s="7">
        <f t="shared" si="745"/>
        <v>1.3673836032489979E-2</v>
      </c>
      <c r="BK381" s="9">
        <f t="shared" si="746"/>
        <v>0.43659278526581297</v>
      </c>
      <c r="BL381" s="4">
        <f t="shared" si="747"/>
        <v>974.92136083987236</v>
      </c>
      <c r="BM381" s="6">
        <f t="shared" si="748"/>
        <v>5.4498427216797458E-6</v>
      </c>
      <c r="BN381" s="8">
        <f t="shared" si="749"/>
        <v>27.10059564965853</v>
      </c>
      <c r="BO381" s="7">
        <f t="shared" si="750"/>
        <v>1.3639286205411947E-2</v>
      </c>
      <c r="BP381" s="9">
        <f t="shared" si="751"/>
        <v>0.43787158862197995</v>
      </c>
      <c r="BQ381" s="4">
        <f t="shared" si="752"/>
        <v>967.38497173554526</v>
      </c>
      <c r="BR381" s="6">
        <f t="shared" si="753"/>
        <v>5.4347699434710909E-6</v>
      </c>
      <c r="BS381" s="8">
        <f t="shared" si="754"/>
        <v>27.01392717495877</v>
      </c>
      <c r="BT381" s="7">
        <f t="shared" si="755"/>
        <v>1.3601563660671209E-2</v>
      </c>
      <c r="BU381" s="9">
        <f t="shared" si="756"/>
        <v>0.43927640704969101</v>
      </c>
      <c r="BV381" s="4">
        <f t="shared" si="757"/>
        <v>959.06957438051518</v>
      </c>
      <c r="BW381" s="6">
        <f t="shared" si="758"/>
        <v>5.4181391487610311E-6</v>
      </c>
      <c r="BX381" s="8">
        <f t="shared" si="759"/>
        <v>26.918300105375923</v>
      </c>
      <c r="BY381" s="7">
        <f t="shared" si="760"/>
        <v>1.3559941878088091E-2</v>
      </c>
      <c r="BZ381" s="9">
        <f t="shared" si="761"/>
        <v>0.44083693335999302</v>
      </c>
      <c r="CA381" s="4">
        <f t="shared" si="762"/>
        <v>949.33234019501253</v>
      </c>
      <c r="CB381" s="6">
        <f t="shared" si="763"/>
        <v>5.3986646803900251E-6</v>
      </c>
      <c r="CC381" s="8">
        <f t="shared" si="764"/>
        <v>26.806321912242645</v>
      </c>
      <c r="CD381" s="7">
        <f t="shared" si="765"/>
        <v>1.3511203251787233E-2</v>
      </c>
      <c r="CE381" s="9">
        <f t="shared" si="766"/>
        <v>0.44267844385985472</v>
      </c>
      <c r="CF381" s="4">
        <f t="shared" si="767"/>
        <v>935.75787196583053</v>
      </c>
      <c r="CG381" s="6">
        <f t="shared" si="768"/>
        <v>5.3715157439316611E-6</v>
      </c>
      <c r="CH381" s="8">
        <f t="shared" si="769"/>
        <v>26.650215527607052</v>
      </c>
      <c r="CI381" s="7">
        <f t="shared" si="770"/>
        <v>1.3443257783736361E-2</v>
      </c>
      <c r="CJ381" s="9">
        <f t="shared" si="771"/>
        <v>0.44527147847736037</v>
      </c>
      <c r="CK381" s="4">
        <f t="shared" si="772"/>
        <v>910.89541845244048</v>
      </c>
      <c r="CL381" s="6">
        <f t="shared" si="773"/>
        <v>5.3217908369048817E-6</v>
      </c>
      <c r="CM381" s="8">
        <f t="shared" si="774"/>
        <v>26.364297312203064</v>
      </c>
      <c r="CN381" s="7">
        <f t="shared" si="775"/>
        <v>1.3318811579852754E-2</v>
      </c>
      <c r="CO381" s="9">
        <f t="shared" si="776"/>
        <v>0.45010040393624656</v>
      </c>
      <c r="CP381" s="4">
        <f t="shared" si="777"/>
        <v>856.81467926510084</v>
      </c>
      <c r="CQ381" s="6">
        <f t="shared" si="778"/>
        <v>5.2136293585302023E-6</v>
      </c>
      <c r="CR381" s="8">
        <f t="shared" si="779"/>
        <v>25.742368811548658</v>
      </c>
      <c r="CS381" s="7">
        <f t="shared" si="780"/>
        <v>1.3048116546015516E-2</v>
      </c>
      <c r="CT381" s="9">
        <f t="shared" si="781"/>
        <v>0.46097470503158433</v>
      </c>
      <c r="CU381" s="4">
        <f t="shared" si="782"/>
        <v>742.82043288170269</v>
      </c>
      <c r="CV381" s="6">
        <f t="shared" si="783"/>
        <v>4.9856408657634059E-6</v>
      </c>
      <c r="CW381" s="8">
        <f t="shared" si="784"/>
        <v>24.431434978139578</v>
      </c>
      <c r="CX381" s="7">
        <f t="shared" si="785"/>
        <v>1.2477531216641389E-2</v>
      </c>
      <c r="CY381" s="9">
        <f t="shared" si="786"/>
        <v>0.48570953283487905</v>
      </c>
      <c r="CZ381" s="5">
        <f t="shared" si="787"/>
        <v>539.69981987246535</v>
      </c>
      <c r="DA381" s="6">
        <f t="shared" si="788"/>
        <v>6.6102964045590766E-6</v>
      </c>
      <c r="DB381" s="8">
        <f t="shared" si="789"/>
        <v>37.8437052236985</v>
      </c>
      <c r="DC381" s="7">
        <f t="shared" si="790"/>
        <v>1.6543546147804764E-2</v>
      </c>
      <c r="DD381" s="9">
        <f t="shared" si="791"/>
        <v>0.31356815617216055</v>
      </c>
    </row>
    <row r="382" spans="2:108" x14ac:dyDescent="0.25">
      <c r="B382">
        <v>115</v>
      </c>
      <c r="C382">
        <f t="shared" si="699"/>
        <v>0.11242568662970392</v>
      </c>
      <c r="D382" s="4">
        <f t="shared" si="700"/>
        <v>1018.1201521586469</v>
      </c>
      <c r="E382" s="6">
        <f t="shared" si="647"/>
        <v>5.5362403043172944E-6</v>
      </c>
      <c r="F382" s="8">
        <f t="shared" si="701"/>
        <v>27.597381749824436</v>
      </c>
      <c r="G382" s="7">
        <f t="shared" si="583"/>
        <v>1.385551287785545E-2</v>
      </c>
      <c r="H382" s="9">
        <f t="shared" si="702"/>
        <v>0.42998937280683841</v>
      </c>
      <c r="I382" s="4">
        <f t="shared" si="703"/>
        <v>1017.7957435952133</v>
      </c>
      <c r="J382" s="6">
        <f t="shared" si="650"/>
        <v>5.5355914871904267E-6</v>
      </c>
      <c r="K382" s="8">
        <f t="shared" si="704"/>
        <v>27.593651051344949</v>
      </c>
      <c r="L382" s="7">
        <f t="shared" si="651"/>
        <v>1.3853889087419604E-2</v>
      </c>
      <c r="M382" s="9">
        <f t="shared" si="705"/>
        <v>0.43004750794438662</v>
      </c>
      <c r="N382" s="4">
        <f t="shared" si="706"/>
        <v>1016.8902510691652</v>
      </c>
      <c r="O382" s="6">
        <f t="shared" si="654"/>
        <v>5.5337805021383307E-6</v>
      </c>
      <c r="P382" s="8">
        <f t="shared" si="655"/>
        <v>27.583237887295397</v>
      </c>
      <c r="Q382" s="7">
        <f t="shared" si="584"/>
        <v>1.385551287785545E-2</v>
      </c>
      <c r="R382" s="9">
        <f t="shared" si="707"/>
        <v>0.43020985854541549</v>
      </c>
      <c r="S382" s="4">
        <f t="shared" si="708"/>
        <v>1015.388983226545</v>
      </c>
      <c r="T382" s="6">
        <f t="shared" si="658"/>
        <v>5.5307779664530902E-6</v>
      </c>
      <c r="U382" s="8">
        <f t="shared" si="659"/>
        <v>27.565973307105267</v>
      </c>
      <c r="V382" s="7">
        <f t="shared" si="660"/>
        <v>1.3841842320137488E-2</v>
      </c>
      <c r="W382" s="9">
        <f t="shared" si="709"/>
        <v>0.4304792991531784</v>
      </c>
      <c r="X382" s="4">
        <f t="shared" si="710"/>
        <v>1013.2897643662999</v>
      </c>
      <c r="Y382" s="6">
        <f t="shared" si="663"/>
        <v>5.5265795287326005E-6</v>
      </c>
      <c r="Z382" s="8">
        <f t="shared" si="664"/>
        <v>27.541832290212447</v>
      </c>
      <c r="AA382" s="7">
        <f t="shared" si="665"/>
        <v>1.3831334917151791E-2</v>
      </c>
      <c r="AB382" s="9">
        <f t="shared" si="711"/>
        <v>0.4308566236508139</v>
      </c>
      <c r="AC382" s="4">
        <f t="shared" si="712"/>
        <v>1010.591197317759</v>
      </c>
      <c r="AD382" s="6">
        <f t="shared" si="713"/>
        <v>5.5211823946355179E-6</v>
      </c>
      <c r="AE382" s="8">
        <f t="shared" si="714"/>
        <v>27.510798769154228</v>
      </c>
      <c r="AF382" s="7">
        <f t="shared" si="715"/>
        <v>1.3817827544480969E-2</v>
      </c>
      <c r="AG382" s="9">
        <f t="shared" si="716"/>
        <v>0.43134265090924934</v>
      </c>
      <c r="AH382" s="4">
        <f t="shared" si="717"/>
        <v>1007.2930774720619</v>
      </c>
      <c r="AI382" s="6">
        <f t="shared" si="718"/>
        <v>5.514586154944125E-6</v>
      </c>
      <c r="AJ382" s="8">
        <f t="shared" si="719"/>
        <v>27.472870390928712</v>
      </c>
      <c r="AK382" s="7">
        <f t="shared" si="720"/>
        <v>1.380131917797848E-2</v>
      </c>
      <c r="AL382" s="9">
        <f t="shared" si="721"/>
        <v>0.43193815210645531</v>
      </c>
      <c r="AM382" s="4">
        <f t="shared" si="722"/>
        <v>1003.3953677282843</v>
      </c>
      <c r="AN382" s="6">
        <f t="shared" si="723"/>
        <v>5.5067907354565697E-6</v>
      </c>
      <c r="AO382" s="8">
        <f t="shared" si="724"/>
        <v>27.42804672887527</v>
      </c>
      <c r="AP382" s="7">
        <f t="shared" si="725"/>
        <v>1.3781809631939831E-2</v>
      </c>
      <c r="AQ382" s="9">
        <f t="shared" si="726"/>
        <v>0.43264403721556977</v>
      </c>
      <c r="AR382" s="4">
        <f t="shared" si="727"/>
        <v>998.89806527253381</v>
      </c>
      <c r="AS382" s="6">
        <f t="shared" si="728"/>
        <v>5.4977961305450685E-6</v>
      </c>
      <c r="AT382" s="8">
        <f t="shared" si="729"/>
        <v>27.37632775063414</v>
      </c>
      <c r="AU382" s="7">
        <f t="shared" si="730"/>
        <v>1.37592988922804E-2</v>
      </c>
      <c r="AV382" s="9">
        <f t="shared" si="731"/>
        <v>0.43346138232301895</v>
      </c>
      <c r="AW382" s="4">
        <f t="shared" si="732"/>
        <v>993.80115752061124</v>
      </c>
      <c r="AX382" s="6">
        <f t="shared" si="733"/>
        <v>5.4876023150412232E-6</v>
      </c>
      <c r="AY382" s="8">
        <f t="shared" si="734"/>
        <v>27.317713311487026</v>
      </c>
      <c r="AZ382" s="7">
        <f t="shared" si="735"/>
        <v>1.3733786896011404E-2</v>
      </c>
      <c r="BA382" s="9">
        <f t="shared" si="736"/>
        <v>0.43439144171441441</v>
      </c>
      <c r="BB382" s="4">
        <f t="shared" si="737"/>
        <v>988.10453028184884</v>
      </c>
      <c r="BC382" s="6">
        <f t="shared" si="738"/>
        <v>5.4762090605636983E-6</v>
      </c>
      <c r="BD382" s="8">
        <f t="shared" si="739"/>
        <v>27.252202098241263</v>
      </c>
      <c r="BE382" s="7">
        <f t="shared" si="740"/>
        <v>1.3705273071564345E-2</v>
      </c>
      <c r="BF382" s="9">
        <f t="shared" si="741"/>
        <v>0.43543566963653613</v>
      </c>
      <c r="BG382" s="4">
        <f t="shared" si="742"/>
        <v>981.80736916006606</v>
      </c>
      <c r="BH382" s="6">
        <f t="shared" si="743"/>
        <v>5.4636147383201331E-6</v>
      </c>
      <c r="BI382" s="8">
        <f t="shared" si="744"/>
        <v>27.179784745340761</v>
      </c>
      <c r="BJ382" s="7">
        <f t="shared" si="745"/>
        <v>1.3673753342571097E-2</v>
      </c>
      <c r="BK382" s="9">
        <f t="shared" si="746"/>
        <v>0.43659583697593862</v>
      </c>
      <c r="BL382" s="4">
        <f t="shared" si="747"/>
        <v>974.90446716146778</v>
      </c>
      <c r="BM382" s="6">
        <f t="shared" si="748"/>
        <v>5.4498089343229359E-6</v>
      </c>
      <c r="BN382" s="8">
        <f t="shared" si="749"/>
        <v>27.100401372356878</v>
      </c>
      <c r="BO382" s="7">
        <f t="shared" si="750"/>
        <v>1.3639201646012128E-2</v>
      </c>
      <c r="BP382" s="9">
        <f t="shared" si="751"/>
        <v>0.43787472763492435</v>
      </c>
      <c r="BQ382" s="4">
        <f t="shared" si="752"/>
        <v>967.36603108062354</v>
      </c>
      <c r="BR382" s="6">
        <f t="shared" si="753"/>
        <v>5.4347320621612474E-6</v>
      </c>
      <c r="BS382" s="8">
        <f t="shared" si="754"/>
        <v>27.013709357427167</v>
      </c>
      <c r="BT382" s="7">
        <f t="shared" si="755"/>
        <v>1.3601468855361558E-2</v>
      </c>
      <c r="BU382" s="9">
        <f t="shared" si="756"/>
        <v>0.43927994903281553</v>
      </c>
      <c r="BV382" s="4">
        <f t="shared" si="757"/>
        <v>959.04146594308895</v>
      </c>
      <c r="BW382" s="6">
        <f t="shared" si="758"/>
        <v>5.4180829318861784E-6</v>
      </c>
      <c r="BX382" s="8">
        <f t="shared" si="759"/>
        <v>26.917976858345522</v>
      </c>
      <c r="BY382" s="7">
        <f t="shared" si="760"/>
        <v>1.3559801184478228E-2</v>
      </c>
      <c r="BZ382" s="9">
        <f t="shared" si="761"/>
        <v>0.44084222719133664</v>
      </c>
      <c r="CA382" s="4">
        <f t="shared" si="762"/>
        <v>949.26977132928141</v>
      </c>
      <c r="CB382" s="6">
        <f t="shared" si="763"/>
        <v>5.3985395426585636E-6</v>
      </c>
      <c r="CC382" s="8">
        <f t="shared" si="764"/>
        <v>26.805602370286735</v>
      </c>
      <c r="CD382" s="7">
        <f t="shared" si="765"/>
        <v>1.3510890070394362E-2</v>
      </c>
      <c r="CE382" s="9">
        <f t="shared" si="766"/>
        <v>0.44269032666364078</v>
      </c>
      <c r="CF382" s="4">
        <f t="shared" si="767"/>
        <v>935.58913258052974</v>
      </c>
      <c r="CG382" s="6">
        <f t="shared" si="768"/>
        <v>5.3711782651610597E-6</v>
      </c>
      <c r="CH382" s="8">
        <f t="shared" si="769"/>
        <v>26.648275024676089</v>
      </c>
      <c r="CI382" s="7">
        <f t="shared" si="770"/>
        <v>1.3442413177795315E-2</v>
      </c>
      <c r="CJ382" s="9">
        <f t="shared" si="771"/>
        <v>0.4453039027377772</v>
      </c>
      <c r="CK382" s="4">
        <f t="shared" si="772"/>
        <v>910.47144280130385</v>
      </c>
      <c r="CL382" s="6">
        <f t="shared" si="773"/>
        <v>5.3209428856026087E-6</v>
      </c>
      <c r="CM382" s="8">
        <f t="shared" si="774"/>
        <v>26.359421592214993</v>
      </c>
      <c r="CN382" s="7">
        <f t="shared" si="775"/>
        <v>1.3316689417601366E-2</v>
      </c>
      <c r="CO382" s="9">
        <f t="shared" si="776"/>
        <v>0.45018365931149951</v>
      </c>
      <c r="CP382" s="4">
        <f t="shared" si="777"/>
        <v>855.95465740947077</v>
      </c>
      <c r="CQ382" s="6">
        <f t="shared" si="778"/>
        <v>5.2119093148189425E-6</v>
      </c>
      <c r="CR382" s="8">
        <f t="shared" si="779"/>
        <v>25.732478560208911</v>
      </c>
      <c r="CS382" s="7">
        <f t="shared" si="780"/>
        <v>1.3043811803720776E-2</v>
      </c>
      <c r="CT382" s="9">
        <f t="shared" si="781"/>
        <v>0.46115188017945674</v>
      </c>
      <c r="CU382" s="4">
        <f t="shared" si="782"/>
        <v>741.54903305115738</v>
      </c>
      <c r="CV382" s="6">
        <f t="shared" si="783"/>
        <v>4.983098066102315E-6</v>
      </c>
      <c r="CW382" s="8">
        <f t="shared" si="784"/>
        <v>24.416813880088309</v>
      </c>
      <c r="CX382" s="7">
        <f t="shared" si="785"/>
        <v>1.2471167368341203E-2</v>
      </c>
      <c r="CY382" s="9">
        <f t="shared" si="786"/>
        <v>0.4860003818677992</v>
      </c>
      <c r="CZ382" s="5">
        <f t="shared" si="787"/>
        <v>538.5159591486854</v>
      </c>
      <c r="DA382" s="6">
        <f t="shared" si="788"/>
        <v>6.6286344435006719E-6</v>
      </c>
      <c r="DB382" s="8">
        <f t="shared" si="789"/>
        <v>37.878037184688118</v>
      </c>
      <c r="DC382" s="7">
        <f t="shared" si="790"/>
        <v>1.6589440639507329E-2</v>
      </c>
      <c r="DD382" s="9">
        <f t="shared" si="791"/>
        <v>0.31328394372332646</v>
      </c>
    </row>
    <row r="383" spans="2:108" x14ac:dyDescent="0.25">
      <c r="B383">
        <v>116</v>
      </c>
      <c r="C383">
        <f t="shared" si="699"/>
        <v>0.11340330129604917</v>
      </c>
      <c r="D383" s="4">
        <f t="shared" si="700"/>
        <v>1018.1035894962013</v>
      </c>
      <c r="E383" s="6">
        <f t="shared" si="647"/>
        <v>5.5362071789924025E-6</v>
      </c>
      <c r="F383" s="8">
        <f t="shared" si="701"/>
        <v>27.597191279206314</v>
      </c>
      <c r="G383" s="7">
        <f t="shared" si="583"/>
        <v>1.3855429975318639E-2</v>
      </c>
      <c r="H383" s="9">
        <f t="shared" si="702"/>
        <v>0.42999234051252977</v>
      </c>
      <c r="I383" s="4">
        <f t="shared" si="703"/>
        <v>1017.7791720228486</v>
      </c>
      <c r="J383" s="6">
        <f t="shared" si="650"/>
        <v>5.5355583440456979E-6</v>
      </c>
      <c r="K383" s="8">
        <f t="shared" si="704"/>
        <v>27.593460478262756</v>
      </c>
      <c r="L383" s="7">
        <f t="shared" si="651"/>
        <v>1.3853806140285203E-2</v>
      </c>
      <c r="M383" s="9">
        <f t="shared" si="705"/>
        <v>0.43005047804953678</v>
      </c>
      <c r="N383" s="4">
        <f t="shared" si="706"/>
        <v>1016.8736616155328</v>
      </c>
      <c r="O383" s="6">
        <f t="shared" si="654"/>
        <v>5.5337473232310662E-6</v>
      </c>
      <c r="P383" s="8">
        <f t="shared" si="655"/>
        <v>27.583047108578626</v>
      </c>
      <c r="Q383" s="7">
        <f t="shared" si="584"/>
        <v>1.3855429975318639E-2</v>
      </c>
      <c r="R383" s="9">
        <f t="shared" si="707"/>
        <v>0.4302128341008149</v>
      </c>
      <c r="S383" s="4">
        <f t="shared" si="708"/>
        <v>1015.3723839761935</v>
      </c>
      <c r="T383" s="6">
        <f t="shared" si="658"/>
        <v>5.5307447679523875E-6</v>
      </c>
      <c r="U383" s="8">
        <f t="shared" si="659"/>
        <v>27.565782415726225</v>
      </c>
      <c r="V383" s="7">
        <f t="shared" si="660"/>
        <v>1.3841759234464047E-2</v>
      </c>
      <c r="W383" s="9">
        <f t="shared" si="709"/>
        <v>0.43048228019633633</v>
      </c>
      <c r="X383" s="4">
        <f t="shared" si="710"/>
        <v>1013.2731671083039</v>
      </c>
      <c r="Y383" s="6">
        <f t="shared" si="663"/>
        <v>5.5265463342166084E-6</v>
      </c>
      <c r="Z383" s="8">
        <f t="shared" si="664"/>
        <v>27.541641421745496</v>
      </c>
      <c r="AA383" s="7">
        <f t="shared" si="665"/>
        <v>1.383125184145086E-2</v>
      </c>
      <c r="AB383" s="9">
        <f t="shared" si="711"/>
        <v>0.43085960956374381</v>
      </c>
      <c r="AC383" s="4">
        <f t="shared" si="712"/>
        <v>1010.5746105833645</v>
      </c>
      <c r="AD383" s="6">
        <f t="shared" si="713"/>
        <v>5.5211492211667292E-6</v>
      </c>
      <c r="AE383" s="8">
        <f t="shared" si="714"/>
        <v>27.510608021708691</v>
      </c>
      <c r="AF383" s="7">
        <f t="shared" si="715"/>
        <v>1.3817744521454737E-2</v>
      </c>
      <c r="AG383" s="9">
        <f t="shared" si="716"/>
        <v>0.4313456416649879</v>
      </c>
      <c r="AH383" s="4">
        <f t="shared" si="717"/>
        <v>1007.2765066474586</v>
      </c>
      <c r="AI383" s="6">
        <f t="shared" si="718"/>
        <v>5.5145530132949176E-6</v>
      </c>
      <c r="AJ383" s="8">
        <f t="shared" si="719"/>
        <v>27.472679826445773</v>
      </c>
      <c r="AK383" s="7">
        <f t="shared" si="720"/>
        <v>1.3801236234586909E-2</v>
      </c>
      <c r="AL383" s="9">
        <f t="shared" si="721"/>
        <v>0.43194114824921015</v>
      </c>
      <c r="AM383" s="4">
        <f t="shared" si="722"/>
        <v>1003.3788167828677</v>
      </c>
      <c r="AN383" s="6">
        <f t="shared" si="723"/>
        <v>5.5067576335657353E-6</v>
      </c>
      <c r="AO383" s="8">
        <f t="shared" si="724"/>
        <v>27.427856393002976</v>
      </c>
      <c r="AP383" s="7">
        <f t="shared" si="725"/>
        <v>1.3781726788051282E-2</v>
      </c>
      <c r="AQ383" s="9">
        <f t="shared" si="726"/>
        <v>0.43264703955301226</v>
      </c>
      <c r="AR383" s="4">
        <f t="shared" si="727"/>
        <v>998.88153762717195</v>
      </c>
      <c r="AS383" s="6">
        <f t="shared" si="728"/>
        <v>5.4977630752543446E-6</v>
      </c>
      <c r="AT383" s="8">
        <f t="shared" si="729"/>
        <v>27.376137682712475</v>
      </c>
      <c r="AU383" s="7">
        <f t="shared" si="730"/>
        <v>1.375921616501765E-2</v>
      </c>
      <c r="AV383" s="9">
        <f t="shared" si="731"/>
        <v>0.43346439177252621</v>
      </c>
      <c r="AW383" s="4">
        <f t="shared" si="732"/>
        <v>993.78465526271339</v>
      </c>
      <c r="AX383" s="6">
        <f t="shared" si="733"/>
        <v>5.4875693105254277E-6</v>
      </c>
      <c r="AY383" s="8">
        <f t="shared" si="734"/>
        <v>27.317523535521204</v>
      </c>
      <c r="AZ383" s="7">
        <f t="shared" si="735"/>
        <v>1.3733704295822739E-2</v>
      </c>
      <c r="BA383" s="9">
        <f t="shared" si="736"/>
        <v>0.43439445944972588</v>
      </c>
      <c r="BB383" s="4">
        <f t="shared" si="737"/>
        <v>988.08804676994328</v>
      </c>
      <c r="BC383" s="6">
        <f t="shared" si="738"/>
        <v>5.4761760935398867E-6</v>
      </c>
      <c r="BD383" s="8">
        <f t="shared" si="739"/>
        <v>27.252012537854348</v>
      </c>
      <c r="BE383" s="7">
        <f t="shared" si="740"/>
        <v>1.3705190565206627E-2</v>
      </c>
      <c r="BF383" s="9">
        <f t="shared" si="741"/>
        <v>0.43543869845335825</v>
      </c>
      <c r="BG383" s="4">
        <f t="shared" si="742"/>
        <v>981.79084421225537</v>
      </c>
      <c r="BH383" s="6">
        <f t="shared" si="743"/>
        <v>5.463581688424511E-6</v>
      </c>
      <c r="BI383" s="8">
        <f t="shared" si="744"/>
        <v>27.179594708440938</v>
      </c>
      <c r="BJ383" s="7">
        <f t="shared" si="745"/>
        <v>1.3673670628810633E-2</v>
      </c>
      <c r="BK383" s="9">
        <f t="shared" si="746"/>
        <v>0.43659888960862964</v>
      </c>
      <c r="BL383" s="4">
        <f t="shared" si="747"/>
        <v>974.88754932357301</v>
      </c>
      <c r="BM383" s="6">
        <f t="shared" si="748"/>
        <v>5.4497750986471467E-6</v>
      </c>
      <c r="BN383" s="8">
        <f t="shared" si="749"/>
        <v>27.100206817221089</v>
      </c>
      <c r="BO383" s="7">
        <f t="shared" si="750"/>
        <v>1.3639116965684711E-2</v>
      </c>
      <c r="BP383" s="9">
        <f t="shared" si="751"/>
        <v>0.43787787118204441</v>
      </c>
      <c r="BQ383" s="4">
        <f t="shared" si="752"/>
        <v>967.3469875387367</v>
      </c>
      <c r="BR383" s="6">
        <f t="shared" si="753"/>
        <v>5.4346939750774735E-6</v>
      </c>
      <c r="BS383" s="8">
        <f t="shared" si="754"/>
        <v>27.01349035669547</v>
      </c>
      <c r="BT383" s="7">
        <f t="shared" si="755"/>
        <v>1.3601373535062817E-2</v>
      </c>
      <c r="BU383" s="9">
        <f t="shared" si="756"/>
        <v>0.4392835103138269</v>
      </c>
      <c r="BV383" s="4">
        <f t="shared" si="757"/>
        <v>959.01299249494048</v>
      </c>
      <c r="BW383" s="6">
        <f t="shared" si="758"/>
        <v>5.4180259849898815E-6</v>
      </c>
      <c r="BX383" s="8">
        <f t="shared" si="759"/>
        <v>26.917649413691812</v>
      </c>
      <c r="BY383" s="7">
        <f t="shared" si="760"/>
        <v>1.3559658663848409E-2</v>
      </c>
      <c r="BZ383" s="9">
        <f t="shared" si="761"/>
        <v>0.44084758989698025</v>
      </c>
      <c r="CA383" s="4">
        <f t="shared" si="762"/>
        <v>949.20616719323323</v>
      </c>
      <c r="CB383" s="6">
        <f t="shared" si="763"/>
        <v>5.3984123343864672E-6</v>
      </c>
      <c r="CC383" s="8">
        <f t="shared" si="764"/>
        <v>26.804870922722181</v>
      </c>
      <c r="CD383" s="7">
        <f t="shared" si="765"/>
        <v>1.3510571707072809E-2</v>
      </c>
      <c r="CE383" s="9">
        <f t="shared" si="766"/>
        <v>0.44270240673528982</v>
      </c>
      <c r="CF383" s="4">
        <f t="shared" si="767"/>
        <v>935.41823061997468</v>
      </c>
      <c r="CG383" s="6">
        <f t="shared" si="768"/>
        <v>5.3708364612399504E-6</v>
      </c>
      <c r="CH383" s="8">
        <f t="shared" si="769"/>
        <v>26.646309652129709</v>
      </c>
      <c r="CI383" s="7">
        <f t="shared" si="770"/>
        <v>1.3441557747328012E-2</v>
      </c>
      <c r="CJ383" s="9">
        <f t="shared" si="771"/>
        <v>0.44533674736341816</v>
      </c>
      <c r="CK383" s="4">
        <f t="shared" si="772"/>
        <v>910.04479047176983</v>
      </c>
      <c r="CL383" s="6">
        <f t="shared" si="773"/>
        <v>5.3200895809435405E-6</v>
      </c>
      <c r="CM383" s="8">
        <f t="shared" si="774"/>
        <v>26.354515090425352</v>
      </c>
      <c r="CN383" s="7">
        <f t="shared" si="775"/>
        <v>1.3314553857538478E-2</v>
      </c>
      <c r="CO383" s="9">
        <f t="shared" si="776"/>
        <v>0.45026747139920065</v>
      </c>
      <c r="CP383" s="4">
        <f t="shared" si="777"/>
        <v>855.09478850085384</v>
      </c>
      <c r="CQ383" s="6">
        <f t="shared" si="778"/>
        <v>5.2101895770017079E-6</v>
      </c>
      <c r="CR383" s="8">
        <f t="shared" si="779"/>
        <v>25.722590067759818</v>
      </c>
      <c r="CS383" s="7">
        <f t="shared" si="780"/>
        <v>1.303950782698504E-2</v>
      </c>
      <c r="CT383" s="9">
        <f t="shared" si="781"/>
        <v>0.46132916002853208</v>
      </c>
      <c r="CU383" s="4">
        <f t="shared" si="782"/>
        <v>740.28444724517851</v>
      </c>
      <c r="CV383" s="6">
        <f t="shared" si="783"/>
        <v>4.9805688944903569E-6</v>
      </c>
      <c r="CW383" s="8">
        <f t="shared" si="784"/>
        <v>24.402271143319552</v>
      </c>
      <c r="CX383" s="7">
        <f t="shared" si="785"/>
        <v>1.2464837626871623E-2</v>
      </c>
      <c r="CY383" s="9">
        <f t="shared" si="786"/>
        <v>0.4862900178439552</v>
      </c>
      <c r="CZ383" s="5">
        <f t="shared" si="787"/>
        <v>537.34117128836363</v>
      </c>
      <c r="DA383" s="6">
        <f t="shared" si="788"/>
        <v>6.6468109448501343E-6</v>
      </c>
      <c r="DB383" s="8">
        <f t="shared" si="789"/>
        <v>37.912106032637453</v>
      </c>
      <c r="DC383" s="7">
        <f t="shared" si="790"/>
        <v>1.6634930852120651E-2</v>
      </c>
      <c r="DD383" s="9">
        <f t="shared" si="791"/>
        <v>0.31300241826455899</v>
      </c>
    </row>
    <row r="384" spans="2:108" x14ac:dyDescent="0.25">
      <c r="B384">
        <v>117</v>
      </c>
      <c r="C384">
        <f t="shared" si="699"/>
        <v>0.11438091596239441</v>
      </c>
      <c r="D384" s="4">
        <f t="shared" si="700"/>
        <v>1018.0870263788602</v>
      </c>
      <c r="E384" s="6">
        <f t="shared" si="647"/>
        <v>5.5361740527577209E-6</v>
      </c>
      <c r="F384" s="8">
        <f t="shared" si="701"/>
        <v>27.597000803356892</v>
      </c>
      <c r="G384" s="7">
        <f t="shared" si="583"/>
        <v>1.3855347070504903E-2</v>
      </c>
      <c r="H384" s="9">
        <f t="shared" si="702"/>
        <v>0.4299953083406966</v>
      </c>
      <c r="I384" s="4">
        <f t="shared" si="703"/>
        <v>1017.7626002397391</v>
      </c>
      <c r="J384" s="6">
        <f t="shared" si="650"/>
        <v>5.535525200479478E-6</v>
      </c>
      <c r="K384" s="8">
        <f t="shared" si="704"/>
        <v>27.593269902757001</v>
      </c>
      <c r="L384" s="7">
        <f t="shared" si="651"/>
        <v>1.3853723192095938E-2</v>
      </c>
      <c r="M384" s="9">
        <f t="shared" si="705"/>
        <v>0.4300534482334854</v>
      </c>
      <c r="N384" s="4">
        <f t="shared" si="706"/>
        <v>1016.8570722773683</v>
      </c>
      <c r="O384" s="6">
        <f t="shared" si="654"/>
        <v>5.5337141445547368E-6</v>
      </c>
      <c r="P384" s="8">
        <f t="shared" si="655"/>
        <v>27.582856331189735</v>
      </c>
      <c r="Q384" s="7">
        <f t="shared" si="584"/>
        <v>1.3855347070504903E-2</v>
      </c>
      <c r="R384" s="9">
        <f t="shared" si="707"/>
        <v>0.43021580967666434</v>
      </c>
      <c r="S384" s="4">
        <f t="shared" si="708"/>
        <v>1015.3557849704844</v>
      </c>
      <c r="T384" s="6">
        <f t="shared" si="658"/>
        <v>5.5307115699409691E-6</v>
      </c>
      <c r="U384" s="8">
        <f t="shared" si="659"/>
        <v>27.565591527160571</v>
      </c>
      <c r="V384" s="7">
        <f t="shared" si="660"/>
        <v>1.3841676150015135E-2</v>
      </c>
      <c r="W384" s="9">
        <f t="shared" si="709"/>
        <v>0.43048526123684572</v>
      </c>
      <c r="X384" s="4">
        <f t="shared" si="710"/>
        <v>1013.2565700896741</v>
      </c>
      <c r="Y384" s="6">
        <f t="shared" si="663"/>
        <v>5.5265131401793492E-6</v>
      </c>
      <c r="Z384" s="8">
        <f t="shared" si="664"/>
        <v>27.541450556031251</v>
      </c>
      <c r="AA384" s="7">
        <f t="shared" si="665"/>
        <v>1.3831168766948052E-2</v>
      </c>
      <c r="AB384" s="9">
        <f t="shared" si="711"/>
        <v>0.43086259547499606</v>
      </c>
      <c r="AC384" s="4">
        <f t="shared" si="712"/>
        <v>1010.5580240596524</v>
      </c>
      <c r="AD384" s="6">
        <f t="shared" si="713"/>
        <v>5.5211160481193056E-6</v>
      </c>
      <c r="AE384" s="8">
        <f t="shared" si="714"/>
        <v>27.510417276686002</v>
      </c>
      <c r="AF384" s="7">
        <f t="shared" si="715"/>
        <v>1.3817661499483054E-2</v>
      </c>
      <c r="AG384" s="9">
        <f t="shared" si="716"/>
        <v>0.43134863242421118</v>
      </c>
      <c r="AH384" s="4">
        <f t="shared" si="717"/>
        <v>1007.2599360184767</v>
      </c>
      <c r="AI384" s="6">
        <f t="shared" si="718"/>
        <v>5.5145198720369531E-6</v>
      </c>
      <c r="AJ384" s="8">
        <f t="shared" si="719"/>
        <v>27.472489264212481</v>
      </c>
      <c r="AK384" s="7">
        <f t="shared" si="720"/>
        <v>1.3801153292174502E-2</v>
      </c>
      <c r="AL384" s="9">
        <f t="shared" si="721"/>
        <v>0.43194414439816009</v>
      </c>
      <c r="AM384" s="4">
        <f t="shared" si="722"/>
        <v>1003.3622660266965</v>
      </c>
      <c r="AN384" s="6">
        <f t="shared" si="723"/>
        <v>5.5067245320533933E-6</v>
      </c>
      <c r="AO384" s="8">
        <f t="shared" si="724"/>
        <v>27.427666059307008</v>
      </c>
      <c r="AP384" s="7">
        <f t="shared" si="725"/>
        <v>1.3781643945109988E-2</v>
      </c>
      <c r="AQ384" s="9">
        <f t="shared" si="726"/>
        <v>0.43265004189779471</v>
      </c>
      <c r="AR384" s="4">
        <f t="shared" si="727"/>
        <v>998.865010151864</v>
      </c>
      <c r="AS384" s="6">
        <f t="shared" si="728"/>
        <v>5.497730020303729E-6</v>
      </c>
      <c r="AT384" s="8">
        <f t="shared" si="729"/>
        <v>27.375947616746437</v>
      </c>
      <c r="AU384" s="7">
        <f t="shared" si="730"/>
        <v>1.3759133438606085E-2</v>
      </c>
      <c r="AV384" s="9">
        <f t="shared" si="731"/>
        <v>0.43346740123285682</v>
      </c>
      <c r="AW384" s="4">
        <f t="shared" si="732"/>
        <v>993.76815304638887</v>
      </c>
      <c r="AX384" s="6">
        <f t="shared" si="733"/>
        <v>5.4875363060927787E-6</v>
      </c>
      <c r="AY384" s="8">
        <f t="shared" si="734"/>
        <v>27.31733376003347</v>
      </c>
      <c r="AZ384" s="7">
        <f t="shared" si="735"/>
        <v>1.3733621695842163E-2</v>
      </c>
      <c r="BA384" s="9">
        <f t="shared" si="736"/>
        <v>0.43439747721936384</v>
      </c>
      <c r="BB384" s="4">
        <f t="shared" si="737"/>
        <v>988.07156251508002</v>
      </c>
      <c r="BC384" s="6">
        <f t="shared" si="738"/>
        <v>5.4761431250301607E-6</v>
      </c>
      <c r="BD384" s="8">
        <f t="shared" si="739"/>
        <v>27.25182296892342</v>
      </c>
      <c r="BE384" s="7">
        <f t="shared" si="740"/>
        <v>1.370510805513012E-2</v>
      </c>
      <c r="BF384" s="9">
        <f t="shared" si="741"/>
        <v>0.43544172744883664</v>
      </c>
      <c r="BG384" s="4">
        <f t="shared" si="742"/>
        <v>981.77431427664567</v>
      </c>
      <c r="BH384" s="6">
        <f t="shared" si="743"/>
        <v>5.4635486285532913E-6</v>
      </c>
      <c r="BI384" s="8">
        <f t="shared" si="744"/>
        <v>27.179404614181422</v>
      </c>
      <c r="BJ384" s="7">
        <f t="shared" si="745"/>
        <v>1.3673587890084306E-2</v>
      </c>
      <c r="BK384" s="9">
        <f t="shared" si="746"/>
        <v>0.43660194320541745</v>
      </c>
      <c r="BL384" s="4">
        <f t="shared" si="747"/>
        <v>974.87060645933832</v>
      </c>
      <c r="BM384" s="6">
        <f t="shared" si="748"/>
        <v>5.4497412129186764E-6</v>
      </c>
      <c r="BN384" s="8">
        <f t="shared" si="749"/>
        <v>27.100011974282388</v>
      </c>
      <c r="BO384" s="7">
        <f t="shared" si="750"/>
        <v>1.3639032160090771E-2</v>
      </c>
      <c r="BP384" s="9">
        <f t="shared" si="751"/>
        <v>0.43788101942460955</v>
      </c>
      <c r="BQ384" s="4">
        <f t="shared" si="752"/>
        <v>967.32783843118887</v>
      </c>
      <c r="BR384" s="6">
        <f t="shared" si="753"/>
        <v>5.4346556768623782E-6</v>
      </c>
      <c r="BS384" s="8">
        <f t="shared" si="754"/>
        <v>27.013270141958671</v>
      </c>
      <c r="BT384" s="7">
        <f t="shared" si="755"/>
        <v>1.3601277686367078E-2</v>
      </c>
      <c r="BU384" s="9">
        <f t="shared" si="756"/>
        <v>0.43928709139461036</v>
      </c>
      <c r="BV384" s="4">
        <f t="shared" si="757"/>
        <v>958.98414803822573</v>
      </c>
      <c r="BW384" s="6">
        <f t="shared" si="758"/>
        <v>5.4179682960764513E-6</v>
      </c>
      <c r="BX384" s="8">
        <f t="shared" si="759"/>
        <v>26.917317702439597</v>
      </c>
      <c r="BY384" s="7">
        <f t="shared" si="760"/>
        <v>1.3559514286177101E-2</v>
      </c>
      <c r="BZ384" s="9">
        <f t="shared" si="761"/>
        <v>0.44085302261162501</v>
      </c>
      <c r="CA384" s="4">
        <f t="shared" si="762"/>
        <v>949.1415208077143</v>
      </c>
      <c r="CB384" s="6">
        <f t="shared" si="763"/>
        <v>5.398283041615429E-6</v>
      </c>
      <c r="CC384" s="8">
        <f t="shared" si="764"/>
        <v>26.804127489288714</v>
      </c>
      <c r="CD384" s="7">
        <f t="shared" si="765"/>
        <v>1.3510248126889206E-2</v>
      </c>
      <c r="CE384" s="9">
        <f t="shared" si="766"/>
        <v>0.44271468543267983</v>
      </c>
      <c r="CF384" s="4">
        <f t="shared" si="767"/>
        <v>935.2451738446116</v>
      </c>
      <c r="CG384" s="6">
        <f t="shared" si="768"/>
        <v>5.3704903476892234E-6</v>
      </c>
      <c r="CH384" s="8">
        <f t="shared" si="769"/>
        <v>26.644319499213033</v>
      </c>
      <c r="CI384" s="7">
        <f t="shared" si="770"/>
        <v>1.3440691531178479E-2</v>
      </c>
      <c r="CJ384" s="9">
        <f t="shared" si="771"/>
        <v>0.44537001104751017</v>
      </c>
      <c r="CK384" s="4">
        <f t="shared" si="772"/>
        <v>909.61550800986834</v>
      </c>
      <c r="CL384" s="6">
        <f t="shared" si="773"/>
        <v>5.3192310160197372E-6</v>
      </c>
      <c r="CM384" s="8">
        <f t="shared" si="774"/>
        <v>26.349578342113485</v>
      </c>
      <c r="CN384" s="7">
        <f t="shared" si="775"/>
        <v>1.3312405132644986E-2</v>
      </c>
      <c r="CO384" s="9">
        <f t="shared" si="776"/>
        <v>0.45035183165538606</v>
      </c>
      <c r="CP384" s="4">
        <f t="shared" si="777"/>
        <v>854.23512790001507</v>
      </c>
      <c r="CQ384" s="6">
        <f t="shared" si="778"/>
        <v>5.2084702558000306E-6</v>
      </c>
      <c r="CR384" s="8">
        <f t="shared" si="779"/>
        <v>25.712703970850171</v>
      </c>
      <c r="CS384" s="7">
        <f t="shared" si="780"/>
        <v>1.3035204892910371E-2</v>
      </c>
      <c r="CT384" s="9">
        <f t="shared" si="781"/>
        <v>0.4615065332362841</v>
      </c>
      <c r="CU384" s="4">
        <f t="shared" si="782"/>
        <v>739.02661681759287</v>
      </c>
      <c r="CV384" s="6">
        <f t="shared" si="783"/>
        <v>4.9780532336351865E-6</v>
      </c>
      <c r="CW384" s="8">
        <f t="shared" si="784"/>
        <v>24.387806093402318</v>
      </c>
      <c r="CX384" s="7">
        <f t="shared" si="785"/>
        <v>1.2458541698685857E-2</v>
      </c>
      <c r="CY384" s="9">
        <f t="shared" si="786"/>
        <v>0.48657844925740112</v>
      </c>
      <c r="CZ384" s="5">
        <f t="shared" si="787"/>
        <v>536.17531056758162</v>
      </c>
      <c r="DA384" s="6">
        <f t="shared" si="788"/>
        <v>6.664828880182815E-6</v>
      </c>
      <c r="DB384" s="8">
        <f t="shared" si="789"/>
        <v>37.945915993540126</v>
      </c>
      <c r="DC384" s="7">
        <f t="shared" si="790"/>
        <v>1.6680024222587183E-2</v>
      </c>
      <c r="DD384" s="9">
        <f t="shared" si="791"/>
        <v>0.31272353187463053</v>
      </c>
    </row>
    <row r="385" spans="2:108" x14ac:dyDescent="0.25">
      <c r="B385">
        <v>118</v>
      </c>
      <c r="C385">
        <f t="shared" si="699"/>
        <v>0.11535853062873967</v>
      </c>
      <c r="D385" s="4">
        <f t="shared" si="700"/>
        <v>1018.0704628190888</v>
      </c>
      <c r="E385" s="6">
        <f t="shared" si="647"/>
        <v>5.5361409256381779E-6</v>
      </c>
      <c r="F385" s="8">
        <f t="shared" si="701"/>
        <v>27.596810322419522</v>
      </c>
      <c r="G385" s="7">
        <f t="shared" si="583"/>
        <v>1.3855264163476629E-2</v>
      </c>
      <c r="H385" s="9">
        <f t="shared" si="702"/>
        <v>0.42999827628910947</v>
      </c>
      <c r="I385" s="4">
        <f t="shared" si="703"/>
        <v>1017.7460282509795</v>
      </c>
      <c r="J385" s="6">
        <f t="shared" si="650"/>
        <v>5.5354920565019599E-6</v>
      </c>
      <c r="K385" s="8">
        <f t="shared" si="704"/>
        <v>27.593079324886261</v>
      </c>
      <c r="L385" s="7">
        <f t="shared" si="651"/>
        <v>1.3853640242877319E-2</v>
      </c>
      <c r="M385" s="9">
        <f t="shared" si="705"/>
        <v>0.43005641849532183</v>
      </c>
      <c r="N385" s="4">
        <f t="shared" si="706"/>
        <v>1016.8404830535202</v>
      </c>
      <c r="O385" s="6">
        <f t="shared" si="654"/>
        <v>5.5336809661070411E-6</v>
      </c>
      <c r="P385" s="8">
        <f t="shared" si="655"/>
        <v>27.582665555115483</v>
      </c>
      <c r="Q385" s="7">
        <f t="shared" si="584"/>
        <v>1.3855264163476629E-2</v>
      </c>
      <c r="R385" s="9">
        <f t="shared" si="707"/>
        <v>0.43021878527317031</v>
      </c>
      <c r="S385" s="4">
        <f t="shared" si="708"/>
        <v>1015.3391862078417</v>
      </c>
      <c r="T385" s="6">
        <f t="shared" si="658"/>
        <v>5.5306783724156841E-6</v>
      </c>
      <c r="U385" s="8">
        <f t="shared" si="659"/>
        <v>27.565400641390177</v>
      </c>
      <c r="V385" s="7">
        <f t="shared" si="660"/>
        <v>1.3841593066782865E-2</v>
      </c>
      <c r="W385" s="9">
        <f t="shared" si="709"/>
        <v>0.4304882422749885</v>
      </c>
      <c r="X385" s="4">
        <f t="shared" si="710"/>
        <v>1013.2399733100245</v>
      </c>
      <c r="Y385" s="6">
        <f t="shared" si="663"/>
        <v>5.5264799466200495E-6</v>
      </c>
      <c r="Z385" s="8">
        <f t="shared" si="664"/>
        <v>27.541259693065282</v>
      </c>
      <c r="AA385" s="7">
        <f t="shared" si="665"/>
        <v>1.3831085693641427E-2</v>
      </c>
      <c r="AB385" s="9">
        <f t="shared" si="711"/>
        <v>0.43086558138463904</v>
      </c>
      <c r="AC385" s="4">
        <f t="shared" si="712"/>
        <v>1010.541437746748</v>
      </c>
      <c r="AD385" s="6">
        <f t="shared" si="713"/>
        <v>5.5210828754934968E-6</v>
      </c>
      <c r="AE385" s="8">
        <f t="shared" si="714"/>
        <v>27.5102265340876</v>
      </c>
      <c r="AF385" s="7">
        <f t="shared" si="715"/>
        <v>1.3817578478566545E-2</v>
      </c>
      <c r="AG385" s="9">
        <f t="shared" si="716"/>
        <v>0.43135162318689585</v>
      </c>
      <c r="AH385" s="4">
        <f t="shared" si="717"/>
        <v>1007.2433655852087</v>
      </c>
      <c r="AI385" s="6">
        <f t="shared" si="718"/>
        <v>5.5144867311704177E-6</v>
      </c>
      <c r="AJ385" s="8">
        <f t="shared" si="719"/>
        <v>27.4722987042299</v>
      </c>
      <c r="AK385" s="7">
        <f t="shared" si="720"/>
        <v>1.3801070350741721E-2</v>
      </c>
      <c r="AL385" s="9">
        <f t="shared" si="721"/>
        <v>0.43194714055328781</v>
      </c>
      <c r="AM385" s="4">
        <f t="shared" si="722"/>
        <v>1003.3457154595665</v>
      </c>
      <c r="AN385" s="6">
        <f t="shared" si="723"/>
        <v>5.506691430919133E-6</v>
      </c>
      <c r="AO385" s="8">
        <f t="shared" si="724"/>
        <v>27.427475727785016</v>
      </c>
      <c r="AP385" s="7">
        <f t="shared" si="725"/>
        <v>1.3781561103114915E-2</v>
      </c>
      <c r="AQ385" s="9">
        <f t="shared" si="726"/>
        <v>0.4326530442499536</v>
      </c>
      <c r="AR385" s="4">
        <f t="shared" si="727"/>
        <v>998.84848284497457</v>
      </c>
      <c r="AS385" s="6">
        <f t="shared" si="728"/>
        <v>5.4976969656899496E-6</v>
      </c>
      <c r="AT385" s="8">
        <f t="shared" si="729"/>
        <v>27.375757552717207</v>
      </c>
      <c r="AU385" s="7">
        <f t="shared" si="730"/>
        <v>1.375905071303752E-2</v>
      </c>
      <c r="AV385" s="9">
        <f t="shared" si="731"/>
        <v>0.43347041070430831</v>
      </c>
      <c r="AW385" s="4">
        <f t="shared" si="732"/>
        <v>993.75165086191282</v>
      </c>
      <c r="AX385" s="6">
        <f t="shared" si="733"/>
        <v>5.4875033017238265E-6</v>
      </c>
      <c r="AY385" s="8">
        <f t="shared" si="734"/>
        <v>27.317143984911997</v>
      </c>
      <c r="AZ385" s="7">
        <f t="shared" si="735"/>
        <v>1.3733539096021001E-2</v>
      </c>
      <c r="BA385" s="9">
        <f t="shared" si="736"/>
        <v>0.43440049502510708</v>
      </c>
      <c r="BB385" s="4">
        <f t="shared" si="737"/>
        <v>988.05507746629314</v>
      </c>
      <c r="BC385" s="6">
        <f t="shared" si="738"/>
        <v>5.4761101549325868E-6</v>
      </c>
      <c r="BD385" s="8">
        <f t="shared" si="739"/>
        <v>27.25163339086237</v>
      </c>
      <c r="BE385" s="7">
        <f t="shared" si="740"/>
        <v>1.3705025541079717E-2</v>
      </c>
      <c r="BF385" s="9">
        <f t="shared" si="741"/>
        <v>0.43544475663234306</v>
      </c>
      <c r="BG385" s="4">
        <f t="shared" si="742"/>
        <v>981.75777912172259</v>
      </c>
      <c r="BH385" s="6">
        <f t="shared" si="743"/>
        <v>5.4635155582434451E-6</v>
      </c>
      <c r="BI385" s="8">
        <f t="shared" si="744"/>
        <v>27.179214459899811</v>
      </c>
      <c r="BJ385" s="7">
        <f t="shared" si="745"/>
        <v>1.3673505125233293E-2</v>
      </c>
      <c r="BK385" s="9">
        <f t="shared" si="746"/>
        <v>0.43660499780911038</v>
      </c>
      <c r="BL385" s="4">
        <f t="shared" si="747"/>
        <v>974.85363768454022</v>
      </c>
      <c r="BM385" s="6">
        <f t="shared" si="748"/>
        <v>5.449707275369081E-6</v>
      </c>
      <c r="BN385" s="8">
        <f t="shared" si="749"/>
        <v>27.099816833372209</v>
      </c>
      <c r="BO385" s="7">
        <f t="shared" si="750"/>
        <v>1.3638947224804437E-2</v>
      </c>
      <c r="BP385" s="9">
        <f t="shared" si="751"/>
        <v>0.43788417252712708</v>
      </c>
      <c r="BQ385" s="4">
        <f t="shared" si="752"/>
        <v>967.30858105609343</v>
      </c>
      <c r="BR385" s="6">
        <f t="shared" si="753"/>
        <v>5.4346171621121876E-6</v>
      </c>
      <c r="BS385" s="8">
        <f t="shared" si="754"/>
        <v>27.013048682145076</v>
      </c>
      <c r="BT385" s="7">
        <f t="shared" si="755"/>
        <v>1.3601181295750357E-2</v>
      </c>
      <c r="BU385" s="9">
        <f t="shared" si="756"/>
        <v>0.43929069278142607</v>
      </c>
      <c r="BV385" s="4">
        <f t="shared" si="757"/>
        <v>958.95492660500815</v>
      </c>
      <c r="BW385" s="6">
        <f t="shared" si="758"/>
        <v>5.4179098532100162E-6</v>
      </c>
      <c r="BX385" s="8">
        <f t="shared" si="759"/>
        <v>26.916981655957592</v>
      </c>
      <c r="BY385" s="7">
        <f t="shared" si="760"/>
        <v>1.3559368021592473E-2</v>
      </c>
      <c r="BZ385" s="9">
        <f t="shared" si="761"/>
        <v>0.44085852646451701</v>
      </c>
      <c r="CA385" s="4">
        <f t="shared" si="762"/>
        <v>949.07582541375211</v>
      </c>
      <c r="CB385" s="6">
        <f t="shared" si="763"/>
        <v>5.3981516508275046E-6</v>
      </c>
      <c r="CC385" s="8">
        <f t="shared" si="764"/>
        <v>26.80337199225815</v>
      </c>
      <c r="CD385" s="7">
        <f t="shared" si="765"/>
        <v>1.3509919296012285E-2</v>
      </c>
      <c r="CE385" s="9">
        <f t="shared" si="766"/>
        <v>0.44272716407269302</v>
      </c>
      <c r="CF385" s="4">
        <f t="shared" si="767"/>
        <v>935.06997036473786</v>
      </c>
      <c r="CG385" s="6">
        <f t="shared" si="768"/>
        <v>5.3701399407294767E-6</v>
      </c>
      <c r="CH385" s="8">
        <f t="shared" si="769"/>
        <v>26.642304659194487</v>
      </c>
      <c r="CI385" s="7">
        <f t="shared" si="770"/>
        <v>1.3439814569941902E-2</v>
      </c>
      <c r="CJ385" s="9">
        <f t="shared" si="771"/>
        <v>0.44540369241752664</v>
      </c>
      <c r="CK385" s="4">
        <f t="shared" si="772"/>
        <v>909.18364157386998</v>
      </c>
      <c r="CL385" s="6">
        <f t="shared" si="773"/>
        <v>5.3183672831477401E-6</v>
      </c>
      <c r="CM385" s="8">
        <f t="shared" si="774"/>
        <v>26.344611878099506</v>
      </c>
      <c r="CN385" s="7">
        <f t="shared" si="775"/>
        <v>1.3310243473960906E-2</v>
      </c>
      <c r="CO385" s="9">
        <f t="shared" si="776"/>
        <v>0.45043673160289316</v>
      </c>
      <c r="CP385" s="4">
        <f t="shared" si="777"/>
        <v>853.37572925251925</v>
      </c>
      <c r="CQ385" s="6">
        <f t="shared" si="778"/>
        <v>5.2067514585050389E-6</v>
      </c>
      <c r="CR385" s="8">
        <f t="shared" si="779"/>
        <v>25.70282088640397</v>
      </c>
      <c r="CS385" s="7">
        <f t="shared" si="780"/>
        <v>1.3030903270013579E-2</v>
      </c>
      <c r="CT385" s="9">
        <f t="shared" si="781"/>
        <v>0.46168398877941713</v>
      </c>
      <c r="CU385" s="4">
        <f t="shared" si="782"/>
        <v>737.77548343372052</v>
      </c>
      <c r="CV385" s="6">
        <f t="shared" si="783"/>
        <v>4.975550966867441E-6</v>
      </c>
      <c r="CW385" s="8">
        <f t="shared" si="784"/>
        <v>24.373418059487783</v>
      </c>
      <c r="CX385" s="7">
        <f t="shared" si="785"/>
        <v>1.245227929179624E-2</v>
      </c>
      <c r="CY385" s="9">
        <f t="shared" si="786"/>
        <v>0.48686568460588248</v>
      </c>
      <c r="CZ385" s="5">
        <f t="shared" si="787"/>
        <v>535.01823508901396</v>
      </c>
      <c r="DA385" s="6">
        <f t="shared" si="788"/>
        <v>6.6826911361007127E-6</v>
      </c>
      <c r="DB385" s="8">
        <f t="shared" si="789"/>
        <v>37.979471182418592</v>
      </c>
      <c r="DC385" s="7">
        <f t="shared" si="790"/>
        <v>1.6724727975187117E-2</v>
      </c>
      <c r="DD385" s="9">
        <f t="shared" si="791"/>
        <v>0.31244723794919926</v>
      </c>
    </row>
    <row r="386" spans="2:108" x14ac:dyDescent="0.25">
      <c r="B386">
        <v>119</v>
      </c>
      <c r="C386">
        <f t="shared" si="699"/>
        <v>0.11633614529508493</v>
      </c>
      <c r="D386" s="4">
        <f t="shared" si="700"/>
        <v>1018.0538988289758</v>
      </c>
      <c r="E386" s="6">
        <f t="shared" si="647"/>
        <v>5.5361077976579519E-6</v>
      </c>
      <c r="F386" s="8">
        <f t="shared" si="701"/>
        <v>27.596619836533222</v>
      </c>
      <c r="G386" s="7">
        <f t="shared" si="583"/>
        <v>1.3855181254294333E-2</v>
      </c>
      <c r="H386" s="9">
        <f t="shared" si="702"/>
        <v>0.43000124435560649</v>
      </c>
      <c r="I386" s="4">
        <f t="shared" si="703"/>
        <v>1017.7294560615856</v>
      </c>
      <c r="J386" s="6">
        <f t="shared" si="650"/>
        <v>5.5354589121231711E-6</v>
      </c>
      <c r="K386" s="8">
        <f t="shared" si="704"/>
        <v>27.592888744708233</v>
      </c>
      <c r="L386" s="7">
        <f t="shared" si="651"/>
        <v>1.3853557292654445E-2</v>
      </c>
      <c r="M386" s="9">
        <f t="shared" si="705"/>
        <v>0.43005938883414924</v>
      </c>
      <c r="N386" s="4">
        <f t="shared" si="706"/>
        <v>1016.8238939428946</v>
      </c>
      <c r="O386" s="6">
        <f t="shared" si="654"/>
        <v>5.5336477878857894E-6</v>
      </c>
      <c r="P386" s="8">
        <f t="shared" si="655"/>
        <v>27.58247478034329</v>
      </c>
      <c r="Q386" s="7">
        <f t="shared" si="584"/>
        <v>1.3855181254294333E-2</v>
      </c>
      <c r="R386" s="9">
        <f t="shared" si="707"/>
        <v>0.43022176089052905</v>
      </c>
      <c r="S386" s="4">
        <f t="shared" si="708"/>
        <v>1015.3225876867139</v>
      </c>
      <c r="T386" s="6">
        <f t="shared" si="658"/>
        <v>5.5306451753734281E-6</v>
      </c>
      <c r="U386" s="8">
        <f t="shared" si="659"/>
        <v>27.565209758397209</v>
      </c>
      <c r="V386" s="7">
        <f t="shared" si="660"/>
        <v>1.384150998475947E-2</v>
      </c>
      <c r="W386" s="9">
        <f t="shared" si="709"/>
        <v>0.43049122331104239</v>
      </c>
      <c r="X386" s="4">
        <f t="shared" si="710"/>
        <v>1013.2233767689629</v>
      </c>
      <c r="Y386" s="6">
        <f t="shared" si="663"/>
        <v>5.5264467535379267E-6</v>
      </c>
      <c r="Z386" s="8">
        <f t="shared" si="664"/>
        <v>27.541068832843074</v>
      </c>
      <c r="AA386" s="7">
        <f t="shared" si="665"/>
        <v>1.3831002621529032E-2</v>
      </c>
      <c r="AB386" s="9">
        <f t="shared" si="711"/>
        <v>0.43086856729274248</v>
      </c>
      <c r="AC386" s="4">
        <f t="shared" si="712"/>
        <v>1010.5248516447695</v>
      </c>
      <c r="AD386" s="6">
        <f t="shared" si="713"/>
        <v>5.5210497032895393E-6</v>
      </c>
      <c r="AE386" s="8">
        <f t="shared" si="714"/>
        <v>27.510035793914849</v>
      </c>
      <c r="AF386" s="7">
        <f t="shared" si="715"/>
        <v>1.3817495458705798E-2</v>
      </c>
      <c r="AG386" s="9">
        <f t="shared" si="716"/>
        <v>0.43135461395301988</v>
      </c>
      <c r="AH386" s="4">
        <f t="shared" si="717"/>
        <v>1007.2267953477439</v>
      </c>
      <c r="AI386" s="6">
        <f t="shared" si="718"/>
        <v>5.5144535906954885E-6</v>
      </c>
      <c r="AJ386" s="8">
        <f t="shared" si="719"/>
        <v>27.472108146499053</v>
      </c>
      <c r="AK386" s="7">
        <f t="shared" si="720"/>
        <v>1.3800987410289008E-2</v>
      </c>
      <c r="AL386" s="9">
        <f t="shared" si="721"/>
        <v>0.43195013671457655</v>
      </c>
      <c r="AM386" s="4">
        <f t="shared" si="722"/>
        <v>1003.3291650812558</v>
      </c>
      <c r="AN386" s="6">
        <f t="shared" si="723"/>
        <v>5.5066583301625121E-6</v>
      </c>
      <c r="AO386" s="8">
        <f t="shared" si="724"/>
        <v>27.427285398434442</v>
      </c>
      <c r="AP386" s="7">
        <f t="shared" si="725"/>
        <v>1.3781478262064956E-2</v>
      </c>
      <c r="AQ386" s="9">
        <f t="shared" si="726"/>
        <v>0.43265604660952872</v>
      </c>
      <c r="AR386" s="4">
        <f t="shared" si="727"/>
        <v>998.83195570476846</v>
      </c>
      <c r="AS386" s="6">
        <f t="shared" si="728"/>
        <v>5.497663911409537E-6</v>
      </c>
      <c r="AT386" s="8">
        <f t="shared" si="729"/>
        <v>27.375567490604837</v>
      </c>
      <c r="AU386" s="7">
        <f t="shared" si="730"/>
        <v>1.375896798830327E-2</v>
      </c>
      <c r="AV386" s="9">
        <f t="shared" si="731"/>
        <v>0.4334734201871962</v>
      </c>
      <c r="AW386" s="4">
        <f t="shared" si="732"/>
        <v>993.73514869906671</v>
      </c>
      <c r="AX386" s="6">
        <f t="shared" si="733"/>
        <v>5.487470297398134E-6</v>
      </c>
      <c r="AY386" s="8">
        <f t="shared" si="734"/>
        <v>27.316954210039267</v>
      </c>
      <c r="AZ386" s="7">
        <f t="shared" si="735"/>
        <v>1.3733456496308107E-2</v>
      </c>
      <c r="BA386" s="9">
        <f t="shared" si="736"/>
        <v>0.43440351286882511</v>
      </c>
      <c r="BB386" s="4">
        <f t="shared" si="737"/>
        <v>988.03859157055217</v>
      </c>
      <c r="BC386" s="6">
        <f t="shared" si="738"/>
        <v>5.4760771831411054E-6</v>
      </c>
      <c r="BD386" s="8">
        <f t="shared" si="739"/>
        <v>27.251443803061349</v>
      </c>
      <c r="BE386" s="7">
        <f t="shared" si="740"/>
        <v>1.3704943022789981E-2</v>
      </c>
      <c r="BF386" s="9">
        <f t="shared" si="741"/>
        <v>0.43544778601362916</v>
      </c>
      <c r="BG386" s="4">
        <f t="shared" si="742"/>
        <v>981.74123850898604</v>
      </c>
      <c r="BH386" s="6">
        <f t="shared" si="743"/>
        <v>5.4634824770179725E-6</v>
      </c>
      <c r="BI386" s="8">
        <f t="shared" si="744"/>
        <v>27.179024242853338</v>
      </c>
      <c r="BJ386" s="7">
        <f t="shared" si="745"/>
        <v>1.3673422333063815E-2</v>
      </c>
      <c r="BK386" s="9">
        <f t="shared" si="746"/>
        <v>0.43660805346381004</v>
      </c>
      <c r="BL386" s="4">
        <f t="shared" si="747"/>
        <v>974.83664209763685</v>
      </c>
      <c r="BM386" s="6">
        <f t="shared" si="748"/>
        <v>5.4496732841952739E-6</v>
      </c>
      <c r="BN386" s="8">
        <f t="shared" si="749"/>
        <v>27.099621384122823</v>
      </c>
      <c r="BO386" s="7">
        <f t="shared" si="750"/>
        <v>1.3638862155313135E-2</v>
      </c>
      <c r="BP386" s="9">
        <f t="shared" si="751"/>
        <v>0.4378873306573321</v>
      </c>
      <c r="BQ386" s="4">
        <f t="shared" si="752"/>
        <v>967.28921268920283</v>
      </c>
      <c r="BR386" s="6">
        <f t="shared" si="753"/>
        <v>5.4345784253784056E-6</v>
      </c>
      <c r="BS386" s="8">
        <f t="shared" si="754"/>
        <v>27.012825945925833</v>
      </c>
      <c r="BT386" s="7">
        <f t="shared" si="755"/>
        <v>1.3601084349576733E-2</v>
      </c>
      <c r="BU386" s="9">
        <f t="shared" si="756"/>
        <v>0.43929431498475474</v>
      </c>
      <c r="BV386" s="4">
        <f t="shared" si="757"/>
        <v>958.92532225924515</v>
      </c>
      <c r="BW386" s="6">
        <f t="shared" si="758"/>
        <v>5.4178506445184904E-6</v>
      </c>
      <c r="BX386" s="8">
        <f t="shared" si="759"/>
        <v>26.916641205981318</v>
      </c>
      <c r="BY386" s="7">
        <f t="shared" si="760"/>
        <v>1.3559219840382334E-2</v>
      </c>
      <c r="BZ386" s="9">
        <f t="shared" si="761"/>
        <v>0.44086410257907477</v>
      </c>
      <c r="CA386" s="4">
        <f t="shared" si="762"/>
        <v>949.00907447188297</v>
      </c>
      <c r="CB386" s="6">
        <f t="shared" si="763"/>
        <v>5.3980181489437658E-6</v>
      </c>
      <c r="CC386" s="8">
        <f t="shared" si="764"/>
        <v>26.802604356426656</v>
      </c>
      <c r="CD386" s="7">
        <f t="shared" si="765"/>
        <v>1.3509585181709496E-2</v>
      </c>
      <c r="CE386" s="9">
        <f t="shared" si="766"/>
        <v>0.44273984393134402</v>
      </c>
      <c r="CF386" s="4">
        <f t="shared" si="767"/>
        <v>934.89262862848352</v>
      </c>
      <c r="CG386" s="6">
        <f t="shared" si="768"/>
        <v>5.3697852572569678E-6</v>
      </c>
      <c r="CH386" s="8">
        <f t="shared" si="769"/>
        <v>26.640265229227559</v>
      </c>
      <c r="CI386" s="7">
        <f t="shared" si="770"/>
        <v>1.3438926905904437E-2</v>
      </c>
      <c r="CJ386" s="9">
        <f t="shared" si="771"/>
        <v>0.44543779003742195</v>
      </c>
      <c r="CK386" s="4">
        <f t="shared" si="772"/>
        <v>908.74923692533787</v>
      </c>
      <c r="CL386" s="6">
        <f t="shared" si="773"/>
        <v>5.3174984738506762E-6</v>
      </c>
      <c r="CM386" s="8">
        <f t="shared" si="774"/>
        <v>26.339616224641382</v>
      </c>
      <c r="CN386" s="7">
        <f t="shared" si="775"/>
        <v>1.3308069110540575E-2</v>
      </c>
      <c r="CO386" s="9">
        <f t="shared" si="776"/>
        <v>0.4505221628330488</v>
      </c>
      <c r="CP386" s="4">
        <f t="shared" si="777"/>
        <v>852.51664453453691</v>
      </c>
      <c r="CQ386" s="6">
        <f t="shared" si="778"/>
        <v>5.2050332890690748E-6</v>
      </c>
      <c r="CR386" s="8">
        <f t="shared" si="779"/>
        <v>25.692941412147174</v>
      </c>
      <c r="CS386" s="7">
        <f t="shared" si="780"/>
        <v>1.3026603218455527E-2</v>
      </c>
      <c r="CT386" s="9">
        <f t="shared" si="781"/>
        <v>0.46186151594568248</v>
      </c>
      <c r="CU386" s="4">
        <f t="shared" si="782"/>
        <v>736.53098909257687</v>
      </c>
      <c r="CV386" s="6">
        <f t="shared" si="783"/>
        <v>4.9730619781851544E-6</v>
      </c>
      <c r="CW386" s="8">
        <f t="shared" si="784"/>
        <v>24.359106374564632</v>
      </c>
      <c r="CX386" s="7">
        <f t="shared" si="785"/>
        <v>1.2446050115885404E-2</v>
      </c>
      <c r="CY386" s="9">
        <f t="shared" si="786"/>
        <v>0.48715173238492782</v>
      </c>
      <c r="CZ386" s="5">
        <f t="shared" si="787"/>
        <v>533.86980664459577</v>
      </c>
      <c r="DA386" s="6">
        <f t="shared" si="788"/>
        <v>6.7004005174533197E-6</v>
      </c>
      <c r="DB386" s="8">
        <f t="shared" si="789"/>
        <v>38.012775607306722</v>
      </c>
      <c r="DC386" s="7">
        <f t="shared" si="790"/>
        <v>1.6769049129599173E-2</v>
      </c>
      <c r="DD386" s="9">
        <f t="shared" si="791"/>
        <v>0.31217349115219395</v>
      </c>
    </row>
    <row r="387" spans="2:108" x14ac:dyDescent="0.25">
      <c r="B387">
        <v>120</v>
      </c>
      <c r="C387">
        <f t="shared" si="699"/>
        <v>0.11731375996143018</v>
      </c>
      <c r="D387" s="4">
        <f t="shared" si="700"/>
        <v>1018.037334420249</v>
      </c>
      <c r="E387" s="6">
        <f t="shared" si="647"/>
        <v>5.5360746688404992E-6</v>
      </c>
      <c r="F387" s="8">
        <f t="shared" si="701"/>
        <v>27.59642934583286</v>
      </c>
      <c r="G387" s="7">
        <f t="shared" si="583"/>
        <v>1.3855098343016712E-2</v>
      </c>
      <c r="H387" s="9">
        <f t="shared" si="702"/>
        <v>0.43000421253809007</v>
      </c>
      <c r="I387" s="4">
        <f t="shared" si="703"/>
        <v>1017.7128836764947</v>
      </c>
      <c r="J387" s="6">
        <f t="shared" si="650"/>
        <v>5.5354257673529903E-6</v>
      </c>
      <c r="K387" s="8">
        <f t="shared" si="704"/>
        <v>27.592698162279689</v>
      </c>
      <c r="L387" s="7">
        <f t="shared" si="651"/>
        <v>1.3853474341452034E-2</v>
      </c>
      <c r="M387" s="9">
        <f t="shared" si="705"/>
        <v>0.43006235924908515</v>
      </c>
      <c r="N387" s="4">
        <f t="shared" si="706"/>
        <v>1016.8073049444532</v>
      </c>
      <c r="O387" s="6">
        <f t="shared" si="654"/>
        <v>5.5336146098889067E-6</v>
      </c>
      <c r="P387" s="8">
        <f t="shared" si="655"/>
        <v>27.582284006861212</v>
      </c>
      <c r="Q387" s="7">
        <f t="shared" si="584"/>
        <v>1.3855098343016712E-2</v>
      </c>
      <c r="R387" s="9">
        <f t="shared" si="707"/>
        <v>0.4302247365289269</v>
      </c>
      <c r="S387" s="4">
        <f t="shared" si="708"/>
        <v>1015.305989405573</v>
      </c>
      <c r="T387" s="6">
        <f t="shared" si="658"/>
        <v>5.5306119788111468E-6</v>
      </c>
      <c r="U387" s="8">
        <f t="shared" si="659"/>
        <v>27.565018878164089</v>
      </c>
      <c r="V387" s="7">
        <f t="shared" si="660"/>
        <v>1.3841426903937306E-2</v>
      </c>
      <c r="W387" s="9">
        <f t="shared" si="709"/>
        <v>0.43049420434528096</v>
      </c>
      <c r="X387" s="4">
        <f t="shared" si="710"/>
        <v>1013.2067804660908</v>
      </c>
      <c r="Y387" s="6">
        <f t="shared" si="663"/>
        <v>5.526413560932182E-6</v>
      </c>
      <c r="Z387" s="8">
        <f t="shared" si="664"/>
        <v>27.540877975360043</v>
      </c>
      <c r="AA387" s="7">
        <f t="shared" si="665"/>
        <v>1.3830919550608865E-2</v>
      </c>
      <c r="AB387" s="9">
        <f t="shared" si="711"/>
        <v>0.43087155319937714</v>
      </c>
      <c r="AC387" s="4">
        <f t="shared" si="712"/>
        <v>1010.5082657538284</v>
      </c>
      <c r="AD387" s="6">
        <f t="shared" si="713"/>
        <v>5.5210165315076566E-6</v>
      </c>
      <c r="AE387" s="8">
        <f t="shared" si="714"/>
        <v>27.509845056169027</v>
      </c>
      <c r="AF387" s="7">
        <f t="shared" si="715"/>
        <v>1.3817412439901377E-2</v>
      </c>
      <c r="AG387" s="9">
        <f t="shared" si="716"/>
        <v>0.43135760472256246</v>
      </c>
      <c r="AH387" s="4">
        <f t="shared" si="717"/>
        <v>1007.2102253061665</v>
      </c>
      <c r="AI387" s="6">
        <f t="shared" si="718"/>
        <v>5.514420450612334E-6</v>
      </c>
      <c r="AJ387" s="8">
        <f t="shared" si="719"/>
        <v>27.471917591020912</v>
      </c>
      <c r="AK387" s="7">
        <f t="shared" si="720"/>
        <v>1.3800904470816788E-2</v>
      </c>
      <c r="AL387" s="9">
        <f t="shared" si="721"/>
        <v>0.43195313288201054</v>
      </c>
      <c r="AM387" s="4">
        <f t="shared" si="722"/>
        <v>1003.3126148915246</v>
      </c>
      <c r="AN387" s="6">
        <f t="shared" si="723"/>
        <v>5.5066252297830496E-6</v>
      </c>
      <c r="AO387" s="8">
        <f t="shared" si="724"/>
        <v>27.427095071252531</v>
      </c>
      <c r="AP387" s="7">
        <f t="shared" si="725"/>
        <v>1.3781395421958911E-2</v>
      </c>
      <c r="AQ387" s="9">
        <f t="shared" si="726"/>
        <v>0.43265904897656299</v>
      </c>
      <c r="AR387" s="4">
        <f t="shared" si="727"/>
        <v>998.81542872940565</v>
      </c>
      <c r="AS387" s="6">
        <f t="shared" si="728"/>
        <v>5.4976308574588116E-6</v>
      </c>
      <c r="AT387" s="8">
        <f t="shared" si="729"/>
        <v>27.375377430388163</v>
      </c>
      <c r="AU387" s="7">
        <f t="shared" si="730"/>
        <v>1.3758885264394123E-2</v>
      </c>
      <c r="AV387" s="9">
        <f t="shared" si="731"/>
        <v>0.43347642968185512</v>
      </c>
      <c r="AW387" s="4">
        <f t="shared" si="732"/>
        <v>993.71864654712078</v>
      </c>
      <c r="AX387" s="6">
        <f t="shared" si="733"/>
        <v>5.4874372930942424E-6</v>
      </c>
      <c r="AY387" s="8">
        <f t="shared" si="734"/>
        <v>27.316764435291887</v>
      </c>
      <c r="AZ387" s="7">
        <f t="shared" si="735"/>
        <v>1.3733373896649772E-2</v>
      </c>
      <c r="BA387" s="9">
        <f t="shared" si="736"/>
        <v>0.43440653075248076</v>
      </c>
      <c r="BB387" s="4">
        <f t="shared" si="737"/>
        <v>988.02210477271183</v>
      </c>
      <c r="BC387" s="6">
        <f t="shared" si="738"/>
        <v>5.4760442095454243E-6</v>
      </c>
      <c r="BD387" s="8">
        <f t="shared" si="739"/>
        <v>27.251254204886187</v>
      </c>
      <c r="BE387" s="7">
        <f t="shared" si="740"/>
        <v>1.3704860499984886E-2</v>
      </c>
      <c r="BF387" s="9">
        <f t="shared" si="741"/>
        <v>0.43545081560283577</v>
      </c>
      <c r="BG387" s="4">
        <f t="shared" si="742"/>
        <v>981.72469219286711</v>
      </c>
      <c r="BH387" s="6">
        <f t="shared" si="743"/>
        <v>5.4634493843857351E-6</v>
      </c>
      <c r="BI387" s="8">
        <f t="shared" si="744"/>
        <v>27.178833960217972</v>
      </c>
      <c r="BJ387" s="7">
        <f t="shared" si="745"/>
        <v>1.3673339512346701E-2</v>
      </c>
      <c r="BK387" s="9">
        <f t="shared" si="746"/>
        <v>0.43661111021492582</v>
      </c>
      <c r="BL387" s="4">
        <f t="shared" si="747"/>
        <v>974.81961877983156</v>
      </c>
      <c r="BM387" s="6">
        <f t="shared" si="748"/>
        <v>5.4496392375596637E-6</v>
      </c>
      <c r="BN387" s="8">
        <f t="shared" si="749"/>
        <v>27.099425615968062</v>
      </c>
      <c r="BO387" s="7">
        <f t="shared" si="750"/>
        <v>1.3638776947017936E-2</v>
      </c>
      <c r="BP387" s="9">
        <f t="shared" si="751"/>
        <v>0.43789049398617641</v>
      </c>
      <c r="BQ387" s="4">
        <f t="shared" si="752"/>
        <v>967.26973058474402</v>
      </c>
      <c r="BR387" s="6">
        <f t="shared" si="753"/>
        <v>5.434539461169488E-6</v>
      </c>
      <c r="BS387" s="8">
        <f t="shared" si="754"/>
        <v>27.012601901724555</v>
      </c>
      <c r="BT387" s="7">
        <f t="shared" si="755"/>
        <v>1.3600986834102559E-2</v>
      </c>
      <c r="BU387" s="9">
        <f t="shared" si="756"/>
        <v>0.43929795851914233</v>
      </c>
      <c r="BV387" s="4">
        <f t="shared" si="757"/>
        <v>958.89532909872173</v>
      </c>
      <c r="BW387" s="6">
        <f t="shared" si="758"/>
        <v>5.417790658197444E-6</v>
      </c>
      <c r="BX387" s="8">
        <f t="shared" si="759"/>
        <v>26.916296284635301</v>
      </c>
      <c r="BY387" s="7">
        <f t="shared" si="760"/>
        <v>1.3559069713003814E-2</v>
      </c>
      <c r="BZ387" s="9">
        <f t="shared" si="761"/>
        <v>0.44086975207252899</v>
      </c>
      <c r="CA387" s="4">
        <f t="shared" si="762"/>
        <v>948.94126166135504</v>
      </c>
      <c r="CB387" s="6">
        <f t="shared" si="763"/>
        <v>5.3978825233227109E-6</v>
      </c>
      <c r="CC387" s="8">
        <f t="shared" si="764"/>
        <v>26.801824509105582</v>
      </c>
      <c r="CD387" s="7">
        <f t="shared" si="765"/>
        <v>1.3509245752343029E-2</v>
      </c>
      <c r="CE387" s="9">
        <f t="shared" si="766"/>
        <v>0.44275272624393081</v>
      </c>
      <c r="CF387" s="4">
        <f t="shared" si="767"/>
        <v>934.71315740998386</v>
      </c>
      <c r="CG387" s="6">
        <f t="shared" si="768"/>
        <v>5.3694263148199679E-6</v>
      </c>
      <c r="CH387" s="8">
        <f t="shared" si="769"/>
        <v>26.638201310214814</v>
      </c>
      <c r="CI387" s="7">
        <f t="shared" si="770"/>
        <v>1.3438028582984029E-2</v>
      </c>
      <c r="CJ387" s="9">
        <f t="shared" si="771"/>
        <v>0.44547230240982832</v>
      </c>
      <c r="CK387" s="4">
        <f t="shared" si="772"/>
        <v>908.31233942090489</v>
      </c>
      <c r="CL387" s="6">
        <f t="shared" si="773"/>
        <v>5.3166246788418101E-6</v>
      </c>
      <c r="CM387" s="8">
        <f t="shared" si="774"/>
        <v>26.334591903340403</v>
      </c>
      <c r="CN387" s="7">
        <f t="shared" si="775"/>
        <v>1.3305882269411495E-2</v>
      </c>
      <c r="CO387" s="9">
        <f t="shared" si="776"/>
        <v>0.4506081170072237</v>
      </c>
      <c r="CP387" s="4">
        <f t="shared" si="777"/>
        <v>851.6579240976107</v>
      </c>
      <c r="CQ387" s="6">
        <f t="shared" si="778"/>
        <v>5.2033158481952213E-6</v>
      </c>
      <c r="CR387" s="8">
        <f t="shared" si="779"/>
        <v>25.683066127122522</v>
      </c>
      <c r="CS387" s="7">
        <f t="shared" si="780"/>
        <v>1.3022304990265165E-2</v>
      </c>
      <c r="CT387" s="9">
        <f t="shared" si="781"/>
        <v>0.46203910432587458</v>
      </c>
      <c r="CU387" s="4">
        <f t="shared" si="782"/>
        <v>735.29307614715492</v>
      </c>
      <c r="CV387" s="6">
        <f t="shared" si="783"/>
        <v>4.9705861522943101E-6</v>
      </c>
      <c r="CW387" s="8">
        <f t="shared" si="784"/>
        <v>24.344870375692281</v>
      </c>
      <c r="CX387" s="7">
        <f t="shared" si="785"/>
        <v>1.2439853882407753E-2</v>
      </c>
      <c r="CY387" s="9">
        <f t="shared" si="786"/>
        <v>0.48743660108235248</v>
      </c>
      <c r="CZ387" s="5">
        <f t="shared" si="787"/>
        <v>532.72989058413611</v>
      </c>
      <c r="DA387" s="6">
        <f t="shared" si="788"/>
        <v>6.7179597504111597E-6</v>
      </c>
      <c r="DB387" s="8">
        <f t="shared" si="789"/>
        <v>38.045833173060046</v>
      </c>
      <c r="DC387" s="7">
        <f t="shared" si="790"/>
        <v>1.6812994508592728E-2</v>
      </c>
      <c r="DD387" s="9">
        <f t="shared" si="791"/>
        <v>0.31190224736937894</v>
      </c>
    </row>
    <row r="388" spans="2:108" x14ac:dyDescent="0.25">
      <c r="B388">
        <v>121</v>
      </c>
      <c r="C388">
        <f t="shared" si="699"/>
        <v>0.11829137462777542</v>
      </c>
      <c r="D388" s="4">
        <f t="shared" si="700"/>
        <v>1018.0207696042893</v>
      </c>
      <c r="E388" s="6">
        <f t="shared" si="647"/>
        <v>5.5360415392085794E-6</v>
      </c>
      <c r="F388" s="8">
        <f t="shared" si="701"/>
        <v>27.596238850449325</v>
      </c>
      <c r="G388" s="7">
        <f t="shared" si="583"/>
        <v>1.3855015429700728E-2</v>
      </c>
      <c r="H388" s="9">
        <f t="shared" si="702"/>
        <v>0.43000718083452466</v>
      </c>
      <c r="I388" s="4">
        <f t="shared" si="703"/>
        <v>1017.6963111005673</v>
      </c>
      <c r="J388" s="6">
        <f t="shared" si="650"/>
        <v>5.5353926222011349E-6</v>
      </c>
      <c r="K388" s="8">
        <f t="shared" si="704"/>
        <v>27.592507577656523</v>
      </c>
      <c r="L388" s="7">
        <f t="shared" si="651"/>
        <v>1.3853391389294409E-2</v>
      </c>
      <c r="M388" s="9">
        <f t="shared" si="705"/>
        <v>0.43006532973926059</v>
      </c>
      <c r="N388" s="4">
        <f t="shared" si="706"/>
        <v>1016.7907160572112</v>
      </c>
      <c r="O388" s="6">
        <f t="shared" si="654"/>
        <v>5.5335814321144234E-6</v>
      </c>
      <c r="P388" s="8">
        <f t="shared" si="655"/>
        <v>27.582093234657926</v>
      </c>
      <c r="Q388" s="7">
        <f t="shared" si="584"/>
        <v>1.3855015429700728E-2</v>
      </c>
      <c r="R388" s="9">
        <f t="shared" si="707"/>
        <v>0.43022771218854045</v>
      </c>
      <c r="S388" s="4">
        <f t="shared" si="708"/>
        <v>1015.2893913629152</v>
      </c>
      <c r="T388" s="6">
        <f t="shared" si="658"/>
        <v>5.5305787827258314E-6</v>
      </c>
      <c r="U388" s="8">
        <f t="shared" si="659"/>
        <v>27.564828000673522</v>
      </c>
      <c r="V388" s="7">
        <f t="shared" si="660"/>
        <v>1.3841343824308839E-2</v>
      </c>
      <c r="W388" s="9">
        <f t="shared" si="709"/>
        <v>0.43049718537797332</v>
      </c>
      <c r="X388" s="4">
        <f t="shared" si="710"/>
        <v>1013.1901844010041</v>
      </c>
      <c r="Y388" s="6">
        <f t="shared" si="663"/>
        <v>5.5263803688020081E-6</v>
      </c>
      <c r="Z388" s="8">
        <f t="shared" si="664"/>
        <v>27.540687120611544</v>
      </c>
      <c r="AA388" s="7">
        <f t="shared" si="665"/>
        <v>1.3830836480878905E-2</v>
      </c>
      <c r="AB388" s="9">
        <f t="shared" si="711"/>
        <v>0.43087453910461476</v>
      </c>
      <c r="AC388" s="4">
        <f t="shared" si="712"/>
        <v>1010.4916800740294</v>
      </c>
      <c r="AD388" s="6">
        <f t="shared" si="713"/>
        <v>5.5209833601480596E-6</v>
      </c>
      <c r="AE388" s="8">
        <f t="shared" si="714"/>
        <v>27.50965432085134</v>
      </c>
      <c r="AF388" s="7">
        <f t="shared" si="715"/>
        <v>1.3817329422153806E-2</v>
      </c>
      <c r="AG388" s="9">
        <f t="shared" si="716"/>
        <v>0.43136059549550398</v>
      </c>
      <c r="AH388" s="4">
        <f t="shared" si="717"/>
        <v>1007.1936554605569</v>
      </c>
      <c r="AI388" s="6">
        <f t="shared" si="718"/>
        <v>5.5143873109211145E-6</v>
      </c>
      <c r="AJ388" s="8">
        <f t="shared" si="719"/>
        <v>27.471727037796406</v>
      </c>
      <c r="AK388" s="7">
        <f t="shared" si="720"/>
        <v>1.3800821532325461E-2</v>
      </c>
      <c r="AL388" s="9">
        <f t="shared" si="721"/>
        <v>0.43195612905557446</v>
      </c>
      <c r="AM388" s="4">
        <f t="shared" si="722"/>
        <v>1003.2960648901131</v>
      </c>
      <c r="AN388" s="6">
        <f t="shared" si="723"/>
        <v>5.5065921297802271E-6</v>
      </c>
      <c r="AO388" s="8">
        <f t="shared" si="724"/>
        <v>27.4269047462363</v>
      </c>
      <c r="AP388" s="7">
        <f t="shared" si="725"/>
        <v>1.3781312582795481E-2</v>
      </c>
      <c r="AQ388" s="9">
        <f t="shared" si="726"/>
        <v>0.43266205135110292</v>
      </c>
      <c r="AR388" s="4">
        <f t="shared" si="727"/>
        <v>998.79890191693687</v>
      </c>
      <c r="AS388" s="6">
        <f t="shared" si="728"/>
        <v>5.4975978038338746E-6</v>
      </c>
      <c r="AT388" s="8">
        <f t="shared" si="729"/>
        <v>27.375187372044774</v>
      </c>
      <c r="AU388" s="7">
        <f t="shared" si="730"/>
        <v>1.3758802541300326E-2</v>
      </c>
      <c r="AV388" s="9">
        <f t="shared" si="731"/>
        <v>0.43347943918863963</v>
      </c>
      <c r="AW388" s="4">
        <f t="shared" si="732"/>
        <v>993.70214439481583</v>
      </c>
      <c r="AX388" s="6">
        <f t="shared" si="733"/>
        <v>5.4874042887896326E-6</v>
      </c>
      <c r="AY388" s="8">
        <f t="shared" si="734"/>
        <v>27.316574660540383</v>
      </c>
      <c r="AZ388" s="7">
        <f t="shared" si="735"/>
        <v>1.3733291296989641E-2</v>
      </c>
      <c r="BA388" s="9">
        <f t="shared" si="736"/>
        <v>0.43440954867813397</v>
      </c>
      <c r="BB388" s="4">
        <f t="shared" si="737"/>
        <v>988.00561701546144</v>
      </c>
      <c r="BC388" s="6">
        <f t="shared" si="738"/>
        <v>5.476011234030924E-6</v>
      </c>
      <c r="BD388" s="8">
        <f t="shared" si="739"/>
        <v>27.251064595677803</v>
      </c>
      <c r="BE388" s="7">
        <f t="shared" si="740"/>
        <v>1.3704777972377576E-2</v>
      </c>
      <c r="BF388" s="9">
        <f t="shared" si="741"/>
        <v>0.43545384541050242</v>
      </c>
      <c r="BG388" s="4">
        <f t="shared" si="742"/>
        <v>981.70813992064677</v>
      </c>
      <c r="BH388" s="6">
        <f t="shared" si="743"/>
        <v>5.4634162798412938E-6</v>
      </c>
      <c r="BI388" s="8">
        <f t="shared" si="744"/>
        <v>27.178643609087437</v>
      </c>
      <c r="BJ388" s="7">
        <f t="shared" si="745"/>
        <v>1.3673256661816988E-2</v>
      </c>
      <c r="BK388" s="9">
        <f t="shared" si="746"/>
        <v>0.43661416810919124</v>
      </c>
      <c r="BL388" s="4">
        <f t="shared" si="747"/>
        <v>974.80256679514616</v>
      </c>
      <c r="BM388" s="6">
        <f t="shared" si="748"/>
        <v>5.4496051335902924E-6</v>
      </c>
      <c r="BN388" s="8">
        <f t="shared" si="749"/>
        <v>27.099229518144178</v>
      </c>
      <c r="BO388" s="7">
        <f t="shared" si="750"/>
        <v>1.3638691595233903E-2</v>
      </c>
      <c r="BP388" s="9">
        <f t="shared" si="751"/>
        <v>0.43789366268781471</v>
      </c>
      <c r="BQ388" s="4">
        <f t="shared" si="752"/>
        <v>967.25013197625924</v>
      </c>
      <c r="BR388" s="6">
        <f t="shared" si="753"/>
        <v>5.4345002639525182E-6</v>
      </c>
      <c r="BS388" s="8">
        <f t="shared" si="754"/>
        <v>27.012376517726981</v>
      </c>
      <c r="BT388" s="7">
        <f t="shared" si="755"/>
        <v>1.3600888735480631E-2</v>
      </c>
      <c r="BU388" s="9">
        <f t="shared" si="756"/>
        <v>0.43930162390304339</v>
      </c>
      <c r="BV388" s="4">
        <f t="shared" si="757"/>
        <v>958.86494125693116</v>
      </c>
      <c r="BW388" s="6">
        <f t="shared" si="758"/>
        <v>5.4177298825138631E-6</v>
      </c>
      <c r="BX388" s="8">
        <f t="shared" si="759"/>
        <v>26.915946824454707</v>
      </c>
      <c r="BY388" s="7">
        <f t="shared" si="760"/>
        <v>1.355891761009277E-2</v>
      </c>
      <c r="BZ388" s="9">
        <f t="shared" si="761"/>
        <v>0.44087547605557081</v>
      </c>
      <c r="CA388" s="4">
        <f t="shared" si="762"/>
        <v>948.87238087921276</v>
      </c>
      <c r="CB388" s="6">
        <f t="shared" si="763"/>
        <v>5.3977447617584257E-6</v>
      </c>
      <c r="CC388" s="8">
        <f t="shared" si="764"/>
        <v>26.801032380110946</v>
      </c>
      <c r="CD388" s="7">
        <f t="shared" si="765"/>
        <v>1.3508900977365226E-2</v>
      </c>
      <c r="CE388" s="9">
        <f t="shared" si="766"/>
        <v>0.44276581220520789</v>
      </c>
      <c r="CF388" s="4">
        <f t="shared" si="767"/>
        <v>934.5315657977452</v>
      </c>
      <c r="CG388" s="6">
        <f t="shared" si="768"/>
        <v>5.3690631315954914E-6</v>
      </c>
      <c r="CH388" s="8">
        <f t="shared" si="769"/>
        <v>26.636113006674069</v>
      </c>
      <c r="CI388" s="7">
        <f t="shared" si="770"/>
        <v>1.3437119646672173E-2</v>
      </c>
      <c r="CJ388" s="9">
        <f t="shared" si="771"/>
        <v>0.44550722797821712</v>
      </c>
      <c r="CK388" s="4">
        <f t="shared" si="772"/>
        <v>907.87299400474456</v>
      </c>
      <c r="CL388" s="6">
        <f t="shared" si="773"/>
        <v>5.3157459880094895E-6</v>
      </c>
      <c r="CM388" s="8">
        <f t="shared" si="774"/>
        <v>26.329539431054563</v>
      </c>
      <c r="CN388" s="7">
        <f t="shared" si="775"/>
        <v>1.3303683175536655E-2</v>
      </c>
      <c r="CO388" s="9">
        <f t="shared" si="776"/>
        <v>0.45069458585826133</v>
      </c>
      <c r="CP388" s="4">
        <f t="shared" si="777"/>
        <v>850.79961671239084</v>
      </c>
      <c r="CQ388" s="6">
        <f t="shared" si="778"/>
        <v>5.2015992334247823E-6</v>
      </c>
      <c r="CR388" s="8">
        <f t="shared" si="779"/>
        <v>25.673195592192492</v>
      </c>
      <c r="CS388" s="7">
        <f t="shared" si="780"/>
        <v>1.3018008829558487E-2</v>
      </c>
      <c r="CT388" s="9">
        <f t="shared" si="781"/>
        <v>0.46221674380600519</v>
      </c>
      <c r="CU388" s="4">
        <f t="shared" si="782"/>
        <v>734.06168732290894</v>
      </c>
      <c r="CV388" s="6">
        <f t="shared" si="783"/>
        <v>4.9681233746458188E-6</v>
      </c>
      <c r="CW388" s="8">
        <f t="shared" si="784"/>
        <v>24.330709404213451</v>
      </c>
      <c r="CX388" s="7">
        <f t="shared" si="785"/>
        <v>1.2433690304682027E-2</v>
      </c>
      <c r="CY388" s="9">
        <f t="shared" si="786"/>
        <v>0.48772029917314752</v>
      </c>
      <c r="CZ388" s="5">
        <f t="shared" si="787"/>
        <v>531.59835568959079</v>
      </c>
      <c r="DA388" s="6">
        <f t="shared" si="788"/>
        <v>6.7353714853996908E-6</v>
      </c>
      <c r="DB388" s="8">
        <f t="shared" si="789"/>
        <v>38.078647685001862</v>
      </c>
      <c r="DC388" s="7">
        <f t="shared" si="790"/>
        <v>1.6856570745370468E-2</v>
      </c>
      <c r="DD388" s="9">
        <f t="shared" si="791"/>
        <v>0.31163346366398986</v>
      </c>
    </row>
    <row r="389" spans="2:108" x14ac:dyDescent="0.25">
      <c r="B389">
        <v>122</v>
      </c>
      <c r="C389">
        <f t="shared" si="699"/>
        <v>0.11926898929412068</v>
      </c>
      <c r="D389" s="4">
        <f t="shared" si="700"/>
        <v>1018.0042043921449</v>
      </c>
      <c r="E389" s="6">
        <f t="shared" si="647"/>
        <v>5.5360084087842907E-6</v>
      </c>
      <c r="F389" s="8">
        <f t="shared" si="701"/>
        <v>27.596048350509665</v>
      </c>
      <c r="G389" s="7">
        <f t="shared" si="583"/>
        <v>1.3854932514401692E-2</v>
      </c>
      <c r="H389" s="9">
        <f t="shared" si="702"/>
        <v>0.43001014924293451</v>
      </c>
      <c r="I389" s="4">
        <f t="shared" si="703"/>
        <v>1017.6797383385871</v>
      </c>
      <c r="J389" s="6">
        <f t="shared" si="650"/>
        <v>5.5353594766771752E-6</v>
      </c>
      <c r="K389" s="8">
        <f t="shared" si="704"/>
        <v>27.59231699089375</v>
      </c>
      <c r="L389" s="7">
        <f t="shared" si="651"/>
        <v>1.3853308436205523E-2</v>
      </c>
      <c r="M389" s="9">
        <f t="shared" si="705"/>
        <v>0.43006830030382037</v>
      </c>
      <c r="N389" s="4">
        <f t="shared" si="706"/>
        <v>1016.7741272802353</v>
      </c>
      <c r="O389" s="6">
        <f t="shared" si="654"/>
        <v>5.5335482545604711E-6</v>
      </c>
      <c r="P389" s="8">
        <f t="shared" si="655"/>
        <v>27.581902463722706</v>
      </c>
      <c r="Q389" s="7">
        <f t="shared" si="584"/>
        <v>1.3854932514401692E-2</v>
      </c>
      <c r="R389" s="9">
        <f t="shared" si="707"/>
        <v>0.43023068786953705</v>
      </c>
      <c r="S389" s="4">
        <f t="shared" si="708"/>
        <v>1015.2727935572605</v>
      </c>
      <c r="T389" s="6">
        <f t="shared" si="658"/>
        <v>5.5305455871145215E-6</v>
      </c>
      <c r="U389" s="8">
        <f t="shared" si="659"/>
        <v>27.564637125908494</v>
      </c>
      <c r="V389" s="7">
        <f t="shared" si="660"/>
        <v>1.3841260745866663E-2</v>
      </c>
      <c r="W389" s="9">
        <f t="shared" si="709"/>
        <v>0.43050016640938427</v>
      </c>
      <c r="X389" s="4">
        <f t="shared" si="710"/>
        <v>1013.1735885732934</v>
      </c>
      <c r="Y389" s="6">
        <f t="shared" si="663"/>
        <v>5.526347177146587E-6</v>
      </c>
      <c r="Z389" s="8">
        <f t="shared" si="664"/>
        <v>27.540496268592875</v>
      </c>
      <c r="AA389" s="7">
        <f t="shared" si="665"/>
        <v>1.3830753412337107E-2</v>
      </c>
      <c r="AB389" s="9">
        <f t="shared" si="711"/>
        <v>0.430877525008528</v>
      </c>
      <c r="AC389" s="4">
        <f t="shared" si="712"/>
        <v>1010.4750946054706</v>
      </c>
      <c r="AD389" s="6">
        <f t="shared" si="713"/>
        <v>5.5209501892109423E-6</v>
      </c>
      <c r="AE389" s="8">
        <f t="shared" si="714"/>
        <v>27.509463587962912</v>
      </c>
      <c r="AF389" s="7">
        <f t="shared" si="715"/>
        <v>1.3817246405463572E-2</v>
      </c>
      <c r="AG389" s="9">
        <f t="shared" si="716"/>
        <v>0.43136358627182608</v>
      </c>
      <c r="AH389" s="4">
        <f t="shared" si="717"/>
        <v>1007.1770858109902</v>
      </c>
      <c r="AI389" s="6">
        <f t="shared" si="718"/>
        <v>5.5143541716219813E-6</v>
      </c>
      <c r="AJ389" s="8">
        <f t="shared" si="719"/>
        <v>27.471536486826388</v>
      </c>
      <c r="AK389" s="7">
        <f t="shared" si="720"/>
        <v>1.3800738594815409E-2</v>
      </c>
      <c r="AL389" s="9">
        <f t="shared" si="721"/>
        <v>0.43195912523525432</v>
      </c>
      <c r="AM389" s="4">
        <f t="shared" si="722"/>
        <v>1003.2795150767413</v>
      </c>
      <c r="AN389" s="6">
        <f t="shared" si="723"/>
        <v>5.506559030153483E-6</v>
      </c>
      <c r="AO389" s="8">
        <f t="shared" si="724"/>
        <v>27.426714423382524</v>
      </c>
      <c r="AP389" s="7">
        <f t="shared" si="725"/>
        <v>1.3781229744573256E-2</v>
      </c>
      <c r="AQ389" s="9">
        <f t="shared" si="726"/>
        <v>0.4326650537331988</v>
      </c>
      <c r="AR389" s="4">
        <f t="shared" si="727"/>
        <v>998.78237526529824</v>
      </c>
      <c r="AS389" s="6">
        <f t="shared" si="728"/>
        <v>5.4975647505305966E-6</v>
      </c>
      <c r="AT389" s="8">
        <f t="shared" si="729"/>
        <v>27.374997315550928</v>
      </c>
      <c r="AU389" s="7">
        <f t="shared" si="730"/>
        <v>1.3758719819011543E-2</v>
      </c>
      <c r="AV389" s="9">
        <f t="shared" si="731"/>
        <v>0.43348244870792529</v>
      </c>
      <c r="AW389" s="4">
        <f t="shared" si="732"/>
        <v>993.68564223034502</v>
      </c>
      <c r="AX389" s="6">
        <f t="shared" si="733"/>
        <v>5.48737128446069E-6</v>
      </c>
      <c r="AY389" s="8">
        <f t="shared" si="734"/>
        <v>27.316384885648965</v>
      </c>
      <c r="AZ389" s="7">
        <f t="shared" si="735"/>
        <v>1.3733208697268611E-2</v>
      </c>
      <c r="BA389" s="9">
        <f t="shared" si="736"/>
        <v>0.43441256664794498</v>
      </c>
      <c r="BB389" s="4">
        <f t="shared" si="737"/>
        <v>987.98912823927446</v>
      </c>
      <c r="BC389" s="6">
        <f t="shared" si="738"/>
        <v>5.4759782564785487E-6</v>
      </c>
      <c r="BD389" s="8">
        <f t="shared" si="739"/>
        <v>27.250874974751653</v>
      </c>
      <c r="BE389" s="7">
        <f t="shared" si="740"/>
        <v>1.3704695439670088E-2</v>
      </c>
      <c r="BF389" s="9">
        <f t="shared" si="741"/>
        <v>0.43545687544757605</v>
      </c>
      <c r="BG389" s="4">
        <f t="shared" si="742"/>
        <v>981.69158143237792</v>
      </c>
      <c r="BH389" s="6">
        <f t="shared" si="743"/>
        <v>5.463383162864756E-6</v>
      </c>
      <c r="BI389" s="8">
        <f t="shared" si="744"/>
        <v>27.178453186472346</v>
      </c>
      <c r="BJ389" s="7">
        <f t="shared" si="745"/>
        <v>1.3673173780173549E-2</v>
      </c>
      <c r="BK389" s="9">
        <f t="shared" si="746"/>
        <v>0.43661722719467733</v>
      </c>
      <c r="BL389" s="4">
        <f t="shared" si="747"/>
        <v>974.78548519050332</v>
      </c>
      <c r="BM389" s="6">
        <f t="shared" si="748"/>
        <v>5.4495709703810071E-6</v>
      </c>
      <c r="BN389" s="8">
        <f t="shared" si="749"/>
        <v>27.099033079690788</v>
      </c>
      <c r="BO389" s="7">
        <f t="shared" si="750"/>
        <v>1.363860609519052E-2</v>
      </c>
      <c r="BP389" s="9">
        <f t="shared" si="751"/>
        <v>0.43789683693958947</v>
      </c>
      <c r="BQ389" s="4">
        <f t="shared" si="752"/>
        <v>967.23041407745166</v>
      </c>
      <c r="BR389" s="6">
        <f t="shared" si="753"/>
        <v>5.4344608281549037E-6</v>
      </c>
      <c r="BS389" s="8">
        <f t="shared" si="754"/>
        <v>27.012149761890694</v>
      </c>
      <c r="BT389" s="7">
        <f t="shared" si="755"/>
        <v>1.3600790039764468E-2</v>
      </c>
      <c r="BU389" s="9">
        <f t="shared" si="756"/>
        <v>0.43930531165866404</v>
      </c>
      <c r="BV389" s="4">
        <f t="shared" si="757"/>
        <v>958.83415290490279</v>
      </c>
      <c r="BW389" s="6">
        <f t="shared" si="758"/>
        <v>5.4176683058098054E-6</v>
      </c>
      <c r="BX389" s="8">
        <f t="shared" si="759"/>
        <v>26.915592758406383</v>
      </c>
      <c r="BY389" s="7">
        <f t="shared" si="760"/>
        <v>1.355876350247295E-2</v>
      </c>
      <c r="BZ389" s="9">
        <f t="shared" si="761"/>
        <v>0.44088127563201007</v>
      </c>
      <c r="CA389" s="4">
        <f t="shared" si="762"/>
        <v>948.80242623926722</v>
      </c>
      <c r="CB389" s="6">
        <f t="shared" si="763"/>
        <v>5.3976048524785355E-6</v>
      </c>
      <c r="CC389" s="8">
        <f t="shared" si="764"/>
        <v>26.800227901751573</v>
      </c>
      <c r="CD389" s="7">
        <f t="shared" si="765"/>
        <v>1.3508550827313443E-2</v>
      </c>
      <c r="CE389" s="9">
        <f t="shared" si="766"/>
        <v>0.44277910296958106</v>
      </c>
      <c r="CF389" s="4">
        <f t="shared" si="767"/>
        <v>934.34786318320766</v>
      </c>
      <c r="CG389" s="6">
        <f t="shared" si="768"/>
        <v>5.3686957263664153E-6</v>
      </c>
      <c r="CH389" s="8">
        <f t="shared" si="769"/>
        <v>26.634000426606889</v>
      </c>
      <c r="CI389" s="7">
        <f t="shared" si="770"/>
        <v>1.3436200143976652E-2</v>
      </c>
      <c r="CJ389" s="9">
        <f t="shared" si="771"/>
        <v>0.44554256512902196</v>
      </c>
      <c r="CK389" s="4">
        <f t="shared" si="772"/>
        <v>907.43124520170466</v>
      </c>
      <c r="CL389" s="6">
        <f t="shared" si="773"/>
        <v>5.3148624904034103E-6</v>
      </c>
      <c r="CM389" s="8">
        <f t="shared" si="774"/>
        <v>26.324459319819603</v>
      </c>
      <c r="CN389" s="7">
        <f t="shared" si="775"/>
        <v>1.3301472051780151E-2</v>
      </c>
      <c r="CO389" s="9">
        <f t="shared" si="776"/>
        <v>0.45078156119178436</v>
      </c>
      <c r="CP389" s="4">
        <f t="shared" si="777"/>
        <v>849.94176961135247</v>
      </c>
      <c r="CQ389" s="6">
        <f t="shared" si="778"/>
        <v>5.1998835392227049E-6</v>
      </c>
      <c r="CR389" s="8">
        <f t="shared" si="779"/>
        <v>25.663330350530551</v>
      </c>
      <c r="CS389" s="7">
        <f t="shared" si="780"/>
        <v>1.3013714972752305E-2</v>
      </c>
      <c r="CT389" s="9">
        <f t="shared" si="781"/>
        <v>0.46239442455965479</v>
      </c>
      <c r="CU389" s="4">
        <f t="shared" si="782"/>
        <v>732.83676573455432</v>
      </c>
      <c r="CV389" s="6">
        <f t="shared" si="783"/>
        <v>4.9656735314691093E-6</v>
      </c>
      <c r="CW389" s="8">
        <f t="shared" si="784"/>
        <v>24.316622805947375</v>
      </c>
      <c r="CX389" s="7">
        <f t="shared" si="785"/>
        <v>1.2427559097975346E-2</v>
      </c>
      <c r="CY389" s="9">
        <f t="shared" si="786"/>
        <v>0.48800283511473325</v>
      </c>
      <c r="CZ389" s="5">
        <f t="shared" si="787"/>
        <v>530.47507405472049</v>
      </c>
      <c r="DA389" s="6">
        <f t="shared" si="788"/>
        <v>6.752638299900837E-6</v>
      </c>
      <c r="DB389" s="8">
        <f t="shared" si="789"/>
        <v>38.1112228524131</v>
      </c>
      <c r="DC389" s="7">
        <f t="shared" si="790"/>
        <v>1.689978429057977E-2</v>
      </c>
      <c r="DD389" s="9">
        <f t="shared" si="791"/>
        <v>0.31136709823433384</v>
      </c>
    </row>
    <row r="390" spans="2:108" x14ac:dyDescent="0.25">
      <c r="B390">
        <v>123</v>
      </c>
      <c r="C390">
        <f t="shared" si="699"/>
        <v>0.12024660396046594</v>
      </c>
      <c r="D390" s="4">
        <f t="shared" si="700"/>
        <v>1017.987638794544</v>
      </c>
      <c r="E390" s="6">
        <f t="shared" si="647"/>
        <v>5.5359752775890886E-6</v>
      </c>
      <c r="F390" s="8">
        <f t="shared" si="701"/>
        <v>27.595857846137257</v>
      </c>
      <c r="G390" s="7">
        <f t="shared" si="583"/>
        <v>1.3854849597173294E-2</v>
      </c>
      <c r="H390" s="9">
        <f t="shared" si="702"/>
        <v>0.43001311776140089</v>
      </c>
      <c r="I390" s="4">
        <f t="shared" si="703"/>
        <v>1017.6631653952622</v>
      </c>
      <c r="J390" s="6">
        <f t="shared" si="650"/>
        <v>5.5353263307905246E-6</v>
      </c>
      <c r="K390" s="8">
        <f t="shared" si="704"/>
        <v>27.592126402045515</v>
      </c>
      <c r="L390" s="7">
        <f t="shared" si="651"/>
        <v>1.3853225482208929E-2</v>
      </c>
      <c r="M390" s="9">
        <f t="shared" si="705"/>
        <v>0.43007127094192282</v>
      </c>
      <c r="N390" s="4">
        <f t="shared" si="706"/>
        <v>1016.7575386126427</v>
      </c>
      <c r="O390" s="6">
        <f t="shared" si="654"/>
        <v>5.5335150772252862E-6</v>
      </c>
      <c r="P390" s="8">
        <f t="shared" si="655"/>
        <v>27.581711694045389</v>
      </c>
      <c r="Q390" s="7">
        <f t="shared" si="584"/>
        <v>1.3854849597173294E-2</v>
      </c>
      <c r="R390" s="9">
        <f t="shared" si="707"/>
        <v>0.43023366357207526</v>
      </c>
      <c r="S390" s="4">
        <f t="shared" si="708"/>
        <v>1015.2561959871521</v>
      </c>
      <c r="T390" s="6">
        <f t="shared" si="658"/>
        <v>5.5305123919743043E-6</v>
      </c>
      <c r="U390" s="8">
        <f t="shared" si="659"/>
        <v>27.564446253852246</v>
      </c>
      <c r="V390" s="7">
        <f t="shared" si="660"/>
        <v>1.384117766860349E-2</v>
      </c>
      <c r="W390" s="9">
        <f t="shared" si="709"/>
        <v>0.43050314743977469</v>
      </c>
      <c r="X390" s="4">
        <f t="shared" si="710"/>
        <v>1013.156992982544</v>
      </c>
      <c r="Y390" s="6">
        <f t="shared" si="663"/>
        <v>5.5263139859650883E-6</v>
      </c>
      <c r="Z390" s="8">
        <f t="shared" si="664"/>
        <v>27.540305419299255</v>
      </c>
      <c r="AA390" s="7">
        <f t="shared" si="665"/>
        <v>1.3830670344981392E-2</v>
      </c>
      <c r="AB390" s="9">
        <f t="shared" si="711"/>
        <v>0.43088051091119073</v>
      </c>
      <c r="AC390" s="4">
        <f t="shared" si="712"/>
        <v>1010.4585093482434</v>
      </c>
      <c r="AD390" s="6">
        <f t="shared" si="713"/>
        <v>5.5209170186964877E-6</v>
      </c>
      <c r="AE390" s="8">
        <f t="shared" si="714"/>
        <v>27.509272857504797</v>
      </c>
      <c r="AF390" s="7">
        <f t="shared" si="715"/>
        <v>1.3817163389831135E-2</v>
      </c>
      <c r="AG390" s="9">
        <f t="shared" si="716"/>
        <v>0.43136657705151155</v>
      </c>
      <c r="AH390" s="4">
        <f t="shared" si="717"/>
        <v>1007.1605163575367</v>
      </c>
      <c r="AI390" s="6">
        <f t="shared" si="718"/>
        <v>5.5143210327150736E-6</v>
      </c>
      <c r="AJ390" s="8">
        <f t="shared" si="719"/>
        <v>27.471345938111671</v>
      </c>
      <c r="AK390" s="7">
        <f t="shared" si="720"/>
        <v>1.3800655658286972E-2</v>
      </c>
      <c r="AL390" s="9">
        <f t="shared" si="721"/>
        <v>0.43196212142103674</v>
      </c>
      <c r="AM390" s="4">
        <f t="shared" si="722"/>
        <v>1003.262965451107</v>
      </c>
      <c r="AN390" s="6">
        <f t="shared" si="723"/>
        <v>5.506525930902215E-6</v>
      </c>
      <c r="AO390" s="8">
        <f t="shared" si="724"/>
        <v>27.426524102687729</v>
      </c>
      <c r="AP390" s="7">
        <f t="shared" si="725"/>
        <v>1.3781146907290737E-2</v>
      </c>
      <c r="AQ390" s="9">
        <f t="shared" si="726"/>
        <v>0.43266805612290493</v>
      </c>
      <c r="AR390" s="4">
        <f t="shared" si="727"/>
        <v>998.7658487723063</v>
      </c>
      <c r="AS390" s="6">
        <f t="shared" si="728"/>
        <v>5.4975316975446129E-6</v>
      </c>
      <c r="AT390" s="8">
        <f t="shared" si="729"/>
        <v>27.374807260881521</v>
      </c>
      <c r="AU390" s="7">
        <f t="shared" si="730"/>
        <v>1.3758637097516851E-2</v>
      </c>
      <c r="AV390" s="9">
        <f t="shared" si="731"/>
        <v>0.43348545824010931</v>
      </c>
      <c r="AW390" s="4">
        <f t="shared" si="732"/>
        <v>993.66914004133537</v>
      </c>
      <c r="AX390" s="6">
        <f t="shared" si="733"/>
        <v>5.4873382800826712E-6</v>
      </c>
      <c r="AY390" s="8">
        <f t="shared" si="734"/>
        <v>27.316195110475356</v>
      </c>
      <c r="AZ390" s="7">
        <f t="shared" si="735"/>
        <v>1.3733126097424759E-2</v>
      </c>
      <c r="BA390" s="9">
        <f t="shared" si="736"/>
        <v>0.43441558466417751</v>
      </c>
      <c r="BB390" s="4">
        <f t="shared" si="737"/>
        <v>987.97263838235813</v>
      </c>
      <c r="BC390" s="6">
        <f t="shared" si="738"/>
        <v>5.4759452767647165E-6</v>
      </c>
      <c r="BD390" s="8">
        <f t="shared" si="739"/>
        <v>27.250685341397116</v>
      </c>
      <c r="BE390" s="7">
        <f t="shared" si="740"/>
        <v>1.3704612901553136E-2</v>
      </c>
      <c r="BF390" s="9">
        <f t="shared" si="741"/>
        <v>0.43545990572542093</v>
      </c>
      <c r="BG390" s="4">
        <f t="shared" si="742"/>
        <v>981.6750164608095</v>
      </c>
      <c r="BH390" s="6">
        <f t="shared" si="743"/>
        <v>5.4633500329216194E-6</v>
      </c>
      <c r="BI390" s="8">
        <f t="shared" si="744"/>
        <v>27.178262689299309</v>
      </c>
      <c r="BJ390" s="7">
        <f t="shared" si="745"/>
        <v>1.3673090866078687E-2</v>
      </c>
      <c r="BK390" s="9">
        <f t="shared" si="746"/>
        <v>0.43662028752080745</v>
      </c>
      <c r="BL390" s="4">
        <f t="shared" si="747"/>
        <v>974.76837299581689</v>
      </c>
      <c r="BM390" s="6">
        <f t="shared" si="748"/>
        <v>5.449536745991634E-6</v>
      </c>
      <c r="BN390" s="8">
        <f t="shared" si="749"/>
        <v>27.098836289451896</v>
      </c>
      <c r="BO390" s="7">
        <f t="shared" si="750"/>
        <v>1.3638520442032124E-2</v>
      </c>
      <c r="BP390" s="9">
        <f t="shared" si="751"/>
        <v>0.43790001692201497</v>
      </c>
      <c r="BQ390" s="4">
        <f t="shared" si="752"/>
        <v>967.21057408303511</v>
      </c>
      <c r="BR390" s="6">
        <f t="shared" si="753"/>
        <v>5.434421148166071E-6</v>
      </c>
      <c r="BS390" s="8">
        <f t="shared" si="754"/>
        <v>27.011921601954903</v>
      </c>
      <c r="BT390" s="7">
        <f t="shared" si="755"/>
        <v>1.3600690732912516E-2</v>
      </c>
      <c r="BU390" s="9">
        <f t="shared" si="756"/>
        <v>0.43930902231180369</v>
      </c>
      <c r="BV390" s="4">
        <f t="shared" si="757"/>
        <v>958.8029582529764</v>
      </c>
      <c r="BW390" s="6">
        <f t="shared" si="758"/>
        <v>5.4176059165059534E-6</v>
      </c>
      <c r="BX390" s="8">
        <f t="shared" si="759"/>
        <v>26.915234019909228</v>
      </c>
      <c r="BY390" s="7">
        <f t="shared" si="760"/>
        <v>1.3558607361164873E-2</v>
      </c>
      <c r="BZ390" s="9">
        <f t="shared" si="761"/>
        <v>0.44088715189844441</v>
      </c>
      <c r="CA390" s="4">
        <f t="shared" si="762"/>
        <v>948.7313920709579</v>
      </c>
      <c r="CB390" s="6">
        <f t="shared" si="763"/>
        <v>5.3974627841419171E-6</v>
      </c>
      <c r="CC390" s="8">
        <f t="shared" si="764"/>
        <v>26.799411008816016</v>
      </c>
      <c r="CD390" s="7">
        <f t="shared" si="765"/>
        <v>1.3508195273804318E-2</v>
      </c>
      <c r="CE390" s="9">
        <f t="shared" si="766"/>
        <v>0.44279259965132189</v>
      </c>
      <c r="CF390" s="4">
        <f t="shared" si="767"/>
        <v>934.1620592495068</v>
      </c>
      <c r="CG390" s="6">
        <f t="shared" si="768"/>
        <v>5.3683241184990137E-6</v>
      </c>
      <c r="CH390" s="8">
        <f t="shared" si="769"/>
        <v>26.631863681369328</v>
      </c>
      <c r="CI390" s="7">
        <f t="shared" si="770"/>
        <v>1.3435270123365324E-2</v>
      </c>
      <c r="CJ390" s="9">
        <f t="shared" si="771"/>
        <v>0.44557831219372462</v>
      </c>
      <c r="CK390" s="4">
        <f t="shared" si="772"/>
        <v>906.98713711107496</v>
      </c>
      <c r="CL390" s="6">
        <f t="shared" si="773"/>
        <v>5.3139742742221504E-6</v>
      </c>
      <c r="CM390" s="8">
        <f t="shared" si="774"/>
        <v>26.319352076777363</v>
      </c>
      <c r="CN390" s="7">
        <f t="shared" si="775"/>
        <v>1.3299249118875998E-2</v>
      </c>
      <c r="CO390" s="9">
        <f t="shared" si="776"/>
        <v>0.45086903488738489</v>
      </c>
      <c r="CP390" s="4">
        <f t="shared" si="777"/>
        <v>849.0844285305061</v>
      </c>
      <c r="CQ390" s="6">
        <f t="shared" si="778"/>
        <v>5.1981688570610123E-6</v>
      </c>
      <c r="CR390" s="8">
        <f t="shared" si="779"/>
        <v>25.65347092810082</v>
      </c>
      <c r="CS390" s="7">
        <f t="shared" si="780"/>
        <v>1.3009423648773066E-2</v>
      </c>
      <c r="CT390" s="9">
        <f t="shared" si="781"/>
        <v>0.4625721370404986</v>
      </c>
      <c r="CU390" s="4">
        <f t="shared" si="782"/>
        <v>731.61825490129218</v>
      </c>
      <c r="CV390" s="6">
        <f t="shared" si="783"/>
        <v>4.9632365098025853E-6</v>
      </c>
      <c r="CW390" s="8">
        <f t="shared" si="784"/>
        <v>24.302609931364859</v>
      </c>
      <c r="CX390" s="7">
        <f t="shared" si="785"/>
        <v>1.2421459979579455E-2</v>
      </c>
      <c r="CY390" s="9">
        <f t="shared" si="786"/>
        <v>0.48828421734255517</v>
      </c>
      <c r="CZ390" s="5">
        <f t="shared" si="787"/>
        <v>529.35992096987684</v>
      </c>
      <c r="DA390" s="6">
        <f t="shared" si="788"/>
        <v>6.7697627011289143E-6</v>
      </c>
      <c r="DB390" s="8">
        <f t="shared" si="789"/>
        <v>38.143562291873565</v>
      </c>
      <c r="DC390" s="7">
        <f t="shared" si="790"/>
        <v>1.6942641419009721E-2</v>
      </c>
      <c r="DD390" s="9">
        <f t="shared" si="791"/>
        <v>0.31110311037325578</v>
      </c>
    </row>
    <row r="391" spans="2:108" x14ac:dyDescent="0.25">
      <c r="B391">
        <v>124</v>
      </c>
      <c r="C391">
        <f t="shared" si="699"/>
        <v>0.12122421862681118</v>
      </c>
      <c r="D391" s="4">
        <f t="shared" si="700"/>
        <v>1017.9710728219075</v>
      </c>
      <c r="E391" s="6">
        <f t="shared" si="647"/>
        <v>5.5359421456438159E-6</v>
      </c>
      <c r="F391" s="8">
        <f t="shared" si="701"/>
        <v>27.595667337451935</v>
      </c>
      <c r="G391" s="7">
        <f t="shared" si="583"/>
        <v>1.3854766678067697E-2</v>
      </c>
      <c r="H391" s="9">
        <f t="shared" si="702"/>
        <v>0.43001608638806005</v>
      </c>
      <c r="I391" s="4">
        <f t="shared" si="703"/>
        <v>1017.6465922752265</v>
      </c>
      <c r="J391" s="6">
        <f t="shared" si="650"/>
        <v>5.5352931845504537E-6</v>
      </c>
      <c r="K391" s="8">
        <f t="shared" si="704"/>
        <v>27.591935811165101</v>
      </c>
      <c r="L391" s="7">
        <f t="shared" si="651"/>
        <v>1.3853142527327835E-2</v>
      </c>
      <c r="M391" s="9">
        <f t="shared" si="705"/>
        <v>0.43007424165273955</v>
      </c>
      <c r="N391" s="4">
        <f t="shared" si="706"/>
        <v>1016.7409500535983</v>
      </c>
      <c r="O391" s="6">
        <f t="shared" si="654"/>
        <v>5.5334819001071967E-6</v>
      </c>
      <c r="P391" s="8">
        <f t="shared" si="655"/>
        <v>27.581520925616381</v>
      </c>
      <c r="Q391" s="7">
        <f t="shared" si="584"/>
        <v>1.3854766678067697E-2</v>
      </c>
      <c r="R391" s="9">
        <f t="shared" si="707"/>
        <v>0.43023663929630485</v>
      </c>
      <c r="S391" s="4">
        <f t="shared" si="708"/>
        <v>1015.2395986511568</v>
      </c>
      <c r="T391" s="6">
        <f t="shared" si="658"/>
        <v>5.5304791973023142E-6</v>
      </c>
      <c r="U391" s="8">
        <f t="shared" si="659"/>
        <v>27.564255384488302</v>
      </c>
      <c r="V391" s="7">
        <f t="shared" si="660"/>
        <v>1.3841094592512143E-2</v>
      </c>
      <c r="W391" s="9">
        <f t="shared" si="709"/>
        <v>0.43050612846940095</v>
      </c>
      <c r="X391" s="4">
        <f t="shared" si="710"/>
        <v>1013.1403976283367</v>
      </c>
      <c r="Y391" s="6">
        <f t="shared" si="663"/>
        <v>5.5262807952566737E-6</v>
      </c>
      <c r="Z391" s="8">
        <f t="shared" si="664"/>
        <v>27.540114572725869</v>
      </c>
      <c r="AA391" s="7">
        <f t="shared" si="665"/>
        <v>1.3830587278809661E-2</v>
      </c>
      <c r="AB391" s="9">
        <f t="shared" si="711"/>
        <v>0.43088349681267746</v>
      </c>
      <c r="AC391" s="4">
        <f t="shared" si="712"/>
        <v>1010.4419243024324</v>
      </c>
      <c r="AD391" s="6">
        <f t="shared" si="713"/>
        <v>5.5208838486048652E-6</v>
      </c>
      <c r="AE391" s="8">
        <f t="shared" si="714"/>
        <v>27.509082129477974</v>
      </c>
      <c r="AF391" s="7">
        <f t="shared" si="715"/>
        <v>1.3817080375256915E-2</v>
      </c>
      <c r="AG391" s="9">
        <f t="shared" si="716"/>
        <v>0.43136956783454428</v>
      </c>
      <c r="AH391" s="4">
        <f t="shared" si="717"/>
        <v>1007.1439471002614</v>
      </c>
      <c r="AI391" s="6">
        <f t="shared" si="718"/>
        <v>5.5142878942005234E-6</v>
      </c>
      <c r="AJ391" s="8">
        <f t="shared" si="719"/>
        <v>27.471155391653006</v>
      </c>
      <c r="AK391" s="7">
        <f t="shared" si="720"/>
        <v>1.380057272274049E-2</v>
      </c>
      <c r="AL391" s="9">
        <f t="shared" si="721"/>
        <v>0.43196511761290929</v>
      </c>
      <c r="AM391" s="4">
        <f t="shared" si="722"/>
        <v>1003.2464160128852</v>
      </c>
      <c r="AN391" s="6">
        <f t="shared" si="723"/>
        <v>5.5064928320257709E-6</v>
      </c>
      <c r="AO391" s="8">
        <f t="shared" si="724"/>
        <v>27.426333784148177</v>
      </c>
      <c r="AP391" s="7">
        <f t="shared" si="725"/>
        <v>1.3781064070946286E-2</v>
      </c>
      <c r="AQ391" s="9">
        <f t="shared" si="726"/>
        <v>0.43267105852027965</v>
      </c>
      <c r="AR391" s="4">
        <f t="shared" si="727"/>
        <v>998.74932243565286</v>
      </c>
      <c r="AS391" s="6">
        <f t="shared" si="728"/>
        <v>5.4974986448713064E-6</v>
      </c>
      <c r="AT391" s="8">
        <f t="shared" si="729"/>
        <v>27.374617208010008</v>
      </c>
      <c r="AU391" s="7">
        <f t="shared" si="730"/>
        <v>1.3758554376804694E-2</v>
      </c>
      <c r="AV391" s="9">
        <f t="shared" si="731"/>
        <v>0.43348846778561173</v>
      </c>
      <c r="AW391" s="4">
        <f t="shared" si="732"/>
        <v>993.65263781482884</v>
      </c>
      <c r="AX391" s="6">
        <f t="shared" si="733"/>
        <v>5.4873052756296586E-6</v>
      </c>
      <c r="AY391" s="8">
        <f t="shared" si="734"/>
        <v>27.316005334870532</v>
      </c>
      <c r="AZ391" s="7">
        <f t="shared" si="735"/>
        <v>1.3733043497393219E-2</v>
      </c>
      <c r="BA391" s="9">
        <f t="shared" si="736"/>
        <v>0.43441860272920252</v>
      </c>
      <c r="BB391" s="4">
        <f t="shared" si="737"/>
        <v>987.95614738060283</v>
      </c>
      <c r="BC391" s="6">
        <f t="shared" si="738"/>
        <v>5.4759122947612068E-6</v>
      </c>
      <c r="BD391" s="8">
        <f t="shared" si="739"/>
        <v>27.250495694876932</v>
      </c>
      <c r="BE391" s="7">
        <f t="shared" si="740"/>
        <v>1.3704530357705823E-2</v>
      </c>
      <c r="BF391" s="9">
        <f t="shared" si="741"/>
        <v>0.4354629362558276</v>
      </c>
      <c r="BG391" s="4">
        <f t="shared" si="742"/>
        <v>981.65844473131335</v>
      </c>
      <c r="BH391" s="6">
        <f t="shared" si="743"/>
        <v>5.463316889462627E-6</v>
      </c>
      <c r="BI391" s="8">
        <f t="shared" si="744"/>
        <v>27.178072114410103</v>
      </c>
      <c r="BJ391" s="7">
        <f t="shared" si="745"/>
        <v>1.367300791815778E-2</v>
      </c>
      <c r="BK391" s="9">
        <f t="shared" si="746"/>
        <v>0.4366233491383707</v>
      </c>
      <c r="BL391" s="4">
        <f t="shared" si="747"/>
        <v>974.7512292240915</v>
      </c>
      <c r="BM391" s="6">
        <f t="shared" si="748"/>
        <v>5.4495024584481832E-6</v>
      </c>
      <c r="BN391" s="8">
        <f t="shared" si="749"/>
        <v>27.098639136077054</v>
      </c>
      <c r="BO391" s="7">
        <f t="shared" si="750"/>
        <v>1.3638434630818428E-2</v>
      </c>
      <c r="BP391" s="9">
        <f t="shared" si="751"/>
        <v>0.43790320281875855</v>
      </c>
      <c r="BQ391" s="4">
        <f t="shared" si="752"/>
        <v>967.19060916958665</v>
      </c>
      <c r="BR391" s="6">
        <f t="shared" si="753"/>
        <v>5.4343812183391734E-6</v>
      </c>
      <c r="BS391" s="8">
        <f t="shared" si="754"/>
        <v>27.011692005450247</v>
      </c>
      <c r="BT391" s="7">
        <f t="shared" si="755"/>
        <v>1.3600590800792452E-2</v>
      </c>
      <c r="BU391" s="9">
        <f t="shared" si="756"/>
        <v>0.43931275639169642</v>
      </c>
      <c r="BV391" s="4">
        <f t="shared" si="757"/>
        <v>958.7713515525237</v>
      </c>
      <c r="BW391" s="6">
        <f t="shared" si="758"/>
        <v>5.417542703105048E-6</v>
      </c>
      <c r="BX391" s="8">
        <f t="shared" si="759"/>
        <v>26.914870542854022</v>
      </c>
      <c r="BY391" s="7">
        <f t="shared" si="760"/>
        <v>1.3558449157394415E-2</v>
      </c>
      <c r="BZ391" s="9">
        <f t="shared" si="761"/>
        <v>0.44089310594393744</v>
      </c>
      <c r="CA391" s="4">
        <f t="shared" si="762"/>
        <v>948.6592729181109</v>
      </c>
      <c r="CB391" s="6">
        <f t="shared" si="763"/>
        <v>5.3973185458362221E-6</v>
      </c>
      <c r="CC391" s="8">
        <f t="shared" si="764"/>
        <v>26.798581638558275</v>
      </c>
      <c r="CD391" s="7">
        <f t="shared" si="765"/>
        <v>1.3507834289527593E-2</v>
      </c>
      <c r="CE391" s="9">
        <f t="shared" si="766"/>
        <v>0.44280630332480175</v>
      </c>
      <c r="CF391" s="4">
        <f t="shared" si="767"/>
        <v>933.97416396043684</v>
      </c>
      <c r="CG391" s="6">
        <f t="shared" si="768"/>
        <v>5.3679483279208743E-6</v>
      </c>
      <c r="CH391" s="8">
        <f t="shared" si="769"/>
        <v>26.629702885545022</v>
      </c>
      <c r="CI391" s="7">
        <f t="shared" si="770"/>
        <v>1.3434329634710824E-2</v>
      </c>
      <c r="CJ391" s="9">
        <f t="shared" si="771"/>
        <v>0.44561446745090222</v>
      </c>
      <c r="CK391" s="4">
        <f t="shared" si="772"/>
        <v>906.54071340095982</v>
      </c>
      <c r="CL391" s="6">
        <f t="shared" si="773"/>
        <v>5.3130814268019201E-6</v>
      </c>
      <c r="CM391" s="8">
        <f t="shared" si="774"/>
        <v>26.314218204111036</v>
      </c>
      <c r="CN391" s="7">
        <f t="shared" si="775"/>
        <v>1.3297014595399967E-2</v>
      </c>
      <c r="CO391" s="9">
        <f t="shared" si="776"/>
        <v>0.45095699889970503</v>
      </c>
      <c r="CP391" s="4">
        <f t="shared" si="777"/>
        <v>848.22763775011492</v>
      </c>
      <c r="CQ391" s="6">
        <f t="shared" si="778"/>
        <v>5.1964552755002312E-6</v>
      </c>
      <c r="CR391" s="8">
        <f t="shared" si="779"/>
        <v>25.643617834126321</v>
      </c>
      <c r="CS391" s="7">
        <f t="shared" si="780"/>
        <v>1.3005135079260622E-2</v>
      </c>
      <c r="CT391" s="9">
        <f t="shared" si="781"/>
        <v>0.46274987197500456</v>
      </c>
      <c r="CU391" s="4">
        <f t="shared" si="782"/>
        <v>730.40609876055828</v>
      </c>
      <c r="CV391" s="6">
        <f t="shared" si="783"/>
        <v>4.9608121975211168E-6</v>
      </c>
      <c r="CW391" s="8">
        <f t="shared" si="784"/>
        <v>24.288670135746422</v>
      </c>
      <c r="CX391" s="7">
        <f t="shared" si="785"/>
        <v>1.2415392668879513E-2</v>
      </c>
      <c r="CY391" s="9">
        <f t="shared" si="786"/>
        <v>0.48856445426600231</v>
      </c>
      <c r="CZ391" s="5">
        <f t="shared" si="787"/>
        <v>528.25277481166995</v>
      </c>
      <c r="DA391" s="6">
        <f t="shared" si="788"/>
        <v>6.786747128587428E-6</v>
      </c>
      <c r="DB391" s="8">
        <f t="shared" si="789"/>
        <v>38.175669530461569</v>
      </c>
      <c r="DC391" s="7">
        <f t="shared" si="790"/>
        <v>1.6985148235989993E-2</v>
      </c>
      <c r="DD391" s="9">
        <f t="shared" si="791"/>
        <v>0.31084146042937583</v>
      </c>
    </row>
    <row r="392" spans="2:108" x14ac:dyDescent="0.25">
      <c r="B392">
        <v>125</v>
      </c>
      <c r="C392">
        <f t="shared" si="699"/>
        <v>0.12220183329315643</v>
      </c>
      <c r="D392" s="4">
        <f t="shared" si="700"/>
        <v>1017.9545064843609</v>
      </c>
      <c r="E392" s="6">
        <f t="shared" si="647"/>
        <v>5.5359090129687218E-6</v>
      </c>
      <c r="F392" s="8">
        <f t="shared" si="701"/>
        <v>27.595476824570149</v>
      </c>
      <c r="G392" s="7">
        <f t="shared" si="583"/>
        <v>1.3854683757135583E-2</v>
      </c>
      <c r="H392" s="9">
        <f t="shared" si="702"/>
        <v>0.43001905512110111</v>
      </c>
      <c r="I392" s="4">
        <f t="shared" si="703"/>
        <v>1017.6300189830396</v>
      </c>
      <c r="J392" s="6">
        <f t="shared" si="650"/>
        <v>5.53526003796608E-6</v>
      </c>
      <c r="K392" s="8">
        <f t="shared" si="704"/>
        <v>27.591745218304954</v>
      </c>
      <c r="L392" s="7">
        <f t="shared" si="651"/>
        <v>1.3853059571585056E-2</v>
      </c>
      <c r="M392" s="9">
        <f t="shared" si="705"/>
        <v>0.43007721243545532</v>
      </c>
      <c r="N392" s="4">
        <f t="shared" si="706"/>
        <v>1016.7243616023135</v>
      </c>
      <c r="O392" s="6">
        <f t="shared" si="654"/>
        <v>5.5334487232046271E-6</v>
      </c>
      <c r="P392" s="8">
        <f t="shared" si="655"/>
        <v>27.581330158426603</v>
      </c>
      <c r="Q392" s="7">
        <f t="shared" si="584"/>
        <v>1.3854683757135583E-2</v>
      </c>
      <c r="R392" s="9">
        <f t="shared" si="707"/>
        <v>0.43023961504236735</v>
      </c>
      <c r="S392" s="4">
        <f t="shared" si="708"/>
        <v>1015.223001547865</v>
      </c>
      <c r="T392" s="6">
        <f t="shared" si="658"/>
        <v>5.5304460030957305E-6</v>
      </c>
      <c r="U392" s="8">
        <f t="shared" si="659"/>
        <v>27.564064517800446</v>
      </c>
      <c r="V392" s="7">
        <f t="shared" si="660"/>
        <v>1.3841011517585565E-2</v>
      </c>
      <c r="W392" s="9">
        <f t="shared" si="709"/>
        <v>0.43050910949851551</v>
      </c>
      <c r="X392" s="4">
        <f t="shared" si="710"/>
        <v>1013.1238025102477</v>
      </c>
      <c r="Y392" s="6">
        <f t="shared" si="663"/>
        <v>5.526247605020496E-6</v>
      </c>
      <c r="Z392" s="8">
        <f t="shared" si="664"/>
        <v>27.539923728867848</v>
      </c>
      <c r="AA392" s="7">
        <f t="shared" si="665"/>
        <v>1.3830504213819794E-2</v>
      </c>
      <c r="AB392" s="9">
        <f t="shared" si="711"/>
        <v>0.43088648271306335</v>
      </c>
      <c r="AC392" s="4">
        <f t="shared" si="712"/>
        <v>1010.4253394681159</v>
      </c>
      <c r="AD392" s="6">
        <f t="shared" si="713"/>
        <v>5.5208506789362323E-6</v>
      </c>
      <c r="AE392" s="8">
        <f t="shared" si="714"/>
        <v>27.508891403883332</v>
      </c>
      <c r="AF392" s="7">
        <f t="shared" si="715"/>
        <v>1.381699736174131E-2</v>
      </c>
      <c r="AG392" s="9">
        <f t="shared" si="716"/>
        <v>0.43137255862090956</v>
      </c>
      <c r="AH392" s="4">
        <f t="shared" si="717"/>
        <v>1007.1273780392235</v>
      </c>
      <c r="AI392" s="6">
        <f t="shared" si="718"/>
        <v>5.5142547560784476E-6</v>
      </c>
      <c r="AJ392" s="8">
        <f t="shared" si="719"/>
        <v>27.470964847451071</v>
      </c>
      <c r="AK392" s="7">
        <f t="shared" si="720"/>
        <v>1.3800489788176249E-2</v>
      </c>
      <c r="AL392" s="9">
        <f t="shared" si="721"/>
        <v>0.4319681138108607</v>
      </c>
      <c r="AM392" s="4">
        <f t="shared" si="722"/>
        <v>1003.2298667617266</v>
      </c>
      <c r="AN392" s="6">
        <f t="shared" si="723"/>
        <v>5.5064597335234537E-6</v>
      </c>
      <c r="AO392" s="8">
        <f t="shared" si="724"/>
        <v>27.426143467759857</v>
      </c>
      <c r="AP392" s="7">
        <f t="shared" si="725"/>
        <v>1.378098123553816E-2</v>
      </c>
      <c r="AQ392" s="9">
        <f t="shared" si="726"/>
        <v>0.43267406092538574</v>
      </c>
      <c r="AR392" s="4">
        <f t="shared" si="727"/>
        <v>998.73279625289933</v>
      </c>
      <c r="AS392" s="6">
        <f t="shared" si="728"/>
        <v>5.497465592505799E-6</v>
      </c>
      <c r="AT392" s="8">
        <f t="shared" si="729"/>
        <v>27.374427156908339</v>
      </c>
      <c r="AU392" s="7">
        <f t="shared" si="730"/>
        <v>1.3758471656862864E-2</v>
      </c>
      <c r="AV392" s="9">
        <f t="shared" si="731"/>
        <v>0.43349147734487631</v>
      </c>
      <c r="AW392" s="4">
        <f t="shared" si="732"/>
        <v>993.63613553726316</v>
      </c>
      <c r="AX392" s="6">
        <f t="shared" si="733"/>
        <v>5.4872722710745269E-6</v>
      </c>
      <c r="AY392" s="8">
        <f t="shared" si="734"/>
        <v>27.315815558678526</v>
      </c>
      <c r="AZ392" s="7">
        <f t="shared" si="735"/>
        <v>1.3732960897106107E-2</v>
      </c>
      <c r="BA392" s="9">
        <f t="shared" si="736"/>
        <v>0.43442162084550168</v>
      </c>
      <c r="BB392" s="4">
        <f t="shared" si="737"/>
        <v>987.93965516753212</v>
      </c>
      <c r="BC392" s="6">
        <f t="shared" si="738"/>
        <v>5.4758793103350651E-6</v>
      </c>
      <c r="BD392" s="8">
        <f t="shared" si="739"/>
        <v>27.250306034426618</v>
      </c>
      <c r="BE392" s="7">
        <f t="shared" si="740"/>
        <v>1.3704447807795405E-2</v>
      </c>
      <c r="BF392" s="9">
        <f t="shared" si="741"/>
        <v>0.43546596705102242</v>
      </c>
      <c r="BG392" s="4">
        <f t="shared" si="742"/>
        <v>981.64186596181446</v>
      </c>
      <c r="BH392" s="6">
        <f t="shared" si="743"/>
        <v>5.4632837319236295E-6</v>
      </c>
      <c r="BI392" s="8">
        <f t="shared" si="744"/>
        <v>27.177881458560865</v>
      </c>
      <c r="BJ392" s="7">
        <f t="shared" si="745"/>
        <v>1.3672924934998935E-2</v>
      </c>
      <c r="BK392" s="9">
        <f t="shared" si="746"/>
        <v>0.43662641209953468</v>
      </c>
      <c r="BL392" s="4">
        <f t="shared" si="747"/>
        <v>974.73405287153071</v>
      </c>
      <c r="BM392" s="6">
        <f t="shared" si="748"/>
        <v>5.4494681057430621E-6</v>
      </c>
      <c r="BN392" s="8">
        <f t="shared" si="749"/>
        <v>27.098441608022604</v>
      </c>
      <c r="BO392" s="7">
        <f t="shared" si="750"/>
        <v>1.3638348656525039E-2</v>
      </c>
      <c r="BP392" s="9">
        <f t="shared" si="751"/>
        <v>0.43790639481662108</v>
      </c>
      <c r="BQ392" s="4">
        <f t="shared" si="752"/>
        <v>967.17051649640143</v>
      </c>
      <c r="BR392" s="6">
        <f t="shared" si="753"/>
        <v>5.4343410329928035E-6</v>
      </c>
      <c r="BS392" s="8">
        <f t="shared" si="754"/>
        <v>27.011460939708616</v>
      </c>
      <c r="BT392" s="7">
        <f t="shared" si="755"/>
        <v>1.3600490229185457E-2</v>
      </c>
      <c r="BU392" s="9">
        <f t="shared" si="756"/>
        <v>0.43931651443085212</v>
      </c>
      <c r="BV392" s="4">
        <f t="shared" si="757"/>
        <v>958.73932709761664</v>
      </c>
      <c r="BW392" s="6">
        <f t="shared" si="758"/>
        <v>5.4174786541952336E-6</v>
      </c>
      <c r="BX392" s="8">
        <f t="shared" si="759"/>
        <v>26.914502261622591</v>
      </c>
      <c r="BY392" s="7">
        <f t="shared" si="760"/>
        <v>1.3558288862601204E-2</v>
      </c>
      <c r="BZ392" s="9">
        <f t="shared" si="761"/>
        <v>0.44089913884970727</v>
      </c>
      <c r="CA392" s="4">
        <f t="shared" si="762"/>
        <v>948.58606353759887</v>
      </c>
      <c r="CB392" s="6">
        <f t="shared" si="763"/>
        <v>5.3971721270751987E-6</v>
      </c>
      <c r="CC392" s="8">
        <f t="shared" si="764"/>
        <v>26.797739730682387</v>
      </c>
      <c r="CD392" s="7">
        <f t="shared" si="765"/>
        <v>1.3507467848239389E-2</v>
      </c>
      <c r="CE392" s="9">
        <f t="shared" si="766"/>
        <v>0.44282021502474395</v>
      </c>
      <c r="CF392" s="4">
        <f t="shared" si="767"/>
        <v>933.78418754961672</v>
      </c>
      <c r="CG392" s="6">
        <f t="shared" si="768"/>
        <v>5.3675683750992344E-6</v>
      </c>
      <c r="CH392" s="8">
        <f t="shared" si="769"/>
        <v>26.627518156820592</v>
      </c>
      <c r="CI392" s="7">
        <f t="shared" si="770"/>
        <v>1.3433378729236382E-2</v>
      </c>
      <c r="CJ392" s="9">
        <f t="shared" si="771"/>
        <v>0.44565102912823645</v>
      </c>
      <c r="CK392" s="4">
        <f t="shared" si="772"/>
        <v>906.09201730322889</v>
      </c>
      <c r="CL392" s="6">
        <f t="shared" si="773"/>
        <v>5.3121840346064587E-6</v>
      </c>
      <c r="CM392" s="8">
        <f t="shared" si="774"/>
        <v>26.309058198987131</v>
      </c>
      <c r="CN392" s="7">
        <f t="shared" si="775"/>
        <v>1.3294768697744293E-2</v>
      </c>
      <c r="CO392" s="9">
        <f t="shared" si="776"/>
        <v>0.45104544525941065</v>
      </c>
      <c r="CP392" s="4">
        <f t="shared" si="777"/>
        <v>847.37144013443219</v>
      </c>
      <c r="CQ392" s="6">
        <f t="shared" si="778"/>
        <v>5.1947428802688645E-6</v>
      </c>
      <c r="CR392" s="8">
        <f t="shared" si="779"/>
        <v>25.63377156154597</v>
      </c>
      <c r="CS392" s="7">
        <f t="shared" si="780"/>
        <v>1.3000849478767146E-2</v>
      </c>
      <c r="CT392" s="9">
        <f t="shared" si="781"/>
        <v>0.46292762035530233</v>
      </c>
      <c r="CU392" s="4">
        <f t="shared" si="782"/>
        <v>729.20024168039333</v>
      </c>
      <c r="CV392" s="6">
        <f t="shared" si="783"/>
        <v>4.9584004833607869E-6</v>
      </c>
      <c r="CW392" s="8">
        <f t="shared" si="784"/>
        <v>24.274802779324524</v>
      </c>
      <c r="CX392" s="7">
        <f t="shared" si="785"/>
        <v>1.2409356887416036E-2</v>
      </c>
      <c r="CY392" s="9">
        <f t="shared" si="786"/>
        <v>0.48884355426462917</v>
      </c>
      <c r="CZ392" s="5">
        <f t="shared" si="787"/>
        <v>527.15351693728542</v>
      </c>
      <c r="DA392" s="6">
        <f t="shared" si="788"/>
        <v>6.8035939565128099E-6</v>
      </c>
      <c r="DB392" s="8">
        <f t="shared" si="789"/>
        <v>38.207548008818719</v>
      </c>
      <c r="DC392" s="7">
        <f t="shared" si="790"/>
        <v>1.702731068350679E-2</v>
      </c>
      <c r="DD392" s="9">
        <f t="shared" si="791"/>
        <v>0.31058210977001094</v>
      </c>
    </row>
    <row r="393" spans="2:108" x14ac:dyDescent="0.25">
      <c r="B393">
        <v>126</v>
      </c>
      <c r="C393">
        <f t="shared" si="699"/>
        <v>0.12317944795950168</v>
      </c>
      <c r="D393" s="4">
        <f t="shared" si="700"/>
        <v>1017.9379397917455</v>
      </c>
      <c r="E393" s="6">
        <f t="shared" si="647"/>
        <v>5.5358758795834923E-6</v>
      </c>
      <c r="F393" s="8">
        <f t="shared" si="701"/>
        <v>27.595286307605072</v>
      </c>
      <c r="G393" s="7">
        <f t="shared" si="583"/>
        <v>1.3854600834426217E-2</v>
      </c>
      <c r="H393" s="9">
        <f t="shared" si="702"/>
        <v>0.43002202395876393</v>
      </c>
      <c r="I393" s="4">
        <f t="shared" si="703"/>
        <v>1017.6134455231888</v>
      </c>
      <c r="J393" s="6">
        <f t="shared" si="650"/>
        <v>5.5352268910463786E-6</v>
      </c>
      <c r="K393" s="8">
        <f t="shared" si="704"/>
        <v>27.591554623516672</v>
      </c>
      <c r="L393" s="7">
        <f t="shared" si="651"/>
        <v>1.3852976615003057E-2</v>
      </c>
      <c r="M393" s="9">
        <f t="shared" si="705"/>
        <v>0.43008018328926795</v>
      </c>
      <c r="N393" s="4">
        <f t="shared" si="706"/>
        <v>1016.7077732580445</v>
      </c>
      <c r="O393" s="6">
        <f t="shared" si="654"/>
        <v>5.5334155465160892E-6</v>
      </c>
      <c r="P393" s="8">
        <f t="shared" si="655"/>
        <v>27.581139392467513</v>
      </c>
      <c r="Q393" s="7">
        <f t="shared" si="584"/>
        <v>1.3854600834426217E-2</v>
      </c>
      <c r="R393" s="9">
        <f t="shared" si="707"/>
        <v>0.43024259081039617</v>
      </c>
      <c r="S393" s="4">
        <f t="shared" si="708"/>
        <v>1015.2064046758898</v>
      </c>
      <c r="T393" s="6">
        <f t="shared" si="658"/>
        <v>5.5304128093517802E-6</v>
      </c>
      <c r="U393" s="8">
        <f t="shared" si="659"/>
        <v>27.563873653772731</v>
      </c>
      <c r="V393" s="7">
        <f t="shared" si="660"/>
        <v>1.3840928443816819E-2</v>
      </c>
      <c r="W393" s="9">
        <f t="shared" si="709"/>
        <v>0.4305120905273665</v>
      </c>
      <c r="X393" s="4">
        <f t="shared" si="710"/>
        <v>1013.1072076278493</v>
      </c>
      <c r="Y393" s="6">
        <f t="shared" si="663"/>
        <v>5.5262144152556998E-6</v>
      </c>
      <c r="Z393" s="8">
        <f t="shared" si="664"/>
        <v>27.539732887720266</v>
      </c>
      <c r="AA393" s="7">
        <f t="shared" si="665"/>
        <v>1.3830421150009651E-2</v>
      </c>
      <c r="AB393" s="9">
        <f t="shared" si="711"/>
        <v>0.43088946861242455</v>
      </c>
      <c r="AC393" s="4">
        <f t="shared" si="712"/>
        <v>1010.4087548453654</v>
      </c>
      <c r="AD393" s="6">
        <f t="shared" si="713"/>
        <v>5.5208175096907313E-6</v>
      </c>
      <c r="AE393" s="8">
        <f t="shared" si="714"/>
        <v>27.508700680721702</v>
      </c>
      <c r="AF393" s="7">
        <f t="shared" si="715"/>
        <v>1.3816914349284674E-2</v>
      </c>
      <c r="AG393" s="9">
        <f t="shared" si="716"/>
        <v>0.43137554941059375</v>
      </c>
      <c r="AH393" s="4">
        <f t="shared" si="717"/>
        <v>1007.1108091744766</v>
      </c>
      <c r="AI393" s="6">
        <f t="shared" si="718"/>
        <v>5.5142216183489538E-6</v>
      </c>
      <c r="AJ393" s="8">
        <f t="shared" si="719"/>
        <v>27.470774305506481</v>
      </c>
      <c r="AK393" s="7">
        <f t="shared" si="720"/>
        <v>1.380040685459452E-2</v>
      </c>
      <c r="AL393" s="9">
        <f t="shared" si="721"/>
        <v>0.4319711100148807</v>
      </c>
      <c r="AM393" s="4">
        <f t="shared" si="722"/>
        <v>1003.2133176972561</v>
      </c>
      <c r="AN393" s="6">
        <f t="shared" si="723"/>
        <v>5.506426635394512E-6</v>
      </c>
      <c r="AO393" s="8">
        <f t="shared" si="724"/>
        <v>27.425953153518442</v>
      </c>
      <c r="AP393" s="7">
        <f t="shared" si="725"/>
        <v>1.3780898401064477E-2</v>
      </c>
      <c r="AQ393" s="9">
        <f t="shared" si="726"/>
        <v>0.43267706333829092</v>
      </c>
      <c r="AR393" s="4">
        <f t="shared" si="727"/>
        <v>998.71627022147129</v>
      </c>
      <c r="AS393" s="6">
        <f t="shared" si="728"/>
        <v>5.4974325404429431E-6</v>
      </c>
      <c r="AT393" s="8">
        <f t="shared" si="729"/>
        <v>27.374237107546918</v>
      </c>
      <c r="AU393" s="7">
        <f t="shared" si="730"/>
        <v>1.3758388937678478E-2</v>
      </c>
      <c r="AV393" s="9">
        <f t="shared" si="731"/>
        <v>0.43349448691837156</v>
      </c>
      <c r="AW393" s="4">
        <f t="shared" si="732"/>
        <v>993.61963319445238</v>
      </c>
      <c r="AX393" s="6">
        <f t="shared" si="733"/>
        <v>5.4872392663889055E-6</v>
      </c>
      <c r="AY393" s="8">
        <f t="shared" si="734"/>
        <v>27.315625781736202</v>
      </c>
      <c r="AZ393" s="7">
        <f t="shared" si="735"/>
        <v>1.3732878296492421E-2</v>
      </c>
      <c r="BA393" s="9">
        <f t="shared" si="736"/>
        <v>0.43442463901567074</v>
      </c>
      <c r="BB393" s="4">
        <f t="shared" si="737"/>
        <v>987.92316167425213</v>
      </c>
      <c r="BC393" s="6">
        <f t="shared" si="738"/>
        <v>5.4758463233485047E-6</v>
      </c>
      <c r="BD393" s="8">
        <f t="shared" si="739"/>
        <v>27.250116359253898</v>
      </c>
      <c r="BE393" s="7">
        <f t="shared" si="740"/>
        <v>1.3704365251477044E-2</v>
      </c>
      <c r="BF393" s="9">
        <f t="shared" si="741"/>
        <v>0.4354689981236764</v>
      </c>
      <c r="BG393" s="4">
        <f t="shared" si="742"/>
        <v>981.62527986272323</v>
      </c>
      <c r="BH393" s="6">
        <f t="shared" si="743"/>
        <v>5.4632505597254462E-6</v>
      </c>
      <c r="BI393" s="8">
        <f t="shared" si="744"/>
        <v>27.177690718421317</v>
      </c>
      <c r="BJ393" s="7">
        <f t="shared" si="745"/>
        <v>1.3672841915152639E-2</v>
      </c>
      <c r="BK393" s="9">
        <f t="shared" si="746"/>
        <v>0.43662947645785843</v>
      </c>
      <c r="BL393" s="4">
        <f t="shared" si="747"/>
        <v>974.7168429176528</v>
      </c>
      <c r="BM393" s="6">
        <f t="shared" si="748"/>
        <v>5.4494336858353058E-6</v>
      </c>
      <c r="BN393" s="8">
        <f t="shared" si="749"/>
        <v>27.098243693553009</v>
      </c>
      <c r="BO393" s="7">
        <f t="shared" si="750"/>
        <v>1.3638262514044049E-2</v>
      </c>
      <c r="BP393" s="9">
        <f t="shared" si="751"/>
        <v>0.43790959310551547</v>
      </c>
      <c r="BQ393" s="4">
        <f t="shared" si="752"/>
        <v>967.15029320634972</v>
      </c>
      <c r="BR393" s="6">
        <f t="shared" si="753"/>
        <v>5.4343005864126999E-6</v>
      </c>
      <c r="BS393" s="8">
        <f t="shared" si="754"/>
        <v>27.01122837187302</v>
      </c>
      <c r="BT393" s="7">
        <f t="shared" si="755"/>
        <v>1.3600389003790478E-2</v>
      </c>
      <c r="BU393" s="9">
        <f t="shared" si="756"/>
        <v>0.43932029696489672</v>
      </c>
      <c r="BV393" s="4">
        <f t="shared" si="757"/>
        <v>958.70687922664251</v>
      </c>
      <c r="BW393" s="6">
        <f t="shared" si="758"/>
        <v>5.4174137584532856E-6</v>
      </c>
      <c r="BX393" s="8">
        <f t="shared" si="759"/>
        <v>26.914129111106391</v>
      </c>
      <c r="BY393" s="7">
        <f t="shared" si="760"/>
        <v>1.3558126448446678E-2</v>
      </c>
      <c r="BZ393" s="9">
        <f t="shared" si="761"/>
        <v>0.44090525168882511</v>
      </c>
      <c r="CA393" s="4">
        <f t="shared" si="762"/>
        <v>948.51175889790636</v>
      </c>
      <c r="CB393" s="6">
        <f t="shared" si="763"/>
        <v>5.3970235177958135E-6</v>
      </c>
      <c r="CC393" s="8">
        <f t="shared" si="764"/>
        <v>26.796885227325923</v>
      </c>
      <c r="CD393" s="7">
        <f t="shared" si="765"/>
        <v>1.3507095924755019E-2</v>
      </c>
      <c r="CE393" s="9">
        <f t="shared" si="766"/>
        <v>0.44283433574649345</v>
      </c>
      <c r="CF393" s="4">
        <f t="shared" si="767"/>
        <v>933.5921405098602</v>
      </c>
      <c r="CG393" s="6">
        <f t="shared" si="768"/>
        <v>5.3671842810197216E-6</v>
      </c>
      <c r="CH393" s="8">
        <f t="shared" si="769"/>
        <v>26.625309615863394</v>
      </c>
      <c r="CI393" s="7">
        <f t="shared" si="770"/>
        <v>1.3432417459462588E-2</v>
      </c>
      <c r="CJ393" s="9">
        <f t="shared" si="771"/>
        <v>0.44568799540448439</v>
      </c>
      <c r="CK393" s="4">
        <f t="shared" si="772"/>
        <v>905.64109160901853</v>
      </c>
      <c r="CL393" s="6">
        <f t="shared" si="773"/>
        <v>5.311282183218037E-6</v>
      </c>
      <c r="CM393" s="8">
        <f t="shared" si="774"/>
        <v>26.303872553503712</v>
      </c>
      <c r="CN393" s="7">
        <f t="shared" si="775"/>
        <v>1.329251164009518E-2</v>
      </c>
      <c r="CO393" s="9">
        <f t="shared" si="776"/>
        <v>0.45113436607406515</v>
      </c>
      <c r="CP393" s="4">
        <f t="shared" si="777"/>
        <v>846.51587717047323</v>
      </c>
      <c r="CQ393" s="6">
        <f t="shared" si="778"/>
        <v>5.1930317543409476E-6</v>
      </c>
      <c r="CR393" s="8">
        <f t="shared" si="779"/>
        <v>25.623932587460441</v>
      </c>
      <c r="CS393" s="7">
        <f t="shared" si="780"/>
        <v>1.2996567054951223E-2</v>
      </c>
      <c r="CT393" s="9">
        <f t="shared" si="781"/>
        <v>0.46310537343221997</v>
      </c>
      <c r="CU393" s="4">
        <f t="shared" si="782"/>
        <v>728.00062847052311</v>
      </c>
      <c r="CV393" s="6">
        <f t="shared" si="783"/>
        <v>4.9560012569410468E-6</v>
      </c>
      <c r="CW393" s="8">
        <f t="shared" si="784"/>
        <v>24.261007227411014</v>
      </c>
      <c r="CX393" s="7">
        <f t="shared" si="785"/>
        <v>1.2403352358940335E-2</v>
      </c>
      <c r="CY393" s="9">
        <f t="shared" si="786"/>
        <v>0.48912152568466249</v>
      </c>
      <c r="CZ393" s="5">
        <f t="shared" si="787"/>
        <v>526.0620315832299</v>
      </c>
      <c r="DA393" s="6">
        <f t="shared" si="788"/>
        <v>6.8203054962107708E-6</v>
      </c>
      <c r="DB393" s="8">
        <f t="shared" si="789"/>
        <v>38.239201084086332</v>
      </c>
      <c r="DC393" s="7">
        <f t="shared" si="790"/>
        <v>1.706913454604999E-2</v>
      </c>
      <c r="DD393" s="9">
        <f t="shared" si="791"/>
        <v>0.31032502074569512</v>
      </c>
    </row>
    <row r="394" spans="2:108" x14ac:dyDescent="0.25">
      <c r="B394">
        <v>127</v>
      </c>
      <c r="C394">
        <f t="shared" si="699"/>
        <v>0.12415706262584694</v>
      </c>
      <c r="D394" s="4">
        <f t="shared" si="700"/>
        <v>1017.9213727536293</v>
      </c>
      <c r="E394" s="6">
        <f t="shared" si="647"/>
        <v>5.5358427455072592E-6</v>
      </c>
      <c r="F394" s="8">
        <f t="shared" si="701"/>
        <v>27.595095786666736</v>
      </c>
      <c r="G394" s="7">
        <f t="shared" si="583"/>
        <v>1.3854517909987481E-2</v>
      </c>
      <c r="H394" s="9">
        <f t="shared" si="702"/>
        <v>0.43002499289933738</v>
      </c>
      <c r="I394" s="4">
        <f t="shared" si="703"/>
        <v>1017.5968719000895</v>
      </c>
      <c r="J394" s="6">
        <f t="shared" si="650"/>
        <v>5.5351937438001791E-6</v>
      </c>
      <c r="K394" s="8">
        <f t="shared" si="704"/>
        <v>27.591364026851029</v>
      </c>
      <c r="L394" s="7">
        <f t="shared" si="651"/>
        <v>1.3852893657603929E-2</v>
      </c>
      <c r="M394" s="9">
        <f t="shared" si="705"/>
        <v>0.43008315421338805</v>
      </c>
      <c r="N394" s="4">
        <f t="shared" si="706"/>
        <v>1016.691185020091</v>
      </c>
      <c r="O394" s="6">
        <f t="shared" si="654"/>
        <v>5.533382370040182E-6</v>
      </c>
      <c r="P394" s="8">
        <f t="shared" si="655"/>
        <v>27.580948627731047</v>
      </c>
      <c r="Q394" s="7">
        <f t="shared" si="584"/>
        <v>1.3854517909987481E-2</v>
      </c>
      <c r="R394" s="9">
        <f t="shared" si="707"/>
        <v>0.4302455666005171</v>
      </c>
      <c r="S394" s="4">
        <f t="shared" si="708"/>
        <v>1015.1898080338671</v>
      </c>
      <c r="T394" s="6">
        <f t="shared" si="658"/>
        <v>5.5303796160677349E-6</v>
      </c>
      <c r="U394" s="8">
        <f t="shared" si="659"/>
        <v>27.563682792389471</v>
      </c>
      <c r="V394" s="7">
        <f t="shared" si="660"/>
        <v>1.3840845371199074E-2</v>
      </c>
      <c r="W394" s="9">
        <f t="shared" si="709"/>
        <v>0.43051507155619806</v>
      </c>
      <c r="X394" s="4">
        <f t="shared" si="710"/>
        <v>1013.0906129807099</v>
      </c>
      <c r="Y394" s="6">
        <f t="shared" si="663"/>
        <v>5.5261812259614202E-6</v>
      </c>
      <c r="Z394" s="8">
        <f t="shared" si="664"/>
        <v>27.539542049278161</v>
      </c>
      <c r="AA394" s="7">
        <f t="shared" si="665"/>
        <v>1.3830338087377065E-2</v>
      </c>
      <c r="AB394" s="9">
        <f t="shared" si="711"/>
        <v>0.43089245451083791</v>
      </c>
      <c r="AC394" s="4">
        <f t="shared" si="712"/>
        <v>1010.3921704342461</v>
      </c>
      <c r="AD394" s="6">
        <f t="shared" si="713"/>
        <v>5.5207843408684926E-6</v>
      </c>
      <c r="AE394" s="8">
        <f t="shared" si="714"/>
        <v>27.50850995999383</v>
      </c>
      <c r="AF394" s="7">
        <f t="shared" si="715"/>
        <v>1.3816831337887334E-2</v>
      </c>
      <c r="AG394" s="9">
        <f t="shared" si="716"/>
        <v>0.43137854020358435</v>
      </c>
      <c r="AH394" s="4">
        <f t="shared" si="717"/>
        <v>1007.094240506068</v>
      </c>
      <c r="AI394" s="6">
        <f t="shared" si="718"/>
        <v>5.514188481012136E-6</v>
      </c>
      <c r="AJ394" s="8">
        <f t="shared" si="719"/>
        <v>27.470583765819782</v>
      </c>
      <c r="AK394" s="7">
        <f t="shared" si="720"/>
        <v>1.380032392199554E-2</v>
      </c>
      <c r="AL394" s="9">
        <f t="shared" si="721"/>
        <v>0.43197410622496007</v>
      </c>
      <c r="AM394" s="4">
        <f t="shared" si="722"/>
        <v>1003.1967688190717</v>
      </c>
      <c r="AN394" s="6">
        <f t="shared" si="723"/>
        <v>5.5063935376381445E-6</v>
      </c>
      <c r="AO394" s="8">
        <f t="shared" si="724"/>
        <v>27.425762841419324</v>
      </c>
      <c r="AP394" s="7">
        <f t="shared" si="725"/>
        <v>1.3780815567523233E-2</v>
      </c>
      <c r="AQ394" s="9">
        <f t="shared" si="726"/>
        <v>0.43268006575906731</v>
      </c>
      <c r="AR394" s="4">
        <f t="shared" si="727"/>
        <v>998.69974433865286</v>
      </c>
      <c r="AS394" s="6">
        <f t="shared" si="728"/>
        <v>5.4973994886773061E-6</v>
      </c>
      <c r="AT394" s="8">
        <f t="shared" si="729"/>
        <v>27.374047059894508</v>
      </c>
      <c r="AU394" s="7">
        <f t="shared" si="730"/>
        <v>1.375830621923794E-2</v>
      </c>
      <c r="AV394" s="9">
        <f t="shared" si="731"/>
        <v>0.43349749650659181</v>
      </c>
      <c r="AW394" s="4">
        <f t="shared" si="732"/>
        <v>993.60313077156707</v>
      </c>
      <c r="AX394" s="6">
        <f t="shared" si="733"/>
        <v>5.4872062615431348E-6</v>
      </c>
      <c r="AY394" s="8">
        <f t="shared" si="734"/>
        <v>27.315436003873021</v>
      </c>
      <c r="AZ394" s="7">
        <f t="shared" si="735"/>
        <v>1.3732795695477928E-2</v>
      </c>
      <c r="BA394" s="9">
        <f t="shared" si="736"/>
        <v>0.43442765724242333</v>
      </c>
      <c r="BB394" s="4">
        <f t="shared" si="737"/>
        <v>987.90666682940196</v>
      </c>
      <c r="BC394" s="6">
        <f t="shared" si="738"/>
        <v>5.4758133336588046E-6</v>
      </c>
      <c r="BD394" s="8">
        <f t="shared" si="739"/>
        <v>27.249926668538123</v>
      </c>
      <c r="BE394" s="7">
        <f t="shared" si="740"/>
        <v>1.3704282688393552E-2</v>
      </c>
      <c r="BF394" s="9">
        <f t="shared" si="741"/>
        <v>0.43547202948691477</v>
      </c>
      <c r="BG394" s="4">
        <f t="shared" si="742"/>
        <v>981.60868613687114</v>
      </c>
      <c r="BH394" s="6">
        <f t="shared" si="743"/>
        <v>5.4632173722737428E-6</v>
      </c>
      <c r="BI394" s="8">
        <f t="shared" si="744"/>
        <v>27.177499890574019</v>
      </c>
      <c r="BJ394" s="7">
        <f t="shared" si="745"/>
        <v>1.3672758857131458E-2</v>
      </c>
      <c r="BK394" s="9">
        <f t="shared" si="746"/>
        <v>0.43663254226830439</v>
      </c>
      <c r="BL394" s="4">
        <f t="shared" si="747"/>
        <v>974.69959832541542</v>
      </c>
      <c r="BM394" s="6">
        <f t="shared" si="748"/>
        <v>5.4493991966508312E-6</v>
      </c>
      <c r="BN394" s="8">
        <f t="shared" si="749"/>
        <v>27.098045380742278</v>
      </c>
      <c r="BO394" s="7">
        <f t="shared" si="750"/>
        <v>1.3638176198184662E-2</v>
      </c>
      <c r="BP394" s="9">
        <f t="shared" si="751"/>
        <v>0.43791279787844406</v>
      </c>
      <c r="BQ394" s="4">
        <f t="shared" si="752"/>
        <v>967.12993642673439</v>
      </c>
      <c r="BR394" s="6">
        <f t="shared" si="753"/>
        <v>5.4342598728534695E-6</v>
      </c>
      <c r="BS394" s="8">
        <f t="shared" si="754"/>
        <v>27.010994268907446</v>
      </c>
      <c r="BT394" s="7">
        <f t="shared" si="755"/>
        <v>1.3600287110228565E-2</v>
      </c>
      <c r="BU394" s="9">
        <f t="shared" si="756"/>
        <v>0.43932410453241283</v>
      </c>
      <c r="BV394" s="4">
        <f t="shared" si="757"/>
        <v>958.67400232386615</v>
      </c>
      <c r="BW394" s="6">
        <f t="shared" si="758"/>
        <v>5.4173480046477336E-6</v>
      </c>
      <c r="BX394" s="8">
        <f t="shared" si="759"/>
        <v>26.913751026724462</v>
      </c>
      <c r="BY394" s="7">
        <f t="shared" si="760"/>
        <v>1.3557961886821906E-2</v>
      </c>
      <c r="BZ394" s="9">
        <f t="shared" si="761"/>
        <v>0.44091144552592382</v>
      </c>
      <c r="CA394" s="4">
        <f t="shared" si="762"/>
        <v>948.43635417760652</v>
      </c>
      <c r="CB394" s="6">
        <f t="shared" si="763"/>
        <v>5.3968727083552131E-6</v>
      </c>
      <c r="CC394" s="8">
        <f t="shared" si="764"/>
        <v>26.796018073042475</v>
      </c>
      <c r="CD394" s="7">
        <f t="shared" si="765"/>
        <v>1.3506718494941377E-2</v>
      </c>
      <c r="CE394" s="9">
        <f t="shared" si="766"/>
        <v>0.44284866644630316</v>
      </c>
      <c r="CF394" s="4">
        <f t="shared" si="767"/>
        <v>933.39803358275117</v>
      </c>
      <c r="CG394" s="6">
        <f t="shared" si="768"/>
        <v>5.366796067165502E-6</v>
      </c>
      <c r="CH394" s="8">
        <f t="shared" si="769"/>
        <v>26.623077386201636</v>
      </c>
      <c r="CI394" s="7">
        <f t="shared" si="770"/>
        <v>1.3431445879155225E-2</v>
      </c>
      <c r="CJ394" s="9">
        <f t="shared" si="771"/>
        <v>0.4457253644114102</v>
      </c>
      <c r="CK394" s="4">
        <f t="shared" si="772"/>
        <v>905.18797866475916</v>
      </c>
      <c r="CL394" s="6">
        <f t="shared" si="773"/>
        <v>5.3103759573295186E-6</v>
      </c>
      <c r="CM394" s="8">
        <f t="shared" si="774"/>
        <v>26.29866175464473</v>
      </c>
      <c r="CN394" s="7">
        <f t="shared" si="775"/>
        <v>1.3290243634412908E-2</v>
      </c>
      <c r="CO394" s="9">
        <f t="shared" si="776"/>
        <v>0.4512237535289067</v>
      </c>
      <c r="CP394" s="4">
        <f t="shared" si="777"/>
        <v>845.66098900583745</v>
      </c>
      <c r="CQ394" s="6">
        <f t="shared" si="778"/>
        <v>5.1913219780116751E-6</v>
      </c>
      <c r="CR394" s="8">
        <f t="shared" si="779"/>
        <v>25.614101373567131</v>
      </c>
      <c r="CS394" s="7">
        <f t="shared" si="780"/>
        <v>1.2992288008767115E-2</v>
      </c>
      <c r="CT394" s="9">
        <f t="shared" si="781"/>
        <v>0.46328312270848593</v>
      </c>
      <c r="CU394" s="4">
        <f t="shared" si="782"/>
        <v>726.80720439223364</v>
      </c>
      <c r="CV394" s="6">
        <f t="shared" si="783"/>
        <v>4.9536144087844678E-6</v>
      </c>
      <c r="CW394" s="8">
        <f t="shared" si="784"/>
        <v>24.247282850510686</v>
      </c>
      <c r="CX394" s="7">
        <f t="shared" si="785"/>
        <v>1.2397378809463955E-2</v>
      </c>
      <c r="CY394" s="9">
        <f t="shared" si="786"/>
        <v>0.48939837683577686</v>
      </c>
      <c r="CZ394" s="5">
        <f t="shared" si="787"/>
        <v>524.9782057682944</v>
      </c>
      <c r="DA394" s="6">
        <f t="shared" si="788"/>
        <v>6.8368839982907605E-6</v>
      </c>
      <c r="DB394" s="8">
        <f t="shared" si="789"/>
        <v>38.270632032719462</v>
      </c>
      <c r="DC394" s="7">
        <f t="shared" si="790"/>
        <v>1.7110625456205338E-2</v>
      </c>
      <c r="DD394" s="9">
        <f t="shared" si="791"/>
        <v>0.31007015665622062</v>
      </c>
    </row>
    <row r="395" spans="2:108" x14ac:dyDescent="0.25">
      <c r="B395">
        <v>128</v>
      </c>
      <c r="C395">
        <f t="shared" si="699"/>
        <v>0.12513467729219219</v>
      </c>
      <c r="D395" s="4">
        <f t="shared" si="700"/>
        <v>1017.9048053793171</v>
      </c>
      <c r="E395" s="6">
        <f t="shared" si="647"/>
        <v>5.5358096107586344E-6</v>
      </c>
      <c r="F395" s="8">
        <f t="shared" si="701"/>
        <v>27.594905261862145</v>
      </c>
      <c r="G395" s="7">
        <f t="shared" ref="G395:G458" si="792">($E395*$M$8)/($D$6^2)</f>
        <v>1.3854434983865955E-2</v>
      </c>
      <c r="H395" s="9">
        <f t="shared" si="702"/>
        <v>0.43002796194115739</v>
      </c>
      <c r="I395" s="4">
        <f t="shared" si="703"/>
        <v>1017.5802981180863</v>
      </c>
      <c r="J395" s="6">
        <f t="shared" si="650"/>
        <v>5.5351605962361729E-6</v>
      </c>
      <c r="K395" s="8">
        <f t="shared" si="704"/>
        <v>27.59117342835799</v>
      </c>
      <c r="L395" s="7">
        <f t="shared" si="651"/>
        <v>1.3852810699409432E-2</v>
      </c>
      <c r="M395" s="9">
        <f t="shared" si="705"/>
        <v>0.43008612520703887</v>
      </c>
      <c r="N395" s="4">
        <f t="shared" si="706"/>
        <v>1016.6745968877939</v>
      </c>
      <c r="O395" s="6">
        <f t="shared" si="654"/>
        <v>5.5333491937755883E-6</v>
      </c>
      <c r="P395" s="8">
        <f t="shared" si="655"/>
        <v>27.58075786420963</v>
      </c>
      <c r="Q395" s="7">
        <f t="shared" ref="Q395:Q458" si="793">($E395*$M$8)/($D$6^2)</f>
        <v>1.3854434983865955E-2</v>
      </c>
      <c r="R395" s="9">
        <f t="shared" si="707"/>
        <v>0.43024854241284838</v>
      </c>
      <c r="S395" s="4">
        <f t="shared" si="708"/>
        <v>1015.1732116204558</v>
      </c>
      <c r="T395" s="6">
        <f t="shared" si="658"/>
        <v>5.530346423240912E-6</v>
      </c>
      <c r="U395" s="8">
        <f t="shared" si="659"/>
        <v>27.563491933635241</v>
      </c>
      <c r="V395" s="7">
        <f t="shared" si="660"/>
        <v>1.3840762299725615E-2</v>
      </c>
      <c r="W395" s="9">
        <f t="shared" si="709"/>
        <v>0.43051805258525028</v>
      </c>
      <c r="X395" s="4">
        <f t="shared" si="710"/>
        <v>1013.0740185683943</v>
      </c>
      <c r="Y395" s="6">
        <f t="shared" si="663"/>
        <v>5.526148037136789E-6</v>
      </c>
      <c r="Z395" s="8">
        <f t="shared" si="664"/>
        <v>27.539351213536534</v>
      </c>
      <c r="AA395" s="7">
        <f t="shared" si="665"/>
        <v>1.3830255025919867E-2</v>
      </c>
      <c r="AB395" s="9">
        <f t="shared" si="711"/>
        <v>0.43089544040838068</v>
      </c>
      <c r="AC395" s="4">
        <f t="shared" si="712"/>
        <v>1010.3755862348166</v>
      </c>
      <c r="AD395" s="6">
        <f t="shared" si="713"/>
        <v>5.5207511724696341E-6</v>
      </c>
      <c r="AE395" s="8">
        <f t="shared" si="714"/>
        <v>27.508319241700391</v>
      </c>
      <c r="AF395" s="7">
        <f t="shared" si="715"/>
        <v>1.3816748327549585E-2</v>
      </c>
      <c r="AG395" s="9">
        <f t="shared" si="716"/>
        <v>0.43138153099987003</v>
      </c>
      <c r="AH395" s="4">
        <f t="shared" si="717"/>
        <v>1007.0776720340385</v>
      </c>
      <c r="AI395" s="6">
        <f t="shared" si="718"/>
        <v>5.514155344068078E-6</v>
      </c>
      <c r="AJ395" s="8">
        <f t="shared" si="719"/>
        <v>27.470393228391444</v>
      </c>
      <c r="AK395" s="7">
        <f t="shared" si="720"/>
        <v>1.3800240990379518E-2</v>
      </c>
      <c r="AL395" s="9">
        <f t="shared" si="721"/>
        <v>0.43197710244109083</v>
      </c>
      <c r="AM395" s="4">
        <f t="shared" si="722"/>
        <v>1003.1802201267429</v>
      </c>
      <c r="AN395" s="6">
        <f t="shared" si="723"/>
        <v>5.5063604402534865E-6</v>
      </c>
      <c r="AO395" s="8">
        <f t="shared" si="724"/>
        <v>27.425572531457544</v>
      </c>
      <c r="AP395" s="7">
        <f t="shared" si="725"/>
        <v>1.3780732734912267E-2</v>
      </c>
      <c r="AQ395" s="9">
        <f t="shared" si="726"/>
        <v>0.43268306818779267</v>
      </c>
      <c r="AR395" s="4">
        <f t="shared" si="727"/>
        <v>998.68321860158073</v>
      </c>
      <c r="AS395" s="6">
        <f t="shared" si="728"/>
        <v>5.4973664372031619E-6</v>
      </c>
      <c r="AT395" s="8">
        <f t="shared" si="729"/>
        <v>27.373857013918176</v>
      </c>
      <c r="AU395" s="7">
        <f t="shared" si="730"/>
        <v>1.3758223501526917E-2</v>
      </c>
      <c r="AV395" s="9">
        <f t="shared" si="731"/>
        <v>0.4335005061100583</v>
      </c>
      <c r="AW395" s="4">
        <f t="shared" si="732"/>
        <v>993.58662825311467</v>
      </c>
      <c r="AX395" s="6">
        <f t="shared" si="733"/>
        <v>5.4871732565062294E-6</v>
      </c>
      <c r="AY395" s="8">
        <f t="shared" si="734"/>
        <v>27.315246224910815</v>
      </c>
      <c r="AZ395" s="7">
        <f t="shared" si="735"/>
        <v>1.3732713093985086E-2</v>
      </c>
      <c r="BA395" s="9">
        <f t="shared" si="736"/>
        <v>0.4344306755285946</v>
      </c>
      <c r="BB395" s="4">
        <f t="shared" si="737"/>
        <v>987.89017055910347</v>
      </c>
      <c r="BC395" s="6">
        <f t="shared" si="738"/>
        <v>5.4757803411182076E-6</v>
      </c>
      <c r="BD395" s="8">
        <f t="shared" si="739"/>
        <v>27.24973696142969</v>
      </c>
      <c r="BE395" s="7">
        <f t="shared" si="740"/>
        <v>1.370420011817514E-2</v>
      </c>
      <c r="BF395" s="9">
        <f t="shared" si="741"/>
        <v>0.43547506115432627</v>
      </c>
      <c r="BG395" s="4">
        <f t="shared" si="742"/>
        <v>981.59208447944911</v>
      </c>
      <c r="BH395" s="6">
        <f t="shared" si="743"/>
        <v>5.4631841689588987E-6</v>
      </c>
      <c r="BI395" s="8">
        <f t="shared" si="744"/>
        <v>27.177308971513664</v>
      </c>
      <c r="BJ395" s="7">
        <f t="shared" si="745"/>
        <v>1.3672675759409699E-2</v>
      </c>
      <c r="BK395" s="9">
        <f t="shared" si="746"/>
        <v>0.43663560958724967</v>
      </c>
      <c r="BL395" s="4">
        <f t="shared" si="747"/>
        <v>974.68231804134791</v>
      </c>
      <c r="BM395" s="6">
        <f t="shared" si="748"/>
        <v>5.4493646360826957E-6</v>
      </c>
      <c r="BN395" s="8">
        <f t="shared" si="749"/>
        <v>27.0978466574755</v>
      </c>
      <c r="BO395" s="7">
        <f t="shared" si="750"/>
        <v>1.3638089703673849E-2</v>
      </c>
      <c r="BP395" s="9">
        <f t="shared" si="751"/>
        <v>0.43791600933147423</v>
      </c>
      <c r="BQ395" s="4">
        <f t="shared" si="752"/>
        <v>967.10944327014931</v>
      </c>
      <c r="BR395" s="6">
        <f t="shared" si="753"/>
        <v>5.4342188865402991E-6</v>
      </c>
      <c r="BS395" s="8">
        <f t="shared" si="754"/>
        <v>27.010758597606717</v>
      </c>
      <c r="BT395" s="7">
        <f t="shared" si="755"/>
        <v>1.3600184534047126E-2</v>
      </c>
      <c r="BU395" s="9">
        <f t="shared" si="756"/>
        <v>0.43932793767478023</v>
      </c>
      <c r="BV395" s="4">
        <f t="shared" si="757"/>
        <v>958.64069082093943</v>
      </c>
      <c r="BW395" s="6">
        <f t="shared" si="758"/>
        <v>5.4172813816418798E-6</v>
      </c>
      <c r="BX395" s="8">
        <f t="shared" si="759"/>
        <v>26.9133679444408</v>
      </c>
      <c r="BY395" s="7">
        <f t="shared" si="760"/>
        <v>1.3557795149855152E-2</v>
      </c>
      <c r="BZ395" s="9">
        <f t="shared" si="761"/>
        <v>0.44091772141691571</v>
      </c>
      <c r="CA395" s="4">
        <f t="shared" si="762"/>
        <v>948.35984476375336</v>
      </c>
      <c r="CB395" s="6">
        <f t="shared" si="763"/>
        <v>5.3967196895275068E-6</v>
      </c>
      <c r="CC395" s="8">
        <f t="shared" si="764"/>
        <v>26.795138214783165</v>
      </c>
      <c r="CD395" s="7">
        <f t="shared" si="765"/>
        <v>1.3506335535708883E-2</v>
      </c>
      <c r="CE395" s="9">
        <f t="shared" si="766"/>
        <v>0.44286320804163565</v>
      </c>
      <c r="CF395" s="4">
        <f t="shared" si="767"/>
        <v>933.20187774842532</v>
      </c>
      <c r="CG395" s="6">
        <f t="shared" si="768"/>
        <v>5.3664037554968511E-6</v>
      </c>
      <c r="CH395" s="8">
        <f t="shared" si="769"/>
        <v>26.620821594106893</v>
      </c>
      <c r="CI395" s="7">
        <f t="shared" si="770"/>
        <v>1.3430464043274132E-2</v>
      </c>
      <c r="CJ395" s="9">
        <f t="shared" si="771"/>
        <v>0.4457631342356777</v>
      </c>
      <c r="CK395" s="4">
        <f t="shared" si="772"/>
        <v>904.73272036870333</v>
      </c>
      <c r="CL395" s="6">
        <f t="shared" si="773"/>
        <v>5.3094654407374071E-6</v>
      </c>
      <c r="CM395" s="8">
        <f t="shared" si="774"/>
        <v>26.293426284240088</v>
      </c>
      <c r="CN395" s="7">
        <f t="shared" si="775"/>
        <v>1.3287964890414448E-2</v>
      </c>
      <c r="CO395" s="9">
        <f t="shared" si="776"/>
        <v>0.45131359988753389</v>
      </c>
      <c r="CP395" s="4">
        <f t="shared" si="777"/>
        <v>844.80681448559494</v>
      </c>
      <c r="CQ395" s="6">
        <f t="shared" si="778"/>
        <v>5.1896136289711903E-6</v>
      </c>
      <c r="CR395" s="8">
        <f t="shared" si="779"/>
        <v>25.604278366584339</v>
      </c>
      <c r="CS395" s="7">
        <f t="shared" si="780"/>
        <v>1.2988012534649445E-2</v>
      </c>
      <c r="CT395" s="9">
        <f t="shared" si="781"/>
        <v>0.4634608599320944</v>
      </c>
      <c r="CU395" s="4">
        <f t="shared" si="782"/>
        <v>725.61991516711964</v>
      </c>
      <c r="CV395" s="6">
        <f t="shared" si="783"/>
        <v>4.95123983033424E-6</v>
      </c>
      <c r="CW395" s="8">
        <f t="shared" si="784"/>
        <v>24.233629024421873</v>
      </c>
      <c r="CX395" s="7">
        <f t="shared" si="785"/>
        <v>1.239143596730247E-2</v>
      </c>
      <c r="CY395" s="9">
        <f t="shared" si="786"/>
        <v>0.48967411598812294</v>
      </c>
      <c r="CZ395" s="5">
        <f t="shared" si="787"/>
        <v>523.90192920053914</v>
      </c>
      <c r="DA395" s="6">
        <f t="shared" si="788"/>
        <v>6.8533316548035377E-6</v>
      </c>
      <c r="DB395" s="8">
        <f t="shared" si="789"/>
        <v>38.301844053184361</v>
      </c>
      <c r="DC395" s="7">
        <f t="shared" si="790"/>
        <v>1.7151788900004121E-2</v>
      </c>
      <c r="DD395" s="9">
        <f t="shared" si="791"/>
        <v>0.3098174817181244</v>
      </c>
    </row>
    <row r="396" spans="2:108" x14ac:dyDescent="0.25">
      <c r="B396">
        <v>129</v>
      </c>
      <c r="C396">
        <f t="shared" si="699"/>
        <v>0.12611229195853743</v>
      </c>
      <c r="D396" s="4">
        <f t="shared" si="700"/>
        <v>1017.8882376778605</v>
      </c>
      <c r="E396" s="6">
        <f t="shared" si="647"/>
        <v>5.5357764753557216E-6</v>
      </c>
      <c r="F396" s="8">
        <f t="shared" si="701"/>
        <v>27.594714733295397</v>
      </c>
      <c r="G396" s="7">
        <f t="shared" si="792"/>
        <v>1.3854352056106946E-2</v>
      </c>
      <c r="H396" s="9">
        <f t="shared" si="702"/>
        <v>0.43003093108260504</v>
      </c>
      <c r="I396" s="4">
        <f t="shared" si="703"/>
        <v>1017.5637241814541</v>
      </c>
      <c r="J396" s="6">
        <f t="shared" si="650"/>
        <v>5.5351274483629089E-6</v>
      </c>
      <c r="K396" s="8">
        <f t="shared" si="704"/>
        <v>27.590982828086723</v>
      </c>
      <c r="L396" s="7">
        <f t="shared" si="651"/>
        <v>1.3852727740440954E-2</v>
      </c>
      <c r="M396" s="9">
        <f t="shared" si="705"/>
        <v>0.43008909626945602</v>
      </c>
      <c r="N396" s="4">
        <f t="shared" si="706"/>
        <v>1016.6580088605346</v>
      </c>
      <c r="O396" s="6">
        <f t="shared" si="654"/>
        <v>5.5333160177210698E-6</v>
      </c>
      <c r="P396" s="8">
        <f t="shared" si="655"/>
        <v>27.580567101896147</v>
      </c>
      <c r="Q396" s="7">
        <f t="shared" si="793"/>
        <v>1.3854352056106946E-2</v>
      </c>
      <c r="R396" s="9">
        <f t="shared" si="707"/>
        <v>0.43025151824750107</v>
      </c>
      <c r="S396" s="4">
        <f t="shared" si="708"/>
        <v>1015.1566154343374</v>
      </c>
      <c r="T396" s="6">
        <f t="shared" si="658"/>
        <v>5.5303132308686748E-6</v>
      </c>
      <c r="U396" s="8">
        <f t="shared" si="659"/>
        <v>27.563301077494877</v>
      </c>
      <c r="V396" s="7">
        <f t="shared" si="660"/>
        <v>1.3840679229389845E-2</v>
      </c>
      <c r="W396" s="9">
        <f t="shared" si="709"/>
        <v>0.43052103361475913</v>
      </c>
      <c r="X396" s="4">
        <f t="shared" si="710"/>
        <v>1013.057424390464</v>
      </c>
      <c r="Y396" s="6">
        <f t="shared" si="663"/>
        <v>5.5261148487809288E-6</v>
      </c>
      <c r="Z396" s="8">
        <f t="shared" si="664"/>
        <v>27.539160380490337</v>
      </c>
      <c r="AA396" s="7">
        <f t="shared" si="665"/>
        <v>1.3830171965635858E-2</v>
      </c>
      <c r="AB396" s="9">
        <f t="shared" si="711"/>
        <v>0.43089842630513098</v>
      </c>
      <c r="AC396" s="4">
        <f t="shared" si="712"/>
        <v>1010.3590022471294</v>
      </c>
      <c r="AD396" s="6">
        <f t="shared" si="713"/>
        <v>5.520718004494259E-6</v>
      </c>
      <c r="AE396" s="8">
        <f t="shared" si="714"/>
        <v>27.50812852584199</v>
      </c>
      <c r="AF396" s="7">
        <f t="shared" si="715"/>
        <v>1.3816665318271686E-2</v>
      </c>
      <c r="AG396" s="9">
        <f t="shared" si="716"/>
        <v>0.43138452179944065</v>
      </c>
      <c r="AH396" s="4">
        <f t="shared" si="717"/>
        <v>1007.0611037584221</v>
      </c>
      <c r="AI396" s="6">
        <f t="shared" si="718"/>
        <v>5.5141222075168443E-6</v>
      </c>
      <c r="AJ396" s="8">
        <f t="shared" si="719"/>
        <v>27.470202693221854</v>
      </c>
      <c r="AK396" s="7">
        <f t="shared" si="720"/>
        <v>1.3800158059746614E-2</v>
      </c>
      <c r="AL396" s="9">
        <f t="shared" si="721"/>
        <v>0.43198009866326625</v>
      </c>
      <c r="AM396" s="4">
        <f t="shared" si="722"/>
        <v>1003.1636716198094</v>
      </c>
      <c r="AN396" s="6">
        <f t="shared" si="723"/>
        <v>5.5063273432396196E-6</v>
      </c>
      <c r="AO396" s="8">
        <f t="shared" si="724"/>
        <v>27.425382223627807</v>
      </c>
      <c r="AP396" s="7">
        <f t="shared" si="725"/>
        <v>1.3780649903229275E-2</v>
      </c>
      <c r="AQ396" s="9">
        <f t="shared" si="726"/>
        <v>0.43268607062454995</v>
      </c>
      <c r="AR396" s="4">
        <f t="shared" si="727"/>
        <v>998.66669300723811</v>
      </c>
      <c r="AS396" s="6">
        <f t="shared" si="728"/>
        <v>5.4973333860144771E-6</v>
      </c>
      <c r="AT396" s="8">
        <f t="shared" si="729"/>
        <v>27.373666969583237</v>
      </c>
      <c r="AU396" s="7">
        <f t="shared" si="730"/>
        <v>1.3758140784530316E-2</v>
      </c>
      <c r="AV396" s="9">
        <f t="shared" si="731"/>
        <v>0.43350351572932017</v>
      </c>
      <c r="AW396" s="4">
        <f t="shared" si="732"/>
        <v>993.57012562291914</v>
      </c>
      <c r="AX396" s="6">
        <f t="shared" si="733"/>
        <v>5.4871402512458386E-6</v>
      </c>
      <c r="AY396" s="8">
        <f t="shared" si="734"/>
        <v>27.315056444663568</v>
      </c>
      <c r="AZ396" s="7">
        <f t="shared" si="735"/>
        <v>1.3732630491932926E-2</v>
      </c>
      <c r="BA396" s="9">
        <f t="shared" si="736"/>
        <v>0.43443369387714459</v>
      </c>
      <c r="BB396" s="4">
        <f t="shared" si="737"/>
        <v>987.87367278691181</v>
      </c>
      <c r="BC396" s="6">
        <f t="shared" si="738"/>
        <v>5.4757473455738242E-6</v>
      </c>
      <c r="BD396" s="8">
        <f t="shared" si="739"/>
        <v>27.249547237049484</v>
      </c>
      <c r="BE396" s="7">
        <f t="shared" si="740"/>
        <v>1.3704117540439167E-2</v>
      </c>
      <c r="BF396" s="9">
        <f t="shared" si="741"/>
        <v>0.43547809313997188</v>
      </c>
      <c r="BG396" s="4">
        <f t="shared" si="742"/>
        <v>981.57547457794885</v>
      </c>
      <c r="BH396" s="6">
        <f t="shared" si="743"/>
        <v>5.4631509491558984E-6</v>
      </c>
      <c r="BI396" s="8">
        <f t="shared" si="744"/>
        <v>27.177117957646409</v>
      </c>
      <c r="BJ396" s="7">
        <f t="shared" si="745"/>
        <v>1.3672592620423136E-2</v>
      </c>
      <c r="BK396" s="9">
        <f t="shared" si="746"/>
        <v>0.43663867847249715</v>
      </c>
      <c r="BL396" s="4">
        <f t="shared" si="747"/>
        <v>974.66500099569112</v>
      </c>
      <c r="BM396" s="6">
        <f t="shared" si="748"/>
        <v>5.449330001991383E-6</v>
      </c>
      <c r="BN396" s="8">
        <f t="shared" si="749"/>
        <v>27.097647511450447</v>
      </c>
      <c r="BO396" s="7">
        <f t="shared" si="750"/>
        <v>1.3638003025157054E-2</v>
      </c>
      <c r="BP396" s="9">
        <f t="shared" si="751"/>
        <v>0.43791922766371244</v>
      </c>
      <c r="BQ396" s="4">
        <f t="shared" si="752"/>
        <v>967.0888108353372</v>
      </c>
      <c r="BR396" s="6">
        <f t="shared" si="753"/>
        <v>5.4341776216706744E-6</v>
      </c>
      <c r="BS396" s="8">
        <f t="shared" si="754"/>
        <v>27.010521324606376</v>
      </c>
      <c r="BT396" s="7">
        <f t="shared" si="755"/>
        <v>1.3600081260724246E-2</v>
      </c>
      <c r="BU396" s="9">
        <f t="shared" si="756"/>
        <v>0.43933179693601598</v>
      </c>
      <c r="BV396" s="4">
        <f t="shared" si="757"/>
        <v>958.60693919835842</v>
      </c>
      <c r="BW396" s="6">
        <f t="shared" si="758"/>
        <v>5.4172138783967173E-6</v>
      </c>
      <c r="BX396" s="8">
        <f t="shared" si="759"/>
        <v>26.912979800781123</v>
      </c>
      <c r="BY396" s="7">
        <f t="shared" si="760"/>
        <v>1.3557626209919162E-2</v>
      </c>
      <c r="BZ396" s="9">
        <f t="shared" si="761"/>
        <v>0.44092408040872094</v>
      </c>
      <c r="CA396" s="4">
        <f t="shared" si="762"/>
        <v>948.28222625019362</v>
      </c>
      <c r="CB396" s="6">
        <f t="shared" si="763"/>
        <v>5.3965644525003885E-6</v>
      </c>
      <c r="CC396" s="8">
        <f t="shared" si="764"/>
        <v>26.794245601877225</v>
      </c>
      <c r="CD396" s="7">
        <f t="shared" si="765"/>
        <v>1.3505947025003039E-2</v>
      </c>
      <c r="CE396" s="9">
        <f t="shared" si="766"/>
        <v>0.44287796141147995</v>
      </c>
      <c r="CF396" s="4">
        <f t="shared" si="767"/>
        <v>933.00368421555743</v>
      </c>
      <c r="CG396" s="6">
        <f t="shared" si="768"/>
        <v>5.3660073684311148E-6</v>
      </c>
      <c r="CH396" s="8">
        <f t="shared" si="769"/>
        <v>26.618542368478909</v>
      </c>
      <c r="CI396" s="7">
        <f t="shared" si="770"/>
        <v>1.3429472007923059E-2</v>
      </c>
      <c r="CJ396" s="9">
        <f t="shared" si="771"/>
        <v>0.44580130292070547</v>
      </c>
      <c r="CK396" s="4">
        <f t="shared" si="772"/>
        <v>904.27535816793079</v>
      </c>
      <c r="CL396" s="6">
        <f t="shared" si="773"/>
        <v>5.3085507163358619E-6</v>
      </c>
      <c r="CM396" s="8">
        <f t="shared" si="774"/>
        <v>26.288166618931204</v>
      </c>
      <c r="CN396" s="7">
        <f t="shared" si="775"/>
        <v>1.3285675615558474E-2</v>
      </c>
      <c r="CO396" s="9">
        <f t="shared" si="776"/>
        <v>0.45140389749250448</v>
      </c>
      <c r="CP396" s="4">
        <f t="shared" si="777"/>
        <v>843.95339118825416</v>
      </c>
      <c r="CQ396" s="6">
        <f t="shared" si="778"/>
        <v>5.1879067823765089E-6</v>
      </c>
      <c r="CR396" s="8">
        <f t="shared" si="779"/>
        <v>25.594463998664921</v>
      </c>
      <c r="CS396" s="7">
        <f t="shared" si="780"/>
        <v>1.2983740820693191E-2</v>
      </c>
      <c r="CT396" s="9">
        <f t="shared" si="781"/>
        <v>0.46363857708983053</v>
      </c>
      <c r="CU396" s="4">
        <f t="shared" si="782"/>
        <v>724.43870698478213</v>
      </c>
      <c r="CV396" s="6">
        <f t="shared" si="783"/>
        <v>4.9488774139695642E-6</v>
      </c>
      <c r="CW396" s="8">
        <f t="shared" si="784"/>
        <v>24.220045130324994</v>
      </c>
      <c r="CX396" s="7">
        <f t="shared" si="785"/>
        <v>1.2385523563114001E-2</v>
      </c>
      <c r="CY396" s="9">
        <f t="shared" si="786"/>
        <v>0.48994875136959204</v>
      </c>
      <c r="CZ396" s="5">
        <f t="shared" si="787"/>
        <v>522.83309418810745</v>
      </c>
      <c r="DA396" s="6">
        <f t="shared" si="788"/>
        <v>6.8696506012867896E-6</v>
      </c>
      <c r="DB396" s="8">
        <f t="shared" si="789"/>
        <v>38.332840268544878</v>
      </c>
      <c r="DC396" s="7">
        <f t="shared" si="790"/>
        <v>1.7192630222042728E-2</v>
      </c>
      <c r="DD396" s="9">
        <f t="shared" si="791"/>
        <v>0.30956696103354919</v>
      </c>
    </row>
    <row r="397" spans="2:108" x14ac:dyDescent="0.25">
      <c r="B397">
        <v>130</v>
      </c>
      <c r="C397">
        <f t="shared" si="699"/>
        <v>0.12708990662488268</v>
      </c>
      <c r="D397" s="4">
        <f t="shared" si="700"/>
        <v>1017.8716696580674</v>
      </c>
      <c r="E397" s="6">
        <f t="shared" si="647"/>
        <v>5.5357433393161347E-6</v>
      </c>
      <c r="F397" s="8">
        <f t="shared" si="701"/>
        <v>27.594524201067774</v>
      </c>
      <c r="G397" s="7">
        <f t="shared" si="792"/>
        <v>1.3854269126754538E-2</v>
      </c>
      <c r="H397" s="9">
        <f t="shared" si="702"/>
        <v>0.4300339003221052</v>
      </c>
      <c r="I397" s="4">
        <f t="shared" si="703"/>
        <v>1017.5471500943989</v>
      </c>
      <c r="J397" s="6">
        <f t="shared" si="650"/>
        <v>5.5350943001887984E-6</v>
      </c>
      <c r="K397" s="8">
        <f t="shared" si="704"/>
        <v>27.590792226085586</v>
      </c>
      <c r="L397" s="7">
        <f t="shared" si="651"/>
        <v>1.3852644780719552E-2</v>
      </c>
      <c r="M397" s="9">
        <f t="shared" si="705"/>
        <v>0.43009206739988765</v>
      </c>
      <c r="N397" s="4">
        <f t="shared" si="706"/>
        <v>1016.6414209377328</v>
      </c>
      <c r="O397" s="6">
        <f t="shared" si="654"/>
        <v>5.5332828418754661E-6</v>
      </c>
      <c r="P397" s="8">
        <f t="shared" si="655"/>
        <v>27.580376340783928</v>
      </c>
      <c r="Q397" s="7">
        <f t="shared" si="793"/>
        <v>1.3854269126754538E-2</v>
      </c>
      <c r="R397" s="9">
        <f t="shared" si="707"/>
        <v>0.43025449410457933</v>
      </c>
      <c r="S397" s="4">
        <f t="shared" si="708"/>
        <v>1015.1400194742151</v>
      </c>
      <c r="T397" s="6">
        <f t="shared" si="658"/>
        <v>5.5302800389484304E-6</v>
      </c>
      <c r="U397" s="8">
        <f t="shared" si="659"/>
        <v>27.563110223953473</v>
      </c>
      <c r="V397" s="7">
        <f t="shared" si="660"/>
        <v>1.3840596160185278E-2</v>
      </c>
      <c r="W397" s="9">
        <f t="shared" si="709"/>
        <v>0.4305240146449566</v>
      </c>
      <c r="X397" s="4">
        <f t="shared" si="710"/>
        <v>1013.0408304464776</v>
      </c>
      <c r="Y397" s="6">
        <f t="shared" si="663"/>
        <v>5.526081660892956E-6</v>
      </c>
      <c r="Z397" s="8">
        <f t="shared" si="664"/>
        <v>27.538969550134489</v>
      </c>
      <c r="AA397" s="7">
        <f t="shared" si="665"/>
        <v>1.3830088906522828E-2</v>
      </c>
      <c r="AB397" s="9">
        <f t="shared" si="711"/>
        <v>0.4309014122011674</v>
      </c>
      <c r="AC397" s="4">
        <f t="shared" si="712"/>
        <v>1010.3424184712302</v>
      </c>
      <c r="AD397" s="6">
        <f t="shared" si="713"/>
        <v>5.5206848369424605E-6</v>
      </c>
      <c r="AE397" s="8">
        <f t="shared" si="714"/>
        <v>27.507937812419147</v>
      </c>
      <c r="AF397" s="7">
        <f t="shared" si="715"/>
        <v>1.3816582310053869E-2</v>
      </c>
      <c r="AG397" s="9">
        <f t="shared" si="716"/>
        <v>0.43138751260228725</v>
      </c>
      <c r="AH397" s="4">
        <f t="shared" si="717"/>
        <v>1007.0445356792454</v>
      </c>
      <c r="AI397" s="6">
        <f t="shared" si="718"/>
        <v>5.5140890713584907E-6</v>
      </c>
      <c r="AJ397" s="8">
        <f t="shared" si="719"/>
        <v>27.47001216031132</v>
      </c>
      <c r="AK397" s="7">
        <f t="shared" si="720"/>
        <v>1.3800075130096968E-2</v>
      </c>
      <c r="AL397" s="9">
        <f t="shared" si="721"/>
        <v>0.43198309489148085</v>
      </c>
      <c r="AM397" s="4">
        <f t="shared" si="722"/>
        <v>1003.1471232977791</v>
      </c>
      <c r="AN397" s="6">
        <f t="shared" si="723"/>
        <v>5.506294246595558E-6</v>
      </c>
      <c r="AO397" s="8">
        <f t="shared" si="724"/>
        <v>27.425191917924458</v>
      </c>
      <c r="AP397" s="7">
        <f t="shared" si="725"/>
        <v>1.3780567072471791E-2</v>
      </c>
      <c r="AQ397" s="9">
        <f t="shared" si="726"/>
        <v>0.43268907306942789</v>
      </c>
      <c r="AR397" s="4">
        <f t="shared" si="727"/>
        <v>998.65016755244858</v>
      </c>
      <c r="AS397" s="6">
        <f t="shared" si="728"/>
        <v>5.4973003351048973E-6</v>
      </c>
      <c r="AT397" s="8">
        <f t="shared" si="729"/>
        <v>27.373476926853158</v>
      </c>
      <c r="AU397" s="7">
        <f t="shared" si="730"/>
        <v>1.3758058068232226E-2</v>
      </c>
      <c r="AV397" s="9">
        <f t="shared" si="731"/>
        <v>0.43350652536495571</v>
      </c>
      <c r="AW397" s="4">
        <f t="shared" si="732"/>
        <v>993.55362286410036</v>
      </c>
      <c r="AX397" s="6">
        <f t="shared" si="733"/>
        <v>5.4871072457282013E-6</v>
      </c>
      <c r="AY397" s="8">
        <f t="shared" si="734"/>
        <v>27.314866662937153</v>
      </c>
      <c r="AZ397" s="7">
        <f t="shared" si="735"/>
        <v>1.373254788923696E-2</v>
      </c>
      <c r="BA397" s="9">
        <f t="shared" si="736"/>
        <v>0.43443671229116265</v>
      </c>
      <c r="BB397" s="4">
        <f t="shared" si="737"/>
        <v>987.85717343376609</v>
      </c>
      <c r="BC397" s="6">
        <f t="shared" si="738"/>
        <v>5.4757143468675329E-6</v>
      </c>
      <c r="BD397" s="8">
        <f t="shared" si="739"/>
        <v>27.249357494488308</v>
      </c>
      <c r="BE397" s="7">
        <f t="shared" si="740"/>
        <v>1.3704034954789912E-2</v>
      </c>
      <c r="BF397" s="9">
        <f t="shared" si="741"/>
        <v>0.43548112545839424</v>
      </c>
      <c r="BG397" s="4">
        <f t="shared" si="742"/>
        <v>981.55885611210704</v>
      </c>
      <c r="BH397" s="6">
        <f t="shared" si="743"/>
        <v>5.4631177122242148E-6</v>
      </c>
      <c r="BI397" s="8">
        <f t="shared" si="744"/>
        <v>27.176926845289231</v>
      </c>
      <c r="BJ397" s="7">
        <f t="shared" si="745"/>
        <v>1.3672509438568728E-2</v>
      </c>
      <c r="BK397" s="9">
        <f t="shared" si="746"/>
        <v>0.43664174898328567</v>
      </c>
      <c r="BL397" s="4">
        <f t="shared" si="747"/>
        <v>974.64764610254554</v>
      </c>
      <c r="BM397" s="6">
        <f t="shared" si="748"/>
        <v>5.449295292205092E-6</v>
      </c>
      <c r="BN397" s="8">
        <f t="shared" si="749"/>
        <v>27.097447930179271</v>
      </c>
      <c r="BO397" s="7">
        <f t="shared" si="750"/>
        <v>1.3637916157198926E-2</v>
      </c>
      <c r="BP397" s="9">
        <f t="shared" si="751"/>
        <v>0.43792245307727734</v>
      </c>
      <c r="BQ397" s="4">
        <f t="shared" si="752"/>
        <v>967.06803620804624</v>
      </c>
      <c r="BR397" s="6">
        <f t="shared" si="753"/>
        <v>5.4341360724160928E-6</v>
      </c>
      <c r="BS397" s="8">
        <f t="shared" si="754"/>
        <v>27.010282416392531</v>
      </c>
      <c r="BT397" s="7">
        <f t="shared" si="755"/>
        <v>1.3599977275672968E-2</v>
      </c>
      <c r="BU397" s="9">
        <f t="shared" si="756"/>
        <v>0.4393356828626151</v>
      </c>
      <c r="BV397" s="4">
        <f t="shared" si="757"/>
        <v>958.57274198686821</v>
      </c>
      <c r="BW397" s="6">
        <f t="shared" si="758"/>
        <v>5.4171454839737373E-6</v>
      </c>
      <c r="BX397" s="8">
        <f t="shared" si="759"/>
        <v>26.912586532848984</v>
      </c>
      <c r="BY397" s="7">
        <f t="shared" si="760"/>
        <v>1.3557455039638197E-2</v>
      </c>
      <c r="BZ397" s="9">
        <f t="shared" si="761"/>
        <v>0.44093052353900575</v>
      </c>
      <c r="CA397" s="4">
        <f t="shared" si="762"/>
        <v>948.20349443580312</v>
      </c>
      <c r="CB397" s="6">
        <f t="shared" si="763"/>
        <v>5.3964069888716063E-6</v>
      </c>
      <c r="CC397" s="8">
        <f t="shared" si="764"/>
        <v>26.793340186011733</v>
      </c>
      <c r="CD397" s="7">
        <f t="shared" si="765"/>
        <v>1.3505552941795578E-2</v>
      </c>
      <c r="CE397" s="9">
        <f t="shared" si="766"/>
        <v>0.44289292739668207</v>
      </c>
      <c r="CF397" s="4">
        <f t="shared" si="767"/>
        <v>932.8034644115553</v>
      </c>
      <c r="CG397" s="6">
        <f t="shared" si="768"/>
        <v>5.3656069288231107E-6</v>
      </c>
      <c r="CH397" s="8">
        <f t="shared" si="769"/>
        <v>26.616239840732884</v>
      </c>
      <c r="CI397" s="7">
        <f t="shared" si="770"/>
        <v>1.3428469830300606E-2</v>
      </c>
      <c r="CJ397" s="9">
        <f t="shared" si="771"/>
        <v>0.44583986846848123</v>
      </c>
      <c r="CK397" s="4">
        <f t="shared" si="772"/>
        <v>903.81593305580725</v>
      </c>
      <c r="CL397" s="6">
        <f t="shared" si="773"/>
        <v>5.3076318661116144E-6</v>
      </c>
      <c r="CM397" s="8">
        <f t="shared" si="774"/>
        <v>26.282883230141785</v>
      </c>
      <c r="CN397" s="7">
        <f t="shared" si="775"/>
        <v>1.3283376015032653E-2</v>
      </c>
      <c r="CO397" s="9">
        <f t="shared" si="776"/>
        <v>0.45149463876585061</v>
      </c>
      <c r="CP397" s="4">
        <f t="shared" si="777"/>
        <v>843.10075546082589</v>
      </c>
      <c r="CQ397" s="6">
        <f t="shared" si="778"/>
        <v>5.1862015109216525E-6</v>
      </c>
      <c r="CR397" s="8">
        <f t="shared" si="779"/>
        <v>25.584658687799497</v>
      </c>
      <c r="CS397" s="7">
        <f t="shared" si="780"/>
        <v>1.297947304882921E-2</v>
      </c>
      <c r="CT397" s="9">
        <f t="shared" si="781"/>
        <v>0.46381626640095419</v>
      </c>
      <c r="CU397" s="4">
        <f t="shared" si="782"/>
        <v>723.26352650954425</v>
      </c>
      <c r="CV397" s="6">
        <f t="shared" si="783"/>
        <v>4.9465270530190893E-6</v>
      </c>
      <c r="CW397" s="8">
        <f t="shared" si="784"/>
        <v>24.206530554859761</v>
      </c>
      <c r="CX397" s="7">
        <f t="shared" si="785"/>
        <v>1.2379641329932843E-2</v>
      </c>
      <c r="CY397" s="9">
        <f t="shared" si="786"/>
        <v>0.4902222911633049</v>
      </c>
      <c r="CZ397" s="5">
        <f t="shared" si="787"/>
        <v>521.77159555369315</v>
      </c>
      <c r="DA397" s="6">
        <f t="shared" si="788"/>
        <v>6.8858429187232393E-6</v>
      </c>
      <c r="DB397" s="8">
        <f t="shared" si="789"/>
        <v>38.363623728942898</v>
      </c>
      <c r="DC397" s="7">
        <f t="shared" si="790"/>
        <v>1.7233154630383187E-2</v>
      </c>
      <c r="DD397" s="9">
        <f t="shared" si="791"/>
        <v>0.3093185605604124</v>
      </c>
    </row>
    <row r="398" spans="2:108" x14ac:dyDescent="0.25">
      <c r="B398">
        <v>131</v>
      </c>
      <c r="C398">
        <f t="shared" si="699"/>
        <v>0.12806752129122795</v>
      </c>
      <c r="D398" s="4">
        <f t="shared" si="700"/>
        <v>1017.8551013285105</v>
      </c>
      <c r="E398" s="6">
        <f t="shared" ref="E398:E461" si="794">IF($D398&gt;=650,((0.00002*$D398)+0.035)/10000,IF($D398&lt;650,((-0.0000000000003*($D398^4))+(0.0000000004*($D398^3))-(0.0000002*($D398^2))-(0.0001*$D398)+0.1409)/10000))</f>
        <v>5.535710202657022E-6</v>
      </c>
      <c r="F398" s="8">
        <f t="shared" si="701"/>
        <v>27.594333665277869</v>
      </c>
      <c r="G398" s="7">
        <f t="shared" si="792"/>
        <v>1.3854186195851643E-2</v>
      </c>
      <c r="H398" s="9">
        <f t="shared" si="702"/>
        <v>0.4300368696581246</v>
      </c>
      <c r="I398" s="4">
        <f t="shared" si="703"/>
        <v>1017.5305758610593</v>
      </c>
      <c r="J398" s="6">
        <f t="shared" ref="J398:J461" si="795">IF($I398&gt;=650,((0.00002*$I398)+0.035)/10000,IF($I398&lt;650,((-0.0000000000003*($I398^4))+(0.0000000004*($I398^3))-(0.0000002*($I398^2))-(0.0001*$I398)+0.1409)/10000))</f>
        <v>5.5350611517221193E-6</v>
      </c>
      <c r="K398" s="8">
        <f t="shared" si="704"/>
        <v>27.590601622402183</v>
      </c>
      <c r="L398" s="7">
        <f t="shared" ref="L398:L461" si="796">($J398*$M$8)/($D$6^2)</f>
        <v>1.385256182026594E-2</v>
      </c>
      <c r="M398" s="9">
        <f t="shared" si="705"/>
        <v>0.43009503859759374</v>
      </c>
      <c r="N398" s="4">
        <f t="shared" si="706"/>
        <v>1016.6248331188461</v>
      </c>
      <c r="O398" s="6">
        <f t="shared" ref="O398:O461" si="797">IF($N398&gt;=650,((0.00002*$N398)+0.035)/10000,IF($N398&lt;650,((-0.0000000000003*($N398^4))+(0.0000000004*($N398^3))-(0.0000002*($N398^2))-(0.0001*$N398)+0.1409)/10000))</f>
        <v>5.5332496662376929E-6</v>
      </c>
      <c r="P398" s="8">
        <f t="shared" ref="P398:P461" si="798">IF($N398&lt;650,(53.495-(0.029*$N398)),IF($N398&lt;700,((0.00000000000000006*($N398^2))-(0.2008*$N398) + 164.43),IF($N398&lt;1250,((0.0115*$N398)+ 15.889))))</f>
        <v>27.580185580866729</v>
      </c>
      <c r="Q398" s="7">
        <f t="shared" si="793"/>
        <v>1.3854186195851643E-2</v>
      </c>
      <c r="R398" s="9">
        <f t="shared" si="707"/>
        <v>0.43025746998418063</v>
      </c>
      <c r="S398" s="4">
        <f t="shared" si="708"/>
        <v>1015.1234237388147</v>
      </c>
      <c r="T398" s="6">
        <f t="shared" ref="T398:T461" si="799">IF($S398&gt;=650,((0.00002*$S398)+0.035)/10000,IF($S398&lt;650,((-0.0000000000003*($S398^4))+(0.0000000004*($S398^3))-(0.0000002*($S398^2))-(0.0001*$S398)+0.1409)/10000))</f>
        <v>5.5302468474776294E-6</v>
      </c>
      <c r="U398" s="8">
        <f t="shared" ref="U398:U461" si="800">IF($S398&lt;650,(53.495-(0.029*$S398)),IF($S398&lt;700,((0.00000000000000006*($S398^2))-(0.2008*$S398) + 164.43),IF($S398&lt;1250,((0.0115*$S398)+ 15.889))))</f>
        <v>27.562919372996369</v>
      </c>
      <c r="V398" s="7">
        <f t="shared" ref="V398:V461" si="801">($T398*$M$8)/($D$6^2)</f>
        <v>1.3840513092105525E-2</v>
      </c>
      <c r="W398" s="9">
        <f t="shared" si="709"/>
        <v>0.43052699567607089</v>
      </c>
      <c r="X398" s="4">
        <f t="shared" si="710"/>
        <v>1013.0242367359909</v>
      </c>
      <c r="Y398" s="6">
        <f t="shared" ref="Y398:Y461" si="802">IF($X398&gt;=650,((0.00002*$X398)+0.035)/10000,IF($X398&lt;650,((-0.0000000000003*($X398^4))+(0.0000000004*($X398^3))-(0.0000002*($X398^2))-(0.0001*$X398)+0.1409)/10000))</f>
        <v>5.5260484734719829E-6</v>
      </c>
      <c r="Z398" s="8">
        <f t="shared" ref="Z398:Z461" si="803">IF($X398&lt;650,(53.495-(0.029*$X398)),IF($X398&lt;700,((0.00000000000000006*($X398^2))-(0.2008*$X398) + 164.43),IF($X398&lt;1250,((0.0115*$X398)+ 15.889))))</f>
        <v>27.538778722463896</v>
      </c>
      <c r="AA398" s="7">
        <f t="shared" ref="AA398:AA461" si="804">($Y398*$M$8)/($D$6^2)</f>
        <v>1.3830005848578556E-2</v>
      </c>
      <c r="AB398" s="9">
        <f t="shared" si="711"/>
        <v>0.43090439809656872</v>
      </c>
      <c r="AC398" s="4">
        <f t="shared" si="712"/>
        <v>1010.3258349071587</v>
      </c>
      <c r="AD398" s="6">
        <f t="shared" si="713"/>
        <v>5.5206516698143183E-6</v>
      </c>
      <c r="AE398" s="8">
        <f t="shared" si="714"/>
        <v>27.507747101432322</v>
      </c>
      <c r="AF398" s="7">
        <f t="shared" si="715"/>
        <v>1.3816499302896332E-2</v>
      </c>
      <c r="AG398" s="9">
        <f t="shared" si="716"/>
        <v>0.4313905034084019</v>
      </c>
      <c r="AH398" s="4">
        <f t="shared" si="717"/>
        <v>1007.0279677965279</v>
      </c>
      <c r="AI398" s="6">
        <f t="shared" si="718"/>
        <v>5.5140559355930571E-6</v>
      </c>
      <c r="AJ398" s="8">
        <f t="shared" si="719"/>
        <v>27.469821629660071</v>
      </c>
      <c r="AK398" s="7">
        <f t="shared" si="720"/>
        <v>1.3799992201430682E-2</v>
      </c>
      <c r="AL398" s="9">
        <f t="shared" si="721"/>
        <v>0.4319860911257305</v>
      </c>
      <c r="AM398" s="4">
        <f t="shared" si="722"/>
        <v>1003.1305751601273</v>
      </c>
      <c r="AN398" s="6">
        <f t="shared" si="723"/>
        <v>5.5062611503202547E-6</v>
      </c>
      <c r="AO398" s="8">
        <f t="shared" si="724"/>
        <v>27.425001614341461</v>
      </c>
      <c r="AP398" s="7">
        <f t="shared" si="725"/>
        <v>1.3780484242637199E-2</v>
      </c>
      <c r="AQ398" s="9">
        <f t="shared" si="726"/>
        <v>0.43269207552252109</v>
      </c>
      <c r="AR398" s="4">
        <f t="shared" si="727"/>
        <v>998.63364223386986</v>
      </c>
      <c r="AS398" s="6">
        <f t="shared" si="728"/>
        <v>5.4972672844677394E-6</v>
      </c>
      <c r="AT398" s="8">
        <f t="shared" si="729"/>
        <v>27.373286885689502</v>
      </c>
      <c r="AU398" s="7">
        <f t="shared" si="730"/>
        <v>1.3757975352615923E-2</v>
      </c>
      <c r="AV398" s="9">
        <f t="shared" si="731"/>
        <v>0.4335095350175735</v>
      </c>
      <c r="AW398" s="4">
        <f t="shared" si="732"/>
        <v>993.53711995905371</v>
      </c>
      <c r="AX398" s="6">
        <f t="shared" si="733"/>
        <v>5.4870742399181081E-6</v>
      </c>
      <c r="AY398" s="8">
        <f t="shared" si="734"/>
        <v>27.314676879529117</v>
      </c>
      <c r="AZ398" s="7">
        <f t="shared" si="735"/>
        <v>1.3732465285809063E-2</v>
      </c>
      <c r="BA398" s="9">
        <f t="shared" si="736"/>
        <v>0.43443973077387066</v>
      </c>
      <c r="BB398" s="4">
        <f t="shared" si="737"/>
        <v>987.84067241794014</v>
      </c>
      <c r="BC398" s="6">
        <f t="shared" si="738"/>
        <v>5.4756813448358809E-6</v>
      </c>
      <c r="BD398" s="8">
        <f t="shared" si="739"/>
        <v>27.249167732806313</v>
      </c>
      <c r="BE398" s="7">
        <f t="shared" si="740"/>
        <v>1.3703952360818297E-2</v>
      </c>
      <c r="BF398" s="9">
        <f t="shared" si="741"/>
        <v>0.43548415812462665</v>
      </c>
      <c r="BG398" s="4">
        <f t="shared" si="742"/>
        <v>981.54222875385267</v>
      </c>
      <c r="BH398" s="6">
        <f t="shared" si="743"/>
        <v>5.4630844575077057E-6</v>
      </c>
      <c r="BI398" s="8">
        <f t="shared" si="744"/>
        <v>27.176735630669306</v>
      </c>
      <c r="BJ398" s="7">
        <f t="shared" si="745"/>
        <v>1.3672426212204351E-2</v>
      </c>
      <c r="BK398" s="9">
        <f t="shared" si="746"/>
        <v>0.43664482118030046</v>
      </c>
      <c r="BL398" s="4">
        <f t="shared" si="747"/>
        <v>974.63025226002628</v>
      </c>
      <c r="BM398" s="6">
        <f t="shared" si="748"/>
        <v>5.4492605045200532E-6</v>
      </c>
      <c r="BN398" s="8">
        <f t="shared" si="749"/>
        <v>27.097247900990304</v>
      </c>
      <c r="BO398" s="7">
        <f t="shared" si="750"/>
        <v>1.3637829094284105E-2</v>
      </c>
      <c r="BP398" s="9">
        <f t="shared" si="751"/>
        <v>0.43792568577727109</v>
      </c>
      <c r="BQ398" s="4">
        <f t="shared" si="752"/>
        <v>967.04711646188559</v>
      </c>
      <c r="BR398" s="6">
        <f t="shared" si="753"/>
        <v>5.434094232923772E-6</v>
      </c>
      <c r="BS398" s="8">
        <f t="shared" si="754"/>
        <v>27.010041839311683</v>
      </c>
      <c r="BT398" s="7">
        <f t="shared" si="755"/>
        <v>1.3599872564245576E-2</v>
      </c>
      <c r="BU398" s="9">
        <f t="shared" si="756"/>
        <v>0.43933959600339156</v>
      </c>
      <c r="BV398" s="4">
        <f t="shared" si="757"/>
        <v>958.53809376881588</v>
      </c>
      <c r="BW398" s="6">
        <f t="shared" si="758"/>
        <v>5.4170761875376325E-6</v>
      </c>
      <c r="BX398" s="8">
        <f t="shared" si="759"/>
        <v>26.91218807834138</v>
      </c>
      <c r="BY398" s="7">
        <f t="shared" si="760"/>
        <v>1.3557281611894808E-2</v>
      </c>
      <c r="BZ398" s="9">
        <f t="shared" si="761"/>
        <v>0.44093705183592957</v>
      </c>
      <c r="CA398" s="4">
        <f t="shared" si="762"/>
        <v>948.1236453226519</v>
      </c>
      <c r="CB398" s="6">
        <f t="shared" si="763"/>
        <v>5.3962472906453039E-6</v>
      </c>
      <c r="CC398" s="8">
        <f t="shared" si="764"/>
        <v>26.792421921210497</v>
      </c>
      <c r="CD398" s="7">
        <f t="shared" si="765"/>
        <v>1.3505153266075329E-2</v>
      </c>
      <c r="CE398" s="9">
        <f t="shared" si="766"/>
        <v>0.4429081068002888</v>
      </c>
      <c r="CF398" s="4">
        <f t="shared" si="767"/>
        <v>932.60122997295957</v>
      </c>
      <c r="CG398" s="6">
        <f t="shared" si="768"/>
        <v>5.3652024599459194E-6</v>
      </c>
      <c r="CH398" s="8">
        <f t="shared" si="769"/>
        <v>26.613914144689033</v>
      </c>
      <c r="CI398" s="7">
        <f t="shared" si="770"/>
        <v>1.3427457568652166E-2</v>
      </c>
      <c r="CJ398" s="9">
        <f t="shared" si="771"/>
        <v>0.44587882884133923</v>
      </c>
      <c r="CK398" s="4">
        <f t="shared" si="772"/>
        <v>903.35448556987592</v>
      </c>
      <c r="CL398" s="6">
        <f t="shared" si="773"/>
        <v>5.3067089711397519E-6</v>
      </c>
      <c r="CM398" s="8">
        <f t="shared" si="774"/>
        <v>26.27757658405357</v>
      </c>
      <c r="CN398" s="7">
        <f t="shared" si="775"/>
        <v>1.3281066291743082E-2</v>
      </c>
      <c r="CO398" s="9">
        <f t="shared" si="776"/>
        <v>0.45158581620951604</v>
      </c>
      <c r="CP398" s="4">
        <f t="shared" si="777"/>
        <v>842.2489424530014</v>
      </c>
      <c r="CQ398" s="6">
        <f t="shared" si="778"/>
        <v>5.184497884906003E-6</v>
      </c>
      <c r="CR398" s="8">
        <f t="shared" si="779"/>
        <v>25.574862838209516</v>
      </c>
      <c r="CS398" s="7">
        <f t="shared" si="780"/>
        <v>1.2975209394995312E-2</v>
      </c>
      <c r="CT398" s="9">
        <f t="shared" si="781"/>
        <v>0.46399392031103742</v>
      </c>
      <c r="CU398" s="4">
        <f t="shared" si="782"/>
        <v>722.09432088625135</v>
      </c>
      <c r="CV398" s="6">
        <f t="shared" si="783"/>
        <v>4.9441886417725032E-6</v>
      </c>
      <c r="CW398" s="8">
        <f t="shared" si="784"/>
        <v>24.193084690191888</v>
      </c>
      <c r="CX398" s="7">
        <f t="shared" si="785"/>
        <v>1.2373789003198485E-2</v>
      </c>
      <c r="CY398" s="9">
        <f t="shared" si="786"/>
        <v>0.49049474350530942</v>
      </c>
      <c r="CZ398" s="5">
        <f t="shared" si="787"/>
        <v>520.71733055248853</v>
      </c>
      <c r="DA398" s="6">
        <f t="shared" si="788"/>
        <v>6.901910635415637E-6</v>
      </c>
      <c r="DB398" s="8">
        <f t="shared" si="789"/>
        <v>38.394197413977828</v>
      </c>
      <c r="DC398" s="7">
        <f t="shared" si="790"/>
        <v>1.7273367201245695E-2</v>
      </c>
      <c r="DD398" s="9">
        <f t="shared" si="791"/>
        <v>0.30907224708381947</v>
      </c>
    </row>
    <row r="399" spans="2:108" x14ac:dyDescent="0.25">
      <c r="B399">
        <v>132</v>
      </c>
      <c r="C399">
        <f t="shared" ref="C399:C462" si="805">$B399*$M$8</f>
        <v>0.12904513595757319</v>
      </c>
      <c r="D399" s="4">
        <f t="shared" si="700"/>
        <v>1017.8385326975363</v>
      </c>
      <c r="E399" s="6">
        <f t="shared" si="794"/>
        <v>5.5356770653950726E-6</v>
      </c>
      <c r="F399" s="8">
        <f t="shared" si="701"/>
        <v>27.594143126021667</v>
      </c>
      <c r="G399" s="7">
        <f t="shared" si="792"/>
        <v>1.3854103263440037E-2</v>
      </c>
      <c r="H399" s="9">
        <f t="shared" si="702"/>
        <v>0.43003983908917054</v>
      </c>
      <c r="I399" s="4">
        <f t="shared" si="703"/>
        <v>1017.514001485507</v>
      </c>
      <c r="J399" s="6">
        <f t="shared" si="795"/>
        <v>5.5350280029710149E-6</v>
      </c>
      <c r="K399" s="8">
        <f t="shared" si="704"/>
        <v>27.59041101708333</v>
      </c>
      <c r="L399" s="7">
        <f t="shared" si="796"/>
        <v>1.3852478859100499E-2</v>
      </c>
      <c r="M399" s="9">
        <f t="shared" si="705"/>
        <v>0.43009800986184626</v>
      </c>
      <c r="N399" s="4">
        <f t="shared" si="706"/>
        <v>1016.6082454033677</v>
      </c>
      <c r="O399" s="6">
        <f t="shared" si="797"/>
        <v>5.5332164908067363E-6</v>
      </c>
      <c r="P399" s="8">
        <f t="shared" si="798"/>
        <v>27.57999482213873</v>
      </c>
      <c r="Q399" s="7">
        <f t="shared" si="793"/>
        <v>1.3854103263440037E-2</v>
      </c>
      <c r="R399" s="9">
        <f t="shared" si="707"/>
        <v>0.43026044588639584</v>
      </c>
      <c r="S399" s="4">
        <f t="shared" si="708"/>
        <v>1015.1068282268836</v>
      </c>
      <c r="T399" s="6">
        <f t="shared" si="799"/>
        <v>5.5302136564537678E-6</v>
      </c>
      <c r="U399" s="8">
        <f t="shared" si="800"/>
        <v>27.562728524609163</v>
      </c>
      <c r="V399" s="7">
        <f t="shared" si="801"/>
        <v>1.3840430025144328E-2</v>
      </c>
      <c r="W399" s="9">
        <f t="shared" si="709"/>
        <v>0.4305299767083261</v>
      </c>
      <c r="X399" s="4">
        <f t="shared" si="710"/>
        <v>1013.0076432585573</v>
      </c>
      <c r="Y399" s="6">
        <f t="shared" si="802"/>
        <v>5.5260152865171152E-6</v>
      </c>
      <c r="Z399" s="8">
        <f t="shared" si="803"/>
        <v>27.538587897473409</v>
      </c>
      <c r="AA399" s="7">
        <f t="shared" si="804"/>
        <v>1.3829922791800802E-2</v>
      </c>
      <c r="AB399" s="9">
        <f t="shared" si="711"/>
        <v>0.43090738399141465</v>
      </c>
      <c r="AC399" s="4">
        <f t="shared" si="712"/>
        <v>1010.3092515549479</v>
      </c>
      <c r="AD399" s="6">
        <f t="shared" si="713"/>
        <v>5.5206185031098958E-6</v>
      </c>
      <c r="AE399" s="8">
        <f t="shared" si="714"/>
        <v>27.507556392881902</v>
      </c>
      <c r="AF399" s="7">
        <f t="shared" si="715"/>
        <v>1.3816416296799238E-2</v>
      </c>
      <c r="AG399" s="9">
        <f t="shared" si="716"/>
        <v>0.4313934942177779</v>
      </c>
      <c r="AH399" s="4">
        <f t="shared" si="717"/>
        <v>1007.011400110281</v>
      </c>
      <c r="AI399" s="6">
        <f t="shared" si="718"/>
        <v>5.5140228002205621E-6</v>
      </c>
      <c r="AJ399" s="8">
        <f t="shared" si="719"/>
        <v>27.469631101268231</v>
      </c>
      <c r="AK399" s="7">
        <f t="shared" si="720"/>
        <v>1.3799909273747798E-2</v>
      </c>
      <c r="AL399" s="9">
        <f t="shared" si="721"/>
        <v>0.4319890873660126</v>
      </c>
      <c r="AM399" s="4">
        <f t="shared" si="722"/>
        <v>1003.1140272062942</v>
      </c>
      <c r="AN399" s="6">
        <f t="shared" si="723"/>
        <v>5.5062280544125891E-6</v>
      </c>
      <c r="AO399" s="8">
        <f t="shared" si="724"/>
        <v>27.424811312872382</v>
      </c>
      <c r="AP399" s="7">
        <f t="shared" si="725"/>
        <v>1.3780401413722691E-2</v>
      </c>
      <c r="AQ399" s="9">
        <f t="shared" si="726"/>
        <v>0.43269507798393064</v>
      </c>
      <c r="AR399" s="4">
        <f t="shared" si="727"/>
        <v>998.61711704798734</v>
      </c>
      <c r="AS399" s="6">
        <f t="shared" si="728"/>
        <v>5.4972342340959756E-6</v>
      </c>
      <c r="AT399" s="8">
        <f t="shared" si="729"/>
        <v>27.373096846051851</v>
      </c>
      <c r="AU399" s="7">
        <f t="shared" si="730"/>
        <v>1.3757892637663824E-2</v>
      </c>
      <c r="AV399" s="9">
        <f t="shared" si="731"/>
        <v>0.43351254468781347</v>
      </c>
      <c r="AW399" s="4">
        <f t="shared" si="732"/>
        <v>993.52061688942888</v>
      </c>
      <c r="AX399" s="6">
        <f t="shared" si="733"/>
        <v>5.4870412337788579E-6</v>
      </c>
      <c r="AY399" s="8">
        <f t="shared" si="734"/>
        <v>27.314487094228433</v>
      </c>
      <c r="AZ399" s="7">
        <f t="shared" si="735"/>
        <v>1.3732382681557388E-2</v>
      </c>
      <c r="BA399" s="9">
        <f t="shared" si="736"/>
        <v>0.43444274932862692</v>
      </c>
      <c r="BB399" s="4">
        <f t="shared" si="737"/>
        <v>987.82416965499397</v>
      </c>
      <c r="BC399" s="6">
        <f t="shared" si="738"/>
        <v>5.4756483393099885E-6</v>
      </c>
      <c r="BD399" s="8">
        <f t="shared" si="739"/>
        <v>27.24897795103243</v>
      </c>
      <c r="BE399" s="7">
        <f t="shared" si="740"/>
        <v>1.3703869758101669E-2</v>
      </c>
      <c r="BF399" s="9">
        <f t="shared" si="741"/>
        <v>0.43548719115420209</v>
      </c>
      <c r="BG399" s="4">
        <f t="shared" si="742"/>
        <v>981.52559216725729</v>
      </c>
      <c r="BH399" s="6">
        <f t="shared" si="743"/>
        <v>5.4630511843345147E-6</v>
      </c>
      <c r="BI399" s="8">
        <f t="shared" si="744"/>
        <v>27.176544309923457</v>
      </c>
      <c r="BJ399" s="7">
        <f t="shared" si="745"/>
        <v>1.3672342939648556E-2</v>
      </c>
      <c r="BK399" s="9">
        <f t="shared" si="746"/>
        <v>0.43664789512568164</v>
      </c>
      <c r="BL399" s="4">
        <f t="shared" si="747"/>
        <v>974.61281835042541</v>
      </c>
      <c r="BM399" s="6">
        <f t="shared" si="748"/>
        <v>5.4492256367008508E-6</v>
      </c>
      <c r="BN399" s="8">
        <f t="shared" si="749"/>
        <v>27.097047411029891</v>
      </c>
      <c r="BO399" s="7">
        <f t="shared" si="750"/>
        <v>1.3637741830818027E-2</v>
      </c>
      <c r="BP399" s="9">
        <f t="shared" si="751"/>
        <v>0.43792892597174959</v>
      </c>
      <c r="BQ399" s="4">
        <f t="shared" si="752"/>
        <v>967.02604865917863</v>
      </c>
      <c r="BR399" s="6">
        <f t="shared" si="753"/>
        <v>5.4340520973183577E-6</v>
      </c>
      <c r="BS399" s="8">
        <f t="shared" si="754"/>
        <v>27.009799559580554</v>
      </c>
      <c r="BT399" s="7">
        <f t="shared" si="755"/>
        <v>1.3599767111737856E-2</v>
      </c>
      <c r="BU399" s="9">
        <f t="shared" si="756"/>
        <v>0.43934353690931943</v>
      </c>
      <c r="BV399" s="4">
        <f t="shared" si="757"/>
        <v>958.50298917945224</v>
      </c>
      <c r="BW399" s="6">
        <f t="shared" si="758"/>
        <v>5.4170059783589051E-6</v>
      </c>
      <c r="BX399" s="8">
        <f t="shared" si="759"/>
        <v>26.911784375563698</v>
      </c>
      <c r="BY399" s="7">
        <f t="shared" si="760"/>
        <v>1.3557105899836348E-2</v>
      </c>
      <c r="BZ399" s="9">
        <f t="shared" si="761"/>
        <v>0.44094366631790238</v>
      </c>
      <c r="CA399" s="4">
        <f t="shared" si="762"/>
        <v>948.0426751141016</v>
      </c>
      <c r="CB399" s="6">
        <f t="shared" si="763"/>
        <v>5.3960853502282037E-6</v>
      </c>
      <c r="CC399" s="8">
        <f t="shared" si="764"/>
        <v>26.791490763812167</v>
      </c>
      <c r="CD399" s="7">
        <f t="shared" si="765"/>
        <v>1.3504747978838641E-2</v>
      </c>
      <c r="CE399" s="9">
        <f t="shared" si="766"/>
        <v>0.44292350038790451</v>
      </c>
      <c r="CF399" s="4">
        <f t="shared" si="767"/>
        <v>932.3969927360497</v>
      </c>
      <c r="CG399" s="6">
        <f t="shared" si="768"/>
        <v>5.3647939854720993E-6</v>
      </c>
      <c r="CH399" s="8">
        <f t="shared" si="769"/>
        <v>26.611565416464572</v>
      </c>
      <c r="CI399" s="7">
        <f t="shared" si="770"/>
        <v>1.3426435282222893E-2</v>
      </c>
      <c r="CJ399" s="9">
        <f t="shared" si="771"/>
        <v>0.44591818196369787</v>
      </c>
      <c r="CK399" s="4">
        <f t="shared" si="772"/>
        <v>902.89105579015859</v>
      </c>
      <c r="CL399" s="6">
        <f t="shared" si="773"/>
        <v>5.3057821115803176E-6</v>
      </c>
      <c r="CM399" s="8">
        <f t="shared" si="774"/>
        <v>26.272247141586824</v>
      </c>
      <c r="CN399" s="7">
        <f t="shared" si="775"/>
        <v>1.3278746646305781E-2</v>
      </c>
      <c r="CO399" s="9">
        <f t="shared" si="776"/>
        <v>0.45167742240571684</v>
      </c>
      <c r="CP399" s="4">
        <f t="shared" si="777"/>
        <v>841.39798615045925</v>
      </c>
      <c r="CQ399" s="6">
        <f t="shared" si="778"/>
        <v>5.1827959723009186E-6</v>
      </c>
      <c r="CR399" s="8">
        <f t="shared" si="779"/>
        <v>25.565076840730281</v>
      </c>
      <c r="CS399" s="7">
        <f t="shared" si="780"/>
        <v>1.2970950029302977E-2</v>
      </c>
      <c r="CT399" s="9">
        <f t="shared" si="781"/>
        <v>0.46417153148595514</v>
      </c>
      <c r="CU399" s="4">
        <f t="shared" si="782"/>
        <v>720.93103774521796</v>
      </c>
      <c r="CV399" s="6">
        <f t="shared" si="783"/>
        <v>4.9418620754904361E-6</v>
      </c>
      <c r="CW399" s="8">
        <f t="shared" si="784"/>
        <v>24.179706934070005</v>
      </c>
      <c r="CX399" s="7">
        <f t="shared" si="785"/>
        <v>1.2367966320780376E-2</v>
      </c>
      <c r="CY399" s="9">
        <f t="shared" si="786"/>
        <v>0.49076611648247459</v>
      </c>
      <c r="CZ399" s="5">
        <f t="shared" si="787"/>
        <v>519.67019879345389</v>
      </c>
      <c r="DA399" s="6">
        <f t="shared" si="788"/>
        <v>6.9178557287826582E-6</v>
      </c>
      <c r="DB399" s="8">
        <f t="shared" si="789"/>
        <v>38.42456423498983</v>
      </c>
      <c r="DC399" s="7">
        <f t="shared" si="790"/>
        <v>1.731327288350322E-2</v>
      </c>
      <c r="DD399" s="9">
        <f t="shared" si="791"/>
        <v>0.30882798818866136</v>
      </c>
    </row>
    <row r="400" spans="2:108" x14ac:dyDescent="0.25">
      <c r="B400">
        <v>133</v>
      </c>
      <c r="C400">
        <f t="shared" si="805"/>
        <v>0.13002275062391844</v>
      </c>
      <c r="D400" s="4">
        <f t="shared" si="700"/>
        <v>1017.821963773273</v>
      </c>
      <c r="E400" s="6">
        <f t="shared" si="794"/>
        <v>5.5356439275465461E-6</v>
      </c>
      <c r="F400" s="8">
        <f t="shared" si="701"/>
        <v>27.593952583392639</v>
      </c>
      <c r="G400" s="7">
        <f t="shared" si="792"/>
        <v>1.3854020329560407E-2</v>
      </c>
      <c r="H400" s="9">
        <f t="shared" si="702"/>
        <v>0.43004280861378935</v>
      </c>
      <c r="I400" s="4">
        <f t="shared" si="703"/>
        <v>1017.4974269717482</v>
      </c>
      <c r="J400" s="6">
        <f t="shared" si="795"/>
        <v>5.5349948539434967E-6</v>
      </c>
      <c r="K400" s="8">
        <f t="shared" si="704"/>
        <v>27.590220410175103</v>
      </c>
      <c r="L400" s="7">
        <f t="shared" si="796"/>
        <v>1.3852395897243276E-2</v>
      </c>
      <c r="M400" s="9">
        <f t="shared" si="705"/>
        <v>0.43010098119192902</v>
      </c>
      <c r="N400" s="4">
        <f t="shared" si="706"/>
        <v>1016.5916577908254</v>
      </c>
      <c r="O400" s="6">
        <f t="shared" si="797"/>
        <v>5.5331833155816511E-6</v>
      </c>
      <c r="P400" s="8">
        <f t="shared" si="798"/>
        <v>27.579804064594491</v>
      </c>
      <c r="Q400" s="7">
        <f t="shared" si="793"/>
        <v>1.3854020329560407E-2</v>
      </c>
      <c r="R400" s="9">
        <f t="shared" si="707"/>
        <v>0.43026342181130989</v>
      </c>
      <c r="S400" s="4">
        <f t="shared" si="708"/>
        <v>1015.090232937191</v>
      </c>
      <c r="T400" s="6">
        <f t="shared" si="799"/>
        <v>5.5301804658743826E-6</v>
      </c>
      <c r="U400" s="8">
        <f t="shared" si="800"/>
        <v>27.562537678777694</v>
      </c>
      <c r="V400" s="7">
        <f t="shared" si="801"/>
        <v>1.3840346959295516E-2</v>
      </c>
      <c r="W400" s="9">
        <f t="shared" si="709"/>
        <v>0.43053295774194261</v>
      </c>
      <c r="X400" s="4">
        <f t="shared" si="710"/>
        <v>1012.9910500137278</v>
      </c>
      <c r="Y400" s="6">
        <f t="shared" si="802"/>
        <v>5.5259821000274557E-6</v>
      </c>
      <c r="Z400" s="8">
        <f t="shared" si="803"/>
        <v>27.538397075157867</v>
      </c>
      <c r="AA400" s="7">
        <f t="shared" si="804"/>
        <v>1.3829839736187323E-2</v>
      </c>
      <c r="AB400" s="9">
        <f t="shared" si="711"/>
        <v>0.43091036988578507</v>
      </c>
      <c r="AC400" s="4">
        <f t="shared" si="712"/>
        <v>1010.2926684146248</v>
      </c>
      <c r="AD400" s="6">
        <f t="shared" si="713"/>
        <v>5.5205853368292498E-6</v>
      </c>
      <c r="AE400" s="8">
        <f t="shared" si="714"/>
        <v>27.507365686768182</v>
      </c>
      <c r="AF400" s="7">
        <f t="shared" si="715"/>
        <v>1.3816333291762725E-2</v>
      </c>
      <c r="AG400" s="9">
        <f t="shared" si="716"/>
        <v>0.43139648503040984</v>
      </c>
      <c r="AH400" s="4">
        <f t="shared" si="717"/>
        <v>1006.9948326205076</v>
      </c>
      <c r="AI400" s="6">
        <f t="shared" si="718"/>
        <v>5.5139896652410158E-6</v>
      </c>
      <c r="AJ400" s="8">
        <f t="shared" si="719"/>
        <v>27.469440575135835</v>
      </c>
      <c r="AK400" s="7">
        <f t="shared" si="720"/>
        <v>1.3799826347048344E-2</v>
      </c>
      <c r="AL400" s="9">
        <f t="shared" si="721"/>
        <v>0.43199208361232594</v>
      </c>
      <c r="AM400" s="4">
        <f t="shared" si="722"/>
        <v>1003.097479435684</v>
      </c>
      <c r="AN400" s="6">
        <f t="shared" si="723"/>
        <v>5.5061949588713687E-6</v>
      </c>
      <c r="AO400" s="8">
        <f t="shared" si="724"/>
        <v>27.424621013510365</v>
      </c>
      <c r="AP400" s="7">
        <f t="shared" si="725"/>
        <v>1.3780318585725282E-2</v>
      </c>
      <c r="AQ400" s="9">
        <f t="shared" si="726"/>
        <v>0.43269808045376412</v>
      </c>
      <c r="AR400" s="4">
        <f t="shared" si="727"/>
        <v>998.60059199110742</v>
      </c>
      <c r="AS400" s="6">
        <f t="shared" si="728"/>
        <v>5.4972011839822154E-6</v>
      </c>
      <c r="AT400" s="8">
        <f t="shared" si="729"/>
        <v>27.372906807897735</v>
      </c>
      <c r="AU400" s="7">
        <f t="shared" si="730"/>
        <v>1.3757809923357425E-2</v>
      </c>
      <c r="AV400" s="9">
        <f t="shared" si="731"/>
        <v>0.43351555437634803</v>
      </c>
      <c r="AW400" s="4">
        <f t="shared" si="732"/>
        <v>993.50411363610908</v>
      </c>
      <c r="AX400" s="6">
        <f t="shared" si="733"/>
        <v>5.4870082272722182E-6</v>
      </c>
      <c r="AY400" s="8">
        <f t="shared" si="734"/>
        <v>27.314297306815256</v>
      </c>
      <c r="AZ400" s="7">
        <f t="shared" si="735"/>
        <v>1.3732300076386251E-2</v>
      </c>
      <c r="BA400" s="9">
        <f t="shared" si="736"/>
        <v>0.43444576795893042</v>
      </c>
      <c r="BB400" s="4">
        <f t="shared" si="737"/>
        <v>987.8076650577251</v>
      </c>
      <c r="BC400" s="6">
        <f t="shared" si="738"/>
        <v>5.4756153301154506E-6</v>
      </c>
      <c r="BD400" s="8">
        <f t="shared" si="739"/>
        <v>27.24878814816384</v>
      </c>
      <c r="BE400" s="7">
        <f t="shared" si="740"/>
        <v>1.3703787146203544E-2</v>
      </c>
      <c r="BF400" s="9">
        <f t="shared" si="741"/>
        <v>0.43549022456316205</v>
      </c>
      <c r="BG400" s="4">
        <f t="shared" si="742"/>
        <v>981.50894600848869</v>
      </c>
      <c r="BH400" s="6">
        <f t="shared" si="743"/>
        <v>5.4630178920169772E-6</v>
      </c>
      <c r="BI400" s="8">
        <f t="shared" si="744"/>
        <v>27.176352879097621</v>
      </c>
      <c r="BJ400" s="7">
        <f t="shared" si="745"/>
        <v>1.3672259619180329E-2</v>
      </c>
      <c r="BK400" s="9">
        <f t="shared" si="746"/>
        <v>0.43665097088303351</v>
      </c>
      <c r="BL400" s="4">
        <f t="shared" si="747"/>
        <v>974.59534324038145</v>
      </c>
      <c r="BM400" s="6">
        <f t="shared" si="748"/>
        <v>5.4491906864807638E-6</v>
      </c>
      <c r="BN400" s="8">
        <f t="shared" si="749"/>
        <v>27.096846447264387</v>
      </c>
      <c r="BO400" s="7">
        <f t="shared" si="750"/>
        <v>1.3637654361127792E-2</v>
      </c>
      <c r="BP400" s="9">
        <f t="shared" si="751"/>
        <v>0.43793217387169092</v>
      </c>
      <c r="BQ400" s="4">
        <f t="shared" si="752"/>
        <v>967.00482985181338</v>
      </c>
      <c r="BR400" s="6">
        <f t="shared" si="753"/>
        <v>5.4340096597036273E-6</v>
      </c>
      <c r="BS400" s="8">
        <f t="shared" si="754"/>
        <v>27.009555543295853</v>
      </c>
      <c r="BT400" s="7">
        <f t="shared" si="755"/>
        <v>1.359966090339337E-2</v>
      </c>
      <c r="BU400" s="9">
        <f t="shared" si="756"/>
        <v>0.43934750613337464</v>
      </c>
      <c r="BV400" s="4">
        <f t="shared" si="757"/>
        <v>958.46742290818224</v>
      </c>
      <c r="BW400" s="6">
        <f t="shared" si="758"/>
        <v>5.4169348458163651E-6</v>
      </c>
      <c r="BX400" s="8">
        <f t="shared" si="759"/>
        <v>26.911375363444094</v>
      </c>
      <c r="BY400" s="7">
        <f t="shared" si="760"/>
        <v>1.3556927876881234E-2</v>
      </c>
      <c r="BZ400" s="9">
        <f t="shared" si="761"/>
        <v>0.44095036799335191</v>
      </c>
      <c r="CA400" s="4">
        <f t="shared" si="762"/>
        <v>947.96058021284</v>
      </c>
      <c r="CB400" s="6">
        <f t="shared" si="763"/>
        <v>5.3959211604256806E-6</v>
      </c>
      <c r="CC400" s="8">
        <f t="shared" si="764"/>
        <v>26.790546672447661</v>
      </c>
      <c r="CD400" s="7">
        <f t="shared" si="765"/>
        <v>1.3504337062079574E-2</v>
      </c>
      <c r="CE400" s="9">
        <f t="shared" si="766"/>
        <v>0.44293910888805815</v>
      </c>
      <c r="CF400" s="4">
        <f t="shared" si="767"/>
        <v>932.19076472765403</v>
      </c>
      <c r="CG400" s="6">
        <f t="shared" si="768"/>
        <v>5.3643815294553091E-6</v>
      </c>
      <c r="CH400" s="8">
        <f t="shared" si="769"/>
        <v>26.609193794368018</v>
      </c>
      <c r="CI400" s="7">
        <f t="shared" si="770"/>
        <v>1.3425403031211728E-2</v>
      </c>
      <c r="CJ400" s="9">
        <f t="shared" si="771"/>
        <v>0.44595792572375964</v>
      </c>
      <c r="CK400" s="4">
        <f t="shared" si="772"/>
        <v>902.42568333784754</v>
      </c>
      <c r="CL400" s="6">
        <f t="shared" si="773"/>
        <v>5.3048513666756958E-6</v>
      </c>
      <c r="CM400" s="8">
        <f t="shared" si="774"/>
        <v>26.266895358385248</v>
      </c>
      <c r="CN400" s="7">
        <f t="shared" si="775"/>
        <v>1.3276417277040157E-2</v>
      </c>
      <c r="CO400" s="9">
        <f t="shared" si="776"/>
        <v>0.4517694500172324</v>
      </c>
      <c r="CP400" s="4">
        <f t="shared" si="777"/>
        <v>840.54791940731945</v>
      </c>
      <c r="CQ400" s="6">
        <f t="shared" si="778"/>
        <v>5.1810958388146396E-6</v>
      </c>
      <c r="CR400" s="8">
        <f t="shared" si="779"/>
        <v>25.555301073184175</v>
      </c>
      <c r="CS400" s="7">
        <f t="shared" si="780"/>
        <v>1.2966695116199795E-2</v>
      </c>
      <c r="CT400" s="9">
        <f t="shared" si="781"/>
        <v>0.4643490928060246</v>
      </c>
      <c r="CU400" s="4">
        <f t="shared" si="782"/>
        <v>719.77362520637939</v>
      </c>
      <c r="CV400" s="6">
        <f t="shared" si="783"/>
        <v>4.93954725041276E-6</v>
      </c>
      <c r="CW400" s="8">
        <f t="shared" si="784"/>
        <v>24.166396689873363</v>
      </c>
      <c r="CX400" s="7">
        <f t="shared" si="785"/>
        <v>1.2362173022998718E-2</v>
      </c>
      <c r="CY400" s="9">
        <f t="shared" si="786"/>
        <v>0.49103641813057081</v>
      </c>
      <c r="CZ400" s="5">
        <f t="shared" si="787"/>
        <v>518.63010216375199</v>
      </c>
      <c r="DA400" s="6">
        <f t="shared" si="788"/>
        <v>6.9336801270795802E-6</v>
      </c>
      <c r="DB400" s="8">
        <f t="shared" si="789"/>
        <v>38.454727037251189</v>
      </c>
      <c r="DC400" s="7">
        <f t="shared" si="790"/>
        <v>1.7352876502987787E-2</v>
      </c>
      <c r="DD400" s="9">
        <f t="shared" si="791"/>
        <v>0.30858575223333956</v>
      </c>
    </row>
    <row r="401" spans="2:108" x14ac:dyDescent="0.25">
      <c r="B401">
        <v>134</v>
      </c>
      <c r="C401">
        <f t="shared" si="805"/>
        <v>0.13100036529026371</v>
      </c>
      <c r="D401" s="4">
        <f t="shared" si="700"/>
        <v>1017.8053945636382</v>
      </c>
      <c r="E401" s="6">
        <f t="shared" si="794"/>
        <v>5.5356107891272769E-6</v>
      </c>
      <c r="F401" s="8">
        <f t="shared" si="701"/>
        <v>27.593762037481838</v>
      </c>
      <c r="G401" s="7">
        <f t="shared" si="792"/>
        <v>1.3853937394252381E-2</v>
      </c>
      <c r="H401" s="9">
        <f t="shared" si="702"/>
        <v>0.430045778230565</v>
      </c>
      <c r="I401" s="4">
        <f t="shared" si="703"/>
        <v>1017.4808523237242</v>
      </c>
      <c r="J401" s="6">
        <f t="shared" si="795"/>
        <v>5.5349617046474486E-6</v>
      </c>
      <c r="K401" s="8">
        <f t="shared" si="704"/>
        <v>27.590029801722828</v>
      </c>
      <c r="L401" s="7">
        <f t="shared" si="796"/>
        <v>1.385231293471401E-2</v>
      </c>
      <c r="M401" s="9">
        <f t="shared" si="705"/>
        <v>0.43010395258713724</v>
      </c>
      <c r="N401" s="4">
        <f t="shared" si="706"/>
        <v>1016.5750702807803</v>
      </c>
      <c r="O401" s="6">
        <f t="shared" si="797"/>
        <v>5.5331501405615615E-6</v>
      </c>
      <c r="P401" s="8">
        <f t="shared" si="798"/>
        <v>27.579613308228971</v>
      </c>
      <c r="Q401" s="7">
        <f t="shared" si="793"/>
        <v>1.3853937394252381E-2</v>
      </c>
      <c r="R401" s="9">
        <f t="shared" si="707"/>
        <v>0.43026639775900155</v>
      </c>
      <c r="S401" s="4">
        <f t="shared" si="708"/>
        <v>1015.0736378685272</v>
      </c>
      <c r="T401" s="6">
        <f t="shared" si="799"/>
        <v>5.5301472757370545E-6</v>
      </c>
      <c r="U401" s="8">
        <f t="shared" si="800"/>
        <v>27.562346835488061</v>
      </c>
      <c r="V401" s="7">
        <f t="shared" si="801"/>
        <v>1.384026389455304E-2</v>
      </c>
      <c r="W401" s="9">
        <f t="shared" si="709"/>
        <v>0.43053593877713681</v>
      </c>
      <c r="X401" s="4">
        <f t="shared" si="710"/>
        <v>1012.9744570010512</v>
      </c>
      <c r="Y401" s="6">
        <f t="shared" si="802"/>
        <v>5.5259489140021033E-6</v>
      </c>
      <c r="Z401" s="8">
        <f t="shared" si="803"/>
        <v>27.538206255512087</v>
      </c>
      <c r="AA401" s="7">
        <f t="shared" si="804"/>
        <v>1.3829756681735859E-2</v>
      </c>
      <c r="AB401" s="9">
        <f t="shared" si="711"/>
        <v>0.4309133557797602</v>
      </c>
      <c r="AC401" s="4">
        <f t="shared" si="712"/>
        <v>1010.27608548621</v>
      </c>
      <c r="AD401" s="6">
        <f t="shared" si="713"/>
        <v>5.5205521709724201E-6</v>
      </c>
      <c r="AE401" s="8">
        <f t="shared" si="714"/>
        <v>27.507174983091417</v>
      </c>
      <c r="AF401" s="7">
        <f t="shared" si="715"/>
        <v>1.3816250287786895E-2</v>
      </c>
      <c r="AG401" s="9">
        <f t="shared" si="716"/>
        <v>0.4313994758462929</v>
      </c>
      <c r="AH401" s="4">
        <f t="shared" si="717"/>
        <v>1006.9782653272023</v>
      </c>
      <c r="AI401" s="6">
        <f t="shared" si="718"/>
        <v>5.5139565306544055E-6</v>
      </c>
      <c r="AJ401" s="8">
        <f t="shared" si="719"/>
        <v>27.469250051262826</v>
      </c>
      <c r="AK401" s="7">
        <f t="shared" si="720"/>
        <v>1.3799743421332292E-2</v>
      </c>
      <c r="AL401" s="9">
        <f t="shared" si="721"/>
        <v>0.43199507986467084</v>
      </c>
      <c r="AM401" s="4">
        <f t="shared" si="722"/>
        <v>1003.0809318476627</v>
      </c>
      <c r="AN401" s="6">
        <f t="shared" si="723"/>
        <v>5.5061618636953261E-6</v>
      </c>
      <c r="AO401" s="8">
        <f t="shared" si="724"/>
        <v>27.424430716248118</v>
      </c>
      <c r="AP401" s="7">
        <f t="shared" si="725"/>
        <v>1.3780235758641802E-2</v>
      </c>
      <c r="AQ401" s="9">
        <f t="shared" si="726"/>
        <v>0.43270108293213616</v>
      </c>
      <c r="AR401" s="4">
        <f t="shared" si="727"/>
        <v>998.58406705935079</v>
      </c>
      <c r="AS401" s="6">
        <f t="shared" si="728"/>
        <v>5.4971681341187018E-6</v>
      </c>
      <c r="AT401" s="8">
        <f t="shared" si="729"/>
        <v>27.372716771182532</v>
      </c>
      <c r="AU401" s="7">
        <f t="shared" si="730"/>
        <v>1.3757727209677318E-2</v>
      </c>
      <c r="AV401" s="9">
        <f t="shared" si="731"/>
        <v>0.43351856408388389</v>
      </c>
      <c r="AW401" s="4">
        <f t="shared" si="732"/>
        <v>993.48761017918935</v>
      </c>
      <c r="AX401" s="6">
        <f t="shared" si="733"/>
        <v>5.4869752203583793E-6</v>
      </c>
      <c r="AY401" s="8">
        <f t="shared" si="734"/>
        <v>27.314107517060677</v>
      </c>
      <c r="AZ401" s="7">
        <f t="shared" si="735"/>
        <v>1.3732217470196017E-2</v>
      </c>
      <c r="BA401" s="9">
        <f t="shared" si="736"/>
        <v>0.43444878666842429</v>
      </c>
      <c r="BB401" s="4">
        <f t="shared" si="737"/>
        <v>987.79115853612075</v>
      </c>
      <c r="BC401" s="6">
        <f t="shared" si="738"/>
        <v>5.4755823170722416E-6</v>
      </c>
      <c r="BD401" s="8">
        <f t="shared" si="739"/>
        <v>27.248598323165389</v>
      </c>
      <c r="BE401" s="7">
        <f t="shared" si="740"/>
        <v>1.3703704524673377E-2</v>
      </c>
      <c r="BF401" s="9">
        <f t="shared" si="741"/>
        <v>0.43549325836806541</v>
      </c>
      <c r="BG401" s="4">
        <f t="shared" si="742"/>
        <v>981.49228992576695</v>
      </c>
      <c r="BH401" s="6">
        <f t="shared" si="743"/>
        <v>5.462984579851535E-6</v>
      </c>
      <c r="BI401" s="8">
        <f t="shared" si="744"/>
        <v>27.176161334146322</v>
      </c>
      <c r="BJ401" s="7">
        <f t="shared" si="745"/>
        <v>1.3672176249038879E-2</v>
      </c>
      <c r="BK401" s="9">
        <f t="shared" si="746"/>
        <v>0.43665404851743239</v>
      </c>
      <c r="BL401" s="4">
        <f t="shared" si="747"/>
        <v>974.57782578105571</v>
      </c>
      <c r="BM401" s="6">
        <f t="shared" si="748"/>
        <v>5.4491556515621118E-6</v>
      </c>
      <c r="BN401" s="8">
        <f t="shared" si="749"/>
        <v>27.096644996482141</v>
      </c>
      <c r="BO401" s="7">
        <f t="shared" si="750"/>
        <v>1.3637566679463E-2</v>
      </c>
      <c r="BP401" s="9">
        <f t="shared" si="751"/>
        <v>0.43793542969096333</v>
      </c>
      <c r="BQ401" s="4">
        <f t="shared" si="752"/>
        <v>966.98345708208967</v>
      </c>
      <c r="BR401" s="6">
        <f t="shared" si="753"/>
        <v>5.4339669141641804E-6</v>
      </c>
      <c r="BS401" s="8">
        <f t="shared" si="754"/>
        <v>27.009309756444033</v>
      </c>
      <c r="BT401" s="7">
        <f t="shared" si="755"/>
        <v>1.3599553924407683E-2</v>
      </c>
      <c r="BU401" s="9">
        <f t="shared" si="756"/>
        <v>0.43935150423037755</v>
      </c>
      <c r="BV401" s="4">
        <f t="shared" si="757"/>
        <v>958.43138969976496</v>
      </c>
      <c r="BW401" s="6">
        <f t="shared" si="758"/>
        <v>5.4168627793995306E-6</v>
      </c>
      <c r="BX401" s="8">
        <f t="shared" si="759"/>
        <v>26.910960981547298</v>
      </c>
      <c r="BY401" s="7">
        <f t="shared" si="760"/>
        <v>1.355674751672495E-2</v>
      </c>
      <c r="BZ401" s="9">
        <f t="shared" si="761"/>
        <v>0.44095715786049966</v>
      </c>
      <c r="CA401" s="4">
        <f t="shared" si="762"/>
        <v>947.8773572188561</v>
      </c>
      <c r="CB401" s="6">
        <f t="shared" si="763"/>
        <v>5.3957547144377127E-6</v>
      </c>
      <c r="CC401" s="8">
        <f t="shared" si="764"/>
        <v>26.789589608016847</v>
      </c>
      <c r="CD401" s="7">
        <f t="shared" si="765"/>
        <v>1.3503920498779754E-2</v>
      </c>
      <c r="CE401" s="9">
        <f t="shared" si="766"/>
        <v>0.44295493299258293</v>
      </c>
      <c r="CF401" s="4">
        <f t="shared" si="767"/>
        <v>931.98255815616494</v>
      </c>
      <c r="CG401" s="6">
        <f t="shared" si="768"/>
        <v>5.3639651163123306E-6</v>
      </c>
      <c r="CH401" s="8">
        <f t="shared" si="769"/>
        <v>26.606799418795894</v>
      </c>
      <c r="CI401" s="7">
        <f t="shared" si="770"/>
        <v>1.3424360876726391E-2</v>
      </c>
      <c r="CJ401" s="9">
        <f t="shared" si="771"/>
        <v>0.44599805797517178</v>
      </c>
      <c r="CK401" s="4">
        <f t="shared" si="772"/>
        <v>901.95840737436731</v>
      </c>
      <c r="CL401" s="6">
        <f t="shared" si="773"/>
        <v>5.3039168147487352E-6</v>
      </c>
      <c r="CM401" s="8">
        <f t="shared" si="774"/>
        <v>26.261521684805224</v>
      </c>
      <c r="CN401" s="7">
        <f t="shared" si="775"/>
        <v>1.3274078379964298E-2</v>
      </c>
      <c r="CO401" s="9">
        <f t="shared" si="776"/>
        <v>0.45186189178762776</v>
      </c>
      <c r="CP401" s="4">
        <f t="shared" si="777"/>
        <v>839.69877397776042</v>
      </c>
      <c r="CQ401" s="6">
        <f t="shared" si="778"/>
        <v>5.1793975479555214E-6</v>
      </c>
      <c r="CR401" s="8">
        <f t="shared" si="779"/>
        <v>25.545535900744245</v>
      </c>
      <c r="CS401" s="7">
        <f t="shared" si="780"/>
        <v>1.2962444814627714E-2</v>
      </c>
      <c r="CT401" s="9">
        <f t="shared" si="781"/>
        <v>0.46452659736029173</v>
      </c>
      <c r="CU401" s="4">
        <f t="shared" si="782"/>
        <v>718.62203188270212</v>
      </c>
      <c r="CV401" s="6">
        <f t="shared" si="783"/>
        <v>4.9372440637654046E-6</v>
      </c>
      <c r="CW401" s="8">
        <f t="shared" si="784"/>
        <v>24.153153366651075</v>
      </c>
      <c r="CX401" s="7">
        <f t="shared" si="785"/>
        <v>1.2356408852641509E-2</v>
      </c>
      <c r="CY401" s="9">
        <f t="shared" si="786"/>
        <v>0.49130565643252255</v>
      </c>
      <c r="CZ401" s="5">
        <f t="shared" si="787"/>
        <v>517.59694475620461</v>
      </c>
      <c r="DA401" s="6">
        <f t="shared" si="788"/>
        <v>6.9493857110473816E-6</v>
      </c>
      <c r="DB401" s="8">
        <f t="shared" si="789"/>
        <v>38.484688602070065</v>
      </c>
      <c r="DC401" s="7">
        <f t="shared" si="790"/>
        <v>1.7392182766617713E-2</v>
      </c>
      <c r="DD401" s="9">
        <f t="shared" si="791"/>
        <v>0.30834550832456531</v>
      </c>
    </row>
    <row r="402" spans="2:108" x14ac:dyDescent="0.25">
      <c r="B402">
        <v>135</v>
      </c>
      <c r="C402">
        <f t="shared" si="805"/>
        <v>0.13197797995660895</v>
      </c>
      <c r="D402" s="4">
        <f t="shared" ref="D402:D465" si="806">D401+(4*$H$7*(I401-D401))</f>
        <v>1017.7888250763468</v>
      </c>
      <c r="E402" s="6">
        <f t="shared" si="794"/>
        <v>5.5355776501526938E-6</v>
      </c>
      <c r="F402" s="8">
        <f t="shared" ref="F402:F465" si="807">IF($D402&lt;650,(53.495-(0.029*D402)),IF(D402&lt;700,((0.00000000000000006*(D402^2))-(0.2008*D402) + 164.43),IF(D402&lt;1250,((0.0115*D402)+ 15.889))))</f>
        <v>27.593571488377989</v>
      </c>
      <c r="G402" s="7">
        <f t="shared" si="792"/>
        <v>1.3853854457554578E-2</v>
      </c>
      <c r="H402" s="9">
        <f t="shared" ref="H402:H465" si="808">($C$263*$D$6)/F402</f>
        <v>0.43004874793811776</v>
      </c>
      <c r="I402" s="4">
        <f t="shared" ref="I402:I465" si="809">I401+(G402*(D401+N401-(2*I401))+((G402/(2*$I$18))*(N401-D401)))</f>
        <v>1017.4642775453129</v>
      </c>
      <c r="J402" s="6">
        <f t="shared" si="795"/>
        <v>5.5349285550906262E-6</v>
      </c>
      <c r="K402" s="8">
        <f t="shared" ref="K402:K465" si="810">IF($I402&lt;650,(53.495-(0.029*I402)),IF(I402&lt;700,((0.00000000000000006*(I402^2))-(0.2008*I402) + 164.43),IF(I402&lt;1250,((0.0115*I402)+ 15.889))))</f>
        <v>27.589839191771098</v>
      </c>
      <c r="L402" s="7">
        <f t="shared" si="796"/>
        <v>1.3852229971532102E-2</v>
      </c>
      <c r="M402" s="9">
        <f t="shared" ref="M402:M465" si="811">($C$263*$D$6)/K402</f>
        <v>0.43010692404677758</v>
      </c>
      <c r="N402" s="4">
        <f t="shared" ref="N402:N465" si="812">N401+(L402*(I401+S401-(2*N401))+((L402/(2*N$18))*(S401-I401)))</f>
        <v>1016.5584828728259</v>
      </c>
      <c r="O402" s="6">
        <f t="shared" si="797"/>
        <v>5.5331169657456516E-6</v>
      </c>
      <c r="P402" s="8">
        <f t="shared" si="798"/>
        <v>27.579422553037496</v>
      </c>
      <c r="Q402" s="7">
        <f t="shared" si="793"/>
        <v>1.3853854457554578E-2</v>
      </c>
      <c r="R402" s="9">
        <f t="shared" ref="R402:R465" si="813">($C$263*$D$6)/P402</f>
        <v>0.43026937372954377</v>
      </c>
      <c r="S402" s="4">
        <f t="shared" ref="S402:S465" si="814">S401+(Q402*(N401+X401-(2*S401))+((Q402/(2*S$18))*(X401-N401)))</f>
        <v>1015.0570430197038</v>
      </c>
      <c r="T402" s="6">
        <f t="shared" si="799"/>
        <v>5.5301140860394085E-6</v>
      </c>
      <c r="U402" s="8">
        <f t="shared" si="800"/>
        <v>27.562155994726595</v>
      </c>
      <c r="V402" s="7">
        <f t="shared" si="801"/>
        <v>1.3840180830910953E-2</v>
      </c>
      <c r="W402" s="9">
        <f t="shared" ref="W402:W465" si="815">($C$263*$D$6)/U402</f>
        <v>0.4305389198141214</v>
      </c>
      <c r="X402" s="4">
        <f t="shared" ref="X402:X465" si="816">X401+(V402*(S401+AC401-(2*X401))+((V402/(2*X$18))*(AC401-S401)))</f>
        <v>1012.9578642200748</v>
      </c>
      <c r="Y402" s="6">
        <f t="shared" si="802"/>
        <v>5.5259157284401507E-6</v>
      </c>
      <c r="Z402" s="8">
        <f t="shared" si="803"/>
        <v>27.538015438530859</v>
      </c>
      <c r="AA402" s="7">
        <f t="shared" si="804"/>
        <v>1.3829673628444146E-2</v>
      </c>
      <c r="AB402" s="9">
        <f t="shared" ref="AB402:AB465" si="817">($C$263*$D$6)/Z402</f>
        <v>0.43091634167342074</v>
      </c>
      <c r="AC402" s="4">
        <f t="shared" ref="AC402:AC465" si="818">AC401+(AA402*(X401+AH401-(2*AC401))+((AA402/(2*AC$18))*(AH401-X401)))</f>
        <v>1010.2595027697179</v>
      </c>
      <c r="AD402" s="6">
        <f t="shared" ref="AD402:AD465" si="819">IF(AC402&gt;=650,((0.00002*AC402)+0.035)/10000,IF(AC402&lt;650,((-0.0000000000003*(AC402^4))+(0.0000000004*(AC402^3))-(0.0000002*(AC402^2))-(0.0001*AC402)+0.1409)/10000))</f>
        <v>5.5205190055394365E-6</v>
      </c>
      <c r="AE402" s="8">
        <f t="shared" ref="AE402:AE465" si="820">IF(AC402&lt;650,(53.495-(0.029*AC402)),IF(AC402&lt;700,((0.00000000000000006*(AC402^2))-(0.2008*AC402) + 164.43),IF(AC402&lt;1250,((0.0115*AC402)+ 15.889))))</f>
        <v>27.506984281851757</v>
      </c>
      <c r="AF402" s="7">
        <f t="shared" ref="AF402:AF465" si="821">(AD402*$M$8)/($D$6^2)</f>
        <v>1.3816167284871821E-2</v>
      </c>
      <c r="AG402" s="9">
        <f t="shared" ref="AG402:AG465" si="822">($C$263*$D$6)/AE402</f>
        <v>0.43140246666542414</v>
      </c>
      <c r="AH402" s="4">
        <f t="shared" ref="AH402:AH465" si="823">AH401+(AF402*(AC401+AM401-(2*AH401))+((AF402/(2*AH$18))*(AM401-AC401)))</f>
        <v>1006.9616982303504</v>
      </c>
      <c r="AI402" s="6">
        <f t="shared" ref="AI402:AI465" si="824">IF(AH402&gt;=650,((0.00002*AH402)+0.035)/10000,IF(AH402&lt;650,((-0.0000000000003*(AH402^4))+(0.0000000004*(AH402^3))-(0.0000002*(AH402^2))-(0.0001*AH402)+0.1409)/10000))</f>
        <v>5.5139233964607017E-6</v>
      </c>
      <c r="AJ402" s="8">
        <f t="shared" ref="AJ402:AJ465" si="825">IF(AH402&lt;650,(53.495-(0.029*AH402)),IF(AH402&lt;700,((0.00000000000000006*(AH402^2))-(0.2008*AH402) + 164.43),IF(AH402&lt;1250,((0.0115*AH402)+ 15.889))))</f>
        <v>27.46905952964903</v>
      </c>
      <c r="AK402" s="7">
        <f t="shared" ref="AK402:AK465" si="826">(AI402*$M$8)/($D$6^2)</f>
        <v>1.3799660496599562E-2</v>
      </c>
      <c r="AL402" s="9">
        <f t="shared" ref="AL402:AL465" si="827">($C$263*$D$6)/AJ402</f>
        <v>0.43199807612304947</v>
      </c>
      <c r="AM402" s="4">
        <f t="shared" ref="AM402:AM465" si="828">AM401+(AK402*(AH401+AR401-(2*AM401))+((AK402/(2*AM$18))*(AR401-AH401)))</f>
        <v>1003.0643844415562</v>
      </c>
      <c r="AN402" s="6">
        <f t="shared" ref="AN402:AN465" si="829">IF(AM402&gt;=650,((0.00002*AM402)+0.035)/10000,IF(AM402&lt;650,((-0.0000000000003*(AM402^4))+(0.0000000004*(AM402^3))-(0.0000002*(AM402^2))-(0.0001*AM402)+0.1409)/10000))</f>
        <v>5.506128768883113E-6</v>
      </c>
      <c r="AO402" s="8">
        <f t="shared" ref="AO402:AO465" si="830">IF(AM402&lt;650,(53.495-(0.029*AM402)),IF(AM402&lt;700,((0.00000000000000006*(AM402^2))-(0.2008*AM402) + 164.43),IF(AM402&lt;1250,((0.0115*AM402)+ 15.889))))</f>
        <v>27.424240421077897</v>
      </c>
      <c r="AP402" s="7">
        <f t="shared" ref="AP402:AP465" si="831">(AN402*$M$8)/($D$6^2)</f>
        <v>1.3780152932468875E-2</v>
      </c>
      <c r="AQ402" s="9">
        <f t="shared" ref="AQ402:AQ465" si="832">($C$263*$D$6)/AO402</f>
        <v>0.43270408541916833</v>
      </c>
      <c r="AR402" s="4">
        <f t="shared" ref="AR402:AR465" si="833">AR401+(AP402*(AM401+AW401-(2*AR401))+((AP402/(2*AR$18))*(AW401-AM401)))</f>
        <v>998.5675422486454</v>
      </c>
      <c r="AS402" s="6">
        <f t="shared" ref="AS402:AS465" si="834">IF(AR402&gt;=650,((0.00002*AR402)+0.035)/10000,IF(AR402&lt;650,((-0.0000000000003*(AR402^4))+(0.0000000004*(AR402^3))-(0.0000002*(AR402^2))-(0.0001*AR402)+0.1409)/10000))</f>
        <v>5.4971350844972914E-6</v>
      </c>
      <c r="AT402" s="8">
        <f t="shared" ref="AT402:AT465" si="835">IF(AR402&lt;650,(53.495-(0.029*AR402)),IF(AR402&lt;700,((0.00000000000000006*(AR402^2))-(0.2008*AR402) + 164.43),IF(AR402&lt;1250,((0.0115*AR402)+ 15.889))))</f>
        <v>27.372526735859424</v>
      </c>
      <c r="AU402" s="7">
        <f t="shared" ref="AU402:AU465" si="836">(AS402*$M$8)/($D$6^2)</f>
        <v>1.3757644496603123E-2</v>
      </c>
      <c r="AV402" s="9">
        <f t="shared" ref="AV402:AV465" si="837">($C$263*$D$6)/AT402</f>
        <v>0.43352157381116246</v>
      </c>
      <c r="AW402" s="4">
        <f t="shared" ref="AW402:AW465" si="838">AW401+(AU402*(AR401+BB401-(2*AW401))+((AU402/(2*AW$18))*(BB401-AR401)))</f>
        <v>993.47110649795547</v>
      </c>
      <c r="AX402" s="6">
        <f t="shared" ref="AX402:AX465" si="839">IF(AW402&gt;=650,((0.00002*AW402)+0.035)/10000,IF(AW402&lt;650,((-0.0000000000003*(AW402^4))+(0.0000000004*(AW402^3))-(0.0000002*(AW402^2))-(0.0001*AW402)+0.1409)/10000))</f>
        <v>5.486942212995911E-6</v>
      </c>
      <c r="AY402" s="8">
        <f t="shared" ref="AY402:AY465" si="840">IF(AW402&lt;650,(53.495-(0.029*AW402)),IF(AW402&lt;700,((0.00000000000000006*(AW402^2))-(0.2008*AW402) + 164.43),IF(AW402&lt;1250,((0.0115*AW402)+ 15.889))))</f>
        <v>27.313917724726487</v>
      </c>
      <c r="AZ402" s="7">
        <f t="shared" ref="AZ402:AZ465" si="841">(AX402*$M$8)/($D$6^2)</f>
        <v>1.3732134862883003E-2</v>
      </c>
      <c r="BA402" s="9">
        <f t="shared" ref="BA402:BA465" si="842">($C$263*$D$6)/AY402</f>
        <v>0.43445180546089995</v>
      </c>
      <c r="BB402" s="4">
        <f t="shared" ref="BB402:BB465" si="843">BB401+(AZ402*(AW401+BG401-(2*BB401))+((AZ402/(2*BB$18))*(BG401-AW401)))</f>
        <v>987.77464999731012</v>
      </c>
      <c r="BC402" s="6">
        <f t="shared" ref="BC402:BC465" si="844">IF(BB402&gt;=650,((0.00002*BB402)+0.035)/10000,IF(BB402&lt;650,((-0.0000000000003*(BB402^4))+(0.0000000004*(BB402^3))-(0.0000002*(BB402^2))-(0.0001*BB402)+0.1409)/10000))</f>
        <v>5.4755492999946214E-6</v>
      </c>
      <c r="BD402" s="8">
        <f t="shared" ref="BD402:BD465" si="845">IF(BB402&lt;650,(53.495-(0.029*BB402)),IF(BB402&lt;700,((0.00000000000000006*(BB402^2))-(0.2008*BB402) + 164.43),IF(BB402&lt;1250,((0.0115*BB402)+ 15.889))))</f>
        <v>27.248408474969068</v>
      </c>
      <c r="BE402" s="7">
        <f t="shared" ref="BE402:BE465" si="846">(BC402*$M$8)/($D$6^2)</f>
        <v>1.3703621893046315E-2</v>
      </c>
      <c r="BF402" s="9">
        <f t="shared" ref="BF402:BF465" si="847">($C$263*$D$6)/BD402</f>
        <v>0.43549629258599731</v>
      </c>
      <c r="BG402" s="4">
        <f t="shared" ref="BG402:BG465" si="848">BG401+(BE402*(BB401+BL401-(2*BG401))+((BE402/(2*BG$18))*(BL401-BB401)))</f>
        <v>981.47562355932405</v>
      </c>
      <c r="BH402" s="6">
        <f t="shared" ref="BH402:BH465" si="849">IF(BG402&gt;=650,((0.00002*BG402)+0.035)/10000,IF(BG402&lt;650,((-0.0000000000003*(BG402^4))+(0.0000000004*(BG402^3))-(0.0000002*(BG402^2))-(0.0001*BG402)+0.1409)/10000))</f>
        <v>5.462951247118648E-6</v>
      </c>
      <c r="BI402" s="8">
        <f t="shared" ref="BI402:BI465" si="850">IF(BG402&lt;650,(53.495-(0.029*BG402)),IF(BG402&lt;700,((0.00000000000000006*(BG402^2))-(0.2008*BG402) + 164.43),IF(BG402&lt;1250,((0.0115*BG402)+ 15.889))))</f>
        <v>27.175969670932226</v>
      </c>
      <c r="BJ402" s="7">
        <f t="shared" ref="BJ402:BJ465" si="851">(BH402*$M$8)/($D$6^2)</f>
        <v>1.3672092827423418E-2</v>
      </c>
      <c r="BK402" s="9">
        <f t="shared" ref="BK402:BK465" si="852">($C$263*$D$6)/BI402</f>
        <v>0.43665712809543461</v>
      </c>
      <c r="BL402" s="4">
        <f t="shared" ref="BL402:BL465" si="853">BL401+(BJ402*(BG401+BQ401-(2*BL401))+((BJ402/(2*BL$18))*(BQ401-BG401)))</f>
        <v>974.56026480831542</v>
      </c>
      <c r="BM402" s="6">
        <f t="shared" ref="BM402:BM465" si="854">IF(BL402&gt;=650,((0.00002*BL402)+0.035)/10000,IF(BL402&lt;650,((-0.0000000000003*(BL402^4))+(0.0000000004*(BL402^3))-(0.0000002*(BL402^2))-(0.0001*BL402)+0.1409)/10000))</f>
        <v>5.4491205296166318E-6</v>
      </c>
      <c r="BN402" s="8">
        <f t="shared" ref="BN402:BN465" si="855">IF(BL402&lt;650,(53.495-(0.029*BL402)),IF(BL402&lt;700,((0.00000000000000006*(BL402^2))-(0.2008*BL402) + 164.43),IF(BL402&lt;1250,((0.0115*BL402)+ 15.889))))</f>
        <v>27.096443045295626</v>
      </c>
      <c r="BO402" s="7">
        <f t="shared" ref="BO402:BO465" si="856">(BM402*$M$8)/($D$6^2)</f>
        <v>1.3637478779996732E-2</v>
      </c>
      <c r="BP402" s="9">
        <f t="shared" ref="BP402:BP465" si="857">($C$263*$D$6)/BN402</f>
        <v>0.43793869364629118</v>
      </c>
      <c r="BQ402" s="4">
        <f t="shared" ref="BQ402:BQ465" si="858">BQ401+(BO402*(BL401+BV401-(2*BQ401))+((BO402/(2*BQ$18))*(BV401-BL401)))</f>
        <v>966.96192738356274</v>
      </c>
      <c r="BR402" s="6">
        <f t="shared" ref="BR402:BR465" si="859">IF(BQ402&gt;=650,((0.00002*BQ402)+0.035)/10000,IF(BQ402&lt;650,((-0.0000000000003*(BQ402^4))+(0.0000000004*(BQ402^3))-(0.0000002*(BQ402^2))-(0.0001*BQ402)+0.1409)/10000))</f>
        <v>5.4339238547671257E-6</v>
      </c>
      <c r="BS402" s="8">
        <f t="shared" ref="BS402:BS465" si="860">IF(BQ402&lt;650,(53.495-(0.029*BQ402)),IF(BQ402&lt;700,((0.00000000000000006*(BQ402^2))-(0.2008*BQ402) + 164.43),IF(BQ402&lt;1250,((0.0115*BQ402)+ 15.889))))</f>
        <v>27.009062164910972</v>
      </c>
      <c r="BT402" s="7">
        <f t="shared" ref="BT402:BT465" si="861">(BR402*$M$8)/($D$6^2)</f>
        <v>1.3599446159932586E-2</v>
      </c>
      <c r="BU402" s="9">
        <f t="shared" ref="BU402:BU465" si="862">($C$263*$D$6)/BS402</f>
        <v>0.43935553175683595</v>
      </c>
      <c r="BV402" s="4">
        <f t="shared" ref="BV402:BV465" si="863">BV401+(BT402*(BQ401+CA401-(2*BV401))+((BT402/(2*BV$18))*(CA401-BQ401)))</f>
        <v>958.39488435546355</v>
      </c>
      <c r="BW402" s="6">
        <f t="shared" ref="BW402:BW465" si="864">IF(BV402&gt;=650,((0.00002*BV402)+0.035)/10000,IF(BV402&lt;650,((-0.0000000000003*(BV402^4))+(0.0000000004*(BV402^3))-(0.0000002*(BV402^2))-(0.0001*BV402)+0.1409)/10000))</f>
        <v>5.416789768710928E-6</v>
      </c>
      <c r="BX402" s="8">
        <f t="shared" ref="BX402:BX465" si="865">IF(BV402&lt;650,(53.495-(0.029*BV402)),IF(BV402&lt;700,((0.00000000000000006*(BV402^2))-(0.2008*BV402) + 164.43),IF(BV402&lt;1250,((0.0115*BV402)+ 15.889))))</f>
        <v>26.910541170087832</v>
      </c>
      <c r="BY402" s="7">
        <f t="shared" ref="BY402:BY465" si="866">(BW402*$M$8)/($D$6^2)</f>
        <v>1.3556564793345808E-2</v>
      </c>
      <c r="BZ402" s="9">
        <f t="shared" ref="BZ402:BZ465" si="867">($C$263*$D$6)/BX402</f>
        <v>0.44096403690714658</v>
      </c>
      <c r="CA402" s="4">
        <f t="shared" ref="CA402:CA465" si="868">CA401+(BY402*(BV401+CF401-(2*CA401))+((BY402/(2*CA$18))*(CF401-BV401)))</f>
        <v>947.79300292735968</v>
      </c>
      <c r="CB402" s="6">
        <f t="shared" ref="CB402:CB465" si="869">IF(CA402&gt;=650,((0.00002*CA402)+0.035)/10000,IF(CA402&lt;650,((-0.0000000000003*(CA402^4))+(0.0000000004*(CA402^3))-(0.0000002*(CA402^2))-(0.0001*CA402)+0.1409)/10000))</f>
        <v>5.3955860058547202E-6</v>
      </c>
      <c r="CC402" s="8">
        <f t="shared" ref="CC402:CC465" si="870">IF(CA402&lt;650,(53.495-(0.029*CA402)),IF(CA402&lt;700,((0.00000000000000006*(CA402^2))-(0.2008*CA402) + 164.43),IF(CA402&lt;1250,((0.0115*CA402)+ 15.889))))</f>
        <v>26.788619533664637</v>
      </c>
      <c r="CD402" s="7">
        <f t="shared" ref="CD402:CD465" si="871">(CB402*$M$8)/($D$6^2)</f>
        <v>1.3503498272897971E-2</v>
      </c>
      <c r="CE402" s="9">
        <f t="shared" ref="CE402:CE465" si="872">($C$263*$D$6)/CC402</f>
        <v>0.44297097335700492</v>
      </c>
      <c r="CF402" s="4">
        <f t="shared" ref="CF402:CF465" si="873">CF401+(CD402*(CA401+CK401-(2*CF401))+((CD402/(2*CF$18))*(CK401-CA401)))</f>
        <v>931.77238540275641</v>
      </c>
      <c r="CG402" s="6">
        <f t="shared" ref="CG402:CG465" si="874">IF(CF402&gt;=650,((0.00002*CF402)+0.035)/10000,IF(CF402&lt;650,((-0.0000000000003*(CF402^4))+(0.0000000004*(CF402^3))-(0.0000002*(CF402^2))-(0.0001*CF402)+0.1409)/10000))</f>
        <v>5.363544770805513E-6</v>
      </c>
      <c r="CH402" s="8">
        <f t="shared" ref="CH402:CH465" si="875">IF(CF402&lt;650,(53.495-(0.029*CF402)),IF(CF402&lt;700,((0.00000000000000006*(CF402^2))-(0.2008*CF402) + 164.43),IF(CF402&lt;1250,((0.0115*CF402)+ 15.889))))</f>
        <v>26.6043824321317</v>
      </c>
      <c r="CI402" s="7">
        <f t="shared" ref="CI402:CI465" si="876">(CG402*$M$8)/($D$6^2)</f>
        <v>1.3423308880739455E-2</v>
      </c>
      <c r="CJ402" s="9">
        <f t="shared" ref="CJ402:CJ465" si="877">($C$263*$D$6)/CH402</f>
        <v>0.44603857653865031</v>
      </c>
      <c r="CK402" s="4">
        <f t="shared" ref="CK402:CK465" si="878">CK401+(CI402*(CF401+CP401-(2*CK401))+((CI402/(2*CK$18))*(CP401-CF401)))</f>
        <v>901.48926660078814</v>
      </c>
      <c r="CL402" s="6">
        <f t="shared" ref="CL402:CL465" si="879">IF(CK402&gt;=650,((0.00002*CK402)+0.035)/10000,IF(CK402&lt;650,((-0.0000000000003*(CK402^4))+(0.0000000004*(CK402^3))-(0.0000002*(CK402^2))-(0.0001*CK402)+0.1409)/10000))</f>
        <v>5.3029785332015776E-6</v>
      </c>
      <c r="CM402" s="8">
        <f t="shared" ref="CM402:CM465" si="880">IF(CK402&lt;650,(53.495-(0.029*CK402)),IF(CK402&lt;700,((0.00000000000000006*(CK402^2))-(0.2008*CK402) + 164.43),IF(CK402&lt;1250,((0.0115*CK402)+ 15.889))))</f>
        <v>26.256126565909064</v>
      </c>
      <c r="CN402" s="7">
        <f t="shared" ref="CN402:CN465" si="881">(CL402*$M$8)/($D$6^2)</f>
        <v>1.3271730148792042E-2</v>
      </c>
      <c r="CO402" s="9">
        <f t="shared" ref="CO402:CO465" si="882">($C$263*$D$6)/CM402</f>
        <v>0.45195474054141171</v>
      </c>
      <c r="CP402" s="4">
        <f t="shared" ref="CP402:CP465" si="883">CP401+(CN402*(CK401+CU401-(2*CP401))+((CN402/(2*CP$18))*(CU401-CK401)))</f>
        <v>838.85058054681622</v>
      </c>
      <c r="CQ402" s="6">
        <f t="shared" ref="CQ402:CQ465" si="884">IF(CP402&gt;=650,((0.00002*CP402)+0.035)/10000,IF(CP402&lt;650,((-0.0000000000003*(CP402^4))+(0.0000000004*(CP402^3))-(0.0000002*(CP402^2))-(0.0001*CP402)+0.1409)/10000))</f>
        <v>5.1777011610936326E-6</v>
      </c>
      <c r="CR402" s="8">
        <f t="shared" ref="CR402:CR465" si="885">IF(CP402&lt;650,(53.495-(0.029*CP402)),IF(CP402&lt;700,((0.00000000000000006*(CP402^2))-(0.2008*CP402) + 164.43),IF(CP402&lt;1250,((0.0115*CP402)+ 15.889))))</f>
        <v>25.535781676288387</v>
      </c>
      <c r="CS402" s="7">
        <f t="shared" ref="CS402:CS465" si="886">(CQ402*$M$8)/($D$6^2)</f>
        <v>1.2958199278177211E-2</v>
      </c>
      <c r="CT402" s="9">
        <f t="shared" ref="CT402:CT465" si="887">($C$263*$D$6)/CR402</f>
        <v>0.4647040384409607</v>
      </c>
      <c r="CU402" s="4">
        <f t="shared" ref="CU402:CU465" si="888">CU401+(CS402*(CP401+CZ401-(2*CU401))+((CS402/(2*CU$18))*(CZ401-CP401)))</f>
        <v>717.47620688290533</v>
      </c>
      <c r="CV402" s="6">
        <f t="shared" ref="CV402:CV465" si="889">IF(CU402&gt;=650,((0.00002*CU402)+0.035)/10000,IF(CU402&lt;650,((-0.0000000000003*(CU402^4))+(0.0000000004*(CU402^3))-(0.0000002*(CU402^2))-(0.0001*CU402)+0.1409)/10000))</f>
        <v>4.9349524137658112E-6</v>
      </c>
      <c r="CW402" s="8">
        <f t="shared" ref="CW402:CW465" si="890">IF(CU402&lt;650,(53.495-(0.029*CU402)),IF(CU402&lt;700,((0.00000000000000006*(CU402^2))-(0.2008*CU402) + 164.43),IF(CU402&lt;1250,((0.0115*CU402)+ 15.889))))</f>
        <v>24.13997637915341</v>
      </c>
      <c r="CX402" s="7">
        <f t="shared" ref="CX402:CX465" si="891">(CV402*$M$8)/($D$6^2)</f>
        <v>1.2350673554978193E-2</v>
      </c>
      <c r="CY402" s="9">
        <f t="shared" ref="CY402:CY465" si="892">($C$263*$D$6)/CW402</f>
        <v>0.49157383931682458</v>
      </c>
      <c r="CZ402" s="5">
        <f t="shared" ref="CZ402:CZ465" si="893">CZ401+((2*$CX402)*(CU401-CZ401))+((2*$CX402*$CY402)*($C$14-CZ401))+((($CX402*$CY402)/$C$5)*($C$14-CZ401))+(((CZ401-$C$14)*$CX402*($D$6^2))/($CW402*($D$4/(2*$C$8))))</f>
        <v>516.57063279963154</v>
      </c>
      <c r="DA402" s="6">
        <f t="shared" ref="DA402:DA465" si="894">IF(CZ402&gt;=650,((0.00002*CZ402)+0.035)/10000,IF(CZ402&lt;650,((-0.0000000000003*(CZ402^4))+(0.0000000004*(CZ402^3))-(0.0000002*(CZ402^2))-(0.0001*CZ402)+0.1409)/10000))</f>
        <v>6.9649743154936715E-6</v>
      </c>
      <c r="DB402" s="8">
        <f t="shared" ref="DB402:DB465" si="895">IF(CZ402&lt;650,(53.495-(0.029*CZ402)),IF(CZ402&lt;700,((0.00000000000000006*(CZ402^2))-(0.2008*CZ402) + 164.43),IF(CZ402&lt;1250,((0.0115*CZ402)+ 15.889))))</f>
        <v>38.514451648810685</v>
      </c>
      <c r="DC402" s="7">
        <f t="shared" ref="DC402:DC465" si="896">(DA402*$M$8)/($D$6^2)</f>
        <v>1.7431196266354154E-2</v>
      </c>
      <c r="DD402" s="9">
        <f t="shared" ref="DD402:DD465" si="897">($C$263*$D$6)/DB402</f>
        <v>0.30810722629318116</v>
      </c>
    </row>
    <row r="403" spans="2:108" x14ac:dyDescent="0.25">
      <c r="B403">
        <v>136</v>
      </c>
      <c r="C403">
        <f t="shared" si="805"/>
        <v>0.1329555946229542</v>
      </c>
      <c r="D403" s="4">
        <f t="shared" si="806"/>
        <v>1017.7722553189176</v>
      </c>
      <c r="E403" s="6">
        <f t="shared" si="794"/>
        <v>5.535544510637835E-6</v>
      </c>
      <c r="F403" s="8">
        <f t="shared" si="807"/>
        <v>27.593380936167552</v>
      </c>
      <c r="G403" s="7">
        <f t="shared" si="792"/>
        <v>1.3853771519504628E-2</v>
      </c>
      <c r="H403" s="9">
        <f t="shared" si="808"/>
        <v>0.43005171773510292</v>
      </c>
      <c r="I403" s="4">
        <f t="shared" si="809"/>
        <v>1017.4477026403297</v>
      </c>
      <c r="J403" s="6">
        <f t="shared" si="795"/>
        <v>5.5348954052806596E-6</v>
      </c>
      <c r="K403" s="8">
        <f t="shared" si="810"/>
        <v>27.589648580363793</v>
      </c>
      <c r="L403" s="7">
        <f t="shared" si="796"/>
        <v>1.3852147007716652E-2</v>
      </c>
      <c r="M403" s="9">
        <f t="shared" si="811"/>
        <v>0.43010989557016777</v>
      </c>
      <c r="N403" s="4">
        <f t="shared" si="812"/>
        <v>1016.5418955665866</v>
      </c>
      <c r="O403" s="6">
        <f t="shared" si="797"/>
        <v>5.5330837911331737E-6</v>
      </c>
      <c r="P403" s="8">
        <f t="shared" si="798"/>
        <v>27.579231799015744</v>
      </c>
      <c r="Q403" s="7">
        <f t="shared" si="793"/>
        <v>1.3853771519504628E-2</v>
      </c>
      <c r="R403" s="9">
        <f t="shared" si="813"/>
        <v>0.4302723497230041</v>
      </c>
      <c r="S403" s="4">
        <f t="shared" si="814"/>
        <v>1015.0404483895533</v>
      </c>
      <c r="T403" s="6">
        <f t="shared" si="799"/>
        <v>5.5300808967791068E-6</v>
      </c>
      <c r="U403" s="8">
        <f t="shared" si="800"/>
        <v>27.561965156479861</v>
      </c>
      <c r="V403" s="7">
        <f t="shared" si="801"/>
        <v>1.3840097768363405E-2</v>
      </c>
      <c r="W403" s="9">
        <f t="shared" si="815"/>
        <v>0.4305419008531054</v>
      </c>
      <c r="X403" s="4">
        <f t="shared" si="816"/>
        <v>1012.9412716703442</v>
      </c>
      <c r="Y403" s="6">
        <f t="shared" si="802"/>
        <v>5.5258825433406891E-6</v>
      </c>
      <c r="Z403" s="8">
        <f t="shared" si="803"/>
        <v>27.537824624208959</v>
      </c>
      <c r="AA403" s="7">
        <f t="shared" si="804"/>
        <v>1.3829590576309905E-2</v>
      </c>
      <c r="AB403" s="9">
        <f t="shared" si="817"/>
        <v>0.43091932756684748</v>
      </c>
      <c r="AC403" s="4">
        <f t="shared" si="818"/>
        <v>1010.2429202651565</v>
      </c>
      <c r="AD403" s="6">
        <f t="shared" si="819"/>
        <v>5.5204858405303131E-6</v>
      </c>
      <c r="AE403" s="8">
        <f t="shared" si="820"/>
        <v>27.506793583049301</v>
      </c>
      <c r="AF403" s="7">
        <f t="shared" si="821"/>
        <v>1.3816084283017541E-2</v>
      </c>
      <c r="AG403" s="9">
        <f t="shared" si="822"/>
        <v>0.43140545748780124</v>
      </c>
      <c r="AH403" s="4">
        <f t="shared" si="823"/>
        <v>1006.9451313299279</v>
      </c>
      <c r="AI403" s="6">
        <f t="shared" si="824"/>
        <v>5.5138902626598568E-6</v>
      </c>
      <c r="AJ403" s="8">
        <f t="shared" si="825"/>
        <v>27.468869010294171</v>
      </c>
      <c r="AK403" s="7">
        <f t="shared" si="826"/>
        <v>1.379957757285004E-2</v>
      </c>
      <c r="AL403" s="9">
        <f t="shared" si="827"/>
        <v>0.43200107238746543</v>
      </c>
      <c r="AM403" s="4">
        <f t="shared" si="828"/>
        <v>1003.0478372166488</v>
      </c>
      <c r="AN403" s="6">
        <f t="shared" si="829"/>
        <v>5.5060956744332979E-6</v>
      </c>
      <c r="AO403" s="8">
        <f t="shared" si="830"/>
        <v>27.42405012799146</v>
      </c>
      <c r="AP403" s="7">
        <f t="shared" si="831"/>
        <v>1.378007010720292E-2</v>
      </c>
      <c r="AQ403" s="9">
        <f t="shared" si="832"/>
        <v>0.43270708791499018</v>
      </c>
      <c r="AR403" s="4">
        <f t="shared" si="833"/>
        <v>998.55101755471958</v>
      </c>
      <c r="AS403" s="6">
        <f t="shared" si="834"/>
        <v>5.4971020351094402E-6</v>
      </c>
      <c r="AT403" s="8">
        <f t="shared" si="835"/>
        <v>27.372336701879274</v>
      </c>
      <c r="AU403" s="7">
        <f t="shared" si="836"/>
        <v>1.3757561784113454E-2</v>
      </c>
      <c r="AV403" s="9">
        <f t="shared" si="837"/>
        <v>0.43352458355896184</v>
      </c>
      <c r="AW403" s="4">
        <f t="shared" si="838"/>
        <v>993.45460257086188</v>
      </c>
      <c r="AX403" s="6">
        <f t="shared" si="839"/>
        <v>5.486909205141724E-6</v>
      </c>
      <c r="AY403" s="8">
        <f t="shared" si="840"/>
        <v>27.313727929564912</v>
      </c>
      <c r="AZ403" s="7">
        <f t="shared" si="841"/>
        <v>1.3732052254339367E-2</v>
      </c>
      <c r="BA403" s="9">
        <f t="shared" si="842"/>
        <v>0.43445482434030103</v>
      </c>
      <c r="BB403" s="4">
        <f t="shared" si="843"/>
        <v>987.75813934551718</v>
      </c>
      <c r="BC403" s="6">
        <f t="shared" si="844"/>
        <v>5.4755162786910352E-6</v>
      </c>
      <c r="BD403" s="8">
        <f t="shared" si="845"/>
        <v>27.248218602473447</v>
      </c>
      <c r="BE403" s="7">
        <f t="shared" si="846"/>
        <v>1.3703539250842955E-2</v>
      </c>
      <c r="BF403" s="9">
        <f t="shared" si="847"/>
        <v>0.43549932723457796</v>
      </c>
      <c r="BG403" s="4">
        <f t="shared" si="848"/>
        <v>981.4589465413668</v>
      </c>
      <c r="BH403" s="6">
        <f t="shared" si="849"/>
        <v>5.4629178930827342E-6</v>
      </c>
      <c r="BI403" s="8">
        <f t="shared" si="850"/>
        <v>27.175777885225717</v>
      </c>
      <c r="BJ403" s="7">
        <f t="shared" si="851"/>
        <v>1.3672009352493008E-2</v>
      </c>
      <c r="BK403" s="9">
        <f t="shared" si="852"/>
        <v>0.43666020968508285</v>
      </c>
      <c r="BL403" s="4">
        <f t="shared" si="853"/>
        <v>974.54265914292318</v>
      </c>
      <c r="BM403" s="6">
        <f t="shared" si="854"/>
        <v>5.4490853182858469E-6</v>
      </c>
      <c r="BN403" s="8">
        <f t="shared" si="855"/>
        <v>27.096240580143615</v>
      </c>
      <c r="BO403" s="7">
        <f t="shared" si="856"/>
        <v>1.3637390656826436E-2</v>
      </c>
      <c r="BP403" s="9">
        <f t="shared" si="857"/>
        <v>0.43794196595722001</v>
      </c>
      <c r="BQ403" s="4">
        <f t="shared" si="858"/>
        <v>966.94023778188182</v>
      </c>
      <c r="BR403" s="6">
        <f t="shared" si="859"/>
        <v>5.4338804755637641E-6</v>
      </c>
      <c r="BS403" s="8">
        <f t="shared" si="860"/>
        <v>27.008812734491642</v>
      </c>
      <c r="BT403" s="7">
        <f t="shared" si="861"/>
        <v>1.3599337595080309E-2</v>
      </c>
      <c r="BU403" s="9">
        <f t="shared" si="862"/>
        <v>0.43935958927078883</v>
      </c>
      <c r="BV403" s="4">
        <f t="shared" si="863"/>
        <v>958.35790173414568</v>
      </c>
      <c r="BW403" s="6">
        <f t="shared" si="864"/>
        <v>5.4167158034682915E-6</v>
      </c>
      <c r="BX403" s="8">
        <f t="shared" si="865"/>
        <v>26.910115869942672</v>
      </c>
      <c r="BY403" s="7">
        <f t="shared" si="866"/>
        <v>1.3556379681010443E-2</v>
      </c>
      <c r="BZ403" s="9">
        <f t="shared" si="867"/>
        <v>0.44097100611046824</v>
      </c>
      <c r="CA403" s="4">
        <f t="shared" si="868"/>
        <v>947.70751432664895</v>
      </c>
      <c r="CB403" s="6">
        <f t="shared" si="869"/>
        <v>5.3954150286532987E-6</v>
      </c>
      <c r="CC403" s="8">
        <f t="shared" si="870"/>
        <v>26.787636414756463</v>
      </c>
      <c r="CD403" s="7">
        <f t="shared" si="871"/>
        <v>1.3503070369359488E-2</v>
      </c>
      <c r="CE403" s="9">
        <f t="shared" si="872"/>
        <v>0.44298723060094147</v>
      </c>
      <c r="CF403" s="4">
        <f t="shared" si="873"/>
        <v>931.56025901280316</v>
      </c>
      <c r="CG403" s="6">
        <f t="shared" si="874"/>
        <v>5.3631205180256071E-6</v>
      </c>
      <c r="CH403" s="8">
        <f t="shared" si="875"/>
        <v>26.601942978647237</v>
      </c>
      <c r="CI403" s="7">
        <f t="shared" si="876"/>
        <v>1.3422247106045379E-2</v>
      </c>
      <c r="CJ403" s="9">
        <f t="shared" si="877"/>
        <v>0.44607947920356522</v>
      </c>
      <c r="CK403" s="4">
        <f t="shared" si="878"/>
        <v>901.01829925757204</v>
      </c>
      <c r="CL403" s="6">
        <f t="shared" si="879"/>
        <v>5.3020365985151445E-6</v>
      </c>
      <c r="CM403" s="8">
        <f t="shared" si="880"/>
        <v>26.250710441462076</v>
      </c>
      <c r="CN403" s="7">
        <f t="shared" si="881"/>
        <v>1.3269372774931698E-2</v>
      </c>
      <c r="CO403" s="9">
        <f t="shared" si="882"/>
        <v>0.45204798918413464</v>
      </c>
      <c r="CP403" s="4">
        <f t="shared" si="883"/>
        <v>838.00336876037102</v>
      </c>
      <c r="CQ403" s="6">
        <f t="shared" si="884"/>
        <v>5.1760067375207426E-6</v>
      </c>
      <c r="CR403" s="8">
        <f t="shared" si="885"/>
        <v>25.526038740744266</v>
      </c>
      <c r="CS403" s="7">
        <f t="shared" si="886"/>
        <v>1.2953958655237413E-2</v>
      </c>
      <c r="CT403" s="9">
        <f t="shared" si="887"/>
        <v>0.46488140953796514</v>
      </c>
      <c r="CU403" s="4">
        <f t="shared" si="888"/>
        <v>716.33609981354175</v>
      </c>
      <c r="CV403" s="6">
        <f t="shared" si="889"/>
        <v>4.9326721996270838E-6</v>
      </c>
      <c r="CW403" s="8">
        <f t="shared" si="890"/>
        <v>24.126865147855732</v>
      </c>
      <c r="CX403" s="7">
        <f t="shared" si="891"/>
        <v>1.2344966877770059E-2</v>
      </c>
      <c r="CY403" s="9">
        <f t="shared" si="892"/>
        <v>0.49184097465611015</v>
      </c>
      <c r="CZ403" s="5">
        <f t="shared" si="893"/>
        <v>515.55107459194039</v>
      </c>
      <c r="DA403" s="6">
        <f t="shared" si="894"/>
        <v>6.9804477308087753E-6</v>
      </c>
      <c r="DB403" s="8">
        <f t="shared" si="895"/>
        <v>38.544018836833729</v>
      </c>
      <c r="DC403" s="7">
        <f t="shared" si="896"/>
        <v>1.7469921482995424E-2</v>
      </c>
      <c r="DD403" s="9">
        <f t="shared" si="897"/>
        <v>0.30787087667095747</v>
      </c>
    </row>
    <row r="404" spans="2:108" x14ac:dyDescent="0.25">
      <c r="B404">
        <v>137</v>
      </c>
      <c r="C404">
        <f t="shared" si="805"/>
        <v>0.13393320928929944</v>
      </c>
      <c r="D404" s="4">
        <f t="shared" si="806"/>
        <v>1017.7556852986802</v>
      </c>
      <c r="E404" s="6">
        <f t="shared" si="794"/>
        <v>5.5355113705973608E-6</v>
      </c>
      <c r="F404" s="8">
        <f t="shared" si="807"/>
        <v>27.593190380934821</v>
      </c>
      <c r="G404" s="7">
        <f t="shared" si="792"/>
        <v>1.3853688580139224E-2</v>
      </c>
      <c r="H404" s="9">
        <f t="shared" si="808"/>
        <v>0.43005468762020965</v>
      </c>
      <c r="I404" s="4">
        <f t="shared" si="809"/>
        <v>1017.4311276125281</v>
      </c>
      <c r="J404" s="6">
        <f t="shared" si="795"/>
        <v>5.5348622552250568E-6</v>
      </c>
      <c r="K404" s="8">
        <f t="shared" si="810"/>
        <v>27.589457967544071</v>
      </c>
      <c r="L404" s="7">
        <f t="shared" si="796"/>
        <v>1.385206404328645E-2</v>
      </c>
      <c r="M404" s="9">
        <f t="shared" si="811"/>
        <v>0.43011286715663682</v>
      </c>
      <c r="N404" s="4">
        <f t="shared" si="812"/>
        <v>1016.5253083617165</v>
      </c>
      <c r="O404" s="6">
        <f t="shared" si="797"/>
        <v>5.5330506167234339E-6</v>
      </c>
      <c r="P404" s="8">
        <f t="shared" si="798"/>
        <v>27.579041046159738</v>
      </c>
      <c r="Q404" s="7">
        <f t="shared" si="793"/>
        <v>1.3853688580139224E-2</v>
      </c>
      <c r="R404" s="9">
        <f t="shared" si="813"/>
        <v>0.43027532573944477</v>
      </c>
      <c r="S404" s="4">
        <f t="shared" si="814"/>
        <v>1015.0238539769286</v>
      </c>
      <c r="T404" s="6">
        <f t="shared" si="799"/>
        <v>5.5300477079538581E-6</v>
      </c>
      <c r="U404" s="8">
        <f t="shared" si="800"/>
        <v>27.561774320734678</v>
      </c>
      <c r="V404" s="7">
        <f t="shared" si="801"/>
        <v>1.3840014706904661E-2</v>
      </c>
      <c r="W404" s="9">
        <f t="shared" si="815"/>
        <v>0.43054488189429407</v>
      </c>
      <c r="X404" s="4">
        <f t="shared" si="816"/>
        <v>1012.9246793514035</v>
      </c>
      <c r="Y404" s="6">
        <f t="shared" si="802"/>
        <v>5.5258493587028072E-6</v>
      </c>
      <c r="Z404" s="8">
        <f t="shared" si="803"/>
        <v>27.537633812541138</v>
      </c>
      <c r="AA404" s="7">
        <f t="shared" si="804"/>
        <v>1.3829507525330858E-2</v>
      </c>
      <c r="AB404" s="9">
        <f t="shared" si="817"/>
        <v>0.43092231346012172</v>
      </c>
      <c r="AC404" s="4">
        <f t="shared" si="818"/>
        <v>1010.2263379725277</v>
      </c>
      <c r="AD404" s="6">
        <f t="shared" si="819"/>
        <v>5.5204526759450561E-6</v>
      </c>
      <c r="AE404" s="8">
        <f t="shared" si="820"/>
        <v>27.506602886684067</v>
      </c>
      <c r="AF404" s="7">
        <f t="shared" si="821"/>
        <v>1.3816001282224067E-2</v>
      </c>
      <c r="AG404" s="9">
        <f t="shared" si="822"/>
        <v>0.43140844831342312</v>
      </c>
      <c r="AH404" s="4">
        <f t="shared" si="823"/>
        <v>1006.9285646259005</v>
      </c>
      <c r="AI404" s="6">
        <f t="shared" si="824"/>
        <v>5.5138571292518022E-6</v>
      </c>
      <c r="AJ404" s="8">
        <f t="shared" si="825"/>
        <v>27.468678493197856</v>
      </c>
      <c r="AK404" s="7">
        <f t="shared" si="826"/>
        <v>1.379949465008355E-2</v>
      </c>
      <c r="AL404" s="9">
        <f t="shared" si="827"/>
        <v>0.4320040686579244</v>
      </c>
      <c r="AM404" s="4">
        <f t="shared" si="828"/>
        <v>1003.0312901721809</v>
      </c>
      <c r="AN404" s="6">
        <f t="shared" si="829"/>
        <v>5.506062580344362E-6</v>
      </c>
      <c r="AO404" s="8">
        <f t="shared" si="830"/>
        <v>27.423859836980078</v>
      </c>
      <c r="AP404" s="7">
        <f t="shared" si="831"/>
        <v>1.3779987282840135E-2</v>
      </c>
      <c r="AQ404" s="9">
        <f t="shared" si="832"/>
        <v>0.43271009041973901</v>
      </c>
      <c r="AR404" s="4">
        <f t="shared" si="833"/>
        <v>998.53449297309476</v>
      </c>
      <c r="AS404" s="6">
        <f t="shared" si="834"/>
        <v>5.4970689859461899E-6</v>
      </c>
      <c r="AT404" s="8">
        <f t="shared" si="835"/>
        <v>27.372146669190588</v>
      </c>
      <c r="AU404" s="7">
        <f t="shared" si="836"/>
        <v>1.375747907218589E-2</v>
      </c>
      <c r="AV404" s="9">
        <f t="shared" si="837"/>
        <v>0.43352759332809759</v>
      </c>
      <c r="AW404" s="4">
        <f t="shared" si="838"/>
        <v>993.43809837550998</v>
      </c>
      <c r="AX404" s="6">
        <f t="shared" si="839"/>
        <v>5.4868761967510205E-6</v>
      </c>
      <c r="AY404" s="8">
        <f t="shared" si="840"/>
        <v>27.313538131318364</v>
      </c>
      <c r="AZ404" s="7">
        <f t="shared" si="841"/>
        <v>1.3731969644452995E-2</v>
      </c>
      <c r="BA404" s="9">
        <f t="shared" si="842"/>
        <v>0.43445784331072768</v>
      </c>
      <c r="BB404" s="4">
        <f t="shared" si="843"/>
        <v>987.74162648201411</v>
      </c>
      <c r="BC404" s="6">
        <f t="shared" si="844"/>
        <v>5.4754832529640287E-6</v>
      </c>
      <c r="BD404" s="8">
        <f t="shared" si="845"/>
        <v>27.24802870454316</v>
      </c>
      <c r="BE404" s="7">
        <f t="shared" si="846"/>
        <v>1.3703456597569127E-2</v>
      </c>
      <c r="BF404" s="9">
        <f t="shared" si="847"/>
        <v>0.43550236233197087</v>
      </c>
      <c r="BG404" s="4">
        <f t="shared" si="848"/>
        <v>981.4422584960422</v>
      </c>
      <c r="BH404" s="6">
        <f t="shared" si="849"/>
        <v>5.4628845169920848E-6</v>
      </c>
      <c r="BI404" s="8">
        <f t="shared" si="850"/>
        <v>27.175585972704482</v>
      </c>
      <c r="BJ404" s="7">
        <f t="shared" si="851"/>
        <v>1.3671925822366354E-2</v>
      </c>
      <c r="BK404" s="9">
        <f t="shared" si="852"/>
        <v>0.43666329335591325</v>
      </c>
      <c r="BL404" s="4">
        <f t="shared" si="853"/>
        <v>974.52500759073246</v>
      </c>
      <c r="BM404" s="6">
        <f t="shared" si="854"/>
        <v>5.4490500151814655E-6</v>
      </c>
      <c r="BN404" s="8">
        <f t="shared" si="855"/>
        <v>27.096037587293424</v>
      </c>
      <c r="BO404" s="7">
        <f t="shared" si="856"/>
        <v>1.3637302303974953E-2</v>
      </c>
      <c r="BP404" s="9">
        <f t="shared" si="857"/>
        <v>0.43794524684608066</v>
      </c>
      <c r="BQ404" s="4">
        <f t="shared" si="858"/>
        <v>966.91838529562494</v>
      </c>
      <c r="BR404" s="6">
        <f t="shared" si="859"/>
        <v>5.4338367705912507E-6</v>
      </c>
      <c r="BS404" s="8">
        <f t="shared" si="860"/>
        <v>27.008561430899686</v>
      </c>
      <c r="BT404" s="7">
        <f t="shared" si="861"/>
        <v>1.3599228214927676E-2</v>
      </c>
      <c r="BU404" s="9">
        <f t="shared" si="862"/>
        <v>0.43936367733165155</v>
      </c>
      <c r="BV404" s="4">
        <f t="shared" si="863"/>
        <v>958.32043675333477</v>
      </c>
      <c r="BW404" s="6">
        <f t="shared" si="864"/>
        <v>5.41664087350667E-6</v>
      </c>
      <c r="BX404" s="8">
        <f t="shared" si="865"/>
        <v>26.90968502266335</v>
      </c>
      <c r="BY404" s="7">
        <f t="shared" si="866"/>
        <v>1.3556192154279103E-2</v>
      </c>
      <c r="BZ404" s="9">
        <f t="shared" si="867"/>
        <v>0.44097806643681853</v>
      </c>
      <c r="CA404" s="4">
        <f t="shared" si="868"/>
        <v>947.62088859593007</v>
      </c>
      <c r="CB404" s="6">
        <f t="shared" si="869"/>
        <v>5.3952417771918604E-6</v>
      </c>
      <c r="CC404" s="8">
        <f t="shared" si="870"/>
        <v>26.786640218853194</v>
      </c>
      <c r="CD404" s="7">
        <f t="shared" si="871"/>
        <v>1.3502636774045137E-2</v>
      </c>
      <c r="CE404" s="9">
        <f t="shared" si="872"/>
        <v>0.44300370530850913</v>
      </c>
      <c r="CF404" s="4">
        <f t="shared" si="873"/>
        <v>931.34619168750066</v>
      </c>
      <c r="CG404" s="6">
        <f t="shared" si="874"/>
        <v>5.3626923833750022E-6</v>
      </c>
      <c r="CH404" s="8">
        <f t="shared" si="875"/>
        <v>26.599481204406256</v>
      </c>
      <c r="CI404" s="7">
        <f t="shared" si="876"/>
        <v>1.3421175616218556E-2</v>
      </c>
      <c r="CJ404" s="9">
        <f t="shared" si="877"/>
        <v>0.44612076372948867</v>
      </c>
      <c r="CK404" s="4">
        <f t="shared" si="878"/>
        <v>900.54554312463472</v>
      </c>
      <c r="CL404" s="6">
        <f t="shared" si="879"/>
        <v>5.30109108624927E-6</v>
      </c>
      <c r="CM404" s="8">
        <f t="shared" si="880"/>
        <v>26.245273745933297</v>
      </c>
      <c r="CN404" s="7">
        <f t="shared" si="881"/>
        <v>1.3267006447486379E-2</v>
      </c>
      <c r="CO404" s="9">
        <f t="shared" si="882"/>
        <v>0.45214163070242785</v>
      </c>
      <c r="CP404" s="4">
        <f t="shared" si="883"/>
        <v>837.15716725436744</v>
      </c>
      <c r="CQ404" s="6">
        <f t="shared" si="884"/>
        <v>5.174314334508735E-6</v>
      </c>
      <c r="CR404" s="8">
        <f t="shared" si="885"/>
        <v>25.516307423425225</v>
      </c>
      <c r="CS404" s="7">
        <f t="shared" si="886"/>
        <v>1.2949723089142296E-2</v>
      </c>
      <c r="CT404" s="9">
        <f t="shared" si="887"/>
        <v>0.46505870433367619</v>
      </c>
      <c r="CU404" s="4">
        <f t="shared" si="888"/>
        <v>715.20166078048237</v>
      </c>
      <c r="CV404" s="6">
        <f t="shared" si="889"/>
        <v>4.9304033215609653E-6</v>
      </c>
      <c r="CW404" s="8">
        <f t="shared" si="890"/>
        <v>24.113819098975547</v>
      </c>
      <c r="CX404" s="7">
        <f t="shared" si="891"/>
        <v>1.2339288571277677E-2</v>
      </c>
      <c r="CY404" s="9">
        <f t="shared" si="892"/>
        <v>0.49210707026586425</v>
      </c>
      <c r="CZ404" s="5">
        <f t="shared" si="893"/>
        <v>514.53818043584215</v>
      </c>
      <c r="DA404" s="6">
        <f t="shared" si="894"/>
        <v>6.9958077044200123E-6</v>
      </c>
      <c r="DB404" s="8">
        <f t="shared" si="895"/>
        <v>38.573392767360573</v>
      </c>
      <c r="DC404" s="7">
        <f t="shared" si="896"/>
        <v>1.7508362789816601E-2</v>
      </c>
      <c r="DD404" s="9">
        <f t="shared" si="897"/>
        <v>0.30763643066831742</v>
      </c>
    </row>
    <row r="405" spans="2:108" x14ac:dyDescent="0.25">
      <c r="B405">
        <v>138</v>
      </c>
      <c r="C405">
        <f t="shared" si="805"/>
        <v>0.13491082395564469</v>
      </c>
      <c r="D405" s="4">
        <f t="shared" si="806"/>
        <v>1017.7391150227819</v>
      </c>
      <c r="E405" s="6">
        <f t="shared" si="794"/>
        <v>5.5354782300455642E-6</v>
      </c>
      <c r="F405" s="8">
        <f t="shared" si="807"/>
        <v>27.592999822761989</v>
      </c>
      <c r="G405" s="7">
        <f t="shared" si="792"/>
        <v>1.3853605639494136E-2</v>
      </c>
      <c r="H405" s="9">
        <f t="shared" si="808"/>
        <v>0.43005765759215969</v>
      </c>
      <c r="I405" s="4">
        <f t="shared" si="809"/>
        <v>1017.4145524656017</v>
      </c>
      <c r="J405" s="6">
        <f t="shared" si="795"/>
        <v>5.5348291049312031E-6</v>
      </c>
      <c r="K405" s="8">
        <f t="shared" si="810"/>
        <v>27.589267353354419</v>
      </c>
      <c r="L405" s="7">
        <f t="shared" si="796"/>
        <v>1.3851981078259979E-2</v>
      </c>
      <c r="M405" s="9">
        <f t="shared" si="811"/>
        <v>0.43011583880552412</v>
      </c>
      <c r="N405" s="4">
        <f t="shared" si="812"/>
        <v>1016.5087212578985</v>
      </c>
      <c r="O405" s="6">
        <f t="shared" si="797"/>
        <v>5.5330174425157971E-6</v>
      </c>
      <c r="P405" s="8">
        <f t="shared" si="798"/>
        <v>27.57885029446583</v>
      </c>
      <c r="Q405" s="7">
        <f t="shared" si="793"/>
        <v>1.3853605639494136E-2</v>
      </c>
      <c r="R405" s="9">
        <f t="shared" si="813"/>
        <v>0.43027830177892268</v>
      </c>
      <c r="S405" s="4">
        <f t="shared" si="814"/>
        <v>1015.0072597807035</v>
      </c>
      <c r="T405" s="6">
        <f t="shared" si="799"/>
        <v>5.5300145195614078E-6</v>
      </c>
      <c r="U405" s="8">
        <f t="shared" si="800"/>
        <v>27.561583487478089</v>
      </c>
      <c r="V405" s="7">
        <f t="shared" si="801"/>
        <v>1.383993164652908E-2</v>
      </c>
      <c r="W405" s="9">
        <f t="shared" si="815"/>
        <v>0.43054786293788894</v>
      </c>
      <c r="X405" s="4">
        <f t="shared" si="816"/>
        <v>1012.9080872627954</v>
      </c>
      <c r="Y405" s="6">
        <f t="shared" si="802"/>
        <v>5.5258161745255917E-6</v>
      </c>
      <c r="Z405" s="8">
        <f t="shared" si="803"/>
        <v>27.537443003522149</v>
      </c>
      <c r="AA405" s="7">
        <f t="shared" si="804"/>
        <v>1.3829424475504717E-2</v>
      </c>
      <c r="AB405" s="9">
        <f t="shared" si="817"/>
        <v>0.43092529935332469</v>
      </c>
      <c r="AC405" s="4">
        <f t="shared" si="818"/>
        <v>1010.2097558918273</v>
      </c>
      <c r="AD405" s="6">
        <f t="shared" si="819"/>
        <v>5.5204195117836553E-6</v>
      </c>
      <c r="AE405" s="8">
        <f t="shared" si="820"/>
        <v>27.506412192756013</v>
      </c>
      <c r="AF405" s="7">
        <f t="shared" si="821"/>
        <v>1.3815918282491376E-2</v>
      </c>
      <c r="AG405" s="9">
        <f t="shared" si="822"/>
        <v>0.4314114391422898</v>
      </c>
      <c r="AH405" s="4">
        <f t="shared" si="823"/>
        <v>1006.911998118224</v>
      </c>
      <c r="AI405" s="6">
        <f t="shared" si="824"/>
        <v>5.5138239962364482E-6</v>
      </c>
      <c r="AJ405" s="8">
        <f t="shared" si="825"/>
        <v>27.468487978359576</v>
      </c>
      <c r="AK405" s="7">
        <f t="shared" si="826"/>
        <v>1.3799411728299869E-2</v>
      </c>
      <c r="AL405" s="9">
        <f t="shared" si="827"/>
        <v>0.43200706493443375</v>
      </c>
      <c r="AM405" s="4">
        <f t="shared" si="828"/>
        <v>1003.0147433073475</v>
      </c>
      <c r="AN405" s="6">
        <f t="shared" si="829"/>
        <v>5.506029486614696E-6</v>
      </c>
      <c r="AO405" s="8">
        <f t="shared" si="830"/>
        <v>27.423669548034496</v>
      </c>
      <c r="AP405" s="7">
        <f t="shared" si="831"/>
        <v>1.3779904459376491E-2</v>
      </c>
      <c r="AQ405" s="9">
        <f t="shared" si="832"/>
        <v>0.43271309293356031</v>
      </c>
      <c r="AR405" s="4">
        <f t="shared" si="833"/>
        <v>998.51796849907817</v>
      </c>
      <c r="AS405" s="6">
        <f t="shared" si="834"/>
        <v>5.4970359369981571E-6</v>
      </c>
      <c r="AT405" s="8">
        <f t="shared" si="835"/>
        <v>27.371956637739398</v>
      </c>
      <c r="AU405" s="7">
        <f t="shared" si="836"/>
        <v>1.3757396360796953E-2</v>
      </c>
      <c r="AV405" s="9">
        <f t="shared" si="837"/>
        <v>0.4335306031194246</v>
      </c>
      <c r="AW405" s="4">
        <f t="shared" si="838"/>
        <v>993.42159388862592</v>
      </c>
      <c r="AX405" s="6">
        <f t="shared" si="839"/>
        <v>5.4868431877772525E-6</v>
      </c>
      <c r="AY405" s="8">
        <f t="shared" si="840"/>
        <v>27.313348329719197</v>
      </c>
      <c r="AZ405" s="7">
        <f t="shared" si="841"/>
        <v>1.3731887033107392E-2</v>
      </c>
      <c r="BA405" s="9">
        <f t="shared" si="842"/>
        <v>0.43446086237643994</v>
      </c>
      <c r="BB405" s="4">
        <f t="shared" si="843"/>
        <v>987.72511130507496</v>
      </c>
      <c r="BC405" s="6">
        <f t="shared" si="844"/>
        <v>5.4754502226101513E-6</v>
      </c>
      <c r="BD405" s="8">
        <f t="shared" si="845"/>
        <v>27.247838780008362</v>
      </c>
      <c r="BE405" s="7">
        <f t="shared" si="846"/>
        <v>1.3703373932715661E-2</v>
      </c>
      <c r="BF405" s="9">
        <f t="shared" si="847"/>
        <v>0.43550539789689174</v>
      </c>
      <c r="BG405" s="4">
        <f t="shared" si="848"/>
        <v>981.42555903940672</v>
      </c>
      <c r="BH405" s="6">
        <f t="shared" si="849"/>
        <v>5.4628511180788136E-6</v>
      </c>
      <c r="BI405" s="8">
        <f t="shared" si="850"/>
        <v>27.175393928953177</v>
      </c>
      <c r="BJ405" s="7">
        <f t="shared" si="851"/>
        <v>1.3671842235121672E-2</v>
      </c>
      <c r="BK405" s="9">
        <f t="shared" si="852"/>
        <v>0.43666637917896084</v>
      </c>
      <c r="BL405" s="4">
        <f t="shared" si="853"/>
        <v>974.50730894288972</v>
      </c>
      <c r="BM405" s="6">
        <f t="shared" si="854"/>
        <v>5.4490146178857803E-6</v>
      </c>
      <c r="BN405" s="8">
        <f t="shared" si="855"/>
        <v>27.09583405284323</v>
      </c>
      <c r="BO405" s="7">
        <f t="shared" si="856"/>
        <v>1.36372137153915E-2</v>
      </c>
      <c r="BP405" s="9">
        <f t="shared" si="857"/>
        <v>0.43794853653795202</v>
      </c>
      <c r="BQ405" s="4">
        <f t="shared" si="858"/>
        <v>966.89636693712748</v>
      </c>
      <c r="BR405" s="6">
        <f t="shared" si="859"/>
        <v>5.4337927338742559E-6</v>
      </c>
      <c r="BS405" s="8">
        <f t="shared" si="860"/>
        <v>27.008308219776964</v>
      </c>
      <c r="BT405" s="7">
        <f t="shared" si="861"/>
        <v>1.3599118004520275E-2</v>
      </c>
      <c r="BU405" s="9">
        <f t="shared" si="862"/>
        <v>0.4393677965000613</v>
      </c>
      <c r="BV405" s="4">
        <f t="shared" si="863"/>
        <v>958.28248439021309</v>
      </c>
      <c r="BW405" s="6">
        <f t="shared" si="864"/>
        <v>5.4165649687804264E-6</v>
      </c>
      <c r="BX405" s="8">
        <f t="shared" si="865"/>
        <v>26.909248570487449</v>
      </c>
      <c r="BY405" s="7">
        <f t="shared" si="866"/>
        <v>1.3556002188010632E-2</v>
      </c>
      <c r="BZ405" s="9">
        <f t="shared" si="867"/>
        <v>0.44098521884154346</v>
      </c>
      <c r="CA405" s="4">
        <f t="shared" si="868"/>
        <v>947.53312310309161</v>
      </c>
      <c r="CB405" s="6">
        <f t="shared" si="869"/>
        <v>5.3950662462061839E-6</v>
      </c>
      <c r="CC405" s="8">
        <f t="shared" si="870"/>
        <v>26.785630915685552</v>
      </c>
      <c r="CD405" s="7">
        <f t="shared" si="871"/>
        <v>1.3502197473780189E-2</v>
      </c>
      <c r="CE405" s="9">
        <f t="shared" si="872"/>
        <v>0.4430203980287386</v>
      </c>
      <c r="CF405" s="4">
        <f t="shared" si="873"/>
        <v>931.13019627568349</v>
      </c>
      <c r="CG405" s="6">
        <f t="shared" si="874"/>
        <v>5.3622603925513674E-6</v>
      </c>
      <c r="CH405" s="8">
        <f t="shared" si="875"/>
        <v>26.596997257170358</v>
      </c>
      <c r="CI405" s="7">
        <f t="shared" si="876"/>
        <v>1.3420094475572382E-2</v>
      </c>
      <c r="CJ405" s="9">
        <f t="shared" si="877"/>
        <v>0.44616242784770577</v>
      </c>
      <c r="CK405" s="4">
        <f t="shared" si="878"/>
        <v>900.07103552170599</v>
      </c>
      <c r="CL405" s="6">
        <f t="shared" si="879"/>
        <v>5.3001420710434123E-6</v>
      </c>
      <c r="CM405" s="8">
        <f t="shared" si="880"/>
        <v>26.23981690849962</v>
      </c>
      <c r="CN405" s="7">
        <f t="shared" si="881"/>
        <v>1.3264631353255771E-2</v>
      </c>
      <c r="CO405" s="9">
        <f t="shared" si="882"/>
        <v>0.4522356581639892</v>
      </c>
      <c r="CP405" s="4">
        <f t="shared" si="883"/>
        <v>836.31200368324585</v>
      </c>
      <c r="CQ405" s="6">
        <f t="shared" si="884"/>
        <v>5.1726240073664923E-6</v>
      </c>
      <c r="CR405" s="8">
        <f t="shared" si="885"/>
        <v>25.506588042357329</v>
      </c>
      <c r="CS405" s="7">
        <f t="shared" si="886"/>
        <v>1.2945492718313039E-2</v>
      </c>
      <c r="CT405" s="9">
        <f t="shared" si="887"/>
        <v>0.46523591669774678</v>
      </c>
      <c r="CU405" s="4">
        <f t="shared" si="888"/>
        <v>714.07284038984824</v>
      </c>
      <c r="CV405" s="6">
        <f t="shared" si="889"/>
        <v>4.9281456807796972E-6</v>
      </c>
      <c r="CW405" s="8">
        <f t="shared" si="890"/>
        <v>24.100837664483254</v>
      </c>
      <c r="CX405" s="7">
        <f t="shared" si="891"/>
        <v>1.2333638388265563E-2</v>
      </c>
      <c r="CY405" s="9">
        <f t="shared" si="892"/>
        <v>0.492372133903269</v>
      </c>
      <c r="CZ405" s="5">
        <f t="shared" si="893"/>
        <v>513.53186257707421</v>
      </c>
      <c r="DA405" s="6">
        <f t="shared" si="894"/>
        <v>7.0110559421871072E-6</v>
      </c>
      <c r="DB405" s="8">
        <f t="shared" si="895"/>
        <v>38.602575985264842</v>
      </c>
      <c r="DC405" s="7">
        <f t="shared" si="896"/>
        <v>1.75465244560618E-2</v>
      </c>
      <c r="DD405" s="9">
        <f t="shared" si="897"/>
        <v>0.30740386015294791</v>
      </c>
    </row>
    <row r="406" spans="2:108" x14ac:dyDescent="0.25">
      <c r="B406">
        <v>139</v>
      </c>
      <c r="C406">
        <f t="shared" si="805"/>
        <v>0.13588843862198996</v>
      </c>
      <c r="D406" s="4">
        <f t="shared" si="806"/>
        <v>1017.7225444981935</v>
      </c>
      <c r="E406" s="6">
        <f t="shared" si="794"/>
        <v>5.5354450889963882E-6</v>
      </c>
      <c r="F406" s="8">
        <f t="shared" si="807"/>
        <v>27.592809261729226</v>
      </c>
      <c r="G406" s="7">
        <f t="shared" si="792"/>
        <v>1.3853522697604261E-2</v>
      </c>
      <c r="H406" s="9">
        <f t="shared" si="808"/>
        <v>0.43006062764970626</v>
      </c>
      <c r="I406" s="4">
        <f t="shared" si="809"/>
        <v>1017.3979772031838</v>
      </c>
      <c r="J406" s="6">
        <f t="shared" si="795"/>
        <v>5.5347959544063686E-6</v>
      </c>
      <c r="K406" s="8">
        <f t="shared" si="810"/>
        <v>27.589076737836614</v>
      </c>
      <c r="L406" s="7">
        <f t="shared" si="796"/>
        <v>1.3851898112655435E-2</v>
      </c>
      <c r="M406" s="9">
        <f t="shared" si="811"/>
        <v>0.43011881051618012</v>
      </c>
      <c r="N406" s="4">
        <f t="shared" si="812"/>
        <v>1016.4921342548431</v>
      </c>
      <c r="O406" s="6">
        <f t="shared" si="797"/>
        <v>5.5329842685096872E-6</v>
      </c>
      <c r="P406" s="8">
        <f t="shared" si="798"/>
        <v>27.578659543930694</v>
      </c>
      <c r="Q406" s="7">
        <f t="shared" si="793"/>
        <v>1.3853522697604261E-2</v>
      </c>
      <c r="R406" s="9">
        <f t="shared" si="813"/>
        <v>0.43028127784148984</v>
      </c>
      <c r="S406" s="4">
        <f t="shared" si="814"/>
        <v>1014.9906657997716</v>
      </c>
      <c r="T406" s="6">
        <f t="shared" si="799"/>
        <v>5.529981331599544E-6</v>
      </c>
      <c r="U406" s="8">
        <f t="shared" si="800"/>
        <v>27.561392656697372</v>
      </c>
      <c r="V406" s="7">
        <f t="shared" si="801"/>
        <v>1.3839848587231123E-2</v>
      </c>
      <c r="W406" s="9">
        <f t="shared" si="815"/>
        <v>0.43055084398408799</v>
      </c>
      <c r="X406" s="4">
        <f t="shared" si="816"/>
        <v>1012.8914954040621</v>
      </c>
      <c r="Y406" s="6">
        <f t="shared" si="802"/>
        <v>5.5257829908081245E-6</v>
      </c>
      <c r="Z406" s="8">
        <f t="shared" si="803"/>
        <v>27.537252197146714</v>
      </c>
      <c r="AA406" s="7">
        <f t="shared" si="804"/>
        <v>1.3829341426829185E-2</v>
      </c>
      <c r="AB406" s="9">
        <f t="shared" si="817"/>
        <v>0.43092828524653815</v>
      </c>
      <c r="AC406" s="4">
        <f t="shared" si="818"/>
        <v>1010.1931740230444</v>
      </c>
      <c r="AD406" s="6">
        <f t="shared" si="819"/>
        <v>5.5203863480460893E-6</v>
      </c>
      <c r="AE406" s="8">
        <f t="shared" si="820"/>
        <v>27.50622150126501</v>
      </c>
      <c r="AF406" s="7">
        <f t="shared" si="821"/>
        <v>1.3815835283819414E-2</v>
      </c>
      <c r="AG406" s="9">
        <f t="shared" si="822"/>
        <v>0.43141442997440249</v>
      </c>
      <c r="AH406" s="4">
        <f t="shared" si="823"/>
        <v>1006.8954318068429</v>
      </c>
      <c r="AI406" s="6">
        <f t="shared" si="824"/>
        <v>5.5137908636136864E-6</v>
      </c>
      <c r="AJ406" s="8">
        <f t="shared" si="825"/>
        <v>27.46829746577869</v>
      </c>
      <c r="AK406" s="7">
        <f t="shared" si="826"/>
        <v>1.3799328807498727E-2</v>
      </c>
      <c r="AL406" s="9">
        <f t="shared" si="827"/>
        <v>0.43201006121700292</v>
      </c>
      <c r="AM406" s="4">
        <f t="shared" si="828"/>
        <v>1002.9981966212958</v>
      </c>
      <c r="AN406" s="6">
        <f t="shared" si="829"/>
        <v>5.5059963932425922E-6</v>
      </c>
      <c r="AO406" s="8">
        <f t="shared" si="830"/>
        <v>27.423479261144902</v>
      </c>
      <c r="AP406" s="7">
        <f t="shared" si="831"/>
        <v>1.3779821636807717E-2</v>
      </c>
      <c r="AQ406" s="9">
        <f t="shared" si="832"/>
        <v>0.43271609545660844</v>
      </c>
      <c r="AR406" s="4">
        <f t="shared" si="833"/>
        <v>998.50144412775535</v>
      </c>
      <c r="AS406" s="6">
        <f t="shared" si="834"/>
        <v>5.4970028882555112E-6</v>
      </c>
      <c r="AT406" s="8">
        <f t="shared" si="835"/>
        <v>27.371766607469183</v>
      </c>
      <c r="AU406" s="7">
        <f t="shared" si="836"/>
        <v>1.3757313649922037E-2</v>
      </c>
      <c r="AV406" s="9">
        <f t="shared" si="837"/>
        <v>0.43353361293383808</v>
      </c>
      <c r="AW406" s="4">
        <f t="shared" si="838"/>
        <v>993.40508908603863</v>
      </c>
      <c r="AX406" s="6">
        <f t="shared" si="839"/>
        <v>5.4868101781720773E-6</v>
      </c>
      <c r="AY406" s="8">
        <f t="shared" si="840"/>
        <v>27.313158524489445</v>
      </c>
      <c r="AZ406" s="7">
        <f t="shared" si="841"/>
        <v>1.3731804420181567E-2</v>
      </c>
      <c r="BA406" s="9">
        <f t="shared" si="842"/>
        <v>0.43446388154186266</v>
      </c>
      <c r="BB406" s="4">
        <f t="shared" si="843"/>
        <v>987.70859370993003</v>
      </c>
      <c r="BC406" s="6">
        <f t="shared" si="844"/>
        <v>5.4754171874198606E-6</v>
      </c>
      <c r="BD406" s="8">
        <f t="shared" si="845"/>
        <v>27.247648827664193</v>
      </c>
      <c r="BE406" s="7">
        <f t="shared" si="846"/>
        <v>1.3703291255758136E-2</v>
      </c>
      <c r="BF406" s="9">
        <f t="shared" si="847"/>
        <v>0.43550843394861682</v>
      </c>
      <c r="BG406" s="4">
        <f t="shared" si="848"/>
        <v>981.40884777939812</v>
      </c>
      <c r="BH406" s="6">
        <f t="shared" si="849"/>
        <v>5.4628176955587969E-6</v>
      </c>
      <c r="BI406" s="8">
        <f t="shared" si="850"/>
        <v>27.175201749463078</v>
      </c>
      <c r="BJ406" s="7">
        <f t="shared" si="851"/>
        <v>1.3671758588796538E-2</v>
      </c>
      <c r="BK406" s="9">
        <f t="shared" si="852"/>
        <v>0.43666946722676514</v>
      </c>
      <c r="BL406" s="4">
        <f t="shared" si="853"/>
        <v>974.48956197604207</v>
      </c>
      <c r="BM406" s="6">
        <f t="shared" si="854"/>
        <v>5.4489791239520841E-6</v>
      </c>
      <c r="BN406" s="8">
        <f t="shared" si="855"/>
        <v>27.09562996272448</v>
      </c>
      <c r="BO406" s="7">
        <f t="shared" si="856"/>
        <v>1.3637124884952721E-2</v>
      </c>
      <c r="BP406" s="9">
        <f t="shared" si="857"/>
        <v>0.43795183526062248</v>
      </c>
      <c r="BQ406" s="4">
        <f t="shared" si="858"/>
        <v>966.87417971330558</v>
      </c>
      <c r="BR406" s="6">
        <f t="shared" si="859"/>
        <v>5.4337483594266115E-6</v>
      </c>
      <c r="BS406" s="8">
        <f t="shared" si="860"/>
        <v>27.008053066703013</v>
      </c>
      <c r="BT406" s="7">
        <f t="shared" si="861"/>
        <v>1.3599006948876554E-2</v>
      </c>
      <c r="BU406" s="9">
        <f t="shared" si="862"/>
        <v>0.43937194733772428</v>
      </c>
      <c r="BV406" s="4">
        <f t="shared" si="863"/>
        <v>958.24403968257684</v>
      </c>
      <c r="BW406" s="6">
        <f t="shared" si="864"/>
        <v>5.4164880793651544E-6</v>
      </c>
      <c r="BX406" s="8">
        <f t="shared" si="865"/>
        <v>26.90880645634963</v>
      </c>
      <c r="BY406" s="7">
        <f t="shared" si="866"/>
        <v>1.3555809757367287E-2</v>
      </c>
      <c r="BZ406" s="9">
        <f t="shared" si="867"/>
        <v>0.44099246426880295</v>
      </c>
      <c r="CA406" s="4">
        <f t="shared" si="868"/>
        <v>947.44421540243809</v>
      </c>
      <c r="CB406" s="6">
        <f t="shared" si="869"/>
        <v>5.3948884308048774E-6</v>
      </c>
      <c r="CC406" s="8">
        <f t="shared" si="870"/>
        <v>26.784608477128039</v>
      </c>
      <c r="CD406" s="7">
        <f t="shared" si="871"/>
        <v>1.3501752456322987E-2</v>
      </c>
      <c r="CE406" s="9">
        <f t="shared" si="872"/>
        <v>0.44303730927599821</v>
      </c>
      <c r="CF406" s="4">
        <f t="shared" si="873"/>
        <v>930.91228576584047</v>
      </c>
      <c r="CG406" s="6">
        <f t="shared" si="874"/>
        <v>5.3618245715316812E-6</v>
      </c>
      <c r="CH406" s="8">
        <f t="shared" si="875"/>
        <v>26.594491286307164</v>
      </c>
      <c r="CI406" s="7">
        <f t="shared" si="876"/>
        <v>1.3419003749119271E-2</v>
      </c>
      <c r="CJ406" s="9">
        <f t="shared" si="877"/>
        <v>0.44620446926268909</v>
      </c>
      <c r="CK406" s="4">
        <f t="shared" si="878"/>
        <v>899.59481330897222</v>
      </c>
      <c r="CL406" s="6">
        <f t="shared" si="879"/>
        <v>5.2991896266179447E-6</v>
      </c>
      <c r="CM406" s="8">
        <f t="shared" si="880"/>
        <v>26.234340353053177</v>
      </c>
      <c r="CN406" s="7">
        <f t="shared" si="881"/>
        <v>1.3262247676739378E-2</v>
      </c>
      <c r="CO406" s="9">
        <f t="shared" si="882"/>
        <v>0.45233006471751652</v>
      </c>
      <c r="CP406" s="4">
        <f t="shared" si="883"/>
        <v>835.46790474763145</v>
      </c>
      <c r="CQ406" s="6">
        <f t="shared" si="884"/>
        <v>5.1709358094952632E-6</v>
      </c>
      <c r="CR406" s="8">
        <f t="shared" si="885"/>
        <v>25.496880904597759</v>
      </c>
      <c r="CS406" s="7">
        <f t="shared" si="886"/>
        <v>1.2941267676396606E-2</v>
      </c>
      <c r="CT406" s="9">
        <f t="shared" si="887"/>
        <v>0.46541304068208755</v>
      </c>
      <c r="CU406" s="4">
        <f t="shared" si="888"/>
        <v>712.94958974842962</v>
      </c>
      <c r="CV406" s="6">
        <f t="shared" si="889"/>
        <v>4.9258991794968596E-6</v>
      </c>
      <c r="CW406" s="8">
        <f t="shared" si="890"/>
        <v>24.087920282106939</v>
      </c>
      <c r="CX406" s="7">
        <f t="shared" si="891"/>
        <v>1.2328016084004275E-2</v>
      </c>
      <c r="CY406" s="9">
        <f t="shared" si="892"/>
        <v>0.4926361732661772</v>
      </c>
      <c r="CZ406" s="5">
        <f t="shared" si="893"/>
        <v>512.53203514501797</v>
      </c>
      <c r="DA406" s="6">
        <f t="shared" si="894"/>
        <v>7.0261941097414963E-6</v>
      </c>
      <c r="DB406" s="8">
        <f t="shared" si="895"/>
        <v>38.631570980794478</v>
      </c>
      <c r="DC406" s="7">
        <f t="shared" si="896"/>
        <v>1.7584410650296072E-2</v>
      </c>
      <c r="DD406" s="9">
        <f t="shared" si="897"/>
        <v>0.30717313762925452</v>
      </c>
    </row>
    <row r="407" spans="2:108" x14ac:dyDescent="0.25">
      <c r="B407">
        <v>140</v>
      </c>
      <c r="C407">
        <f t="shared" si="805"/>
        <v>0.1368660532883352</v>
      </c>
      <c r="D407" s="4">
        <f t="shared" si="806"/>
        <v>1017.7059737317155</v>
      </c>
      <c r="E407" s="6">
        <f t="shared" si="794"/>
        <v>5.535411947463431E-6</v>
      </c>
      <c r="F407" s="8">
        <f t="shared" si="807"/>
        <v>27.592618697914727</v>
      </c>
      <c r="G407" s="7">
        <f t="shared" si="792"/>
        <v>1.385343975450363E-2</v>
      </c>
      <c r="H407" s="9">
        <f t="shared" si="808"/>
        <v>0.43006359779163328</v>
      </c>
      <c r="I407" s="4">
        <f t="shared" si="809"/>
        <v>1017.3814018288498</v>
      </c>
      <c r="J407" s="6">
        <f t="shared" si="795"/>
        <v>5.5347628036577005E-6</v>
      </c>
      <c r="K407" s="8">
        <f t="shared" si="810"/>
        <v>27.58888612103177</v>
      </c>
      <c r="L407" s="7">
        <f t="shared" si="796"/>
        <v>1.3851815146490705E-2</v>
      </c>
      <c r="M407" s="9">
        <f t="shared" si="811"/>
        <v>0.43012178228796544</v>
      </c>
      <c r="N407" s="4">
        <f t="shared" si="812"/>
        <v>1016.4755473522873</v>
      </c>
      <c r="O407" s="6">
        <f t="shared" si="797"/>
        <v>5.5329510947045756E-6</v>
      </c>
      <c r="P407" s="8">
        <f t="shared" si="798"/>
        <v>27.578468794551306</v>
      </c>
      <c r="Q407" s="7">
        <f t="shared" si="793"/>
        <v>1.385343975450363E-2</v>
      </c>
      <c r="R407" s="9">
        <f t="shared" si="813"/>
        <v>0.43028425392719361</v>
      </c>
      <c r="S407" s="4">
        <f t="shared" si="814"/>
        <v>1014.9740720330464</v>
      </c>
      <c r="T407" s="6">
        <f t="shared" si="799"/>
        <v>5.5299481440660935E-6</v>
      </c>
      <c r="U407" s="8">
        <f t="shared" si="800"/>
        <v>27.561201828380032</v>
      </c>
      <c r="V407" s="7">
        <f t="shared" si="801"/>
        <v>1.3839765529005354E-2</v>
      </c>
      <c r="W407" s="9">
        <f t="shared" si="815"/>
        <v>0.4305538250330857</v>
      </c>
      <c r="X407" s="4">
        <f t="shared" si="816"/>
        <v>1012.8749037747443</v>
      </c>
      <c r="Y407" s="6">
        <f t="shared" si="802"/>
        <v>5.5257498075494892E-6</v>
      </c>
      <c r="Z407" s="8">
        <f t="shared" si="803"/>
        <v>27.537061393409559</v>
      </c>
      <c r="AA407" s="7">
        <f t="shared" si="804"/>
        <v>1.3829258379301969E-2</v>
      </c>
      <c r="AB407" s="9">
        <f t="shared" si="817"/>
        <v>0.43093127113984375</v>
      </c>
      <c r="AC407" s="4">
        <f t="shared" si="818"/>
        <v>1010.1765923661623</v>
      </c>
      <c r="AD407" s="6">
        <f t="shared" si="819"/>
        <v>5.5203531847323253E-6</v>
      </c>
      <c r="AE407" s="8">
        <f t="shared" si="820"/>
        <v>27.506030812210867</v>
      </c>
      <c r="AF407" s="7">
        <f t="shared" si="821"/>
        <v>1.3815752286208098E-2</v>
      </c>
      <c r="AG407" s="9">
        <f t="shared" si="822"/>
        <v>0.43141742080976359</v>
      </c>
      <c r="AH407" s="4">
        <f t="shared" si="823"/>
        <v>1006.8788656916905</v>
      </c>
      <c r="AI407" s="6">
        <f t="shared" si="824"/>
        <v>5.5137577313833812E-6</v>
      </c>
      <c r="AJ407" s="8">
        <f t="shared" si="825"/>
        <v>27.468106955454438</v>
      </c>
      <c r="AK407" s="7">
        <f t="shared" si="826"/>
        <v>1.3799245887679782E-2</v>
      </c>
      <c r="AL407" s="9">
        <f t="shared" si="827"/>
        <v>0.43201305750564328</v>
      </c>
      <c r="AM407" s="4">
        <f t="shared" si="828"/>
        <v>1002.9816501131231</v>
      </c>
      <c r="AN407" s="6">
        <f t="shared" si="829"/>
        <v>5.5059633002262465E-6</v>
      </c>
      <c r="AO407" s="8">
        <f t="shared" si="830"/>
        <v>27.423288976300917</v>
      </c>
      <c r="AP407" s="7">
        <f t="shared" si="831"/>
        <v>1.3779738815129295E-2</v>
      </c>
      <c r="AQ407" s="9">
        <f t="shared" si="832"/>
        <v>0.43271909798904662</v>
      </c>
      <c r="AR407" s="4">
        <f t="shared" si="833"/>
        <v>998.48491985398221</v>
      </c>
      <c r="AS407" s="6">
        <f t="shared" si="834"/>
        <v>5.4969698397079641E-6</v>
      </c>
      <c r="AT407" s="8">
        <f t="shared" si="835"/>
        <v>27.371576578320795</v>
      </c>
      <c r="AU407" s="7">
        <f t="shared" si="836"/>
        <v>1.3757230939535389E-2</v>
      </c>
      <c r="AV407" s="9">
        <f t="shared" si="837"/>
        <v>0.43353662277227495</v>
      </c>
      <c r="AW407" s="4">
        <f t="shared" si="838"/>
        <v>993.38858394265708</v>
      </c>
      <c r="AX407" s="6">
        <f t="shared" si="839"/>
        <v>5.486777167885315E-6</v>
      </c>
      <c r="AY407" s="8">
        <f t="shared" si="840"/>
        <v>27.312968715340556</v>
      </c>
      <c r="AZ407" s="7">
        <f t="shared" si="841"/>
        <v>1.373172180554994E-2</v>
      </c>
      <c r="BA407" s="9">
        <f t="shared" si="842"/>
        <v>0.43446690081158901</v>
      </c>
      <c r="BB407" s="4">
        <f t="shared" si="843"/>
        <v>987.69207358872086</v>
      </c>
      <c r="BC407" s="6">
        <f t="shared" si="844"/>
        <v>5.4753841471774419E-6</v>
      </c>
      <c r="BD407" s="8">
        <f t="shared" si="845"/>
        <v>27.247458846270291</v>
      </c>
      <c r="BE407" s="7">
        <f t="shared" si="846"/>
        <v>1.3703208566156682E-2</v>
      </c>
      <c r="BF407" s="9">
        <f t="shared" si="847"/>
        <v>0.43551147050699113</v>
      </c>
      <c r="BG407" s="4">
        <f t="shared" si="848"/>
        <v>981.39212431581063</v>
      </c>
      <c r="BH407" s="6">
        <f t="shared" si="849"/>
        <v>5.4627842486316215E-6</v>
      </c>
      <c r="BI407" s="8">
        <f t="shared" si="850"/>
        <v>27.175009429631821</v>
      </c>
      <c r="BJ407" s="7">
        <f t="shared" si="851"/>
        <v>1.367167488138777E-2</v>
      </c>
      <c r="BK407" s="9">
        <f t="shared" si="852"/>
        <v>0.43667255757337459</v>
      </c>
      <c r="BL407" s="4">
        <f t="shared" si="853"/>
        <v>974.47176545255047</v>
      </c>
      <c r="BM407" s="6">
        <f t="shared" si="854"/>
        <v>5.4489435309051011E-6</v>
      </c>
      <c r="BN407" s="8">
        <f t="shared" si="855"/>
        <v>27.095425302704328</v>
      </c>
      <c r="BO407" s="7">
        <f t="shared" si="856"/>
        <v>1.3637035806463761E-2</v>
      </c>
      <c r="BP407" s="9">
        <f t="shared" si="857"/>
        <v>0.43795514324455076</v>
      </c>
      <c r="BQ407" s="4">
        <f t="shared" si="858"/>
        <v>966.85182062647277</v>
      </c>
      <c r="BR407" s="6">
        <f t="shared" si="859"/>
        <v>5.4337036412529462E-6</v>
      </c>
      <c r="BS407" s="8">
        <f t="shared" si="860"/>
        <v>27.007795937204435</v>
      </c>
      <c r="BT407" s="7">
        <f t="shared" si="861"/>
        <v>1.3598895032991941E-2</v>
      </c>
      <c r="BU407" s="9">
        <f t="shared" si="862"/>
        <v>0.43937613040726353</v>
      </c>
      <c r="BV407" s="4">
        <f t="shared" si="863"/>
        <v>958.20509772974447</v>
      </c>
      <c r="BW407" s="6">
        <f t="shared" si="864"/>
        <v>5.4164101954594893E-6</v>
      </c>
      <c r="BX407" s="8">
        <f t="shared" si="865"/>
        <v>26.908358623892063</v>
      </c>
      <c r="BY407" s="7">
        <f t="shared" si="866"/>
        <v>1.3555614837819255E-2</v>
      </c>
      <c r="BZ407" s="9">
        <f t="shared" si="867"/>
        <v>0.44099980365140157</v>
      </c>
      <c r="CA407" s="4">
        <f t="shared" si="868"/>
        <v>947.35416323238485</v>
      </c>
      <c r="CB407" s="6">
        <f t="shared" si="869"/>
        <v>5.3947083264647696E-6</v>
      </c>
      <c r="CC407" s="8">
        <f t="shared" si="870"/>
        <v>26.783572877172425</v>
      </c>
      <c r="CD407" s="7">
        <f t="shared" si="871"/>
        <v>1.3501301710353422E-2</v>
      </c>
      <c r="CE407" s="9">
        <f t="shared" si="872"/>
        <v>0.44305443953042417</v>
      </c>
      <c r="CF407" s="4">
        <f t="shared" si="873"/>
        <v>930.692473278325</v>
      </c>
      <c r="CG407" s="6">
        <f t="shared" si="874"/>
        <v>5.3613849465566508E-6</v>
      </c>
      <c r="CH407" s="8">
        <f t="shared" si="875"/>
        <v>26.591963442700738</v>
      </c>
      <c r="CI407" s="7">
        <f t="shared" si="876"/>
        <v>1.3417903502531671E-2</v>
      </c>
      <c r="CJ407" s="9">
        <f t="shared" si="877"/>
        <v>0.44624688565353648</v>
      </c>
      <c r="CK407" s="4">
        <f t="shared" si="878"/>
        <v>899.11691288798636</v>
      </c>
      <c r="CL407" s="6">
        <f t="shared" si="879"/>
        <v>5.2982338257759734E-6</v>
      </c>
      <c r="CM407" s="8">
        <f t="shared" si="880"/>
        <v>26.228844498211842</v>
      </c>
      <c r="CN407" s="7">
        <f t="shared" si="881"/>
        <v>1.3259855600141065E-2</v>
      </c>
      <c r="CO407" s="9">
        <f t="shared" si="882"/>
        <v>0.45242484359259155</v>
      </c>
      <c r="CP407" s="4">
        <f t="shared" si="883"/>
        <v>834.62489622128544</v>
      </c>
      <c r="CQ407" s="6">
        <f t="shared" si="884"/>
        <v>5.1692497924425711E-6</v>
      </c>
      <c r="CR407" s="8">
        <f t="shared" si="885"/>
        <v>25.487186306544782</v>
      </c>
      <c r="CS407" s="7">
        <f t="shared" si="886"/>
        <v>1.2937048092400651E-2</v>
      </c>
      <c r="CT407" s="9">
        <f t="shared" si="887"/>
        <v>0.4655900705159719</v>
      </c>
      <c r="CU407" s="4">
        <f t="shared" si="888"/>
        <v>711.83186046362925</v>
      </c>
      <c r="CV407" s="6">
        <f t="shared" si="889"/>
        <v>4.9236637209272593E-6</v>
      </c>
      <c r="CW407" s="8">
        <f t="shared" si="890"/>
        <v>24.075066395331735</v>
      </c>
      <c r="CX407" s="7">
        <f t="shared" si="891"/>
        <v>1.2322421416270136E-2</v>
      </c>
      <c r="CY407" s="9">
        <f t="shared" si="892"/>
        <v>0.49289919599220222</v>
      </c>
      <c r="CZ407" s="5">
        <f t="shared" si="893"/>
        <v>511.53861409560176</v>
      </c>
      <c r="DA407" s="6">
        <f t="shared" si="894"/>
        <v>7.0412238337721993E-6</v>
      </c>
      <c r="DB407" s="8">
        <f t="shared" si="895"/>
        <v>38.660380191227546</v>
      </c>
      <c r="DC407" s="7">
        <f t="shared" si="896"/>
        <v>1.7622025443623526E-2</v>
      </c>
      <c r="DD407" s="9">
        <f t="shared" si="897"/>
        <v>0.30694423621862243</v>
      </c>
    </row>
    <row r="408" spans="2:108" x14ac:dyDescent="0.25">
      <c r="B408">
        <v>141</v>
      </c>
      <c r="C408">
        <f t="shared" si="805"/>
        <v>0.13784366795468045</v>
      </c>
      <c r="D408" s="4">
        <f t="shared" si="806"/>
        <v>1017.6894027299836</v>
      </c>
      <c r="E408" s="6">
        <f t="shared" si="794"/>
        <v>5.5353788054599673E-6</v>
      </c>
      <c r="F408" s="8">
        <f t="shared" si="807"/>
        <v>27.592428131394811</v>
      </c>
      <c r="G408" s="7">
        <f t="shared" si="792"/>
        <v>1.3853356810225466E-2</v>
      </c>
      <c r="H408" s="9">
        <f t="shared" si="808"/>
        <v>0.43006656801675386</v>
      </c>
      <c r="I408" s="4">
        <f t="shared" si="809"/>
        <v>1017.3648263461173</v>
      </c>
      <c r="J408" s="6">
        <f t="shared" si="795"/>
        <v>5.5347296526922353E-6</v>
      </c>
      <c r="K408" s="8">
        <f t="shared" si="810"/>
        <v>27.58869550298035</v>
      </c>
      <c r="L408" s="7">
        <f t="shared" si="796"/>
        <v>1.3851732179783395E-2</v>
      </c>
      <c r="M408" s="9">
        <f t="shared" si="811"/>
        <v>0.43012475412025103</v>
      </c>
      <c r="N408" s="4">
        <f t="shared" si="812"/>
        <v>1016.4589605499939</v>
      </c>
      <c r="O408" s="6">
        <f t="shared" si="797"/>
        <v>5.5329179210999881E-6</v>
      </c>
      <c r="P408" s="8">
        <f t="shared" si="798"/>
        <v>27.578278046324929</v>
      </c>
      <c r="Q408" s="7">
        <f t="shared" si="793"/>
        <v>1.3853356810225466E-2</v>
      </c>
      <c r="R408" s="9">
        <f t="shared" si="813"/>
        <v>0.43028723003607672</v>
      </c>
      <c r="S408" s="4">
        <f t="shared" si="814"/>
        <v>1014.9574784794609</v>
      </c>
      <c r="T408" s="6">
        <f t="shared" si="799"/>
        <v>5.5299149569589224E-6</v>
      </c>
      <c r="U408" s="8">
        <f t="shared" si="800"/>
        <v>27.561011002513801</v>
      </c>
      <c r="V408" s="7">
        <f t="shared" si="801"/>
        <v>1.3839682471846431E-2</v>
      </c>
      <c r="W408" s="9">
        <f t="shared" si="815"/>
        <v>0.43055680608507302</v>
      </c>
      <c r="X408" s="4">
        <f t="shared" si="816"/>
        <v>1012.8583123743824</v>
      </c>
      <c r="Y408" s="6">
        <f t="shared" si="802"/>
        <v>5.5257166247487649E-6</v>
      </c>
      <c r="Z408" s="8">
        <f t="shared" si="803"/>
        <v>27.536870592305398</v>
      </c>
      <c r="AA408" s="7">
        <f t="shared" si="804"/>
        <v>1.3829175332920763E-2</v>
      </c>
      <c r="AB408" s="9">
        <f t="shared" si="817"/>
        <v>0.43093425703332339</v>
      </c>
      <c r="AC408" s="4">
        <f t="shared" si="818"/>
        <v>1010.1600109211577</v>
      </c>
      <c r="AD408" s="6">
        <f t="shared" si="819"/>
        <v>5.5203200218423158E-6</v>
      </c>
      <c r="AE408" s="8">
        <f t="shared" si="820"/>
        <v>27.505840125593313</v>
      </c>
      <c r="AF408" s="7">
        <f t="shared" si="821"/>
        <v>1.3815669289657309E-2</v>
      </c>
      <c r="AG408" s="9">
        <f t="shared" si="822"/>
        <v>0.43142041164837647</v>
      </c>
      <c r="AH408" s="4">
        <f t="shared" si="823"/>
        <v>1006.8622997726882</v>
      </c>
      <c r="AI408" s="6">
        <f t="shared" si="824"/>
        <v>5.5137245995453768E-6</v>
      </c>
      <c r="AJ408" s="8">
        <f t="shared" si="825"/>
        <v>27.467916447385914</v>
      </c>
      <c r="AK408" s="7">
        <f t="shared" si="826"/>
        <v>1.3799162968842645E-2</v>
      </c>
      <c r="AL408" s="9">
        <f t="shared" si="827"/>
        <v>0.43201605380036845</v>
      </c>
      <c r="AM408" s="4">
        <f t="shared" si="828"/>
        <v>1002.9651037818746</v>
      </c>
      <c r="AN408" s="6">
        <f t="shared" si="829"/>
        <v>5.5059302075637505E-6</v>
      </c>
      <c r="AO408" s="8">
        <f t="shared" si="830"/>
        <v>27.423098693491557</v>
      </c>
      <c r="AP408" s="7">
        <f t="shared" si="831"/>
        <v>1.3779655994336452E-2</v>
      </c>
      <c r="AQ408" s="9">
        <f t="shared" si="832"/>
        <v>0.43272210053104776</v>
      </c>
      <c r="AR408" s="4">
        <f t="shared" si="833"/>
        <v>998.46839567237782</v>
      </c>
      <c r="AS408" s="6">
        <f t="shared" si="834"/>
        <v>5.496936791344756E-6</v>
      </c>
      <c r="AT408" s="8">
        <f t="shared" si="835"/>
        <v>27.371386550232344</v>
      </c>
      <c r="AU408" s="7">
        <f t="shared" si="836"/>
        <v>1.3757148229610088E-2</v>
      </c>
      <c r="AV408" s="9">
        <f t="shared" si="837"/>
        <v>0.43353963263571565</v>
      </c>
      <c r="AW408" s="4">
        <f t="shared" si="838"/>
        <v>993.37207843244812</v>
      </c>
      <c r="AX408" s="6">
        <f t="shared" si="839"/>
        <v>5.486744156864896E-6</v>
      </c>
      <c r="AY408" s="8">
        <f t="shared" si="840"/>
        <v>27.312778901973154</v>
      </c>
      <c r="AZ408" s="7">
        <f t="shared" si="841"/>
        <v>1.3731639189082196E-2</v>
      </c>
      <c r="BA408" s="9">
        <f t="shared" si="842"/>
        <v>0.43446992019038466</v>
      </c>
      <c r="BB408" s="4">
        <f t="shared" si="843"/>
        <v>987.67555083045579</v>
      </c>
      <c r="BC408" s="6">
        <f t="shared" si="844"/>
        <v>5.4753511016609124E-6</v>
      </c>
      <c r="BD408" s="8">
        <f t="shared" si="845"/>
        <v>27.247268834550241</v>
      </c>
      <c r="BE408" s="7">
        <f t="shared" si="846"/>
        <v>1.3703125863355745E-2</v>
      </c>
      <c r="BF408" s="9">
        <f t="shared" si="847"/>
        <v>0.43551450759243682</v>
      </c>
      <c r="BG408" s="4">
        <f t="shared" si="848"/>
        <v>981.37538824027354</v>
      </c>
      <c r="BH408" s="6">
        <f t="shared" si="849"/>
        <v>5.4627507764805478E-6</v>
      </c>
      <c r="BI408" s="8">
        <f t="shared" si="850"/>
        <v>27.174816964763146</v>
      </c>
      <c r="BJ408" s="7">
        <f t="shared" si="851"/>
        <v>1.3671591110851313E-2</v>
      </c>
      <c r="BK408" s="9">
        <f t="shared" si="852"/>
        <v>0.43667565029435063</v>
      </c>
      <c r="BL408" s="4">
        <f t="shared" si="853"/>
        <v>974.45391812070875</v>
      </c>
      <c r="BM408" s="6">
        <f t="shared" si="854"/>
        <v>5.4489078362414176E-6</v>
      </c>
      <c r="BN408" s="8">
        <f t="shared" si="855"/>
        <v>27.095220058388151</v>
      </c>
      <c r="BO408" s="7">
        <f t="shared" si="856"/>
        <v>1.363694647365934E-2</v>
      </c>
      <c r="BP408" s="9">
        <f t="shared" si="857"/>
        <v>0.4379584607228254</v>
      </c>
      <c r="BQ408" s="4">
        <f t="shared" si="858"/>
        <v>966.82928667515068</v>
      </c>
      <c r="BR408" s="6">
        <f t="shared" si="859"/>
        <v>5.4336585733503012E-6</v>
      </c>
      <c r="BS408" s="8">
        <f t="shared" si="860"/>
        <v>27.007536796764231</v>
      </c>
      <c r="BT408" s="7">
        <f t="shared" si="861"/>
        <v>1.3598782241842867E-2</v>
      </c>
      <c r="BU408" s="9">
        <f t="shared" si="862"/>
        <v>0.43938034627206846</v>
      </c>
      <c r="BV408" s="4">
        <f t="shared" si="863"/>
        <v>958.16565369341799</v>
      </c>
      <c r="BW408" s="6">
        <f t="shared" si="864"/>
        <v>5.416331307386836E-6</v>
      </c>
      <c r="BX408" s="8">
        <f t="shared" si="865"/>
        <v>26.907905017474306</v>
      </c>
      <c r="BY408" s="7">
        <f t="shared" si="866"/>
        <v>1.355541740514898E-2</v>
      </c>
      <c r="BZ408" s="9">
        <f t="shared" si="867"/>
        <v>0.44100723791062896</v>
      </c>
      <c r="CA408" s="4">
        <f t="shared" si="868"/>
        <v>947.26296451311839</v>
      </c>
      <c r="CB408" s="6">
        <f t="shared" si="869"/>
        <v>5.394525929026237E-6</v>
      </c>
      <c r="CC408" s="8">
        <f t="shared" si="870"/>
        <v>26.782524091900861</v>
      </c>
      <c r="CD408" s="7">
        <f t="shared" si="871"/>
        <v>1.3500845225461227E-2</v>
      </c>
      <c r="CE408" s="9">
        <f t="shared" si="872"/>
        <v>0.44307178923835633</v>
      </c>
      <c r="CF408" s="4">
        <f t="shared" si="873"/>
        <v>930.47077205775838</v>
      </c>
      <c r="CG408" s="6">
        <f t="shared" si="874"/>
        <v>5.3609415441155172E-6</v>
      </c>
      <c r="CH408" s="8">
        <f t="shared" si="875"/>
        <v>26.589413878664221</v>
      </c>
      <c r="CI408" s="7">
        <f t="shared" si="876"/>
        <v>1.3416793802104032E-2</v>
      </c>
      <c r="CJ408" s="9">
        <f t="shared" si="877"/>
        <v>0.44628967467537284</v>
      </c>
      <c r="CK408" s="4">
        <f t="shared" si="878"/>
        <v>898.63737020282917</v>
      </c>
      <c r="CL408" s="6">
        <f t="shared" si="879"/>
        <v>5.2972747404056588E-6</v>
      </c>
      <c r="CM408" s="8">
        <f t="shared" si="880"/>
        <v>26.223329757332536</v>
      </c>
      <c r="CN408" s="7">
        <f t="shared" si="881"/>
        <v>1.3257455303374865E-2</v>
      </c>
      <c r="CO408" s="9">
        <f t="shared" si="882"/>
        <v>0.45251998809951965</v>
      </c>
      <c r="CP408" s="4">
        <f t="shared" si="883"/>
        <v>833.78300297733745</v>
      </c>
      <c r="CQ408" s="6">
        <f t="shared" si="884"/>
        <v>5.1675660059546753E-6</v>
      </c>
      <c r="CR408" s="8">
        <f t="shared" si="885"/>
        <v>25.47750453423938</v>
      </c>
      <c r="CS408" s="7">
        <f t="shared" si="886"/>
        <v>1.2932834090824815E-2</v>
      </c>
      <c r="CT408" s="9">
        <f t="shared" si="887"/>
        <v>0.46576700060126869</v>
      </c>
      <c r="CU408" s="4">
        <f t="shared" si="888"/>
        <v>710.71960464296569</v>
      </c>
      <c r="CV408" s="6">
        <f t="shared" si="889"/>
        <v>4.9214392092859323E-6</v>
      </c>
      <c r="CW408" s="8">
        <f t="shared" si="890"/>
        <v>24.062275453394104</v>
      </c>
      <c r="CX408" s="7">
        <f t="shared" si="891"/>
        <v>1.2316854145342731E-2</v>
      </c>
      <c r="CY408" s="9">
        <f t="shared" si="892"/>
        <v>0.49316120965791943</v>
      </c>
      <c r="CZ408" s="5">
        <f t="shared" si="893"/>
        <v>510.5515171563905</v>
      </c>
      <c r="DA408" s="6">
        <f t="shared" si="894"/>
        <v>7.0561467032606572E-6</v>
      </c>
      <c r="DB408" s="8">
        <f t="shared" si="895"/>
        <v>38.689006002464673</v>
      </c>
      <c r="DC408" s="7">
        <f t="shared" si="896"/>
        <v>1.7659372812777761E-2</v>
      </c>
      <c r="DD408" s="9">
        <f t="shared" si="897"/>
        <v>0.30671712964044467</v>
      </c>
    </row>
    <row r="409" spans="2:108" x14ac:dyDescent="0.25">
      <c r="B409">
        <v>142</v>
      </c>
      <c r="C409">
        <f t="shared" si="805"/>
        <v>0.13882128262102572</v>
      </c>
      <c r="D409" s="4">
        <f t="shared" si="806"/>
        <v>1017.6728314994745</v>
      </c>
      <c r="E409" s="6">
        <f t="shared" si="794"/>
        <v>5.5353456629989492E-6</v>
      </c>
      <c r="F409" s="8">
        <f t="shared" si="807"/>
        <v>27.592237562243955</v>
      </c>
      <c r="G409" s="7">
        <f t="shared" si="792"/>
        <v>1.3853273864802182E-2</v>
      </c>
      <c r="H409" s="9">
        <f t="shared" si="808"/>
        <v>0.43006953832390976</v>
      </c>
      <c r="I409" s="4">
        <f t="shared" si="809"/>
        <v>1017.3482507584475</v>
      </c>
      <c r="J409" s="6">
        <f t="shared" si="795"/>
        <v>5.5346965015168955E-6</v>
      </c>
      <c r="K409" s="8">
        <f t="shared" si="810"/>
        <v>27.588504883722145</v>
      </c>
      <c r="L409" s="7">
        <f t="shared" si="796"/>
        <v>1.3851649212550835E-2</v>
      </c>
      <c r="M409" s="9">
        <f t="shared" si="811"/>
        <v>0.43012772601241817</v>
      </c>
      <c r="N409" s="4">
        <f t="shared" si="812"/>
        <v>1016.4423738477501</v>
      </c>
      <c r="O409" s="6">
        <f t="shared" si="797"/>
        <v>5.5328847476955003E-6</v>
      </c>
      <c r="P409" s="8">
        <f t="shared" si="798"/>
        <v>27.578087299249127</v>
      </c>
      <c r="Q409" s="7">
        <f t="shared" si="793"/>
        <v>1.3853273864802182E-2</v>
      </c>
      <c r="R409" s="9">
        <f t="shared" si="813"/>
        <v>0.43029020616817731</v>
      </c>
      <c r="S409" s="4">
        <f t="shared" si="814"/>
        <v>1014.9408851379677</v>
      </c>
      <c r="T409" s="6">
        <f t="shared" si="799"/>
        <v>5.5298817702759362E-6</v>
      </c>
      <c r="U409" s="8">
        <f t="shared" si="800"/>
        <v>27.560820179086626</v>
      </c>
      <c r="V409" s="7">
        <f t="shared" si="801"/>
        <v>1.3839599415749113E-2</v>
      </c>
      <c r="W409" s="9">
        <f t="shared" si="815"/>
        <v>0.43055978714023746</v>
      </c>
      <c r="X409" s="4">
        <f t="shared" si="816"/>
        <v>1012.8417212025162</v>
      </c>
      <c r="Y409" s="6">
        <f t="shared" si="802"/>
        <v>5.5256834424050327E-6</v>
      </c>
      <c r="Z409" s="8">
        <f t="shared" si="803"/>
        <v>27.536679793828934</v>
      </c>
      <c r="AA409" s="7">
        <f t="shared" si="804"/>
        <v>1.3829092287683267E-2</v>
      </c>
      <c r="AB409" s="9">
        <f t="shared" si="817"/>
        <v>0.43093724292705909</v>
      </c>
      <c r="AC409" s="4">
        <f t="shared" si="818"/>
        <v>1010.1434296880013</v>
      </c>
      <c r="AD409" s="6">
        <f t="shared" si="819"/>
        <v>5.5202868593760032E-6</v>
      </c>
      <c r="AE409" s="8">
        <f t="shared" si="820"/>
        <v>27.505649441412015</v>
      </c>
      <c r="AF409" s="7">
        <f t="shared" si="821"/>
        <v>1.3815586294166904E-2</v>
      </c>
      <c r="AG409" s="9">
        <f t="shared" si="822"/>
        <v>0.43142340249024574</v>
      </c>
      <c r="AH409" s="4">
        <f t="shared" si="823"/>
        <v>1006.8457340497449</v>
      </c>
      <c r="AI409" s="6">
        <f t="shared" si="824"/>
        <v>5.513691468099491E-6</v>
      </c>
      <c r="AJ409" s="8">
        <f t="shared" si="825"/>
        <v>27.467725941572066</v>
      </c>
      <c r="AK409" s="7">
        <f t="shared" si="826"/>
        <v>1.3799080050986862E-2</v>
      </c>
      <c r="AL409" s="9">
        <f t="shared" si="827"/>
        <v>0.43201905010119435</v>
      </c>
      <c r="AM409" s="4">
        <f t="shared" si="828"/>
        <v>1002.9485576265416</v>
      </c>
      <c r="AN409" s="6">
        <f t="shared" si="829"/>
        <v>5.5058971152530832E-6</v>
      </c>
      <c r="AO409" s="8">
        <f t="shared" si="830"/>
        <v>27.422908412705226</v>
      </c>
      <c r="AP409" s="7">
        <f t="shared" si="831"/>
        <v>1.3779573174424129E-2</v>
      </c>
      <c r="AQ409" s="9">
        <f t="shared" si="832"/>
        <v>0.43272510308279438</v>
      </c>
      <c r="AR409" s="4">
        <f t="shared" si="833"/>
        <v>998.45187157731607</v>
      </c>
      <c r="AS409" s="6">
        <f t="shared" si="834"/>
        <v>5.4969037431546322E-6</v>
      </c>
      <c r="AT409" s="8">
        <f t="shared" si="835"/>
        <v>27.371196523139133</v>
      </c>
      <c r="AU409" s="7">
        <f t="shared" si="836"/>
        <v>1.3757065520117961E-2</v>
      </c>
      <c r="AV409" s="9">
        <f t="shared" si="837"/>
        <v>0.4335426425251851</v>
      </c>
      <c r="AW409" s="4">
        <f t="shared" si="838"/>
        <v>993.35557252841363</v>
      </c>
      <c r="AX409" s="6">
        <f t="shared" si="839"/>
        <v>5.486711145056827E-6</v>
      </c>
      <c r="AY409" s="8">
        <f t="shared" si="840"/>
        <v>27.312589084076755</v>
      </c>
      <c r="AZ409" s="7">
        <f t="shared" si="841"/>
        <v>1.3731556570643207E-2</v>
      </c>
      <c r="BA409" s="9">
        <f t="shared" si="842"/>
        <v>0.43447293968319239</v>
      </c>
      <c r="BB409" s="4">
        <f t="shared" si="843"/>
        <v>987.65902532096572</v>
      </c>
      <c r="BC409" s="6">
        <f t="shared" si="844"/>
        <v>5.4753180506419323E-6</v>
      </c>
      <c r="BD409" s="8">
        <f t="shared" si="845"/>
        <v>27.247078791191107</v>
      </c>
      <c r="BE409" s="7">
        <f t="shared" si="846"/>
        <v>1.3703043146783859E-2</v>
      </c>
      <c r="BF409" s="9">
        <f t="shared" si="847"/>
        <v>0.43551754522596109</v>
      </c>
      <c r="BG409" s="4">
        <f t="shared" si="848"/>
        <v>981.35863913623223</v>
      </c>
      <c r="BH409" s="6">
        <f t="shared" si="849"/>
        <v>5.4627172782724647E-6</v>
      </c>
      <c r="BI409" s="8">
        <f t="shared" si="850"/>
        <v>27.174624350066672</v>
      </c>
      <c r="BJ409" s="7">
        <f t="shared" si="851"/>
        <v>1.3671507275102145E-2</v>
      </c>
      <c r="BK409" s="9">
        <f t="shared" si="852"/>
        <v>0.4366787454667716</v>
      </c>
      <c r="BL409" s="4">
        <f t="shared" si="853"/>
        <v>974.43601871496764</v>
      </c>
      <c r="BM409" s="6">
        <f t="shared" si="854"/>
        <v>5.4488720374299359E-6</v>
      </c>
      <c r="BN409" s="8">
        <f t="shared" si="855"/>
        <v>27.095014215222129</v>
      </c>
      <c r="BO409" s="7">
        <f t="shared" si="856"/>
        <v>1.3636856880204894E-2</v>
      </c>
      <c r="BP409" s="9">
        <f t="shared" si="857"/>
        <v>0.43796178793112378</v>
      </c>
      <c r="BQ409" s="4">
        <f t="shared" si="858"/>
        <v>966.806574854872</v>
      </c>
      <c r="BR409" s="6">
        <f t="shared" si="859"/>
        <v>5.4336131497097443E-6</v>
      </c>
      <c r="BS409" s="8">
        <f t="shared" si="860"/>
        <v>27.007275610831027</v>
      </c>
      <c r="BT409" s="7">
        <f t="shared" si="861"/>
        <v>1.3598668560390815E-2</v>
      </c>
      <c r="BU409" s="9">
        <f t="shared" si="862"/>
        <v>0.43938459549614522</v>
      </c>
      <c r="BV409" s="4">
        <f t="shared" si="863"/>
        <v>958.12570279849888</v>
      </c>
      <c r="BW409" s="6">
        <f t="shared" si="864"/>
        <v>5.4162514055969989E-6</v>
      </c>
      <c r="BX409" s="8">
        <f t="shared" si="865"/>
        <v>26.907445582182739</v>
      </c>
      <c r="BY409" s="7">
        <f t="shared" si="866"/>
        <v>1.3555217435455255E-2</v>
      </c>
      <c r="BZ409" s="9">
        <f t="shared" si="867"/>
        <v>0.44101476795610706</v>
      </c>
      <c r="CA409" s="4">
        <f t="shared" si="868"/>
        <v>947.17061734422407</v>
      </c>
      <c r="CB409" s="6">
        <f t="shared" si="869"/>
        <v>5.3943412346884494E-6</v>
      </c>
      <c r="CC409" s="8">
        <f t="shared" si="870"/>
        <v>26.781462099458576</v>
      </c>
      <c r="CD409" s="7">
        <f t="shared" si="871"/>
        <v>1.3500382992134094E-2</v>
      </c>
      <c r="CE409" s="9">
        <f t="shared" si="872"/>
        <v>0.44308935881278111</v>
      </c>
      <c r="CF409" s="4">
        <f t="shared" si="873"/>
        <v>930.24719546562403</v>
      </c>
      <c r="CG409" s="6">
        <f t="shared" si="874"/>
        <v>5.3604943909312491E-6</v>
      </c>
      <c r="CH409" s="8">
        <f t="shared" si="875"/>
        <v>26.586842747854675</v>
      </c>
      <c r="CI409" s="7">
        <f t="shared" si="876"/>
        <v>1.3415674714715763E-2</v>
      </c>
      <c r="CJ409" s="9">
        <f t="shared" si="877"/>
        <v>0.44633283396071644</v>
      </c>
      <c r="CK409" s="4">
        <f t="shared" si="878"/>
        <v>898.15622074150849</v>
      </c>
      <c r="CL409" s="6">
        <f t="shared" si="879"/>
        <v>5.2963124414830173E-6</v>
      </c>
      <c r="CM409" s="8">
        <f t="shared" si="880"/>
        <v>26.217796538527345</v>
      </c>
      <c r="CN409" s="7">
        <f t="shared" si="881"/>
        <v>1.3255046964071997E-2</v>
      </c>
      <c r="CO409" s="9">
        <f t="shared" si="882"/>
        <v>0.45261549162912396</v>
      </c>
      <c r="CP409" s="4">
        <f t="shared" si="883"/>
        <v>832.94224901381506</v>
      </c>
      <c r="CQ409" s="6">
        <f t="shared" si="884"/>
        <v>5.1658844980276305E-6</v>
      </c>
      <c r="CR409" s="8">
        <f t="shared" si="885"/>
        <v>25.46783586365887</v>
      </c>
      <c r="CS409" s="7">
        <f t="shared" si="886"/>
        <v>1.2928625791788514E-2</v>
      </c>
      <c r="CT409" s="9">
        <f t="shared" si="887"/>
        <v>0.46594382550779762</v>
      </c>
      <c r="CU409" s="4">
        <f t="shared" si="888"/>
        <v>709.61277489316933</v>
      </c>
      <c r="CV409" s="6">
        <f t="shared" si="889"/>
        <v>4.9192255497863393E-6</v>
      </c>
      <c r="CW409" s="8">
        <f t="shared" si="890"/>
        <v>24.049546911271449</v>
      </c>
      <c r="CX409" s="7">
        <f t="shared" si="891"/>
        <v>1.2311314034000405E-2</v>
      </c>
      <c r="CY409" s="9">
        <f t="shared" si="892"/>
        <v>0.49342222177817058</v>
      </c>
      <c r="CZ409" s="5">
        <f t="shared" si="893"/>
        <v>509.57066377376157</v>
      </c>
      <c r="DA409" s="6">
        <f t="shared" si="894"/>
        <v>7.070964270666974E-6</v>
      </c>
      <c r="DB409" s="8">
        <f t="shared" si="895"/>
        <v>38.717450750560914</v>
      </c>
      <c r="DC409" s="7">
        <f t="shared" si="896"/>
        <v>1.7696456643090656E-2</v>
      </c>
      <c r="DD409" s="9">
        <f t="shared" si="897"/>
        <v>0.30649179219388517</v>
      </c>
    </row>
    <row r="410" spans="2:108" x14ac:dyDescent="0.25">
      <c r="B410">
        <v>143</v>
      </c>
      <c r="C410">
        <f t="shared" si="805"/>
        <v>0.13979889728737097</v>
      </c>
      <c r="D410" s="4">
        <f t="shared" si="806"/>
        <v>1017.6562600465107</v>
      </c>
      <c r="E410" s="6">
        <f t="shared" si="794"/>
        <v>5.5353125200930219E-6</v>
      </c>
      <c r="F410" s="8">
        <f t="shared" si="807"/>
        <v>27.592046990534872</v>
      </c>
      <c r="G410" s="7">
        <f t="shared" si="792"/>
        <v>1.3853190918265427E-2</v>
      </c>
      <c r="H410" s="9">
        <f t="shared" si="808"/>
        <v>0.43007250871197017</v>
      </c>
      <c r="I410" s="4">
        <f t="shared" si="809"/>
        <v>1017.331675069246</v>
      </c>
      <c r="J410" s="6">
        <f t="shared" si="795"/>
        <v>5.5346633501384924E-6</v>
      </c>
      <c r="K410" s="8">
        <f t="shared" si="810"/>
        <v>27.588314263296326</v>
      </c>
      <c r="L410" s="7">
        <f t="shared" si="796"/>
        <v>1.3851566244810069E-2</v>
      </c>
      <c r="M410" s="9">
        <f t="shared" si="811"/>
        <v>0.43013069796385767</v>
      </c>
      <c r="N410" s="4">
        <f t="shared" si="812"/>
        <v>1016.425787245367</v>
      </c>
      <c r="O410" s="6">
        <f t="shared" si="797"/>
        <v>5.5328515744907343E-6</v>
      </c>
      <c r="P410" s="8">
        <f t="shared" si="798"/>
        <v>27.577896553321722</v>
      </c>
      <c r="Q410" s="7">
        <f t="shared" si="793"/>
        <v>1.3853190918265427E-2</v>
      </c>
      <c r="R410" s="9">
        <f t="shared" si="813"/>
        <v>0.43029318232352948</v>
      </c>
      <c r="S410" s="4">
        <f t="shared" si="814"/>
        <v>1014.9242920075386</v>
      </c>
      <c r="T410" s="6">
        <f t="shared" si="799"/>
        <v>5.5298485840150781E-6</v>
      </c>
      <c r="U410" s="8">
        <f t="shared" si="800"/>
        <v>27.560629358086693</v>
      </c>
      <c r="V410" s="7">
        <f t="shared" si="801"/>
        <v>1.3839516360708253E-2</v>
      </c>
      <c r="W410" s="9">
        <f t="shared" si="815"/>
        <v>0.43056276819876282</v>
      </c>
      <c r="X410" s="4">
        <f t="shared" si="816"/>
        <v>1012.8251302586849</v>
      </c>
      <c r="Y410" s="6">
        <f t="shared" si="802"/>
        <v>5.5256502605173701E-6</v>
      </c>
      <c r="Z410" s="8">
        <f t="shared" si="803"/>
        <v>27.536488997974878</v>
      </c>
      <c r="AA410" s="7">
        <f t="shared" si="804"/>
        <v>1.3829009243587174E-2</v>
      </c>
      <c r="AB410" s="9">
        <f t="shared" si="817"/>
        <v>0.43094022882113275</v>
      </c>
      <c r="AC410" s="4">
        <f t="shared" si="818"/>
        <v>1010.1268486666575</v>
      </c>
      <c r="AD410" s="6">
        <f t="shared" si="819"/>
        <v>5.5202536973333155E-6</v>
      </c>
      <c r="AE410" s="8">
        <f t="shared" si="820"/>
        <v>27.50545875966656</v>
      </c>
      <c r="AF410" s="7">
        <f t="shared" si="821"/>
        <v>1.3815503299736704E-2</v>
      </c>
      <c r="AG410" s="9">
        <f t="shared" si="822"/>
        <v>0.43142639333537708</v>
      </c>
      <c r="AH410" s="4">
        <f t="shared" si="823"/>
        <v>1006.8291685227568</v>
      </c>
      <c r="AI410" s="6">
        <f t="shared" si="824"/>
        <v>5.5136583370455138E-6</v>
      </c>
      <c r="AJ410" s="8">
        <f t="shared" si="825"/>
        <v>27.467535438011701</v>
      </c>
      <c r="AK410" s="7">
        <f t="shared" si="826"/>
        <v>1.3798997134111906E-2</v>
      </c>
      <c r="AL410" s="9">
        <f t="shared" si="827"/>
        <v>0.43202204640813918</v>
      </c>
      <c r="AM410" s="4">
        <f t="shared" si="828"/>
        <v>1002.9320116460588</v>
      </c>
      <c r="AN410" s="6">
        <f t="shared" si="829"/>
        <v>5.5058640232921185E-6</v>
      </c>
      <c r="AO410" s="8">
        <f t="shared" si="830"/>
        <v>27.422718133929674</v>
      </c>
      <c r="AP410" s="7">
        <f t="shared" si="831"/>
        <v>1.3779490355387003E-2</v>
      </c>
      <c r="AQ410" s="9">
        <f t="shared" si="832"/>
        <v>0.43272810564447933</v>
      </c>
      <c r="AR410" s="4">
        <f t="shared" si="833"/>
        <v>998.43534756291763</v>
      </c>
      <c r="AS410" s="6">
        <f t="shared" si="834"/>
        <v>5.496870695125836E-6</v>
      </c>
      <c r="AT410" s="8">
        <f t="shared" si="835"/>
        <v>27.37100649697355</v>
      </c>
      <c r="AU410" s="7">
        <f t="shared" si="836"/>
        <v>1.3756982811029592E-2</v>
      </c>
      <c r="AV410" s="9">
        <f t="shared" si="837"/>
        <v>0.43354565244175447</v>
      </c>
      <c r="AW410" s="4">
        <f t="shared" si="838"/>
        <v>993.33906620256801</v>
      </c>
      <c r="AX410" s="6">
        <f t="shared" si="839"/>
        <v>5.4866781324051369E-6</v>
      </c>
      <c r="AY410" s="8">
        <f t="shared" si="840"/>
        <v>27.312399261329531</v>
      </c>
      <c r="AZ410" s="7">
        <f t="shared" si="841"/>
        <v>1.3731473950092891E-2</v>
      </c>
      <c r="BA410" s="9">
        <f t="shared" si="842"/>
        <v>0.43447595929513549</v>
      </c>
      <c r="BB410" s="4">
        <f t="shared" si="843"/>
        <v>987.64249694286127</v>
      </c>
      <c r="BC410" s="6">
        <f t="shared" si="844"/>
        <v>5.4752849938857237E-6</v>
      </c>
      <c r="BD410" s="8">
        <f t="shared" si="845"/>
        <v>27.246888714842903</v>
      </c>
      <c r="BE410" s="7">
        <f t="shared" si="846"/>
        <v>1.3702960415853449E-2</v>
      </c>
      <c r="BF410" s="9">
        <f t="shared" si="847"/>
        <v>0.43552058342916444</v>
      </c>
      <c r="BG410" s="4">
        <f t="shared" si="848"/>
        <v>981.34187657893324</v>
      </c>
      <c r="BH410" s="6">
        <f t="shared" si="849"/>
        <v>5.4626837531578667E-6</v>
      </c>
      <c r="BI410" s="8">
        <f t="shared" si="850"/>
        <v>27.174431580657732</v>
      </c>
      <c r="BJ410" s="7">
        <f t="shared" si="851"/>
        <v>1.3671423372014218E-2</v>
      </c>
      <c r="BK410" s="9">
        <f t="shared" si="852"/>
        <v>0.43668184316923542</v>
      </c>
      <c r="BL410" s="4">
        <f t="shared" si="853"/>
        <v>974.41806595616413</v>
      </c>
      <c r="BM410" s="6">
        <f t="shared" si="854"/>
        <v>5.4488361319123283E-6</v>
      </c>
      <c r="BN410" s="8">
        <f t="shared" si="855"/>
        <v>27.094807758495886</v>
      </c>
      <c r="BO410" s="7">
        <f t="shared" si="856"/>
        <v>1.3636767019697718E-2</v>
      </c>
      <c r="BP410" s="9">
        <f t="shared" si="857"/>
        <v>0.43796512510766927</v>
      </c>
      <c r="BQ410" s="4">
        <f t="shared" si="858"/>
        <v>966.78368215897638</v>
      </c>
      <c r="BR410" s="6">
        <f t="shared" si="859"/>
        <v>5.433567364317953E-6</v>
      </c>
      <c r="BS410" s="8">
        <f t="shared" si="860"/>
        <v>27.007012344828226</v>
      </c>
      <c r="BT410" s="7">
        <f t="shared" si="861"/>
        <v>1.3598553973586286E-2</v>
      </c>
      <c r="BU410" s="9">
        <f t="shared" si="862"/>
        <v>0.43938887864396886</v>
      </c>
      <c r="BV410" s="4">
        <f t="shared" si="863"/>
        <v>958.08524033385891</v>
      </c>
      <c r="BW410" s="6">
        <f t="shared" si="864"/>
        <v>5.4161704806677182E-6</v>
      </c>
      <c r="BX410" s="8">
        <f t="shared" si="865"/>
        <v>26.906980263839376</v>
      </c>
      <c r="BY410" s="7">
        <f t="shared" si="866"/>
        <v>1.3555014905157045E-2</v>
      </c>
      <c r="BZ410" s="9">
        <f t="shared" si="867"/>
        <v>0.44102239468564758</v>
      </c>
      <c r="CA410" s="4">
        <f t="shared" si="868"/>
        <v>947.07712000228571</v>
      </c>
      <c r="CB410" s="6">
        <f t="shared" si="869"/>
        <v>5.3941542400045723E-6</v>
      </c>
      <c r="CC410" s="8">
        <f t="shared" si="870"/>
        <v>26.780386880026285</v>
      </c>
      <c r="CD410" s="7">
        <f t="shared" si="871"/>
        <v>1.3499915001745647E-2</v>
      </c>
      <c r="CE410" s="9">
        <f t="shared" si="872"/>
        <v>0.44310714863377848</v>
      </c>
      <c r="CF410" s="4">
        <f t="shared" si="873"/>
        <v>930.02175697305017</v>
      </c>
      <c r="CG410" s="6">
        <f t="shared" si="874"/>
        <v>5.3600435139461003E-6</v>
      </c>
      <c r="CH410" s="8">
        <f t="shared" si="875"/>
        <v>26.584250205190074</v>
      </c>
      <c r="CI410" s="7">
        <f t="shared" si="876"/>
        <v>1.3414546307795061E-2</v>
      </c>
      <c r="CJ410" s="9">
        <f t="shared" si="877"/>
        <v>0.44637636112081025</v>
      </c>
      <c r="CK410" s="4">
        <f t="shared" si="878"/>
        <v>897.67349953758173</v>
      </c>
      <c r="CL410" s="6">
        <f t="shared" si="879"/>
        <v>5.2953469990751639E-6</v>
      </c>
      <c r="CM410" s="8">
        <f t="shared" si="880"/>
        <v>26.212245244682187</v>
      </c>
      <c r="CN410" s="7">
        <f t="shared" si="881"/>
        <v>1.3252630757588979E-2</v>
      </c>
      <c r="CO410" s="9">
        <f t="shared" si="882"/>
        <v>0.45271134765249965</v>
      </c>
      <c r="CP410" s="4">
        <f t="shared" si="883"/>
        <v>832.10265747848746</v>
      </c>
      <c r="CQ410" s="6">
        <f t="shared" si="884"/>
        <v>5.1642053149569753E-6</v>
      </c>
      <c r="CR410" s="8">
        <f t="shared" si="885"/>
        <v>25.458180561002607</v>
      </c>
      <c r="CS410" s="7">
        <f t="shared" si="886"/>
        <v>1.2924423311155295E-2</v>
      </c>
      <c r="CT410" s="9">
        <f t="shared" si="887"/>
        <v>0.46612053996880615</v>
      </c>
      <c r="CU410" s="4">
        <f t="shared" si="888"/>
        <v>708.51132431890233</v>
      </c>
      <c r="CV410" s="6">
        <f t="shared" si="889"/>
        <v>4.9170226486378053E-6</v>
      </c>
      <c r="CW410" s="8">
        <f t="shared" si="890"/>
        <v>24.036880229667375</v>
      </c>
      <c r="CX410" s="7">
        <f t="shared" si="891"/>
        <v>1.2305800847513837E-2</v>
      </c>
      <c r="CY410" s="9">
        <f t="shared" si="892"/>
        <v>0.49368223980546538</v>
      </c>
      <c r="CZ410" s="5">
        <f t="shared" si="893"/>
        <v>508.59597506207723</v>
      </c>
      <c r="DA410" s="6">
        <f t="shared" si="894"/>
        <v>7.0856780530697554E-6</v>
      </c>
      <c r="DB410" s="8">
        <f t="shared" si="895"/>
        <v>38.745716723199756</v>
      </c>
      <c r="DC410" s="7">
        <f t="shared" si="896"/>
        <v>1.7733280731345048E-2</v>
      </c>
      <c r="DD410" s="9">
        <f t="shared" si="897"/>
        <v>0.30626819874034106</v>
      </c>
    </row>
    <row r="411" spans="2:108" x14ac:dyDescent="0.25">
      <c r="B411">
        <v>144</v>
      </c>
      <c r="C411">
        <f t="shared" si="805"/>
        <v>0.14077651195371621</v>
      </c>
      <c r="D411" s="4">
        <f t="shared" si="806"/>
        <v>1017.6396883772661</v>
      </c>
      <c r="E411" s="6">
        <f t="shared" si="794"/>
        <v>5.5352793767545326E-6</v>
      </c>
      <c r="F411" s="8">
        <f t="shared" si="807"/>
        <v>27.591856416338558</v>
      </c>
      <c r="G411" s="7">
        <f t="shared" si="792"/>
        <v>1.3853107970646102E-2</v>
      </c>
      <c r="H411" s="9">
        <f t="shared" si="808"/>
        <v>0.43007547917983097</v>
      </c>
      <c r="I411" s="4">
        <f t="shared" si="809"/>
        <v>1017.3150992818636</v>
      </c>
      <c r="J411" s="6">
        <f t="shared" si="795"/>
        <v>5.5346301985637284E-6</v>
      </c>
      <c r="K411" s="8">
        <f t="shared" si="810"/>
        <v>27.588123641741433</v>
      </c>
      <c r="L411" s="7">
        <f t="shared" si="796"/>
        <v>1.3851483276577875E-2</v>
      </c>
      <c r="M411" s="9">
        <f t="shared" si="811"/>
        <v>0.43013366997397035</v>
      </c>
      <c r="N411" s="4">
        <f t="shared" si="812"/>
        <v>1016.4092007426784</v>
      </c>
      <c r="O411" s="6">
        <f t="shared" si="797"/>
        <v>5.5328184014853574E-6</v>
      </c>
      <c r="P411" s="8">
        <f t="shared" si="798"/>
        <v>27.577705808540799</v>
      </c>
      <c r="Q411" s="7">
        <f t="shared" si="793"/>
        <v>1.3853107970646102E-2</v>
      </c>
      <c r="R411" s="9">
        <f t="shared" si="813"/>
        <v>0.43029615850216318</v>
      </c>
      <c r="S411" s="4">
        <f t="shared" si="814"/>
        <v>1014.907699087164</v>
      </c>
      <c r="T411" s="6">
        <f t="shared" si="799"/>
        <v>5.5298153981743288E-6</v>
      </c>
      <c r="U411" s="8">
        <f t="shared" si="800"/>
        <v>27.560438539502385</v>
      </c>
      <c r="V411" s="7">
        <f t="shared" si="801"/>
        <v>1.3839433306718796E-2</v>
      </c>
      <c r="W411" s="9">
        <f t="shared" si="815"/>
        <v>0.43056574926082997</v>
      </c>
      <c r="X411" s="4">
        <f t="shared" si="816"/>
        <v>1012.8085395424278</v>
      </c>
      <c r="Y411" s="6">
        <f t="shared" si="802"/>
        <v>5.5256170790848556E-6</v>
      </c>
      <c r="Z411" s="8">
        <f t="shared" si="803"/>
        <v>27.536298204737918</v>
      </c>
      <c r="AA411" s="7">
        <f t="shared" si="804"/>
        <v>1.3828926200630179E-2</v>
      </c>
      <c r="AB411" s="9">
        <f t="shared" si="817"/>
        <v>0.43094321471562669</v>
      </c>
      <c r="AC411" s="4">
        <f t="shared" si="818"/>
        <v>1010.1102678570841</v>
      </c>
      <c r="AD411" s="6">
        <f t="shared" si="819"/>
        <v>5.5202205357141679E-6</v>
      </c>
      <c r="AE411" s="8">
        <f t="shared" si="820"/>
        <v>27.505268080356466</v>
      </c>
      <c r="AF411" s="7">
        <f t="shared" si="821"/>
        <v>1.3815420306366491E-2</v>
      </c>
      <c r="AG411" s="9">
        <f t="shared" si="822"/>
        <v>0.43142938418377735</v>
      </c>
      <c r="AH411" s="4">
        <f t="shared" si="823"/>
        <v>1006.8126031916064</v>
      </c>
      <c r="AI411" s="6">
        <f t="shared" si="824"/>
        <v>5.5136252063832132E-6</v>
      </c>
      <c r="AJ411" s="8">
        <f t="shared" si="825"/>
        <v>27.467344936703473</v>
      </c>
      <c r="AK411" s="7">
        <f t="shared" si="826"/>
        <v>1.3798914218217197E-2</v>
      </c>
      <c r="AL411" s="9">
        <f t="shared" si="827"/>
        <v>0.43202504272122344</v>
      </c>
      <c r="AM411" s="4">
        <f t="shared" si="828"/>
        <v>1002.9154658393019</v>
      </c>
      <c r="AN411" s="6">
        <f t="shared" si="829"/>
        <v>5.5058309316786042E-6</v>
      </c>
      <c r="AO411" s="8">
        <f t="shared" si="830"/>
        <v>27.422527857151969</v>
      </c>
      <c r="AP411" s="7">
        <f t="shared" si="831"/>
        <v>1.377940753721944E-2</v>
      </c>
      <c r="AQ411" s="9">
        <f t="shared" si="832"/>
        <v>0.43273110821630612</v>
      </c>
      <c r="AR411" s="4">
        <f t="shared" si="833"/>
        <v>998.41882362304182</v>
      </c>
      <c r="AS411" s="6">
        <f t="shared" si="834"/>
        <v>5.4968376472460837E-6</v>
      </c>
      <c r="AT411" s="8">
        <f t="shared" si="835"/>
        <v>27.37081647166498</v>
      </c>
      <c r="AU411" s="7">
        <f t="shared" si="836"/>
        <v>1.3756900102314232E-2</v>
      </c>
      <c r="AV411" s="9">
        <f t="shared" si="837"/>
        <v>0.43354866238654255</v>
      </c>
      <c r="AW411" s="4">
        <f t="shared" si="838"/>
        <v>993.32255942591507</v>
      </c>
      <c r="AX411" s="6">
        <f t="shared" si="839"/>
        <v>5.4866451188518311E-6</v>
      </c>
      <c r="AY411" s="8">
        <f t="shared" si="840"/>
        <v>27.312209433398024</v>
      </c>
      <c r="AZ411" s="7">
        <f t="shared" si="841"/>
        <v>1.3731391327286105E-2</v>
      </c>
      <c r="BA411" s="9">
        <f t="shared" si="842"/>
        <v>0.43447897903152277</v>
      </c>
      <c r="BB411" s="4">
        <f t="shared" si="843"/>
        <v>987.62596557549</v>
      </c>
      <c r="BC411" s="6">
        <f t="shared" si="844"/>
        <v>5.4752519311509804E-6</v>
      </c>
      <c r="BD411" s="8">
        <f t="shared" si="845"/>
        <v>27.246698604118134</v>
      </c>
      <c r="BE411" s="7">
        <f t="shared" si="846"/>
        <v>1.37028776699606E-2</v>
      </c>
      <c r="BF411" s="9">
        <f t="shared" si="847"/>
        <v>0.43552362222424829</v>
      </c>
      <c r="BG411" s="4">
        <f t="shared" si="848"/>
        <v>981.32510013541184</v>
      </c>
      <c r="BH411" s="6">
        <f t="shared" si="849"/>
        <v>5.4626502002708244E-6</v>
      </c>
      <c r="BI411" s="8">
        <f t="shared" si="850"/>
        <v>27.174238651557236</v>
      </c>
      <c r="BJ411" s="7">
        <f t="shared" si="851"/>
        <v>1.3671339399420371E-2</v>
      </c>
      <c r="BK411" s="9">
        <f t="shared" si="852"/>
        <v>0.43668494348186188</v>
      </c>
      <c r="BL411" s="4">
        <f t="shared" si="853"/>
        <v>974.40005855175525</v>
      </c>
      <c r="BM411" s="6">
        <f t="shared" si="854"/>
        <v>5.4488001171035114E-6</v>
      </c>
      <c r="BN411" s="8">
        <f t="shared" si="855"/>
        <v>27.094600673345184</v>
      </c>
      <c r="BO411" s="7">
        <f t="shared" si="856"/>
        <v>1.3636676885668136E-2</v>
      </c>
      <c r="BP411" s="9">
        <f t="shared" si="857"/>
        <v>0.43796847249318821</v>
      </c>
      <c r="BQ411" s="4">
        <f t="shared" si="858"/>
        <v>966.76060557939877</v>
      </c>
      <c r="BR411" s="6">
        <f t="shared" si="859"/>
        <v>5.433521211158798E-6</v>
      </c>
      <c r="BS411" s="8">
        <f t="shared" si="860"/>
        <v>27.006746964163085</v>
      </c>
      <c r="BT411" s="7">
        <f t="shared" si="861"/>
        <v>1.3598438466372749E-2</v>
      </c>
      <c r="BU411" s="9">
        <f t="shared" si="862"/>
        <v>0.43939319628033674</v>
      </c>
      <c r="BV411" s="4">
        <f t="shared" si="863"/>
        <v>958.04426165306631</v>
      </c>
      <c r="BW411" s="6">
        <f t="shared" si="864"/>
        <v>5.4160885233061326E-6</v>
      </c>
      <c r="BX411" s="8">
        <f t="shared" si="865"/>
        <v>26.906509009010264</v>
      </c>
      <c r="BY411" s="7">
        <f t="shared" si="866"/>
        <v>1.3554809790997172E-2</v>
      </c>
      <c r="BZ411" s="9">
        <f t="shared" si="867"/>
        <v>0.44103011898511624</v>
      </c>
      <c r="CA411" s="4">
        <f t="shared" si="868"/>
        <v>946.98247093845794</v>
      </c>
      <c r="CB411" s="6">
        <f t="shared" si="869"/>
        <v>5.3939649418769164E-6</v>
      </c>
      <c r="CC411" s="8">
        <f t="shared" si="870"/>
        <v>26.779298415792265</v>
      </c>
      <c r="CD411" s="7">
        <f t="shared" si="871"/>
        <v>1.3499441246543321E-2</v>
      </c>
      <c r="CE411" s="9">
        <f t="shared" si="872"/>
        <v>0.44312515904897448</v>
      </c>
      <c r="CF411" s="4">
        <f t="shared" si="873"/>
        <v>929.794470153779</v>
      </c>
      <c r="CG411" s="6">
        <f t="shared" si="874"/>
        <v>5.3595889403075581E-6</v>
      </c>
      <c r="CH411" s="8">
        <f t="shared" si="875"/>
        <v>26.58163640676846</v>
      </c>
      <c r="CI411" s="7">
        <f t="shared" si="876"/>
        <v>1.3413408649283771E-2</v>
      </c>
      <c r="CJ411" s="9">
        <f t="shared" si="877"/>
        <v>0.44642025374691835</v>
      </c>
      <c r="CK411" s="4">
        <f t="shared" si="878"/>
        <v>897.18924117198992</v>
      </c>
      <c r="CL411" s="6">
        <f t="shared" si="879"/>
        <v>5.2943784823439802E-6</v>
      </c>
      <c r="CM411" s="8">
        <f t="shared" si="880"/>
        <v>26.206676273477882</v>
      </c>
      <c r="CN411" s="7">
        <f t="shared" si="881"/>
        <v>1.3250206857016803E-2</v>
      </c>
      <c r="CO411" s="9">
        <f t="shared" si="882"/>
        <v>0.45280754972072951</v>
      </c>
      <c r="CP411" s="4">
        <f t="shared" si="883"/>
        <v>831.26425069303889</v>
      </c>
      <c r="CQ411" s="6">
        <f t="shared" si="884"/>
        <v>5.1625285013860777E-6</v>
      </c>
      <c r="CR411" s="8">
        <f t="shared" si="885"/>
        <v>25.448538882969949</v>
      </c>
      <c r="CS411" s="7">
        <f t="shared" si="886"/>
        <v>1.2920226760653826E-2</v>
      </c>
      <c r="CT411" s="9">
        <f t="shared" si="887"/>
        <v>0.46629713887656482</v>
      </c>
      <c r="CU411" s="4">
        <f t="shared" si="888"/>
        <v>707.41520652113149</v>
      </c>
      <c r="CV411" s="6">
        <f t="shared" si="889"/>
        <v>4.9148304130422636E-6</v>
      </c>
      <c r="CW411" s="8">
        <f t="shared" si="890"/>
        <v>24.024274874993012</v>
      </c>
      <c r="CX411" s="7">
        <f t="shared" si="891"/>
        <v>1.2300314353637905E-2</v>
      </c>
      <c r="CY411" s="9">
        <f t="shared" si="892"/>
        <v>0.49394127112947256</v>
      </c>
      <c r="CZ411" s="5">
        <f t="shared" si="893"/>
        <v>507.62737375476291</v>
      </c>
      <c r="DA411" s="6">
        <f t="shared" si="894"/>
        <v>7.1002895332616888E-6</v>
      </c>
      <c r="DB411" s="8">
        <f t="shared" si="895"/>
        <v>38.773806161111871</v>
      </c>
      <c r="DC411" s="7">
        <f t="shared" si="896"/>
        <v>1.7769848788516625E-2</v>
      </c>
      <c r="DD411" s="9">
        <f t="shared" si="897"/>
        <v>0.30604632468657328</v>
      </c>
    </row>
    <row r="412" spans="2:108" x14ac:dyDescent="0.25">
      <c r="B412">
        <v>145</v>
      </c>
      <c r="C412">
        <f t="shared" si="805"/>
        <v>0.14175412662006145</v>
      </c>
      <c r="D412" s="4">
        <f t="shared" si="806"/>
        <v>1017.6231164977702</v>
      </c>
      <c r="E412" s="6">
        <f t="shared" si="794"/>
        <v>5.5352462329955406E-6</v>
      </c>
      <c r="F412" s="8">
        <f t="shared" si="807"/>
        <v>27.591665839724357</v>
      </c>
      <c r="G412" s="7">
        <f t="shared" si="792"/>
        <v>1.3853025021974387E-2</v>
      </c>
      <c r="H412" s="9">
        <f t="shared" si="808"/>
        <v>0.43007844972641374</v>
      </c>
      <c r="I412" s="4">
        <f t="shared" si="809"/>
        <v>1017.2985233995978</v>
      </c>
      <c r="J412" s="6">
        <f t="shared" si="795"/>
        <v>5.5345970467991959E-6</v>
      </c>
      <c r="K412" s="8">
        <f t="shared" si="810"/>
        <v>27.587933019095374</v>
      </c>
      <c r="L412" s="7">
        <f t="shared" si="796"/>
        <v>1.3851400307870744E-2</v>
      </c>
      <c r="M412" s="9">
        <f t="shared" si="811"/>
        <v>0.43013664204216673</v>
      </c>
      <c r="N412" s="4">
        <f t="shared" si="812"/>
        <v>1016.39261433954</v>
      </c>
      <c r="O412" s="6">
        <f t="shared" si="797"/>
        <v>5.5327852286790807E-6</v>
      </c>
      <c r="P412" s="8">
        <f t="shared" si="798"/>
        <v>27.577515064904709</v>
      </c>
      <c r="Q412" s="7">
        <f t="shared" si="793"/>
        <v>1.3853025021974387E-2</v>
      </c>
      <c r="R412" s="9">
        <f t="shared" si="813"/>
        <v>0.43029913470410436</v>
      </c>
      <c r="S412" s="4">
        <f t="shared" si="814"/>
        <v>1014.8911063758529</v>
      </c>
      <c r="T412" s="6">
        <f t="shared" si="799"/>
        <v>5.5297822127517064E-6</v>
      </c>
      <c r="U412" s="8">
        <f t="shared" si="800"/>
        <v>27.560247723322306</v>
      </c>
      <c r="V412" s="7">
        <f t="shared" si="801"/>
        <v>1.3839350253775784E-2</v>
      </c>
      <c r="W412" s="9">
        <f t="shared" si="815"/>
        <v>0.43056873032661613</v>
      </c>
      <c r="X412" s="4">
        <f t="shared" si="816"/>
        <v>1012.7919490532837</v>
      </c>
      <c r="Y412" s="6">
        <f t="shared" si="802"/>
        <v>5.5255838981065677E-6</v>
      </c>
      <c r="Z412" s="8">
        <f t="shared" si="803"/>
        <v>27.536107414112763</v>
      </c>
      <c r="AA412" s="7">
        <f t="shared" si="804"/>
        <v>1.3828843158809973E-2</v>
      </c>
      <c r="AB412" s="9">
        <f t="shared" si="817"/>
        <v>0.43094620061062289</v>
      </c>
      <c r="AC412" s="4">
        <f t="shared" si="818"/>
        <v>1010.0936872592328</v>
      </c>
      <c r="AD412" s="6">
        <f t="shared" si="819"/>
        <v>5.5201873745184666E-6</v>
      </c>
      <c r="AE412" s="8">
        <f t="shared" si="820"/>
        <v>27.505077403481174</v>
      </c>
      <c r="AF412" s="7">
        <f t="shared" si="821"/>
        <v>1.3815337314056039E-2</v>
      </c>
      <c r="AG412" s="9">
        <f t="shared" si="822"/>
        <v>0.43143237503545462</v>
      </c>
      <c r="AH412" s="4">
        <f t="shared" si="823"/>
        <v>1006.796038056162</v>
      </c>
      <c r="AI412" s="6">
        <f t="shared" si="824"/>
        <v>5.5135920761123247E-6</v>
      </c>
      <c r="AJ412" s="8">
        <f t="shared" si="825"/>
        <v>27.467154437645863</v>
      </c>
      <c r="AK412" s="7">
        <f t="shared" si="826"/>
        <v>1.3798831303302074E-2</v>
      </c>
      <c r="AL412" s="9">
        <f t="shared" si="827"/>
        <v>0.43202803904047044</v>
      </c>
      <c r="AM412" s="4">
        <f t="shared" si="828"/>
        <v>1002.8989202050856</v>
      </c>
      <c r="AN412" s="6">
        <f t="shared" si="829"/>
        <v>5.505797840410172E-6</v>
      </c>
      <c r="AO412" s="8">
        <f t="shared" si="830"/>
        <v>27.422337582358484</v>
      </c>
      <c r="AP412" s="7">
        <f t="shared" si="831"/>
        <v>1.377932471991551E-2</v>
      </c>
      <c r="AQ412" s="9">
        <f t="shared" si="832"/>
        <v>0.4327341107984895</v>
      </c>
      <c r="AR412" s="4">
        <f t="shared" si="833"/>
        <v>998.40229975127841</v>
      </c>
      <c r="AS412" s="6">
        <f t="shared" si="834"/>
        <v>5.4968045995025572E-6</v>
      </c>
      <c r="AT412" s="8">
        <f t="shared" si="835"/>
        <v>27.370626447139699</v>
      </c>
      <c r="AU412" s="7">
        <f t="shared" si="836"/>
        <v>1.3756817393939804E-2</v>
      </c>
      <c r="AV412" s="9">
        <f t="shared" si="837"/>
        <v>0.43355167236071745</v>
      </c>
      <c r="AW412" s="4">
        <f t="shared" si="838"/>
        <v>993.30605216842525</v>
      </c>
      <c r="AX412" s="6">
        <f t="shared" si="839"/>
        <v>5.4866121043368506E-6</v>
      </c>
      <c r="AY412" s="8">
        <f t="shared" si="840"/>
        <v>27.312019599936889</v>
      </c>
      <c r="AZ412" s="7">
        <f t="shared" si="841"/>
        <v>1.3731308702072545E-2</v>
      </c>
      <c r="BA412" s="9">
        <f t="shared" si="842"/>
        <v>0.43448199889785227</v>
      </c>
      <c r="BB412" s="4">
        <f t="shared" si="843"/>
        <v>987.6094310948946</v>
      </c>
      <c r="BC412" s="6">
        <f t="shared" si="844"/>
        <v>5.4752188621897901E-6</v>
      </c>
      <c r="BD412" s="8">
        <f t="shared" si="845"/>
        <v>27.24650845759129</v>
      </c>
      <c r="BE412" s="7">
        <f t="shared" si="846"/>
        <v>1.3702794908484861E-2</v>
      </c>
      <c r="BF412" s="9">
        <f t="shared" si="847"/>
        <v>0.43552666163402265</v>
      </c>
      <c r="BG412" s="4">
        <f t="shared" si="848"/>
        <v>981.30830936448308</v>
      </c>
      <c r="BH412" s="6">
        <f t="shared" si="849"/>
        <v>5.4626166187289667E-6</v>
      </c>
      <c r="BI412" s="8">
        <f t="shared" si="850"/>
        <v>27.174045557691556</v>
      </c>
      <c r="BJ412" s="7">
        <f t="shared" si="851"/>
        <v>1.3671255355112304E-2</v>
      </c>
      <c r="BK412" s="9">
        <f t="shared" si="852"/>
        <v>0.43668804648629461</v>
      </c>
      <c r="BL412" s="4">
        <f t="shared" si="853"/>
        <v>974.38199519605701</v>
      </c>
      <c r="BM412" s="6">
        <f t="shared" si="854"/>
        <v>5.4487639903921147E-6</v>
      </c>
      <c r="BN412" s="8">
        <f t="shared" si="855"/>
        <v>27.094392944754652</v>
      </c>
      <c r="BO412" s="7">
        <f t="shared" si="856"/>
        <v>1.3636586471580692E-2</v>
      </c>
      <c r="BP412" s="9">
        <f t="shared" si="857"/>
        <v>0.43797183033086606</v>
      </c>
      <c r="BQ412" s="4">
        <f t="shared" si="858"/>
        <v>966.73734210744897</v>
      </c>
      <c r="BR412" s="6">
        <f t="shared" si="859"/>
        <v>5.4334746842148988E-6</v>
      </c>
      <c r="BS412" s="8">
        <f t="shared" si="860"/>
        <v>27.006479434235665</v>
      </c>
      <c r="BT412" s="7">
        <f t="shared" si="861"/>
        <v>1.3598322023690544E-2</v>
      </c>
      <c r="BU412" s="9">
        <f t="shared" si="862"/>
        <v>0.43939754897022348</v>
      </c>
      <c r="BV412" s="4">
        <f t="shared" si="863"/>
        <v>958.0027621750686</v>
      </c>
      <c r="BW412" s="6">
        <f t="shared" si="864"/>
        <v>5.4160055243501376E-6</v>
      </c>
      <c r="BX412" s="8">
        <f t="shared" si="865"/>
        <v>26.906031765013289</v>
      </c>
      <c r="BY412" s="7">
        <f t="shared" si="866"/>
        <v>1.3554602070045692E-2</v>
      </c>
      <c r="BZ412" s="9">
        <f t="shared" si="867"/>
        <v>0.44103794172830663</v>
      </c>
      <c r="CA412" s="4">
        <f t="shared" si="868"/>
        <v>946.88666877601611</v>
      </c>
      <c r="CB412" s="6">
        <f t="shared" si="869"/>
        <v>5.3937733375520326E-6</v>
      </c>
      <c r="CC412" s="8">
        <f t="shared" si="870"/>
        <v>26.778196690924183</v>
      </c>
      <c r="CD412" s="7">
        <f t="shared" si="871"/>
        <v>1.3498961719636078E-2</v>
      </c>
      <c r="CE412" s="9">
        <f t="shared" si="872"/>
        <v>0.4431433903739973</v>
      </c>
      <c r="CF412" s="4">
        <f t="shared" si="873"/>
        <v>929.56534867731978</v>
      </c>
      <c r="CG412" s="6">
        <f t="shared" si="874"/>
        <v>5.3591306973546399E-6</v>
      </c>
      <c r="CH412" s="8">
        <f t="shared" si="875"/>
        <v>26.579001509789176</v>
      </c>
      <c r="CI412" s="7">
        <f t="shared" si="876"/>
        <v>1.3412261807603073E-2</v>
      </c>
      <c r="CJ412" s="9">
        <f t="shared" si="877"/>
        <v>0.44646450941158866</v>
      </c>
      <c r="CK412" s="4">
        <f t="shared" si="878"/>
        <v>896.70347977508868</v>
      </c>
      <c r="CL412" s="6">
        <f t="shared" si="879"/>
        <v>5.2934069595501779E-6</v>
      </c>
      <c r="CM412" s="8">
        <f t="shared" si="880"/>
        <v>26.20109001741352</v>
      </c>
      <c r="CN412" s="7">
        <f t="shared" si="881"/>
        <v>1.3247775433191113E-2</v>
      </c>
      <c r="CO412" s="9">
        <f t="shared" si="882"/>
        <v>0.4529040914645629</v>
      </c>
      <c r="CP412" s="4">
        <f t="shared" si="883"/>
        <v>830.42705017658716</v>
      </c>
      <c r="CQ412" s="6">
        <f t="shared" si="884"/>
        <v>5.1608541003531754E-6</v>
      </c>
      <c r="CR412" s="8">
        <f t="shared" si="885"/>
        <v>25.438911077030752</v>
      </c>
      <c r="CS412" s="7">
        <f t="shared" si="886"/>
        <v>1.291603624799563E-2</v>
      </c>
      <c r="CT412" s="9">
        <f t="shared" si="887"/>
        <v>0.46647361727807785</v>
      </c>
      <c r="CU412" s="4">
        <f t="shared" si="888"/>
        <v>706.32437559518178</v>
      </c>
      <c r="CV412" s="6">
        <f t="shared" si="889"/>
        <v>4.9126487511903644E-6</v>
      </c>
      <c r="CW412" s="8">
        <f t="shared" si="890"/>
        <v>24.01173031934459</v>
      </c>
      <c r="CX412" s="7">
        <f t="shared" si="891"/>
        <v>1.2294854322601944E-2</v>
      </c>
      <c r="CY412" s="9">
        <f t="shared" si="892"/>
        <v>0.49419932307659709</v>
      </c>
      <c r="CZ412" s="5">
        <f t="shared" si="893"/>
        <v>506.66478415721105</v>
      </c>
      <c r="DA412" s="6">
        <f t="shared" si="894"/>
        <v>7.1148001608028506E-6</v>
      </c>
      <c r="DB412" s="8">
        <f t="shared" si="895"/>
        <v>38.801721259440875</v>
      </c>
      <c r="DC412" s="7">
        <f t="shared" si="896"/>
        <v>1.7806164442410035E-2</v>
      </c>
      <c r="DD412" s="9">
        <f t="shared" si="897"/>
        <v>0.3058261459684764</v>
      </c>
    </row>
    <row r="413" spans="2:108" x14ac:dyDescent="0.25">
      <c r="B413">
        <v>146</v>
      </c>
      <c r="C413">
        <f t="shared" si="805"/>
        <v>0.1427317412864067</v>
      </c>
      <c r="D413" s="4">
        <f t="shared" si="806"/>
        <v>1017.6065444139131</v>
      </c>
      <c r="E413" s="6">
        <f t="shared" si="794"/>
        <v>5.5352130888278273E-6</v>
      </c>
      <c r="F413" s="8">
        <f t="shared" si="807"/>
        <v>27.591475260759999</v>
      </c>
      <c r="G413" s="7">
        <f t="shared" si="792"/>
        <v>1.3852942072279769E-2</v>
      </c>
      <c r="H413" s="9">
        <f t="shared" si="808"/>
        <v>0.4300814203506651</v>
      </c>
      <c r="I413" s="4">
        <f t="shared" si="809"/>
        <v>1017.2819474256933</v>
      </c>
      <c r="J413" s="6">
        <f t="shared" si="795"/>
        <v>5.5345638948513867E-6</v>
      </c>
      <c r="K413" s="8">
        <f t="shared" si="810"/>
        <v>27.587742395395473</v>
      </c>
      <c r="L413" s="7">
        <f t="shared" si="796"/>
        <v>1.3851317338704931E-2</v>
      </c>
      <c r="M413" s="9">
        <f t="shared" si="811"/>
        <v>0.43013961416786639</v>
      </c>
      <c r="N413" s="4">
        <f t="shared" si="812"/>
        <v>1016.3760280358287</v>
      </c>
      <c r="O413" s="6">
        <f t="shared" si="797"/>
        <v>5.5327520560716576E-6</v>
      </c>
      <c r="P413" s="8">
        <f t="shared" si="798"/>
        <v>27.577324322412029</v>
      </c>
      <c r="Q413" s="7">
        <f t="shared" si="793"/>
        <v>1.3852942072279769E-2</v>
      </c>
      <c r="R413" s="9">
        <f t="shared" si="813"/>
        <v>0.43030211092937526</v>
      </c>
      <c r="S413" s="4">
        <f t="shared" si="814"/>
        <v>1014.8745138726327</v>
      </c>
      <c r="T413" s="6">
        <f t="shared" si="799"/>
        <v>5.529749027745266E-6</v>
      </c>
      <c r="U413" s="8">
        <f t="shared" si="800"/>
        <v>27.560056909535277</v>
      </c>
      <c r="V413" s="7">
        <f t="shared" si="801"/>
        <v>1.3839267201874348E-2</v>
      </c>
      <c r="W413" s="9">
        <f t="shared" si="815"/>
        <v>0.43057171139629535</v>
      </c>
      <c r="X413" s="4">
        <f t="shared" si="816"/>
        <v>1012.7753587907918</v>
      </c>
      <c r="Y413" s="6">
        <f t="shared" si="802"/>
        <v>5.5255507175815846E-6</v>
      </c>
      <c r="Z413" s="8">
        <f t="shared" si="803"/>
        <v>27.535916626094107</v>
      </c>
      <c r="AA413" s="7">
        <f t="shared" si="804"/>
        <v>1.3828760118124251E-2</v>
      </c>
      <c r="AB413" s="9">
        <f t="shared" si="817"/>
        <v>0.43094918650620351</v>
      </c>
      <c r="AC413" s="4">
        <f t="shared" si="818"/>
        <v>1010.0771068730487</v>
      </c>
      <c r="AD413" s="6">
        <f t="shared" si="819"/>
        <v>5.5201542137460979E-6</v>
      </c>
      <c r="AE413" s="8">
        <f t="shared" si="820"/>
        <v>27.504886729040059</v>
      </c>
      <c r="AF413" s="7">
        <f t="shared" si="821"/>
        <v>1.3815254322805056E-2</v>
      </c>
      <c r="AG413" s="9">
        <f t="shared" si="822"/>
        <v>0.43143536589041792</v>
      </c>
      <c r="AH413" s="4">
        <f t="shared" si="823"/>
        <v>1006.7794731162775</v>
      </c>
      <c r="AI413" s="6">
        <f t="shared" si="824"/>
        <v>5.5135589462325554E-6</v>
      </c>
      <c r="AJ413" s="8">
        <f t="shared" si="825"/>
        <v>27.466963940837189</v>
      </c>
      <c r="AK413" s="7">
        <f t="shared" si="826"/>
        <v>1.3798748389365801E-2</v>
      </c>
      <c r="AL413" s="9">
        <f t="shared" si="827"/>
        <v>0.43203103536590609</v>
      </c>
      <c r="AM413" s="4">
        <f t="shared" si="828"/>
        <v>1002.8823747421607</v>
      </c>
      <c r="AN413" s="6">
        <f t="shared" si="829"/>
        <v>5.5057647494843222E-6</v>
      </c>
      <c r="AO413" s="8">
        <f t="shared" si="830"/>
        <v>27.422147309534846</v>
      </c>
      <c r="AP413" s="7">
        <f t="shared" si="831"/>
        <v>1.377924190346896E-2</v>
      </c>
      <c r="AQ413" s="9">
        <f t="shared" si="832"/>
        <v>0.4327371133912557</v>
      </c>
      <c r="AR413" s="4">
        <f t="shared" si="833"/>
        <v>998.38577594093886</v>
      </c>
      <c r="AS413" s="6">
        <f t="shared" si="834"/>
        <v>5.4967715518818776E-6</v>
      </c>
      <c r="AT413" s="8">
        <f t="shared" si="835"/>
        <v>27.370436423320797</v>
      </c>
      <c r="AU413" s="7">
        <f t="shared" si="836"/>
        <v>1.3756734685872823E-2</v>
      </c>
      <c r="AV413" s="9">
        <f t="shared" si="837"/>
        <v>0.43355468236549777</v>
      </c>
      <c r="AW413" s="4">
        <f t="shared" si="838"/>
        <v>993.28954439901236</v>
      </c>
      <c r="AX413" s="6">
        <f t="shared" si="839"/>
        <v>5.4865790887980258E-6</v>
      </c>
      <c r="AY413" s="8">
        <f t="shared" si="840"/>
        <v>27.31182976058864</v>
      </c>
      <c r="AZ413" s="7">
        <f t="shared" si="841"/>
        <v>1.3731226074296617E-2</v>
      </c>
      <c r="BA413" s="9">
        <f t="shared" si="842"/>
        <v>0.4344850188998155</v>
      </c>
      <c r="BB413" s="4">
        <f t="shared" si="843"/>
        <v>987.59289337377186</v>
      </c>
      <c r="BC413" s="6">
        <f t="shared" si="844"/>
        <v>5.4751857867475443E-6</v>
      </c>
      <c r="BD413" s="8">
        <f t="shared" si="845"/>
        <v>27.246318273798373</v>
      </c>
      <c r="BE413" s="7">
        <f t="shared" si="846"/>
        <v>1.3702712130789026E-2</v>
      </c>
      <c r="BF413" s="9">
        <f t="shared" si="847"/>
        <v>0.43552970168191441</v>
      </c>
      <c r="BG413" s="4">
        <f t="shared" si="848"/>
        <v>981.29150381673537</v>
      </c>
      <c r="BH413" s="6">
        <f t="shared" si="849"/>
        <v>5.4625830076334713E-6</v>
      </c>
      <c r="BI413" s="8">
        <f t="shared" si="850"/>
        <v>27.173852293892455</v>
      </c>
      <c r="BJ413" s="7">
        <f t="shared" si="851"/>
        <v>1.367117123684054E-2</v>
      </c>
      <c r="BK413" s="9">
        <f t="shared" si="852"/>
        <v>0.43669115226570249</v>
      </c>
      <c r="BL413" s="4">
        <f t="shared" si="853"/>
        <v>974.36387457048738</v>
      </c>
      <c r="BM413" s="6">
        <f t="shared" si="854"/>
        <v>5.4487277491409757E-6</v>
      </c>
      <c r="BN413" s="8">
        <f t="shared" si="855"/>
        <v>27.094184557560602</v>
      </c>
      <c r="BO413" s="7">
        <f t="shared" si="856"/>
        <v>1.3636495770835375E-2</v>
      </c>
      <c r="BP413" s="9">
        <f t="shared" si="857"/>
        <v>0.43797519886630221</v>
      </c>
      <c r="BQ413" s="4">
        <f t="shared" si="858"/>
        <v>966.71388873458329</v>
      </c>
      <c r="BR413" s="6">
        <f t="shared" si="859"/>
        <v>5.4334277774691671E-6</v>
      </c>
      <c r="BS413" s="8">
        <f t="shared" si="860"/>
        <v>27.006209720447707</v>
      </c>
      <c r="BT413" s="7">
        <f t="shared" si="861"/>
        <v>1.3598204630480745E-2</v>
      </c>
      <c r="BU413" s="9">
        <f t="shared" si="862"/>
        <v>0.43940193727863769</v>
      </c>
      <c r="BV413" s="4">
        <f t="shared" si="863"/>
        <v>957.96073738483233</v>
      </c>
      <c r="BW413" s="6">
        <f t="shared" si="864"/>
        <v>5.4159214747696648E-6</v>
      </c>
      <c r="BX413" s="8">
        <f t="shared" si="865"/>
        <v>26.905548479925571</v>
      </c>
      <c r="BY413" s="7">
        <f t="shared" si="866"/>
        <v>1.3554391719703112E-2</v>
      </c>
      <c r="BZ413" s="9">
        <f t="shared" si="867"/>
        <v>0.4410458637768207</v>
      </c>
      <c r="CA413" s="4">
        <f t="shared" si="868"/>
        <v>946.78971230788477</v>
      </c>
      <c r="CB413" s="6">
        <f t="shared" si="869"/>
        <v>5.3935794246157703E-6</v>
      </c>
      <c r="CC413" s="8">
        <f t="shared" si="870"/>
        <v>26.777081691540673</v>
      </c>
      <c r="CD413" s="7">
        <f t="shared" si="871"/>
        <v>1.3498476414982041E-2</v>
      </c>
      <c r="CE413" s="9">
        <f t="shared" si="872"/>
        <v>0.44316184289293742</v>
      </c>
      <c r="CF413" s="4">
        <f t="shared" si="873"/>
        <v>929.33440630228324</v>
      </c>
      <c r="CG413" s="6">
        <f t="shared" si="874"/>
        <v>5.3586688126045664E-6</v>
      </c>
      <c r="CH413" s="8">
        <f t="shared" si="875"/>
        <v>26.576345672476258</v>
      </c>
      <c r="CI413" s="7">
        <f t="shared" si="876"/>
        <v>1.3411105851620142E-2</v>
      </c>
      <c r="CJ413" s="9">
        <f t="shared" si="877"/>
        <v>0.44650912566988099</v>
      </c>
      <c r="CK413" s="4">
        <f t="shared" si="878"/>
        <v>896.21624902886617</v>
      </c>
      <c r="CL413" s="6">
        <f t="shared" si="879"/>
        <v>5.2924324980577332E-6</v>
      </c>
      <c r="CM413" s="8">
        <f t="shared" si="880"/>
        <v>26.19548686383196</v>
      </c>
      <c r="CN413" s="7">
        <f t="shared" si="881"/>
        <v>1.3245336654703298E-2</v>
      </c>
      <c r="CO413" s="9">
        <f t="shared" si="882"/>
        <v>0.45300096659406075</v>
      </c>
      <c r="CP413" s="4">
        <f t="shared" si="883"/>
        <v>829.59107666856448</v>
      </c>
      <c r="CQ413" s="6">
        <f t="shared" si="884"/>
        <v>5.1591821533371297E-6</v>
      </c>
      <c r="CR413" s="8">
        <f t="shared" si="885"/>
        <v>25.429297381688492</v>
      </c>
      <c r="CS413" s="7">
        <f t="shared" si="886"/>
        <v>1.2911851876989577E-2</v>
      </c>
      <c r="CT413" s="9">
        <f t="shared" si="887"/>
        <v>0.46664997037090622</v>
      </c>
      <c r="CU413" s="4">
        <f t="shared" si="888"/>
        <v>705.23878612849512</v>
      </c>
      <c r="CV413" s="6">
        <f t="shared" si="889"/>
        <v>4.9104775722569909E-6</v>
      </c>
      <c r="CW413" s="8">
        <f t="shared" si="890"/>
        <v>23.999246040477693</v>
      </c>
      <c r="CX413" s="7">
        <f t="shared" si="891"/>
        <v>1.2289420527098518E-2</v>
      </c>
      <c r="CY413" s="9">
        <f t="shared" si="892"/>
        <v>0.49445640290963488</v>
      </c>
      <c r="CZ413" s="5">
        <f t="shared" si="893"/>
        <v>505.70813210142802</v>
      </c>
      <c r="DA413" s="6">
        <f t="shared" si="894"/>
        <v>7.1292113530336859E-6</v>
      </c>
      <c r="DB413" s="8">
        <f t="shared" si="895"/>
        <v>38.829464169058582</v>
      </c>
      <c r="DC413" s="7">
        <f t="shared" si="896"/>
        <v>1.7842231240194063E-2</v>
      </c>
      <c r="DD413" s="9">
        <f t="shared" si="897"/>
        <v>0.30560763903545785</v>
      </c>
    </row>
    <row r="414" spans="2:108" x14ac:dyDescent="0.25">
      <c r="B414">
        <v>147</v>
      </c>
      <c r="C414">
        <f t="shared" si="805"/>
        <v>0.14370935595275197</v>
      </c>
      <c r="D414" s="4">
        <f t="shared" si="806"/>
        <v>1017.5899721314497</v>
      </c>
      <c r="E414" s="6">
        <f t="shared" si="794"/>
        <v>5.5351799442628996E-6</v>
      </c>
      <c r="F414" s="8">
        <f t="shared" si="807"/>
        <v>27.59128467951167</v>
      </c>
      <c r="G414" s="7">
        <f t="shared" si="792"/>
        <v>1.3852859121591045E-2</v>
      </c>
      <c r="H414" s="9">
        <f t="shared" si="808"/>
        <v>0.43008439105155583</v>
      </c>
      <c r="I414" s="4">
        <f t="shared" si="809"/>
        <v>1017.2653713633429</v>
      </c>
      <c r="J414" s="6">
        <f t="shared" si="795"/>
        <v>5.5345307427266857E-6</v>
      </c>
      <c r="K414" s="8">
        <f t="shared" si="810"/>
        <v>27.587551770678441</v>
      </c>
      <c r="L414" s="7">
        <f t="shared" si="796"/>
        <v>1.385123436909641E-2</v>
      </c>
      <c r="M414" s="9">
        <f t="shared" si="811"/>
        <v>0.43014258635049846</v>
      </c>
      <c r="N414" s="4">
        <f t="shared" si="812"/>
        <v>1016.3594418314414</v>
      </c>
      <c r="O414" s="6">
        <f t="shared" si="797"/>
        <v>5.5327188836628833E-6</v>
      </c>
      <c r="P414" s="8">
        <f t="shared" si="798"/>
        <v>27.577133581061574</v>
      </c>
      <c r="Q414" s="7">
        <f t="shared" si="793"/>
        <v>1.3852859121591045E-2</v>
      </c>
      <c r="R414" s="9">
        <f t="shared" si="813"/>
        <v>0.43030508717799443</v>
      </c>
      <c r="S414" s="4">
        <f t="shared" si="814"/>
        <v>1014.857921576549</v>
      </c>
      <c r="T414" s="6">
        <f t="shared" si="799"/>
        <v>5.5297158431530984E-6</v>
      </c>
      <c r="U414" s="8">
        <f t="shared" si="800"/>
        <v>27.559866098130314</v>
      </c>
      <c r="V414" s="7">
        <f t="shared" si="801"/>
        <v>1.3839184151009707E-2</v>
      </c>
      <c r="W414" s="9">
        <f t="shared" si="815"/>
        <v>0.43057469247003843</v>
      </c>
      <c r="X414" s="4">
        <f t="shared" si="816"/>
        <v>1012.7587687544911</v>
      </c>
      <c r="Y414" s="6">
        <f t="shared" si="802"/>
        <v>5.5255175375089824E-6</v>
      </c>
      <c r="Z414" s="8">
        <f t="shared" si="803"/>
        <v>27.535725840676648</v>
      </c>
      <c r="AA414" s="7">
        <f t="shared" si="804"/>
        <v>1.3828677078570698E-2</v>
      </c>
      <c r="AB414" s="9">
        <f t="shared" si="817"/>
        <v>0.43095217240245065</v>
      </c>
      <c r="AC414" s="4">
        <f t="shared" si="818"/>
        <v>1010.0605266984708</v>
      </c>
      <c r="AD414" s="6">
        <f t="shared" si="819"/>
        <v>5.5201210533969424E-6</v>
      </c>
      <c r="AE414" s="8">
        <f t="shared" si="820"/>
        <v>27.504696057032412</v>
      </c>
      <c r="AF414" s="7">
        <f t="shared" si="821"/>
        <v>1.3815171332613247E-2</v>
      </c>
      <c r="AG414" s="9">
        <f t="shared" si="822"/>
        <v>0.4314383567486777</v>
      </c>
      <c r="AH414" s="4">
        <f t="shared" si="823"/>
        <v>1006.762908371791</v>
      </c>
      <c r="AI414" s="6">
        <f t="shared" si="824"/>
        <v>5.5135258167435826E-6</v>
      </c>
      <c r="AJ414" s="8">
        <f t="shared" si="825"/>
        <v>27.466773446275596</v>
      </c>
      <c r="AK414" s="7">
        <f t="shared" si="826"/>
        <v>1.3798665476407571E-2</v>
      </c>
      <c r="AL414" s="9">
        <f t="shared" si="827"/>
        <v>0.43203403169755883</v>
      </c>
      <c r="AM414" s="4">
        <f t="shared" si="828"/>
        <v>1002.8658294492118</v>
      </c>
      <c r="AN414" s="6">
        <f t="shared" si="829"/>
        <v>5.5057316588984249E-6</v>
      </c>
      <c r="AO414" s="8">
        <f t="shared" si="830"/>
        <v>27.421957038665937</v>
      </c>
      <c r="AP414" s="7">
        <f t="shared" si="831"/>
        <v>1.3779159087873208E-2</v>
      </c>
      <c r="AQ414" s="9">
        <f t="shared" si="832"/>
        <v>0.43274011599484297</v>
      </c>
      <c r="AR414" s="4">
        <f t="shared" si="833"/>
        <v>998.3692521850478</v>
      </c>
      <c r="AS414" s="6">
        <f t="shared" si="834"/>
        <v>5.496738504370096E-6</v>
      </c>
      <c r="AT414" s="8">
        <f t="shared" si="835"/>
        <v>27.37024640012805</v>
      </c>
      <c r="AU414" s="7">
        <f t="shared" si="836"/>
        <v>1.3756651978078382E-2</v>
      </c>
      <c r="AV414" s="9">
        <f t="shared" si="837"/>
        <v>0.43355769240215469</v>
      </c>
      <c r="AW414" s="4">
        <f t="shared" si="838"/>
        <v>993.27303608551085</v>
      </c>
      <c r="AX414" s="6">
        <f t="shared" si="839"/>
        <v>5.486546072171022E-6</v>
      </c>
      <c r="AY414" s="8">
        <f t="shared" si="840"/>
        <v>27.311639914983374</v>
      </c>
      <c r="AZ414" s="7">
        <f t="shared" si="841"/>
        <v>1.3731143443797307E-2</v>
      </c>
      <c r="BA414" s="9">
        <f t="shared" si="842"/>
        <v>0.43448803904330191</v>
      </c>
      <c r="BB414" s="4">
        <f t="shared" si="843"/>
        <v>987.57635228143181</v>
      </c>
      <c r="BC414" s="6">
        <f t="shared" si="844"/>
        <v>5.4751527045628645E-6</v>
      </c>
      <c r="BD414" s="8">
        <f t="shared" si="845"/>
        <v>27.246128051236465</v>
      </c>
      <c r="BE414" s="7">
        <f t="shared" si="846"/>
        <v>1.3702629336218946E-2</v>
      </c>
      <c r="BF414" s="9">
        <f t="shared" si="847"/>
        <v>0.43553274239197365</v>
      </c>
      <c r="BG414" s="4">
        <f t="shared" si="848"/>
        <v>981.27468303452838</v>
      </c>
      <c r="BH414" s="6">
        <f t="shared" si="849"/>
        <v>5.4625493660690573E-6</v>
      </c>
      <c r="BI414" s="8">
        <f t="shared" si="850"/>
        <v>27.173658854897077</v>
      </c>
      <c r="BJ414" s="7">
        <f t="shared" si="851"/>
        <v>1.3671087042314409E-2</v>
      </c>
      <c r="BK414" s="9">
        <f t="shared" si="852"/>
        <v>0.43669426090477959</v>
      </c>
      <c r="BL414" s="4">
        <f t="shared" si="853"/>
        <v>974.34569534381387</v>
      </c>
      <c r="BM414" s="6">
        <f t="shared" si="854"/>
        <v>5.4486913906876276E-6</v>
      </c>
      <c r="BN414" s="8">
        <f t="shared" si="855"/>
        <v>27.093975496453858</v>
      </c>
      <c r="BO414" s="7">
        <f t="shared" si="856"/>
        <v>1.3636404776768841E-2</v>
      </c>
      <c r="BP414" s="9">
        <f t="shared" si="857"/>
        <v>0.43797857834746445</v>
      </c>
      <c r="BQ414" s="4">
        <f t="shared" si="858"/>
        <v>966.69024245316712</v>
      </c>
      <c r="BR414" s="6">
        <f t="shared" si="859"/>
        <v>5.4333804849063349E-6</v>
      </c>
      <c r="BS414" s="8">
        <f t="shared" si="860"/>
        <v>27.005937788211419</v>
      </c>
      <c r="BT414" s="7">
        <f t="shared" si="861"/>
        <v>1.3598086271688977E-2</v>
      </c>
      <c r="BU414" s="9">
        <f t="shared" si="862"/>
        <v>0.43940636177047981</v>
      </c>
      <c r="BV414" s="4">
        <f t="shared" si="863"/>
        <v>957.91818283394082</v>
      </c>
      <c r="BW414" s="6">
        <f t="shared" si="864"/>
        <v>5.4158363656678825E-6</v>
      </c>
      <c r="BX414" s="8">
        <f t="shared" si="865"/>
        <v>26.905059102590318</v>
      </c>
      <c r="BY414" s="7">
        <f t="shared" si="866"/>
        <v>1.3554178717703388E-2</v>
      </c>
      <c r="BZ414" s="9">
        <f t="shared" si="867"/>
        <v>0.44105388597995787</v>
      </c>
      <c r="CA414" s="4">
        <f t="shared" si="868"/>
        <v>946.69160049414802</v>
      </c>
      <c r="CB414" s="6">
        <f t="shared" si="869"/>
        <v>5.3933832009882968E-6</v>
      </c>
      <c r="CC414" s="8">
        <f t="shared" si="870"/>
        <v>26.775953405682699</v>
      </c>
      <c r="CD414" s="7">
        <f t="shared" si="871"/>
        <v>1.3497985327376021E-2</v>
      </c>
      <c r="CE414" s="9">
        <f t="shared" si="872"/>
        <v>0.44318051685881099</v>
      </c>
      <c r="CF414" s="4">
        <f t="shared" si="873"/>
        <v>929.1016568698949</v>
      </c>
      <c r="CG414" s="6">
        <f t="shared" si="874"/>
        <v>5.3582033137397904E-6</v>
      </c>
      <c r="CH414" s="8">
        <f t="shared" si="875"/>
        <v>26.573669054003791</v>
      </c>
      <c r="CI414" s="7">
        <f t="shared" si="876"/>
        <v>1.3409940850615669E-2</v>
      </c>
      <c r="CJ414" s="9">
        <f t="shared" si="877"/>
        <v>0.44655410006056312</v>
      </c>
      <c r="CK414" s="4">
        <f t="shared" si="878"/>
        <v>895.72758216933414</v>
      </c>
      <c r="CL414" s="6">
        <f t="shared" si="879"/>
        <v>5.2914551643386688E-6</v>
      </c>
      <c r="CM414" s="8">
        <f t="shared" si="880"/>
        <v>26.18986719494734</v>
      </c>
      <c r="CN414" s="7">
        <f t="shared" si="881"/>
        <v>1.3242890687912462E-2</v>
      </c>
      <c r="CO414" s="9">
        <f t="shared" si="882"/>
        <v>0.45309816889820848</v>
      </c>
      <c r="CP414" s="4">
        <f t="shared" si="883"/>
        <v>828.75635015097487</v>
      </c>
      <c r="CQ414" s="6">
        <f t="shared" si="884"/>
        <v>5.1575127003019504E-6</v>
      </c>
      <c r="CR414" s="8">
        <f t="shared" si="885"/>
        <v>25.41969802673621</v>
      </c>
      <c r="CS414" s="7">
        <f t="shared" si="886"/>
        <v>1.2907673747653345E-2</v>
      </c>
      <c r="CT414" s="9">
        <f t="shared" si="887"/>
        <v>0.46682619349910198</v>
      </c>
      <c r="CU414" s="4">
        <f t="shared" si="888"/>
        <v>704.15839319811982</v>
      </c>
      <c r="CV414" s="6">
        <f t="shared" si="889"/>
        <v>4.9083167863962401E-6</v>
      </c>
      <c r="CW414" s="8">
        <f t="shared" si="890"/>
        <v>23.986821521778378</v>
      </c>
      <c r="CX414" s="7">
        <f t="shared" si="891"/>
        <v>1.2284012742270867E-2</v>
      </c>
      <c r="CY414" s="9">
        <f t="shared" si="892"/>
        <v>0.4947125178275022</v>
      </c>
      <c r="CZ414" s="5">
        <f t="shared" si="893"/>
        <v>504.75734490235044</v>
      </c>
      <c r="DA414" s="6">
        <f t="shared" si="894"/>
        <v>7.143524496049428E-6</v>
      </c>
      <c r="DB414" s="8">
        <f t="shared" si="895"/>
        <v>38.857036997831834</v>
      </c>
      <c r="DC414" s="7">
        <f t="shared" si="896"/>
        <v>1.7878052650840297E-2</v>
      </c>
      <c r="DD414" s="9">
        <f t="shared" si="897"/>
        <v>0.30539078083540022</v>
      </c>
    </row>
    <row r="415" spans="2:108" x14ac:dyDescent="0.25">
      <c r="B415">
        <v>148</v>
      </c>
      <c r="C415">
        <f t="shared" si="805"/>
        <v>0.14468697061909722</v>
      </c>
      <c r="D415" s="4">
        <f t="shared" si="806"/>
        <v>1017.5733996560044</v>
      </c>
      <c r="E415" s="6">
        <f t="shared" si="794"/>
        <v>5.5351467993120094E-6</v>
      </c>
      <c r="F415" s="8">
        <f t="shared" si="807"/>
        <v>27.591094096044049</v>
      </c>
      <c r="G415" s="7">
        <f t="shared" si="792"/>
        <v>1.3852776169936376E-2</v>
      </c>
      <c r="H415" s="9">
        <f t="shared" si="808"/>
        <v>0.43008736182807999</v>
      </c>
      <c r="I415" s="4">
        <f t="shared" si="809"/>
        <v>1017.2487952156887</v>
      </c>
      <c r="J415" s="6">
        <f t="shared" si="795"/>
        <v>5.5344975904313778E-6</v>
      </c>
      <c r="K415" s="8">
        <f t="shared" si="810"/>
        <v>27.58736114498042</v>
      </c>
      <c r="L415" s="7">
        <f t="shared" si="796"/>
        <v>1.3851151399060915E-2</v>
      </c>
      <c r="M415" s="9">
        <f t="shared" si="811"/>
        <v>0.43014555858950099</v>
      </c>
      <c r="N415" s="4">
        <f t="shared" si="812"/>
        <v>1016.3428557262947</v>
      </c>
      <c r="O415" s="6">
        <f t="shared" si="797"/>
        <v>5.53268571145259E-6</v>
      </c>
      <c r="P415" s="8">
        <f t="shared" si="798"/>
        <v>27.576942840852389</v>
      </c>
      <c r="Q415" s="7">
        <f t="shared" si="793"/>
        <v>1.3852776169936376E-2</v>
      </c>
      <c r="R415" s="9">
        <f t="shared" si="813"/>
        <v>0.43030806344997696</v>
      </c>
      <c r="S415" s="4">
        <f t="shared" si="814"/>
        <v>1014.8413294866648</v>
      </c>
      <c r="T415" s="6">
        <f t="shared" si="799"/>
        <v>5.52968265897333E-6</v>
      </c>
      <c r="U415" s="8">
        <f t="shared" si="800"/>
        <v>27.559675289096646</v>
      </c>
      <c r="V415" s="7">
        <f t="shared" si="801"/>
        <v>1.3839101101177177E-2</v>
      </c>
      <c r="W415" s="9">
        <f t="shared" si="815"/>
        <v>0.43057767354801307</v>
      </c>
      <c r="X415" s="4">
        <f t="shared" si="816"/>
        <v>1012.7421789439212</v>
      </c>
      <c r="Y415" s="6">
        <f t="shared" si="802"/>
        <v>5.5254843578878428E-6</v>
      </c>
      <c r="Z415" s="8">
        <f t="shared" si="803"/>
        <v>27.535535057855093</v>
      </c>
      <c r="AA415" s="7">
        <f t="shared" si="804"/>
        <v>1.3828594040147019E-2</v>
      </c>
      <c r="AB415" s="9">
        <f t="shared" si="817"/>
        <v>0.43095515829944642</v>
      </c>
      <c r="AC415" s="4">
        <f t="shared" si="818"/>
        <v>1010.0439467354312</v>
      </c>
      <c r="AD415" s="6">
        <f t="shared" si="819"/>
        <v>5.5200878934708621E-6</v>
      </c>
      <c r="AE415" s="8">
        <f t="shared" si="820"/>
        <v>27.504505387457456</v>
      </c>
      <c r="AF415" s="7">
        <f t="shared" si="821"/>
        <v>1.3815088343480266E-2</v>
      </c>
      <c r="AG415" s="9">
        <f t="shared" si="822"/>
        <v>0.43144134761024533</v>
      </c>
      <c r="AH415" s="4">
        <f t="shared" si="823"/>
        <v>1006.746343822525</v>
      </c>
      <c r="AI415" s="6">
        <f t="shared" si="824"/>
        <v>5.5134926876450504E-6</v>
      </c>
      <c r="AJ415" s="8">
        <f t="shared" si="825"/>
        <v>27.466582953959037</v>
      </c>
      <c r="AK415" s="7">
        <f t="shared" si="826"/>
        <v>1.3798582564426495E-2</v>
      </c>
      <c r="AL415" s="9">
        <f t="shared" si="827"/>
        <v>0.4320370280354604</v>
      </c>
      <c r="AM415" s="4">
        <f t="shared" si="828"/>
        <v>1002.8492843248546</v>
      </c>
      <c r="AN415" s="6">
        <f t="shared" si="829"/>
        <v>5.5056985686497094E-6</v>
      </c>
      <c r="AO415" s="8">
        <f t="shared" si="830"/>
        <v>27.421766769735825</v>
      </c>
      <c r="AP415" s="7">
        <f t="shared" si="831"/>
        <v>1.3779076273121315E-2</v>
      </c>
      <c r="AQ415" s="9">
        <f t="shared" si="832"/>
        <v>0.43274311860950226</v>
      </c>
      <c r="AR415" s="4">
        <f t="shared" si="833"/>
        <v>998.35272847633451</v>
      </c>
      <c r="AS415" s="6">
        <f t="shared" si="834"/>
        <v>5.4967054569526695E-6</v>
      </c>
      <c r="AT415" s="8">
        <f t="shared" si="835"/>
        <v>27.370056377477844</v>
      </c>
      <c r="AU415" s="7">
        <f t="shared" si="836"/>
        <v>1.3756569270520082E-2</v>
      </c>
      <c r="AV415" s="9">
        <f t="shared" si="837"/>
        <v>0.43356070247201317</v>
      </c>
      <c r="AW415" s="4">
        <f t="shared" si="838"/>
        <v>993.25652719465234</v>
      </c>
      <c r="AX415" s="6">
        <f t="shared" si="839"/>
        <v>5.4865130543893057E-6</v>
      </c>
      <c r="AY415" s="8">
        <f t="shared" si="840"/>
        <v>27.311450062738501</v>
      </c>
      <c r="AZ415" s="7">
        <f t="shared" si="841"/>
        <v>1.3731060810408108E-2</v>
      </c>
      <c r="BA415" s="9">
        <f t="shared" si="842"/>
        <v>0.43449105933440302</v>
      </c>
      <c r="BB415" s="4">
        <f t="shared" si="843"/>
        <v>987.55980768375855</v>
      </c>
      <c r="BC415" s="6">
        <f t="shared" si="844"/>
        <v>5.4751196153675174E-6</v>
      </c>
      <c r="BD415" s="8">
        <f t="shared" si="845"/>
        <v>27.245937788363221</v>
      </c>
      <c r="BE415" s="7">
        <f t="shared" si="846"/>
        <v>1.3702546524103314E-2</v>
      </c>
      <c r="BF415" s="9">
        <f t="shared" si="847"/>
        <v>0.43553578378888219</v>
      </c>
      <c r="BG415" s="4">
        <f t="shared" si="848"/>
        <v>981.25784655199243</v>
      </c>
      <c r="BH415" s="6">
        <f t="shared" si="849"/>
        <v>5.462515693103985E-6</v>
      </c>
      <c r="BI415" s="8">
        <f t="shared" si="850"/>
        <v>27.173465235347912</v>
      </c>
      <c r="BJ415" s="7">
        <f t="shared" si="851"/>
        <v>1.3671002769202053E-2</v>
      </c>
      <c r="BK415" s="9">
        <f t="shared" si="852"/>
        <v>0.43669737248974627</v>
      </c>
      <c r="BL415" s="4">
        <f t="shared" si="853"/>
        <v>974.32745617240494</v>
      </c>
      <c r="BM415" s="6">
        <f t="shared" si="854"/>
        <v>5.448654912344811E-6</v>
      </c>
      <c r="BN415" s="8">
        <f t="shared" si="855"/>
        <v>27.093765745982658</v>
      </c>
      <c r="BO415" s="7">
        <f t="shared" si="856"/>
        <v>1.3636313482655711E-2</v>
      </c>
      <c r="BP415" s="9">
        <f t="shared" si="857"/>
        <v>0.43798196902464259</v>
      </c>
      <c r="BQ415" s="4">
        <f t="shared" si="858"/>
        <v>966.66640025722836</v>
      </c>
      <c r="BR415" s="6">
        <f t="shared" si="859"/>
        <v>5.433332800514457E-6</v>
      </c>
      <c r="BS415" s="8">
        <f t="shared" si="860"/>
        <v>27.005663602958123</v>
      </c>
      <c r="BT415" s="7">
        <f t="shared" si="861"/>
        <v>1.3597966932269187E-2</v>
      </c>
      <c r="BU415" s="9">
        <f t="shared" si="862"/>
        <v>0.43941082301040241</v>
      </c>
      <c r="BV415" s="4">
        <f t="shared" si="863"/>
        <v>957.87509414115027</v>
      </c>
      <c r="BW415" s="6">
        <f t="shared" si="864"/>
        <v>5.4157501882823009E-6</v>
      </c>
      <c r="BX415" s="8">
        <f t="shared" si="865"/>
        <v>26.904563582623226</v>
      </c>
      <c r="BY415" s="7">
        <f t="shared" si="866"/>
        <v>1.3553963042116696E-2</v>
      </c>
      <c r="BZ415" s="9">
        <f t="shared" si="867"/>
        <v>0.44106200917461208</v>
      </c>
      <c r="CA415" s="4">
        <f t="shared" si="868"/>
        <v>946.5923324595442</v>
      </c>
      <c r="CB415" s="6">
        <f t="shared" si="869"/>
        <v>5.3931846649190889E-6</v>
      </c>
      <c r="CC415" s="8">
        <f t="shared" si="870"/>
        <v>26.774811823284757</v>
      </c>
      <c r="CD415" s="7">
        <f t="shared" si="871"/>
        <v>1.3497488452436996E-2</v>
      </c>
      <c r="CE415" s="9">
        <f t="shared" si="872"/>
        <v>0.44319941249402572</v>
      </c>
      <c r="CF415" s="4">
        <f t="shared" si="873"/>
        <v>928.86711429768479</v>
      </c>
      <c r="CG415" s="6">
        <f t="shared" si="874"/>
        <v>5.3577342285953706E-6</v>
      </c>
      <c r="CH415" s="8">
        <f t="shared" si="875"/>
        <v>26.570971814423373</v>
      </c>
      <c r="CI415" s="7">
        <f t="shared" si="876"/>
        <v>1.3408766874252279E-2</v>
      </c>
      <c r="CJ415" s="9">
        <f t="shared" si="877"/>
        <v>0.44659943010727327</v>
      </c>
      <c r="CK415" s="4">
        <f t="shared" si="878"/>
        <v>895.23751198908337</v>
      </c>
      <c r="CL415" s="6">
        <f t="shared" si="879"/>
        <v>5.2904750239781665E-6</v>
      </c>
      <c r="CM415" s="8">
        <f t="shared" si="880"/>
        <v>26.184231387874458</v>
      </c>
      <c r="CN415" s="7">
        <f t="shared" si="881"/>
        <v>1.3240437696958212E-2</v>
      </c>
      <c r="CO415" s="9">
        <f t="shared" si="882"/>
        <v>0.45319569224449879</v>
      </c>
      <c r="CP415" s="4">
        <f t="shared" si="883"/>
        <v>827.92288987004349</v>
      </c>
      <c r="CQ415" s="6">
        <f t="shared" si="884"/>
        <v>5.1558457797400865E-6</v>
      </c>
      <c r="CR415" s="8">
        <f t="shared" si="885"/>
        <v>25.410113233505498</v>
      </c>
      <c r="CS415" s="7">
        <f t="shared" si="886"/>
        <v>1.2903501956321735E-2</v>
      </c>
      <c r="CT415" s="9">
        <f t="shared" si="887"/>
        <v>0.46700228214924894</v>
      </c>
      <c r="CU415" s="4">
        <f t="shared" si="888"/>
        <v>703.08315236795147</v>
      </c>
      <c r="CV415" s="6">
        <f t="shared" si="889"/>
        <v>4.9061663047359034E-6</v>
      </c>
      <c r="CW415" s="8">
        <f t="shared" si="890"/>
        <v>23.974456252231441</v>
      </c>
      <c r="CX415" s="7">
        <f t="shared" si="891"/>
        <v>1.2278630745699085E-2</v>
      </c>
      <c r="CY415" s="9">
        <f t="shared" si="892"/>
        <v>0.49496767496503313</v>
      </c>
      <c r="CZ415" s="5">
        <f t="shared" si="893"/>
        <v>503.81235131575738</v>
      </c>
      <c r="DA415" s="6">
        <f t="shared" si="894"/>
        <v>7.1577409456377318E-6</v>
      </c>
      <c r="DB415" s="8">
        <f t="shared" si="895"/>
        <v>38.884441811843033</v>
      </c>
      <c r="DC415" s="7">
        <f t="shared" si="896"/>
        <v>1.7913632067469761E-2</v>
      </c>
      <c r="DD415" s="9">
        <f t="shared" si="897"/>
        <v>0.30517554880018088</v>
      </c>
    </row>
    <row r="416" spans="2:108" x14ac:dyDescent="0.25">
      <c r="B416">
        <v>149</v>
      </c>
      <c r="C416">
        <f t="shared" si="805"/>
        <v>0.14566458528544246</v>
      </c>
      <c r="D416" s="4">
        <f t="shared" si="806"/>
        <v>1017.5568269930748</v>
      </c>
      <c r="E416" s="6">
        <f t="shared" si="794"/>
        <v>5.5351136539861497E-6</v>
      </c>
      <c r="F416" s="8">
        <f t="shared" si="807"/>
        <v>27.590903510420361</v>
      </c>
      <c r="G416" s="7">
        <f t="shared" si="792"/>
        <v>1.3852693217343269E-2</v>
      </c>
      <c r="H416" s="9">
        <f t="shared" si="808"/>
        <v>0.43009033267925428</v>
      </c>
      <c r="I416" s="4">
        <f t="shared" si="809"/>
        <v>1017.2322189858229</v>
      </c>
      <c r="J416" s="6">
        <f t="shared" si="795"/>
        <v>5.5344644379716465E-6</v>
      </c>
      <c r="K416" s="8">
        <f t="shared" si="810"/>
        <v>27.587170518336961</v>
      </c>
      <c r="L416" s="7">
        <f t="shared" si="796"/>
        <v>1.3851068428613915E-2</v>
      </c>
      <c r="M416" s="9">
        <f t="shared" si="811"/>
        <v>0.43014853088432109</v>
      </c>
      <c r="N416" s="4">
        <f t="shared" si="812"/>
        <v>1016.3262697203239</v>
      </c>
      <c r="O416" s="6">
        <f t="shared" si="797"/>
        <v>5.532652539440648E-6</v>
      </c>
      <c r="P416" s="8">
        <f t="shared" si="798"/>
        <v>27.576752101783725</v>
      </c>
      <c r="Q416" s="7">
        <f t="shared" si="793"/>
        <v>1.3852693217343269E-2</v>
      </c>
      <c r="R416" s="9">
        <f t="shared" si="813"/>
        <v>0.43031103974533469</v>
      </c>
      <c r="S416" s="4">
        <f t="shared" si="814"/>
        <v>1014.8247376020611</v>
      </c>
      <c r="T416" s="6">
        <f t="shared" si="799"/>
        <v>5.5296494752041226E-6</v>
      </c>
      <c r="U416" s="8">
        <f t="shared" si="800"/>
        <v>27.559484482423702</v>
      </c>
      <c r="V416" s="7">
        <f t="shared" si="801"/>
        <v>1.3839018052372153E-2</v>
      </c>
      <c r="W416" s="9">
        <f t="shared" si="815"/>
        <v>0.4305806546303837</v>
      </c>
      <c r="X416" s="4">
        <f t="shared" si="816"/>
        <v>1012.7255893586217</v>
      </c>
      <c r="Y416" s="6">
        <f t="shared" si="802"/>
        <v>5.5254511787172442E-6</v>
      </c>
      <c r="Z416" s="8">
        <f t="shared" si="803"/>
        <v>27.535344277624148</v>
      </c>
      <c r="AA416" s="7">
        <f t="shared" si="804"/>
        <v>1.3828511002850905E-2</v>
      </c>
      <c r="AB416" s="9">
        <f t="shared" si="817"/>
        <v>0.4309581441972728</v>
      </c>
      <c r="AC416" s="4">
        <f t="shared" si="818"/>
        <v>1010.0273669838556</v>
      </c>
      <c r="AD416" s="6">
        <f t="shared" si="819"/>
        <v>5.5200547339677113E-6</v>
      </c>
      <c r="AE416" s="8">
        <f t="shared" si="820"/>
        <v>27.504314720314341</v>
      </c>
      <c r="AF416" s="7">
        <f t="shared" si="821"/>
        <v>1.3815005355405746E-2</v>
      </c>
      <c r="AG416" s="9">
        <f t="shared" si="822"/>
        <v>0.43144433847513353</v>
      </c>
      <c r="AH416" s="4">
        <f t="shared" si="823"/>
        <v>1006.7297794682851</v>
      </c>
      <c r="AI416" s="6">
        <f t="shared" si="824"/>
        <v>5.5134595589365701E-6</v>
      </c>
      <c r="AJ416" s="8">
        <f t="shared" si="825"/>
        <v>27.466392463885278</v>
      </c>
      <c r="AK416" s="7">
        <f t="shared" si="826"/>
        <v>1.3798499653421599E-2</v>
      </c>
      <c r="AL416" s="9">
        <f t="shared" si="827"/>
        <v>0.43204002437964517</v>
      </c>
      <c r="AM416" s="4">
        <f t="shared" si="828"/>
        <v>1002.8327393676334</v>
      </c>
      <c r="AN416" s="6">
        <f t="shared" si="829"/>
        <v>5.5056654787352669E-6</v>
      </c>
      <c r="AO416" s="8">
        <f t="shared" si="830"/>
        <v>27.421576502727781</v>
      </c>
      <c r="AP416" s="7">
        <f t="shared" si="831"/>
        <v>1.377899345920601E-2</v>
      </c>
      <c r="AQ416" s="9">
        <f t="shared" si="832"/>
        <v>0.43274612123549722</v>
      </c>
      <c r="AR416" s="4">
        <f t="shared" si="833"/>
        <v>998.33620480722357</v>
      </c>
      <c r="AS416" s="6">
        <f t="shared" si="834"/>
        <v>5.4966724096144474E-6</v>
      </c>
      <c r="AT416" s="8">
        <f t="shared" si="835"/>
        <v>27.369866355283072</v>
      </c>
      <c r="AU416" s="7">
        <f t="shared" si="836"/>
        <v>1.3756486563160005E-2</v>
      </c>
      <c r="AV416" s="9">
        <f t="shared" si="837"/>
        <v>0.43356371257645365</v>
      </c>
      <c r="AW416" s="4">
        <f t="shared" si="838"/>
        <v>993.24001769204233</v>
      </c>
      <c r="AX416" s="6">
        <f t="shared" si="839"/>
        <v>5.486480035384085E-6</v>
      </c>
      <c r="AY416" s="8">
        <f t="shared" si="840"/>
        <v>27.311260203458488</v>
      </c>
      <c r="AZ416" s="7">
        <f t="shared" si="841"/>
        <v>1.3730978173956854E-2</v>
      </c>
      <c r="BA416" s="9">
        <f t="shared" si="842"/>
        <v>0.43449407977941662</v>
      </c>
      <c r="BB416" s="4">
        <f t="shared" si="843"/>
        <v>987.54325944317134</v>
      </c>
      <c r="BC416" s="6">
        <f t="shared" si="844"/>
        <v>5.4750865188863436E-6</v>
      </c>
      <c r="BD416" s="8">
        <f t="shared" si="845"/>
        <v>27.245747483596467</v>
      </c>
      <c r="BE416" s="7">
        <f t="shared" si="846"/>
        <v>1.370246369375349E-2</v>
      </c>
      <c r="BF416" s="9">
        <f t="shared" si="847"/>
        <v>0.43553882589795984</v>
      </c>
      <c r="BG416" s="4">
        <f t="shared" si="848"/>
        <v>981.24099389503249</v>
      </c>
      <c r="BH416" s="6">
        <f t="shared" si="849"/>
        <v>5.4624819877900655E-6</v>
      </c>
      <c r="BI416" s="8">
        <f t="shared" si="850"/>
        <v>27.173271429792873</v>
      </c>
      <c r="BJ416" s="7">
        <f t="shared" si="851"/>
        <v>1.3670918415130446E-2</v>
      </c>
      <c r="BK416" s="9">
        <f t="shared" si="852"/>
        <v>0.4367004871083478</v>
      </c>
      <c r="BL416" s="4">
        <f t="shared" si="853"/>
        <v>974.30915570048523</v>
      </c>
      <c r="BM416" s="6">
        <f t="shared" si="854"/>
        <v>5.4486183114009708E-6</v>
      </c>
      <c r="BN416" s="8">
        <f t="shared" si="855"/>
        <v>27.093555290555578</v>
      </c>
      <c r="BO416" s="7">
        <f t="shared" si="856"/>
        <v>1.3636221881709792E-2</v>
      </c>
      <c r="BP416" s="9">
        <f t="shared" si="857"/>
        <v>0.43798537115040109</v>
      </c>
      <c r="BQ416" s="4">
        <f t="shared" si="858"/>
        <v>966.64235914320182</v>
      </c>
      <c r="BR416" s="6">
        <f t="shared" si="859"/>
        <v>5.4332847182864038E-6</v>
      </c>
      <c r="BS416" s="8">
        <f t="shared" si="860"/>
        <v>27.005387130146822</v>
      </c>
      <c r="BT416" s="7">
        <f t="shared" si="861"/>
        <v>1.3597846597187369E-2</v>
      </c>
      <c r="BU416" s="9">
        <f t="shared" si="862"/>
        <v>0.4394153215626716</v>
      </c>
      <c r="BV416" s="4">
        <f t="shared" si="863"/>
        <v>957.83146699290603</v>
      </c>
      <c r="BW416" s="6">
        <f t="shared" si="864"/>
        <v>5.4156629339858123E-6</v>
      </c>
      <c r="BX416" s="8">
        <f t="shared" si="865"/>
        <v>26.904061870418417</v>
      </c>
      <c r="BY416" s="7">
        <f t="shared" si="866"/>
        <v>1.3553744671352027E-2</v>
      </c>
      <c r="BZ416" s="9">
        <f t="shared" si="867"/>
        <v>0.44107023418517538</v>
      </c>
      <c r="CA416" s="4">
        <f t="shared" si="868"/>
        <v>946.49190749094691</v>
      </c>
      <c r="CB416" s="6">
        <f t="shared" si="869"/>
        <v>5.392983814981894E-6</v>
      </c>
      <c r="CC416" s="8">
        <f t="shared" si="870"/>
        <v>26.77365693614589</v>
      </c>
      <c r="CD416" s="7">
        <f t="shared" si="871"/>
        <v>1.3496985786595495E-2</v>
      </c>
      <c r="CE416" s="9">
        <f t="shared" si="872"/>
        <v>0.44321852999084971</v>
      </c>
      <c r="CF416" s="4">
        <f t="shared" si="873"/>
        <v>928.63079257335028</v>
      </c>
      <c r="CG416" s="6">
        <f t="shared" si="874"/>
        <v>5.3572615851467013E-6</v>
      </c>
      <c r="CH416" s="8">
        <f t="shared" si="875"/>
        <v>26.568254114593529</v>
      </c>
      <c r="CI416" s="7">
        <f t="shared" si="876"/>
        <v>1.3407583992543808E-2</v>
      </c>
      <c r="CJ416" s="9">
        <f t="shared" si="877"/>
        <v>0.44664511331965057</v>
      </c>
      <c r="CK416" s="4">
        <f t="shared" si="878"/>
        <v>894.74607083999103</v>
      </c>
      <c r="CL416" s="6">
        <f t="shared" si="879"/>
        <v>5.2894921416799829E-6</v>
      </c>
      <c r="CM416" s="8">
        <f t="shared" si="880"/>
        <v>26.178579814659898</v>
      </c>
      <c r="CN416" s="7">
        <f t="shared" si="881"/>
        <v>1.3237977843774224E-2</v>
      </c>
      <c r="CO416" s="9">
        <f t="shared" si="882"/>
        <v>0.45329353057848698</v>
      </c>
      <c r="CP416" s="4">
        <f t="shared" si="883"/>
        <v>827.09071435727401</v>
      </c>
      <c r="CQ416" s="6">
        <f t="shared" si="884"/>
        <v>5.1541814287145482E-6</v>
      </c>
      <c r="CR416" s="8">
        <f t="shared" si="885"/>
        <v>25.400543215108648</v>
      </c>
      <c r="CS416" s="7">
        <f t="shared" si="886"/>
        <v>1.28993365957521E-2</v>
      </c>
      <c r="CT416" s="9">
        <f t="shared" si="887"/>
        <v>0.46717823194660918</v>
      </c>
      <c r="CU416" s="4">
        <f t="shared" si="888"/>
        <v>702.0130196857483</v>
      </c>
      <c r="CV416" s="6">
        <f t="shared" si="889"/>
        <v>4.9040260393714969E-6</v>
      </c>
      <c r="CW416" s="8">
        <f t="shared" si="890"/>
        <v>23.962149726386105</v>
      </c>
      <c r="CX416" s="7">
        <f t="shared" si="891"/>
        <v>1.2273274317385192E-2</v>
      </c>
      <c r="CY416" s="9">
        <f t="shared" si="892"/>
        <v>0.4952218813928419</v>
      </c>
      <c r="CZ416" s="5">
        <f t="shared" si="893"/>
        <v>502.87308149771115</v>
      </c>
      <c r="DA416" s="6">
        <f t="shared" si="894"/>
        <v>7.1718620281811048E-6</v>
      </c>
      <c r="DB416" s="8">
        <f t="shared" si="895"/>
        <v>38.911680636566373</v>
      </c>
      <c r="DC416" s="7">
        <f t="shared" si="896"/>
        <v>1.7948972809611389E-2</v>
      </c>
      <c r="DD416" s="9">
        <f t="shared" si="897"/>
        <v>0.30496192083172441</v>
      </c>
    </row>
    <row r="417" spans="2:108" x14ac:dyDescent="0.25">
      <c r="B417">
        <v>150</v>
      </c>
      <c r="C417">
        <f t="shared" si="805"/>
        <v>0.14664219995178773</v>
      </c>
      <c r="D417" s="4">
        <f t="shared" si="806"/>
        <v>1017.5402541480353</v>
      </c>
      <c r="E417" s="6">
        <f t="shared" si="794"/>
        <v>5.5350805082960708E-6</v>
      </c>
      <c r="F417" s="8">
        <f t="shared" si="807"/>
        <v>27.590712922702405</v>
      </c>
      <c r="G417" s="7">
        <f t="shared" si="792"/>
        <v>1.3852610263838638E-2</v>
      </c>
      <c r="H417" s="9">
        <f t="shared" si="808"/>
        <v>0.43009330360411768</v>
      </c>
      <c r="I417" s="4">
        <f t="shared" si="809"/>
        <v>1017.2156426767888</v>
      </c>
      <c r="J417" s="6">
        <f t="shared" si="795"/>
        <v>5.5344312853535776E-6</v>
      </c>
      <c r="K417" s="8">
        <f t="shared" si="810"/>
        <v>27.58697989078307</v>
      </c>
      <c r="L417" s="7">
        <f t="shared" si="796"/>
        <v>1.3850985457770646E-2</v>
      </c>
      <c r="M417" s="9">
        <f t="shared" si="811"/>
        <v>0.43015150323441437</v>
      </c>
      <c r="N417" s="4">
        <f t="shared" si="812"/>
        <v>1016.3096838134823</v>
      </c>
      <c r="O417" s="6">
        <f t="shared" si="797"/>
        <v>5.5326193676269643E-6</v>
      </c>
      <c r="P417" s="8">
        <f t="shared" si="798"/>
        <v>27.576561363855046</v>
      </c>
      <c r="Q417" s="7">
        <f t="shared" si="793"/>
        <v>1.3852610263838638E-2</v>
      </c>
      <c r="R417" s="9">
        <f t="shared" si="813"/>
        <v>0.43031401606407604</v>
      </c>
      <c r="S417" s="4">
        <f t="shared" si="814"/>
        <v>1014.8081459218357</v>
      </c>
      <c r="T417" s="6">
        <f t="shared" si="799"/>
        <v>5.5296162918436722E-6</v>
      </c>
      <c r="U417" s="8">
        <f t="shared" si="800"/>
        <v>27.55929367810111</v>
      </c>
      <c r="V417" s="7">
        <f t="shared" si="801"/>
        <v>1.3838935004590125E-2</v>
      </c>
      <c r="W417" s="9">
        <f t="shared" si="815"/>
        <v>0.43058363571731167</v>
      </c>
      <c r="X417" s="4">
        <f t="shared" si="816"/>
        <v>1012.7089999981331</v>
      </c>
      <c r="Y417" s="6">
        <f t="shared" si="802"/>
        <v>5.5254179999962668E-6</v>
      </c>
      <c r="Z417" s="8">
        <f t="shared" si="803"/>
        <v>27.535153499978527</v>
      </c>
      <c r="AA417" s="7">
        <f t="shared" si="804"/>
        <v>1.3828427966680056E-2</v>
      </c>
      <c r="AB417" s="9">
        <f t="shared" si="817"/>
        <v>0.43096113009601172</v>
      </c>
      <c r="AC417" s="4">
        <f t="shared" si="818"/>
        <v>1010.0107874436632</v>
      </c>
      <c r="AD417" s="6">
        <f t="shared" si="819"/>
        <v>5.5200215748873265E-6</v>
      </c>
      <c r="AE417" s="8">
        <f t="shared" si="820"/>
        <v>27.504124055602126</v>
      </c>
      <c r="AF417" s="7">
        <f t="shared" si="821"/>
        <v>1.3814922368389281E-2</v>
      </c>
      <c r="AG417" s="9">
        <f t="shared" si="822"/>
        <v>0.43144732934335628</v>
      </c>
      <c r="AH417" s="4">
        <f t="shared" si="823"/>
        <v>1006.7132153088597</v>
      </c>
      <c r="AI417" s="6">
        <f t="shared" si="824"/>
        <v>5.5134264306177199E-6</v>
      </c>
      <c r="AJ417" s="8">
        <f t="shared" si="825"/>
        <v>27.466201976051885</v>
      </c>
      <c r="AK417" s="7">
        <f t="shared" si="826"/>
        <v>1.3798416743391826E-2</v>
      </c>
      <c r="AL417" s="9">
        <f t="shared" si="827"/>
        <v>0.432043020730151</v>
      </c>
      <c r="AM417" s="4">
        <f t="shared" si="828"/>
        <v>1002.816194576018</v>
      </c>
      <c r="AN417" s="6">
        <f t="shared" si="829"/>
        <v>5.5056323891520364E-6</v>
      </c>
      <c r="AO417" s="8">
        <f t="shared" si="830"/>
        <v>27.421386237624205</v>
      </c>
      <c r="AP417" s="7">
        <f t="shared" si="831"/>
        <v>1.3778910646119621E-2</v>
      </c>
      <c r="AQ417" s="9">
        <f t="shared" si="832"/>
        <v>0.43274912387310516</v>
      </c>
      <c r="AR417" s="4">
        <f t="shared" si="833"/>
        <v>998.31968116982637</v>
      </c>
      <c r="AS417" s="6">
        <f t="shared" si="834"/>
        <v>5.4966393623396529E-6</v>
      </c>
      <c r="AT417" s="8">
        <f t="shared" si="835"/>
        <v>27.369676333453</v>
      </c>
      <c r="AU417" s="7">
        <f t="shared" si="836"/>
        <v>1.3756403855958669E-2</v>
      </c>
      <c r="AV417" s="9">
        <f t="shared" si="837"/>
        <v>0.43356672271691393</v>
      </c>
      <c r="AW417" s="4">
        <f t="shared" si="838"/>
        <v>993.22350754213733</v>
      </c>
      <c r="AX417" s="6">
        <f t="shared" si="839"/>
        <v>5.4864470150842752E-6</v>
      </c>
      <c r="AY417" s="8">
        <f t="shared" si="840"/>
        <v>27.311070336734581</v>
      </c>
      <c r="AZ417" s="7">
        <f t="shared" si="841"/>
        <v>1.3730895534265635E-2</v>
      </c>
      <c r="BA417" s="9">
        <f t="shared" si="842"/>
        <v>0.43449710038485123</v>
      </c>
      <c r="BB417" s="4">
        <f t="shared" si="843"/>
        <v>987.5267074185864</v>
      </c>
      <c r="BC417" s="6">
        <f t="shared" si="844"/>
        <v>5.4750534148371736E-6</v>
      </c>
      <c r="BD417" s="8">
        <f t="shared" si="845"/>
        <v>27.245557135313742</v>
      </c>
      <c r="BE417" s="7">
        <f t="shared" si="846"/>
        <v>1.3702380844463291E-2</v>
      </c>
      <c r="BF417" s="9">
        <f t="shared" si="847"/>
        <v>0.43554186874517187</v>
      </c>
      <c r="BG417" s="4">
        <f t="shared" si="848"/>
        <v>981.22412458133408</v>
      </c>
      <c r="BH417" s="6">
        <f t="shared" si="849"/>
        <v>5.4624482491626689E-6</v>
      </c>
      <c r="BI417" s="8">
        <f t="shared" si="850"/>
        <v>27.173077432685339</v>
      </c>
      <c r="BJ417" s="7">
        <f t="shared" si="851"/>
        <v>1.3670833977685416E-2</v>
      </c>
      <c r="BK417" s="9">
        <f t="shared" si="852"/>
        <v>0.43670360484985382</v>
      </c>
      <c r="BL417" s="4">
        <f t="shared" si="853"/>
        <v>974.29079256039472</v>
      </c>
      <c r="BM417" s="6">
        <f t="shared" si="854"/>
        <v>5.4485815851207905E-6</v>
      </c>
      <c r="BN417" s="8">
        <f t="shared" si="855"/>
        <v>27.093344114444541</v>
      </c>
      <c r="BO417" s="7">
        <f t="shared" si="856"/>
        <v>1.3636129967085421E-2</v>
      </c>
      <c r="BP417" s="9">
        <f t="shared" si="857"/>
        <v>0.43798878497953125</v>
      </c>
      <c r="BQ417" s="4">
        <f t="shared" si="858"/>
        <v>966.61811611066332</v>
      </c>
      <c r="BR417" s="6">
        <f t="shared" si="859"/>
        <v>5.4332362322213272E-6</v>
      </c>
      <c r="BS417" s="8">
        <f t="shared" si="860"/>
        <v>27.005108335272627</v>
      </c>
      <c r="BT417" s="7">
        <f t="shared" si="861"/>
        <v>1.3597725251425238E-2</v>
      </c>
      <c r="BU417" s="9">
        <f t="shared" si="862"/>
        <v>0.43941985799103073</v>
      </c>
      <c r="BV417" s="4">
        <f t="shared" si="863"/>
        <v>957.78729714381802</v>
      </c>
      <c r="BW417" s="6">
        <f t="shared" si="864"/>
        <v>5.4155745942876365E-6</v>
      </c>
      <c r="BX417" s="8">
        <f t="shared" si="865"/>
        <v>26.903553917153907</v>
      </c>
      <c r="BY417" s="7">
        <f t="shared" si="866"/>
        <v>1.3553523584159559E-2</v>
      </c>
      <c r="BZ417" s="9">
        <f t="shared" si="867"/>
        <v>0.44107856182345029</v>
      </c>
      <c r="CA417" s="4">
        <f t="shared" si="868"/>
        <v>946.39032503483509</v>
      </c>
      <c r="CB417" s="6">
        <f t="shared" si="869"/>
        <v>5.3927806500696712E-6</v>
      </c>
      <c r="CC417" s="8">
        <f t="shared" si="870"/>
        <v>26.772488737900602</v>
      </c>
      <c r="CD417" s="7">
        <f t="shared" si="871"/>
        <v>1.3496477327080933E-2</v>
      </c>
      <c r="CE417" s="9">
        <f t="shared" si="872"/>
        <v>0.44323786951188127</v>
      </c>
      <c r="CF417" s="4">
        <f t="shared" si="873"/>
        <v>928.39270574879049</v>
      </c>
      <c r="CG417" s="6">
        <f t="shared" si="874"/>
        <v>5.3567854114975817E-6</v>
      </c>
      <c r="CH417" s="8">
        <f t="shared" si="875"/>
        <v>26.565516116111091</v>
      </c>
      <c r="CI417" s="7">
        <f t="shared" si="876"/>
        <v>1.3406392275825456E-2</v>
      </c>
      <c r="CJ417" s="9">
        <f t="shared" si="877"/>
        <v>0.44669114719443437</v>
      </c>
      <c r="CK417" s="4">
        <f t="shared" si="878"/>
        <v>894.25329063607035</v>
      </c>
      <c r="CL417" s="6">
        <f t="shared" si="879"/>
        <v>5.288506581272141E-6</v>
      </c>
      <c r="CM417" s="8">
        <f t="shared" si="880"/>
        <v>26.172912842314808</v>
      </c>
      <c r="CN417" s="7">
        <f t="shared" si="881"/>
        <v>1.3235511288102478E-2</v>
      </c>
      <c r="CO417" s="9">
        <f t="shared" si="882"/>
        <v>0.45339167792331914</v>
      </c>
      <c r="CP417" s="4">
        <f t="shared" si="883"/>
        <v>826.25984144992731</v>
      </c>
      <c r="CQ417" s="6">
        <f t="shared" si="884"/>
        <v>5.1525196828998542E-6</v>
      </c>
      <c r="CR417" s="8">
        <f t="shared" si="885"/>
        <v>25.390988176674163</v>
      </c>
      <c r="CS417" s="7">
        <f t="shared" si="886"/>
        <v>1.2895177755226833E-2</v>
      </c>
      <c r="CT417" s="9">
        <f t="shared" si="887"/>
        <v>0.46735403865137171</v>
      </c>
      <c r="CU417" s="4">
        <f t="shared" si="888"/>
        <v>700.9479516799388</v>
      </c>
      <c r="CV417" s="6">
        <f t="shared" si="889"/>
        <v>4.9018959033598777E-6</v>
      </c>
      <c r="CW417" s="8">
        <f t="shared" si="890"/>
        <v>23.949901444319295</v>
      </c>
      <c r="CX417" s="7">
        <f t="shared" si="891"/>
        <v>1.2267943239737143E-2</v>
      </c>
      <c r="CY417" s="9">
        <f t="shared" si="892"/>
        <v>0.49547514411724425</v>
      </c>
      <c r="CZ417" s="5">
        <f t="shared" si="893"/>
        <v>501.93946696545987</v>
      </c>
      <c r="DA417" s="6">
        <f t="shared" si="894"/>
        <v>7.185889041525731E-6</v>
      </c>
      <c r="DB417" s="8">
        <f t="shared" si="895"/>
        <v>38.938755458001658</v>
      </c>
      <c r="DC417" s="7">
        <f t="shared" si="896"/>
        <v>1.7984078125376449E-2</v>
      </c>
      <c r="DD417" s="9">
        <f t="shared" si="897"/>
        <v>0.30474987528856406</v>
      </c>
    </row>
    <row r="418" spans="2:108" x14ac:dyDescent="0.25">
      <c r="B418">
        <v>151</v>
      </c>
      <c r="C418">
        <f t="shared" si="805"/>
        <v>0.14761981461813298</v>
      </c>
      <c r="D418" s="4">
        <f t="shared" si="806"/>
        <v>1017.5236811261418</v>
      </c>
      <c r="E418" s="6">
        <f t="shared" si="794"/>
        <v>5.5350473622522837E-6</v>
      </c>
      <c r="F418" s="8">
        <f t="shared" si="807"/>
        <v>27.590522332950631</v>
      </c>
      <c r="G418" s="7">
        <f t="shared" si="792"/>
        <v>1.3852527309448781E-2</v>
      </c>
      <c r="H418" s="9">
        <f t="shared" si="808"/>
        <v>0.43009627460173</v>
      </c>
      <c r="I418" s="4">
        <f t="shared" si="809"/>
        <v>1017.1990662915812</v>
      </c>
      <c r="J418" s="6">
        <f t="shared" si="795"/>
        <v>5.5343981325831622E-6</v>
      </c>
      <c r="K418" s="8">
        <f t="shared" si="810"/>
        <v>27.586789262353182</v>
      </c>
      <c r="L418" s="7">
        <f t="shared" si="796"/>
        <v>1.3850902486546102E-2</v>
      </c>
      <c r="M418" s="9">
        <f t="shared" si="811"/>
        <v>0.43015447563924541</v>
      </c>
      <c r="N418" s="4">
        <f t="shared" si="812"/>
        <v>1016.2930980057403</v>
      </c>
      <c r="O418" s="6">
        <f t="shared" si="797"/>
        <v>5.5325861960114812E-6</v>
      </c>
      <c r="P418" s="8">
        <f t="shared" si="798"/>
        <v>27.576370627066012</v>
      </c>
      <c r="Q418" s="7">
        <f t="shared" si="793"/>
        <v>1.3852527309448781E-2</v>
      </c>
      <c r="R418" s="9">
        <f t="shared" si="813"/>
        <v>0.43031699240620641</v>
      </c>
      <c r="S418" s="4">
        <f t="shared" si="814"/>
        <v>1014.7915544451039</v>
      </c>
      <c r="T418" s="6">
        <f t="shared" si="799"/>
        <v>5.5295831088902084E-6</v>
      </c>
      <c r="U418" s="8">
        <f t="shared" si="800"/>
        <v>27.559102876118693</v>
      </c>
      <c r="V418" s="7">
        <f t="shared" si="801"/>
        <v>1.3838851957826659E-2</v>
      </c>
      <c r="W418" s="9">
        <f t="shared" si="815"/>
        <v>0.43058661680895532</v>
      </c>
      <c r="X418" s="4">
        <f t="shared" si="816"/>
        <v>1012.692410861996</v>
      </c>
      <c r="Y418" s="6">
        <f t="shared" si="802"/>
        <v>5.5253848217239925E-6</v>
      </c>
      <c r="Z418" s="8">
        <f t="shared" si="803"/>
        <v>27.534962724912951</v>
      </c>
      <c r="AA418" s="7">
        <f t="shared" si="804"/>
        <v>1.3828344931632172E-2</v>
      </c>
      <c r="AB418" s="9">
        <f t="shared" si="817"/>
        <v>0.43096411599574497</v>
      </c>
      <c r="AC418" s="4">
        <f t="shared" si="818"/>
        <v>1009.9942081147664</v>
      </c>
      <c r="AD418" s="6">
        <f t="shared" si="819"/>
        <v>5.5199884162295332E-6</v>
      </c>
      <c r="AE418" s="8">
        <f t="shared" si="820"/>
        <v>27.503933393319812</v>
      </c>
      <c r="AF418" s="7">
        <f t="shared" si="821"/>
        <v>1.3814839382430433E-2</v>
      </c>
      <c r="AG418" s="9">
        <f t="shared" si="822"/>
        <v>0.43145032021492852</v>
      </c>
      <c r="AH418" s="4">
        <f t="shared" si="823"/>
        <v>1006.6966513440191</v>
      </c>
      <c r="AI418" s="6">
        <f t="shared" si="824"/>
        <v>5.5133933026880382E-6</v>
      </c>
      <c r="AJ418" s="8">
        <f t="shared" si="825"/>
        <v>27.466011490456218</v>
      </c>
      <c r="AK418" s="7">
        <f t="shared" si="826"/>
        <v>1.3798333834336027E-2</v>
      </c>
      <c r="AL418" s="9">
        <f t="shared" si="827"/>
        <v>0.43204601708701867</v>
      </c>
      <c r="AM418" s="4">
        <f t="shared" si="828"/>
        <v>1002.7996499484013</v>
      </c>
      <c r="AN418" s="6">
        <f t="shared" si="829"/>
        <v>5.5055992998968033E-6</v>
      </c>
      <c r="AO418" s="8">
        <f t="shared" si="830"/>
        <v>27.421195974406615</v>
      </c>
      <c r="AP418" s="7">
        <f t="shared" si="831"/>
        <v>1.3778827833854115E-2</v>
      </c>
      <c r="AQ418" s="9">
        <f t="shared" si="832"/>
        <v>0.43275212652261741</v>
      </c>
      <c r="AR418" s="4">
        <f t="shared" si="833"/>
        <v>998.30315755593153</v>
      </c>
      <c r="AS418" s="6">
        <f t="shared" si="834"/>
        <v>5.4966063151118636E-6</v>
      </c>
      <c r="AT418" s="8">
        <f t="shared" si="835"/>
        <v>27.369486311893212</v>
      </c>
      <c r="AU418" s="7">
        <f t="shared" si="836"/>
        <v>1.3756321148874973E-2</v>
      </c>
      <c r="AV418" s="9">
        <f t="shared" si="837"/>
        <v>0.43356973289489037</v>
      </c>
      <c r="AW418" s="4">
        <f t="shared" si="838"/>
        <v>993.20699670822125</v>
      </c>
      <c r="AX418" s="6">
        <f t="shared" si="839"/>
        <v>5.4864139934164428E-6</v>
      </c>
      <c r="AY418" s="8">
        <f t="shared" si="840"/>
        <v>27.310880462144546</v>
      </c>
      <c r="AZ418" s="7">
        <f t="shared" si="841"/>
        <v>1.373081289115068E-2</v>
      </c>
      <c r="BA418" s="9">
        <f t="shared" si="842"/>
        <v>0.4345001211574302</v>
      </c>
      <c r="BB418" s="4">
        <f t="shared" si="843"/>
        <v>987.51015146537964</v>
      </c>
      <c r="BC418" s="6">
        <f t="shared" si="844"/>
        <v>5.4750203029307599E-6</v>
      </c>
      <c r="BD418" s="8">
        <f t="shared" si="845"/>
        <v>27.245366741851864</v>
      </c>
      <c r="BE418" s="7">
        <f t="shared" si="846"/>
        <v>1.3702297975508818E-2</v>
      </c>
      <c r="BF418" s="9">
        <f t="shared" si="847"/>
        <v>0.43554491235713599</v>
      </c>
      <c r="BG418" s="4">
        <f t="shared" si="848"/>
        <v>981.20723812037295</v>
      </c>
      <c r="BH418" s="6">
        <f t="shared" si="849"/>
        <v>5.4624144762407462E-6</v>
      </c>
      <c r="BI418" s="8">
        <f t="shared" si="850"/>
        <v>27.172883238384287</v>
      </c>
      <c r="BJ418" s="7">
        <f t="shared" si="851"/>
        <v>1.3670749454411695E-2</v>
      </c>
      <c r="BK418" s="9">
        <f t="shared" si="852"/>
        <v>0.43670672580505637</v>
      </c>
      <c r="BL418" s="4">
        <f t="shared" si="853"/>
        <v>974.27236537285103</v>
      </c>
      <c r="BM418" s="6">
        <f t="shared" si="854"/>
        <v>5.4485447307457022E-6</v>
      </c>
      <c r="BN418" s="8">
        <f t="shared" si="855"/>
        <v>27.093132201787785</v>
      </c>
      <c r="BO418" s="7">
        <f t="shared" si="856"/>
        <v>1.3636037731878752E-2</v>
      </c>
      <c r="BP418" s="9">
        <f t="shared" si="857"/>
        <v>0.43799221076900302</v>
      </c>
      <c r="BQ418" s="4">
        <f t="shared" si="858"/>
        <v>966.59366816305464</v>
      </c>
      <c r="BR418" s="6">
        <f t="shared" si="859"/>
        <v>5.4331873363261099E-6</v>
      </c>
      <c r="BS418" s="8">
        <f t="shared" si="860"/>
        <v>27.004827183875129</v>
      </c>
      <c r="BT418" s="7">
        <f t="shared" si="861"/>
        <v>1.3597602879983859E-2</v>
      </c>
      <c r="BU418" s="9">
        <f t="shared" si="862"/>
        <v>0.43942443285856542</v>
      </c>
      <c r="BV418" s="4">
        <f t="shared" si="863"/>
        <v>957.74258041709811</v>
      </c>
      <c r="BW418" s="6">
        <f t="shared" si="864"/>
        <v>5.4154851608341966E-6</v>
      </c>
      <c r="BX418" s="8">
        <f t="shared" si="865"/>
        <v>26.903039674796627</v>
      </c>
      <c r="BY418" s="7">
        <f t="shared" si="866"/>
        <v>1.3553299759632854E-2</v>
      </c>
      <c r="BZ418" s="9">
        <f t="shared" si="867"/>
        <v>0.44108699288856856</v>
      </c>
      <c r="CA418" s="4">
        <f t="shared" si="868"/>
        <v>946.28758469475383</v>
      </c>
      <c r="CB418" s="6">
        <f t="shared" si="869"/>
        <v>5.392575169389508E-6</v>
      </c>
      <c r="CC418" s="8">
        <f t="shared" si="870"/>
        <v>26.771307223989666</v>
      </c>
      <c r="CD418" s="7">
        <f t="shared" si="871"/>
        <v>1.3495963071908893E-2</v>
      </c>
      <c r="CE418" s="9">
        <f t="shared" si="872"/>
        <v>0.44325743119052102</v>
      </c>
      <c r="CF418" s="4">
        <f t="shared" si="873"/>
        <v>928.15286793430801</v>
      </c>
      <c r="CG418" s="6">
        <f t="shared" si="874"/>
        <v>5.3563057358686162E-6</v>
      </c>
      <c r="CH418" s="8">
        <f t="shared" si="875"/>
        <v>26.562757981244541</v>
      </c>
      <c r="CI418" s="7">
        <f t="shared" si="876"/>
        <v>1.3405191794724745E-2</v>
      </c>
      <c r="CJ418" s="9">
        <f t="shared" si="877"/>
        <v>0.44673752921653187</v>
      </c>
      <c r="CK418" s="4">
        <f t="shared" si="878"/>
        <v>893.75920285645361</v>
      </c>
      <c r="CL418" s="6">
        <f t="shared" si="879"/>
        <v>5.2875184057129082E-6</v>
      </c>
      <c r="CM418" s="8">
        <f t="shared" si="880"/>
        <v>26.167230832849214</v>
      </c>
      <c r="CN418" s="7">
        <f t="shared" si="881"/>
        <v>1.3233038187508223E-2</v>
      </c>
      <c r="CO418" s="9">
        <f t="shared" si="882"/>
        <v>0.45349012837923625</v>
      </c>
      <c r="CP418" s="4">
        <f t="shared" si="883"/>
        <v>825.43028831093682</v>
      </c>
      <c r="CQ418" s="6">
        <f t="shared" si="884"/>
        <v>5.150860576621874E-6</v>
      </c>
      <c r="CR418" s="8">
        <f t="shared" si="885"/>
        <v>25.381448315575774</v>
      </c>
      <c r="CS418" s="7">
        <f t="shared" si="886"/>
        <v>1.2891025520653063E-2</v>
      </c>
      <c r="CT418" s="9">
        <f t="shared" si="887"/>
        <v>0.46752969815500095</v>
      </c>
      <c r="CU418" s="4">
        <f t="shared" si="888"/>
        <v>699.88790535624128</v>
      </c>
      <c r="CV418" s="6">
        <f t="shared" si="889"/>
        <v>4.8997758107124828E-6</v>
      </c>
      <c r="CW418" s="8">
        <f t="shared" si="890"/>
        <v>23.892508604496129</v>
      </c>
      <c r="CX418" s="7">
        <f t="shared" si="891"/>
        <v>1.2262637297551917E-2</v>
      </c>
      <c r="CY418" s="9">
        <f t="shared" si="892"/>
        <v>0.49666533833474596</v>
      </c>
      <c r="CZ418" s="5">
        <f t="shared" si="893"/>
        <v>501.00045094182866</v>
      </c>
      <c r="DA418" s="6">
        <f t="shared" si="894"/>
        <v>7.1999882113050125E-6</v>
      </c>
      <c r="DB418" s="8">
        <f t="shared" si="895"/>
        <v>38.965986922686966</v>
      </c>
      <c r="DC418" s="7">
        <f t="shared" si="896"/>
        <v>1.8019364026584817E-2</v>
      </c>
      <c r="DD418" s="9">
        <f t="shared" si="897"/>
        <v>0.30453690017559598</v>
      </c>
    </row>
    <row r="419" spans="2:108" x14ac:dyDescent="0.25">
      <c r="B419">
        <v>152</v>
      </c>
      <c r="C419">
        <f t="shared" si="805"/>
        <v>0.14859742928447822</v>
      </c>
      <c r="D419" s="4">
        <f t="shared" si="806"/>
        <v>1017.5071079325345</v>
      </c>
      <c r="E419" s="6">
        <f t="shared" si="794"/>
        <v>5.5350142158650696E-6</v>
      </c>
      <c r="F419" s="8">
        <f t="shared" si="807"/>
        <v>27.590331741224148</v>
      </c>
      <c r="G419" s="7">
        <f t="shared" si="792"/>
        <v>1.3852444354199432E-2</v>
      </c>
      <c r="H419" s="9">
        <f t="shared" si="808"/>
        <v>0.43009924567117197</v>
      </c>
      <c r="I419" s="4">
        <f t="shared" si="809"/>
        <v>1017.1824898331479</v>
      </c>
      <c r="J419" s="6">
        <f t="shared" si="795"/>
        <v>5.5343649796662965E-6</v>
      </c>
      <c r="K419" s="8">
        <f t="shared" si="810"/>
        <v>27.586598633081202</v>
      </c>
      <c r="L419" s="7">
        <f t="shared" si="796"/>
        <v>1.3850819514955036E-2</v>
      </c>
      <c r="M419" s="9">
        <f t="shared" si="811"/>
        <v>0.43015744809828688</v>
      </c>
      <c r="N419" s="4">
        <f t="shared" si="812"/>
        <v>1016.2765122970851</v>
      </c>
      <c r="O419" s="6">
        <f t="shared" si="797"/>
        <v>5.5325530245941708E-6</v>
      </c>
      <c r="P419" s="8">
        <f t="shared" si="798"/>
        <v>27.57617989141648</v>
      </c>
      <c r="Q419" s="7">
        <f t="shared" si="793"/>
        <v>1.3852444354199432E-2</v>
      </c>
      <c r="R419" s="9">
        <f t="shared" si="813"/>
        <v>0.43031996877172818</v>
      </c>
      <c r="S419" s="4">
        <f t="shared" si="814"/>
        <v>1014.7749631709972</v>
      </c>
      <c r="T419" s="6">
        <f t="shared" si="799"/>
        <v>5.5295499263419949E-6</v>
      </c>
      <c r="U419" s="8">
        <f t="shared" si="800"/>
        <v>27.55891207646647</v>
      </c>
      <c r="V419" s="7">
        <f t="shared" si="801"/>
        <v>1.383876891207741E-2</v>
      </c>
      <c r="W419" s="9">
        <f t="shared" si="815"/>
        <v>0.43058959790547002</v>
      </c>
      <c r="X419" s="4">
        <f t="shared" si="816"/>
        <v>1012.6758219497519</v>
      </c>
      <c r="Y419" s="6">
        <f t="shared" si="802"/>
        <v>5.5253516438995046E-6</v>
      </c>
      <c r="Z419" s="8">
        <f t="shared" si="803"/>
        <v>27.534771952422147</v>
      </c>
      <c r="AA419" s="7">
        <f t="shared" si="804"/>
        <v>1.3828261897704962E-2</v>
      </c>
      <c r="AB419" s="9">
        <f t="shared" si="817"/>
        <v>0.43096710189655418</v>
      </c>
      <c r="AC419" s="4">
        <f t="shared" si="818"/>
        <v>1009.9776289970707</v>
      </c>
      <c r="AD419" s="6">
        <f t="shared" si="819"/>
        <v>5.5199552579941417E-6</v>
      </c>
      <c r="AE419" s="8">
        <f t="shared" si="820"/>
        <v>27.503742733466311</v>
      </c>
      <c r="AF419" s="7">
        <f t="shared" si="821"/>
        <v>1.3814756397528728E-2</v>
      </c>
      <c r="AG419" s="9">
        <f t="shared" si="822"/>
        <v>0.43145331108986662</v>
      </c>
      <c r="AH419" s="4">
        <f t="shared" si="823"/>
        <v>1006.6800875735147</v>
      </c>
      <c r="AI419" s="6">
        <f t="shared" si="824"/>
        <v>5.5133601751470302E-6</v>
      </c>
      <c r="AJ419" s="8">
        <f t="shared" si="825"/>
        <v>27.465821007095418</v>
      </c>
      <c r="AK419" s="7">
        <f t="shared" si="826"/>
        <v>1.3798250926252956E-2</v>
      </c>
      <c r="AL419" s="9">
        <f t="shared" si="827"/>
        <v>0.43204901345029267</v>
      </c>
      <c r="AM419" s="4">
        <f t="shared" si="828"/>
        <v>1002.7831054830962</v>
      </c>
      <c r="AN419" s="6">
        <f t="shared" si="829"/>
        <v>5.5055662109661922E-6</v>
      </c>
      <c r="AO419" s="8">
        <f t="shared" si="830"/>
        <v>27.421005713055607</v>
      </c>
      <c r="AP419" s="7">
        <f t="shared" si="831"/>
        <v>1.3778745022401034E-2</v>
      </c>
      <c r="AQ419" s="9">
        <f t="shared" si="832"/>
        <v>0.43275512918433978</v>
      </c>
      <c r="AR419" s="4">
        <f t="shared" si="833"/>
        <v>998.28663395699596</v>
      </c>
      <c r="AS419" s="6">
        <f t="shared" si="834"/>
        <v>5.4965732679139932E-6</v>
      </c>
      <c r="AT419" s="8">
        <f t="shared" si="835"/>
        <v>27.369296290505453</v>
      </c>
      <c r="AU419" s="7">
        <f t="shared" si="836"/>
        <v>1.3756238441866154E-2</v>
      </c>
      <c r="AV419" s="9">
        <f t="shared" si="837"/>
        <v>0.43357274311194022</v>
      </c>
      <c r="AW419" s="4">
        <f t="shared" si="838"/>
        <v>993.19048515238205</v>
      </c>
      <c r="AX419" s="6">
        <f t="shared" si="839"/>
        <v>5.4863809703047649E-6</v>
      </c>
      <c r="AY419" s="8">
        <f t="shared" si="840"/>
        <v>27.310690579252395</v>
      </c>
      <c r="AZ419" s="7">
        <f t="shared" si="841"/>
        <v>1.3730730244422219E-2</v>
      </c>
      <c r="BA419" s="9">
        <f t="shared" si="842"/>
        <v>0.43450314210409596</v>
      </c>
      <c r="BB419" s="4">
        <f t="shared" si="843"/>
        <v>987.49359143535071</v>
      </c>
      <c r="BC419" s="6">
        <f t="shared" si="844"/>
        <v>5.474987182870702E-6</v>
      </c>
      <c r="BD419" s="8">
        <f t="shared" si="845"/>
        <v>27.245176301506532</v>
      </c>
      <c r="BE419" s="7">
        <f t="shared" si="846"/>
        <v>1.3702215086148275E-2</v>
      </c>
      <c r="BF419" s="9">
        <f t="shared" si="847"/>
        <v>0.43554795676112878</v>
      </c>
      <c r="BG419" s="4">
        <f t="shared" si="848"/>
        <v>981.19033401342745</v>
      </c>
      <c r="BH419" s="6">
        <f t="shared" si="849"/>
        <v>5.4623806680268554E-6</v>
      </c>
      <c r="BI419" s="8">
        <f t="shared" si="850"/>
        <v>27.172688841154415</v>
      </c>
      <c r="BJ419" s="7">
        <f t="shared" si="851"/>
        <v>1.3670664842812994E-2</v>
      </c>
      <c r="BK419" s="9">
        <f t="shared" si="852"/>
        <v>0.436709850066268</v>
      </c>
      <c r="BL419" s="4">
        <f t="shared" si="853"/>
        <v>974.25387274721527</v>
      </c>
      <c r="BM419" s="6">
        <f t="shared" si="854"/>
        <v>5.448507745494431E-6</v>
      </c>
      <c r="BN419" s="8">
        <f t="shared" si="855"/>
        <v>27.092919536592973</v>
      </c>
      <c r="BO419" s="7">
        <f t="shared" si="856"/>
        <v>1.3635945169129105E-2</v>
      </c>
      <c r="BP419" s="9">
        <f t="shared" si="857"/>
        <v>0.43799564877791541</v>
      </c>
      <c r="BQ419" s="4">
        <f t="shared" si="858"/>
        <v>966.56901230839776</v>
      </c>
      <c r="BR419" s="6">
        <f t="shared" si="859"/>
        <v>5.4331380246167963E-6</v>
      </c>
      <c r="BS419" s="8">
        <f t="shared" si="860"/>
        <v>27.004543641546576</v>
      </c>
      <c r="BT419" s="7">
        <f t="shared" si="861"/>
        <v>1.3597479467887226E-2</v>
      </c>
      <c r="BU419" s="9">
        <f t="shared" si="862"/>
        <v>0.43942904672757094</v>
      </c>
      <c r="BV419" s="4">
        <f t="shared" si="863"/>
        <v>957.6973127049589</v>
      </c>
      <c r="BW419" s="6">
        <f t="shared" si="864"/>
        <v>5.4153946254099184E-6</v>
      </c>
      <c r="BX419" s="8">
        <f t="shared" si="865"/>
        <v>26.902519096107028</v>
      </c>
      <c r="BY419" s="7">
        <f t="shared" si="866"/>
        <v>1.355307317721084E-2</v>
      </c>
      <c r="BZ419" s="9">
        <f t="shared" si="867"/>
        <v>0.44109552816691694</v>
      </c>
      <c r="CA419" s="4">
        <f t="shared" si="868"/>
        <v>946.18368622876869</v>
      </c>
      <c r="CB419" s="6">
        <f t="shared" si="869"/>
        <v>5.3923673724575376E-6</v>
      </c>
      <c r="CC419" s="8">
        <f t="shared" si="870"/>
        <v>26.770112391630839</v>
      </c>
      <c r="CD419" s="7">
        <f t="shared" si="871"/>
        <v>1.3495443019868407E-2</v>
      </c>
      <c r="CE419" s="9">
        <f t="shared" si="872"/>
        <v>0.44327721513144475</v>
      </c>
      <c r="CF419" s="4">
        <f t="shared" si="873"/>
        <v>927.91129329297667</v>
      </c>
      <c r="CG419" s="6">
        <f t="shared" si="874"/>
        <v>5.3558225865859537E-6</v>
      </c>
      <c r="CH419" s="8">
        <f t="shared" si="875"/>
        <v>26.559979872869231</v>
      </c>
      <c r="CI419" s="7">
        <f t="shared" si="876"/>
        <v>1.3403982620133348E-2</v>
      </c>
      <c r="CJ419" s="9">
        <f t="shared" si="877"/>
        <v>0.44678425686005502</v>
      </c>
      <c r="CK419" s="4">
        <f t="shared" si="878"/>
        <v>893.2638385484978</v>
      </c>
      <c r="CL419" s="6">
        <f t="shared" si="879"/>
        <v>5.2865276770969959E-6</v>
      </c>
      <c r="CM419" s="8">
        <f t="shared" si="880"/>
        <v>26.161534143307726</v>
      </c>
      <c r="CN419" s="7">
        <f t="shared" si="881"/>
        <v>1.3230558697395499E-2</v>
      </c>
      <c r="CO419" s="9">
        <f t="shared" si="882"/>
        <v>0.45358887612305565</v>
      </c>
      <c r="CP419" s="4">
        <f t="shared" si="883"/>
        <v>824.60207144827541</v>
      </c>
      <c r="CQ419" s="6">
        <f t="shared" si="884"/>
        <v>5.1492041428965511E-6</v>
      </c>
      <c r="CR419" s="8">
        <f t="shared" si="885"/>
        <v>25.371923821655166</v>
      </c>
      <c r="CS419" s="7">
        <f t="shared" si="886"/>
        <v>1.2886879974659579E-2</v>
      </c>
      <c r="CT419" s="9">
        <f t="shared" si="887"/>
        <v>0.4677052064766829</v>
      </c>
      <c r="CU419" s="4">
        <f t="shared" si="888"/>
        <v>698.83269284533412</v>
      </c>
      <c r="CV419" s="6">
        <f t="shared" si="889"/>
        <v>4.8976653856906688E-6</v>
      </c>
      <c r="CW419" s="8">
        <f t="shared" si="890"/>
        <v>24.104395276686205</v>
      </c>
      <c r="CX419" s="7">
        <f t="shared" si="891"/>
        <v>1.2257355550470837E-2</v>
      </c>
      <c r="CY419" s="9">
        <f t="shared" si="892"/>
        <v>0.49229946379095713</v>
      </c>
      <c r="CZ419" s="5">
        <f t="shared" si="893"/>
        <v>500.12136066279157</v>
      </c>
      <c r="DA419" s="6">
        <f t="shared" si="894"/>
        <v>7.2131795163803174E-6</v>
      </c>
      <c r="DB419" s="8">
        <f t="shared" si="895"/>
        <v>38.991480540779037</v>
      </c>
      <c r="DC419" s="7">
        <f t="shared" si="896"/>
        <v>1.8052377820658036E-2</v>
      </c>
      <c r="DD419" s="9">
        <f t="shared" si="897"/>
        <v>0.30433778623274632</v>
      </c>
    </row>
    <row r="420" spans="2:108" x14ac:dyDescent="0.25">
      <c r="B420">
        <v>153</v>
      </c>
      <c r="C420">
        <f t="shared" si="805"/>
        <v>0.14957504395082347</v>
      </c>
      <c r="D420" s="4">
        <f t="shared" si="806"/>
        <v>1017.4905345722416</v>
      </c>
      <c r="E420" s="6">
        <f t="shared" si="794"/>
        <v>5.5349810691444837E-6</v>
      </c>
      <c r="F420" s="8">
        <f t="shared" si="807"/>
        <v>27.590141147580777</v>
      </c>
      <c r="G420" s="7">
        <f t="shared" si="792"/>
        <v>1.3852361398115756E-2</v>
      </c>
      <c r="H420" s="9">
        <f t="shared" si="808"/>
        <v>0.43010221681154437</v>
      </c>
      <c r="I420" s="4">
        <f t="shared" si="809"/>
        <v>1017.1659133043903</v>
      </c>
      <c r="J420" s="6">
        <f t="shared" si="795"/>
        <v>5.5343318266087809E-6</v>
      </c>
      <c r="K420" s="8">
        <f t="shared" si="810"/>
        <v>27.586408003000486</v>
      </c>
      <c r="L420" s="7">
        <f t="shared" si="796"/>
        <v>1.3850736543011966E-2</v>
      </c>
      <c r="M420" s="9">
        <f t="shared" si="811"/>
        <v>0.43016042061102006</v>
      </c>
      <c r="N420" s="4">
        <f t="shared" si="812"/>
        <v>1016.2599266875197</v>
      </c>
      <c r="O420" s="6">
        <f t="shared" si="797"/>
        <v>5.5325198533750398E-6</v>
      </c>
      <c r="P420" s="8">
        <f t="shared" si="798"/>
        <v>27.575989156906477</v>
      </c>
      <c r="Q420" s="7">
        <f t="shared" si="793"/>
        <v>1.3852361398115756E-2</v>
      </c>
      <c r="R420" s="9">
        <f t="shared" si="813"/>
        <v>0.43032294516064107</v>
      </c>
      <c r="S420" s="4">
        <f t="shared" si="814"/>
        <v>1014.7583720986642</v>
      </c>
      <c r="T420" s="6">
        <f t="shared" si="799"/>
        <v>5.5295167441973281E-6</v>
      </c>
      <c r="U420" s="8">
        <f t="shared" si="800"/>
        <v>27.558721279134637</v>
      </c>
      <c r="V420" s="7">
        <f t="shared" si="801"/>
        <v>1.3838685867338116E-2</v>
      </c>
      <c r="W420" s="9">
        <f t="shared" si="815"/>
        <v>0.43059257900700815</v>
      </c>
      <c r="X420" s="4">
        <f t="shared" si="816"/>
        <v>1012.6592332609431</v>
      </c>
      <c r="Y420" s="6">
        <f t="shared" si="802"/>
        <v>5.5253184665218859E-6</v>
      </c>
      <c r="Z420" s="8">
        <f t="shared" si="803"/>
        <v>27.534581182500844</v>
      </c>
      <c r="AA420" s="7">
        <f t="shared" si="804"/>
        <v>1.3828178864896127E-2</v>
      </c>
      <c r="AB420" s="9">
        <f t="shared" si="817"/>
        <v>0.4309700877985212</v>
      </c>
      <c r="AC420" s="4">
        <f t="shared" si="818"/>
        <v>1009.9610500904749</v>
      </c>
      <c r="AD420" s="6">
        <f t="shared" si="819"/>
        <v>5.5199221001809504E-6</v>
      </c>
      <c r="AE420" s="8">
        <f t="shared" si="820"/>
        <v>27.50355207604046</v>
      </c>
      <c r="AF420" s="7">
        <f t="shared" si="821"/>
        <v>1.381467341368366E-2</v>
      </c>
      <c r="AG420" s="9">
        <f t="shared" si="822"/>
        <v>0.43145630196818807</v>
      </c>
      <c r="AH420" s="4">
        <f t="shared" si="823"/>
        <v>1006.6635239970784</v>
      </c>
      <c r="AI420" s="6">
        <f t="shared" si="824"/>
        <v>5.5133270479941572E-6</v>
      </c>
      <c r="AJ420" s="8">
        <f t="shared" si="825"/>
        <v>27.4656305259664</v>
      </c>
      <c r="AK420" s="7">
        <f t="shared" si="826"/>
        <v>1.3798168019141268E-2</v>
      </c>
      <c r="AL420" s="9">
        <f t="shared" si="827"/>
        <v>0.43205200982002079</v>
      </c>
      <c r="AM420" s="4">
        <f t="shared" si="828"/>
        <v>1002.7665611783325</v>
      </c>
      <c r="AN420" s="6">
        <f t="shared" si="829"/>
        <v>5.505533122356665E-6</v>
      </c>
      <c r="AO420" s="8">
        <f t="shared" si="830"/>
        <v>27.420815453550823</v>
      </c>
      <c r="AP420" s="7">
        <f t="shared" si="831"/>
        <v>1.377866221175153E-2</v>
      </c>
      <c r="AQ420" s="9">
        <f t="shared" si="832"/>
        <v>0.43275813185859324</v>
      </c>
      <c r="AR420" s="4">
        <f t="shared" si="833"/>
        <v>998.27011036413535</v>
      </c>
      <c r="AS420" s="6">
        <f t="shared" si="834"/>
        <v>5.4965402207282717E-6</v>
      </c>
      <c r="AT420" s="8">
        <f t="shared" si="835"/>
        <v>27.369106269187554</v>
      </c>
      <c r="AU420" s="7">
        <f t="shared" si="836"/>
        <v>1.3756155734887742E-2</v>
      </c>
      <c r="AV420" s="9">
        <f t="shared" si="837"/>
        <v>0.43357575336968268</v>
      </c>
      <c r="AW420" s="4">
        <f t="shared" si="838"/>
        <v>993.17397283548871</v>
      </c>
      <c r="AX420" s="6">
        <f t="shared" si="839"/>
        <v>5.4863479456709781E-6</v>
      </c>
      <c r="AY420" s="8">
        <f t="shared" si="840"/>
        <v>27.310500687608119</v>
      </c>
      <c r="AZ420" s="7">
        <f t="shared" si="841"/>
        <v>1.3730647593884386E-2</v>
      </c>
      <c r="BA420" s="9">
        <f t="shared" si="842"/>
        <v>0.43450616323201452</v>
      </c>
      <c r="BB420" s="4">
        <f t="shared" si="843"/>
        <v>987.47702717668699</v>
      </c>
      <c r="BC420" s="6">
        <f t="shared" si="844"/>
        <v>5.4749540543533742E-6</v>
      </c>
      <c r="BD420" s="8">
        <f t="shared" si="845"/>
        <v>27.244985812531901</v>
      </c>
      <c r="BE420" s="7">
        <f t="shared" si="846"/>
        <v>1.3702132175621775E-2</v>
      </c>
      <c r="BF420" s="9">
        <f t="shared" si="847"/>
        <v>0.4355510019850925</v>
      </c>
      <c r="BG420" s="4">
        <f t="shared" si="848"/>
        <v>981.17341175359377</v>
      </c>
      <c r="BH420" s="6">
        <f t="shared" si="849"/>
        <v>5.4623468235071884E-6</v>
      </c>
      <c r="BI420" s="8">
        <f t="shared" si="850"/>
        <v>27.172494235166326</v>
      </c>
      <c r="BJ420" s="7">
        <f t="shared" si="851"/>
        <v>1.3670580140352061E-2</v>
      </c>
      <c r="BK420" s="9">
        <f t="shared" si="852"/>
        <v>0.4367129777273191</v>
      </c>
      <c r="BL420" s="4">
        <f t="shared" si="853"/>
        <v>974.23531328176057</v>
      </c>
      <c r="BM420" s="6">
        <f t="shared" si="854"/>
        <v>5.4484706265635213E-6</v>
      </c>
      <c r="BN420" s="8">
        <f t="shared" si="855"/>
        <v>27.092706102740244</v>
      </c>
      <c r="BO420" s="7">
        <f t="shared" si="856"/>
        <v>1.3635852271820287E-2</v>
      </c>
      <c r="BP420" s="9">
        <f t="shared" si="857"/>
        <v>0.43799909926744723</v>
      </c>
      <c r="BQ420" s="4">
        <f t="shared" si="858"/>
        <v>966.54414555999915</v>
      </c>
      <c r="BR420" s="6">
        <f t="shared" si="859"/>
        <v>5.4330882911199988E-6</v>
      </c>
      <c r="BS420" s="8">
        <f t="shared" si="860"/>
        <v>27.004257673939989</v>
      </c>
      <c r="BT420" s="7">
        <f t="shared" si="861"/>
        <v>1.3597355000185779E-2</v>
      </c>
      <c r="BU420" s="9">
        <f t="shared" si="862"/>
        <v>0.43943370015942135</v>
      </c>
      <c r="BV420" s="4">
        <f t="shared" si="863"/>
        <v>957.65148996897483</v>
      </c>
      <c r="BW420" s="6">
        <f t="shared" si="864"/>
        <v>5.4153029799379496E-6</v>
      </c>
      <c r="BX420" s="8">
        <f t="shared" si="865"/>
        <v>26.901992134643208</v>
      </c>
      <c r="BY420" s="7">
        <f t="shared" si="866"/>
        <v>1.3552843816679639E-2</v>
      </c>
      <c r="BZ420" s="9">
        <f t="shared" si="867"/>
        <v>0.44110416843207068</v>
      </c>
      <c r="CA420" s="4">
        <f t="shared" si="868"/>
        <v>946.07862954691461</v>
      </c>
      <c r="CB420" s="6">
        <f t="shared" si="869"/>
        <v>5.3921572590938299E-6</v>
      </c>
      <c r="CC420" s="8">
        <f t="shared" si="870"/>
        <v>26.768904239789517</v>
      </c>
      <c r="CD420" s="7">
        <f t="shared" si="871"/>
        <v>1.3494917170509158E-2</v>
      </c>
      <c r="CE420" s="9">
        <f t="shared" si="872"/>
        <v>0.44329722141107725</v>
      </c>
      <c r="CF420" s="4">
        <f t="shared" si="873"/>
        <v>927.66799603517143</v>
      </c>
      <c r="CG420" s="6">
        <f t="shared" si="874"/>
        <v>5.355335992070343E-6</v>
      </c>
      <c r="CH420" s="8">
        <f t="shared" si="875"/>
        <v>26.55718195440447</v>
      </c>
      <c r="CI420" s="7">
        <f t="shared" si="876"/>
        <v>1.3402764823179683E-2</v>
      </c>
      <c r="CJ420" s="9">
        <f t="shared" si="877"/>
        <v>0.4468313275893282</v>
      </c>
      <c r="CK420" s="4">
        <f t="shared" si="878"/>
        <v>892.76722833100541</v>
      </c>
      <c r="CL420" s="6">
        <f t="shared" si="879"/>
        <v>5.2855344566620114E-6</v>
      </c>
      <c r="CM420" s="8">
        <f t="shared" si="880"/>
        <v>26.155823125806563</v>
      </c>
      <c r="CN420" s="7">
        <f t="shared" si="881"/>
        <v>1.3228072971023264E-2</v>
      </c>
      <c r="CO420" s="9">
        <f t="shared" si="882"/>
        <v>0.45368791540763143</v>
      </c>
      <c r="CP420" s="4">
        <f t="shared" si="883"/>
        <v>823.77520475769438</v>
      </c>
      <c r="CQ420" s="6">
        <f t="shared" si="884"/>
        <v>5.1475504095153887E-6</v>
      </c>
      <c r="CR420" s="8">
        <f t="shared" si="885"/>
        <v>25.362414854713485</v>
      </c>
      <c r="CS420" s="7">
        <f t="shared" si="886"/>
        <v>1.2882741186799999E-2</v>
      </c>
      <c r="CT420" s="9">
        <f t="shared" si="887"/>
        <v>0.46788056017909313</v>
      </c>
      <c r="CU420" s="4">
        <f t="shared" si="888"/>
        <v>697.78299524578335</v>
      </c>
      <c r="CV420" s="6">
        <f t="shared" si="889"/>
        <v>4.8955659904915669E-6</v>
      </c>
      <c r="CW420" s="8">
        <f t="shared" si="890"/>
        <v>24.315174554675934</v>
      </c>
      <c r="CX420" s="7">
        <f t="shared" si="891"/>
        <v>1.2252101407655867E-2</v>
      </c>
      <c r="CY420" s="9">
        <f t="shared" si="892"/>
        <v>0.48803190135585078</v>
      </c>
      <c r="CZ420" s="5">
        <f t="shared" si="893"/>
        <v>499.29872736447209</v>
      </c>
      <c r="DA420" s="6">
        <f t="shared" si="894"/>
        <v>7.2255166375066E-6</v>
      </c>
      <c r="DB420" s="8">
        <f t="shared" si="895"/>
        <v>39.015336906430306</v>
      </c>
      <c r="DC420" s="7">
        <f t="shared" si="896"/>
        <v>1.8083253854075079E-2</v>
      </c>
      <c r="DD420" s="9">
        <f t="shared" si="897"/>
        <v>0.30415169547753179</v>
      </c>
    </row>
    <row r="421" spans="2:108" x14ac:dyDescent="0.25">
      <c r="B421">
        <v>154</v>
      </c>
      <c r="C421">
        <f t="shared" si="805"/>
        <v>0.15055265861716871</v>
      </c>
      <c r="D421" s="4">
        <f t="shared" si="806"/>
        <v>1017.4739610501829</v>
      </c>
      <c r="E421" s="6">
        <f t="shared" si="794"/>
        <v>5.5349479221003668E-6</v>
      </c>
      <c r="F421" s="8">
        <f t="shared" si="807"/>
        <v>27.589950552077102</v>
      </c>
      <c r="G421" s="7">
        <f t="shared" si="792"/>
        <v>1.3852278441222381E-2</v>
      </c>
      <c r="H421" s="9">
        <f t="shared" si="808"/>
        <v>0.43010518802196718</v>
      </c>
      <c r="I421" s="4">
        <f t="shared" si="809"/>
        <v>1017.149336708164</v>
      </c>
      <c r="J421" s="6">
        <f t="shared" si="795"/>
        <v>5.534298673416328E-6</v>
      </c>
      <c r="K421" s="8">
        <f t="shared" si="810"/>
        <v>27.586217372143885</v>
      </c>
      <c r="L421" s="7">
        <f t="shared" si="796"/>
        <v>1.3850653570731189E-2</v>
      </c>
      <c r="M421" s="9">
        <f t="shared" si="811"/>
        <v>0.43016339317693403</v>
      </c>
      <c r="N421" s="4">
        <f t="shared" si="812"/>
        <v>1016.2433411770625</v>
      </c>
      <c r="O421" s="6">
        <f t="shared" si="797"/>
        <v>5.5324866823541247E-6</v>
      </c>
      <c r="P421" s="8">
        <f t="shared" si="798"/>
        <v>27.575798423536217</v>
      </c>
      <c r="Q421" s="7">
        <f t="shared" si="793"/>
        <v>1.3852278441222381E-2</v>
      </c>
      <c r="R421" s="9">
        <f t="shared" si="813"/>
        <v>0.43032592157294181</v>
      </c>
      <c r="S421" s="4">
        <f t="shared" si="814"/>
        <v>1014.741781227269</v>
      </c>
      <c r="T421" s="6">
        <f t="shared" si="799"/>
        <v>5.5294835624545387E-6</v>
      </c>
      <c r="U421" s="8">
        <f t="shared" si="800"/>
        <v>27.558530484113593</v>
      </c>
      <c r="V421" s="7">
        <f t="shared" si="801"/>
        <v>1.3838602823604598E-2</v>
      </c>
      <c r="W421" s="9">
        <f t="shared" si="815"/>
        <v>0.43059556011371924</v>
      </c>
      <c r="X421" s="4">
        <f t="shared" si="816"/>
        <v>1012.6426447951125</v>
      </c>
      <c r="Y421" s="6">
        <f t="shared" si="802"/>
        <v>5.525285289590225E-6</v>
      </c>
      <c r="Z421" s="8">
        <f t="shared" si="803"/>
        <v>27.534390415143793</v>
      </c>
      <c r="AA421" s="7">
        <f t="shared" si="804"/>
        <v>1.382809583320339E-2</v>
      </c>
      <c r="AB421" s="9">
        <f t="shared" si="817"/>
        <v>0.43097307370172727</v>
      </c>
      <c r="AC421" s="4">
        <f t="shared" si="818"/>
        <v>1009.9444713948709</v>
      </c>
      <c r="AD421" s="6">
        <f t="shared" si="819"/>
        <v>5.5198889427897424E-6</v>
      </c>
      <c r="AE421" s="8">
        <f t="shared" si="820"/>
        <v>27.503361421041014</v>
      </c>
      <c r="AF421" s="7">
        <f t="shared" si="821"/>
        <v>1.3814590430894686E-2</v>
      </c>
      <c r="AG421" s="9">
        <f t="shared" si="822"/>
        <v>0.43145929284991169</v>
      </c>
      <c r="AH421" s="4">
        <f t="shared" si="823"/>
        <v>1006.6469606144217</v>
      </c>
      <c r="AI421" s="6">
        <f t="shared" si="824"/>
        <v>5.5132939212288442E-6</v>
      </c>
      <c r="AJ421" s="8">
        <f t="shared" si="825"/>
        <v>27.465440047065847</v>
      </c>
      <c r="AK421" s="7">
        <f t="shared" si="826"/>
        <v>1.3798085112999525E-2</v>
      </c>
      <c r="AL421" s="9">
        <f t="shared" si="827"/>
        <v>0.43205500619625475</v>
      </c>
      <c r="AM421" s="4">
        <f t="shared" si="828"/>
        <v>1002.7500170322545</v>
      </c>
      <c r="AN421" s="6">
        <f t="shared" si="829"/>
        <v>5.5055000340645092E-6</v>
      </c>
      <c r="AO421" s="8">
        <f t="shared" si="830"/>
        <v>27.420625195870926</v>
      </c>
      <c r="AP421" s="7">
        <f t="shared" si="831"/>
        <v>1.3778579401896307E-2</v>
      </c>
      <c r="AQ421" s="9">
        <f t="shared" si="832"/>
        <v>0.43276113454571419</v>
      </c>
      <c r="AR421" s="4">
        <f t="shared" si="833"/>
        <v>998.25358676811459</v>
      </c>
      <c r="AS421" s="6">
        <f t="shared" si="834"/>
        <v>5.4965071735362298E-6</v>
      </c>
      <c r="AT421" s="8">
        <f t="shared" si="835"/>
        <v>27.368916247833319</v>
      </c>
      <c r="AU421" s="7">
        <f t="shared" si="836"/>
        <v>1.3756073027893511E-2</v>
      </c>
      <c r="AV421" s="9">
        <f t="shared" si="837"/>
        <v>0.43357876366980097</v>
      </c>
      <c r="AW421" s="4">
        <f t="shared" si="838"/>
        <v>993.15745971716774</v>
      </c>
      <c r="AX421" s="6">
        <f t="shared" si="839"/>
        <v>5.4863149194343364E-6</v>
      </c>
      <c r="AY421" s="8">
        <f t="shared" si="840"/>
        <v>27.310310786747429</v>
      </c>
      <c r="AZ421" s="7">
        <f t="shared" si="841"/>
        <v>1.3730564939335102E-2</v>
      </c>
      <c r="BA421" s="9">
        <f t="shared" si="842"/>
        <v>0.43450918454857945</v>
      </c>
      <c r="BB421" s="4">
        <f t="shared" si="843"/>
        <v>987.46045853392945</v>
      </c>
      <c r="BC421" s="6">
        <f t="shared" si="844"/>
        <v>5.4749209170678586E-6</v>
      </c>
      <c r="BD421" s="8">
        <f t="shared" si="845"/>
        <v>27.244795273140188</v>
      </c>
      <c r="BE421" s="7">
        <f t="shared" si="846"/>
        <v>1.3702049243151188E-2</v>
      </c>
      <c r="BF421" s="9">
        <f t="shared" si="847"/>
        <v>0.43555404805764125</v>
      </c>
      <c r="BG421" s="4">
        <f t="shared" si="848"/>
        <v>981.15647082580449</v>
      </c>
      <c r="BH421" s="6">
        <f t="shared" si="849"/>
        <v>5.4623129416516093E-6</v>
      </c>
      <c r="BI421" s="8">
        <f t="shared" si="850"/>
        <v>27.172299414496749</v>
      </c>
      <c r="BJ421" s="7">
        <f t="shared" si="851"/>
        <v>1.3670495344450782E-2</v>
      </c>
      <c r="BK421" s="9">
        <f t="shared" si="852"/>
        <v>0.43671610888355422</v>
      </c>
      <c r="BL421" s="4">
        <f t="shared" si="853"/>
        <v>974.216685563944</v>
      </c>
      <c r="BM421" s="6">
        <f t="shared" si="854"/>
        <v>5.4484333711278887E-6</v>
      </c>
      <c r="BN421" s="8">
        <f t="shared" si="855"/>
        <v>27.092491883985353</v>
      </c>
      <c r="BO421" s="7">
        <f t="shared" si="856"/>
        <v>1.3635759032881981E-2</v>
      </c>
      <c r="BP421" s="9">
        <f t="shared" si="857"/>
        <v>0.43800256250080688</v>
      </c>
      <c r="BQ421" s="4">
        <f t="shared" si="858"/>
        <v>966.51906493714307</v>
      </c>
      <c r="BR421" s="6">
        <f t="shared" si="859"/>
        <v>5.4330381298742871E-6</v>
      </c>
      <c r="BS421" s="8">
        <f t="shared" si="860"/>
        <v>27.003969246777146</v>
      </c>
      <c r="BT421" s="7">
        <f t="shared" si="861"/>
        <v>1.3597229461959884E-2</v>
      </c>
      <c r="BU421" s="9">
        <f t="shared" si="862"/>
        <v>0.43943839371444049</v>
      </c>
      <c r="BV421" s="4">
        <f t="shared" si="863"/>
        <v>957.60510824040762</v>
      </c>
      <c r="BW421" s="6">
        <f t="shared" si="864"/>
        <v>5.4152102164808158E-6</v>
      </c>
      <c r="BX421" s="8">
        <f t="shared" si="865"/>
        <v>26.901458744764689</v>
      </c>
      <c r="BY421" s="7">
        <f t="shared" si="866"/>
        <v>1.3552611658174181E-2</v>
      </c>
      <c r="BZ421" s="9">
        <f t="shared" si="867"/>
        <v>0.44111291444473294</v>
      </c>
      <c r="CA421" s="4">
        <f t="shared" si="868"/>
        <v>945.97241470864208</v>
      </c>
      <c r="CB421" s="6">
        <f t="shared" si="869"/>
        <v>5.3919448294172847E-6</v>
      </c>
      <c r="CC421" s="8">
        <f t="shared" si="870"/>
        <v>26.767682769149381</v>
      </c>
      <c r="CD421" s="7">
        <f t="shared" si="871"/>
        <v>1.3494385524128722E-2</v>
      </c>
      <c r="CE421" s="9">
        <f t="shared" si="872"/>
        <v>0.44331745007806639</v>
      </c>
      <c r="CF421" s="4">
        <f t="shared" si="873"/>
        <v>927.42299041325805</v>
      </c>
      <c r="CG421" s="6">
        <f t="shared" si="874"/>
        <v>5.3548459808265173E-6</v>
      </c>
      <c r="CH421" s="8">
        <f t="shared" si="875"/>
        <v>26.554364389752465</v>
      </c>
      <c r="CI421" s="7">
        <f t="shared" si="876"/>
        <v>1.340153847520237E-2</v>
      </c>
      <c r="CJ421" s="9">
        <f t="shared" si="877"/>
        <v>0.44687873885986534</v>
      </c>
      <c r="CK421" s="4">
        <f t="shared" si="878"/>
        <v>892.26940237028941</v>
      </c>
      <c r="CL421" s="6">
        <f t="shared" si="879"/>
        <v>5.2845388047405792E-6</v>
      </c>
      <c r="CM421" s="8">
        <f t="shared" si="880"/>
        <v>26.150098127258328</v>
      </c>
      <c r="CN421" s="7">
        <f t="shared" si="881"/>
        <v>1.3225581159385586E-2</v>
      </c>
      <c r="CO421" s="9">
        <f t="shared" si="882"/>
        <v>0.45378724056673492</v>
      </c>
      <c r="CP421" s="4">
        <f t="shared" si="883"/>
        <v>822.94971140025586</v>
      </c>
      <c r="CQ421" s="6">
        <f t="shared" si="884"/>
        <v>5.1458994228005122E-6</v>
      </c>
      <c r="CR421" s="8">
        <f t="shared" si="885"/>
        <v>25.352921681102941</v>
      </c>
      <c r="CS421" s="7">
        <f t="shared" si="886"/>
        <v>1.2878609273004403E-2</v>
      </c>
      <c r="CT421" s="9">
        <f t="shared" si="887"/>
        <v>0.46805575384878723</v>
      </c>
      <c r="CU421" s="4">
        <f t="shared" si="888"/>
        <v>696.73942977773675</v>
      </c>
      <c r="CV421" s="6">
        <f t="shared" si="889"/>
        <v>4.8934788595554735E-6</v>
      </c>
      <c r="CW421" s="8">
        <f t="shared" si="890"/>
        <v>24.524722500659607</v>
      </c>
      <c r="CX421" s="7">
        <f t="shared" si="891"/>
        <v>1.2246877958532775E-2</v>
      </c>
      <c r="CY421" s="9">
        <f t="shared" si="892"/>
        <v>0.48386198332718094</v>
      </c>
      <c r="CZ421" s="5">
        <f t="shared" si="893"/>
        <v>498.52926264796918</v>
      </c>
      <c r="DA421" s="6">
        <f t="shared" si="894"/>
        <v>7.2370503084244129E-6</v>
      </c>
      <c r="DB421" s="8">
        <f t="shared" si="895"/>
        <v>39.037651383208889</v>
      </c>
      <c r="DC421" s="7">
        <f t="shared" si="896"/>
        <v>1.8112119097840978E-2</v>
      </c>
      <c r="DD421" s="9">
        <f t="shared" si="897"/>
        <v>0.30397783804232709</v>
      </c>
    </row>
    <row r="422" spans="2:108" x14ac:dyDescent="0.25">
      <c r="B422">
        <v>155</v>
      </c>
      <c r="C422">
        <f t="shared" si="805"/>
        <v>0.15153027328351398</v>
      </c>
      <c r="D422" s="4">
        <f t="shared" si="806"/>
        <v>1017.4573873711728</v>
      </c>
      <c r="E422" s="6">
        <f t="shared" si="794"/>
        <v>5.5349147747423462E-6</v>
      </c>
      <c r="F422" s="8">
        <f t="shared" si="807"/>
        <v>27.589759954768486</v>
      </c>
      <c r="G422" s="7">
        <f t="shared" si="792"/>
        <v>1.3852195483543401E-2</v>
      </c>
      <c r="H422" s="9">
        <f t="shared" si="808"/>
        <v>0.43010815930157936</v>
      </c>
      <c r="I422" s="4">
        <f t="shared" si="809"/>
        <v>1017.1327600472802</v>
      </c>
      <c r="J422" s="6">
        <f t="shared" si="795"/>
        <v>5.534265520094561E-6</v>
      </c>
      <c r="K422" s="8">
        <f t="shared" si="810"/>
        <v>27.586026740543723</v>
      </c>
      <c r="L422" s="7">
        <f t="shared" si="796"/>
        <v>1.3850570598126779E-2</v>
      </c>
      <c r="M422" s="9">
        <f t="shared" si="811"/>
        <v>0.4301663657955262</v>
      </c>
      <c r="N422" s="4">
        <f t="shared" si="812"/>
        <v>1016.2267557657464</v>
      </c>
      <c r="O422" s="6">
        <f t="shared" si="797"/>
        <v>5.5324535115314933E-6</v>
      </c>
      <c r="P422" s="8">
        <f t="shared" si="798"/>
        <v>27.575607691306082</v>
      </c>
      <c r="Q422" s="7">
        <f t="shared" si="793"/>
        <v>1.3852195483543401E-2</v>
      </c>
      <c r="R422" s="9">
        <f t="shared" si="813"/>
        <v>0.43032889800862456</v>
      </c>
      <c r="S422" s="4">
        <f t="shared" si="814"/>
        <v>1014.7251905559924</v>
      </c>
      <c r="T422" s="6">
        <f t="shared" si="799"/>
        <v>5.529450381111985E-6</v>
      </c>
      <c r="U422" s="8">
        <f t="shared" si="800"/>
        <v>27.558339691393911</v>
      </c>
      <c r="V422" s="7">
        <f t="shared" si="801"/>
        <v>1.3838519780872747E-2</v>
      </c>
      <c r="W422" s="9">
        <f t="shared" si="815"/>
        <v>0.43059854122574981</v>
      </c>
      <c r="X422" s="4">
        <f t="shared" si="816"/>
        <v>1012.6260565518038</v>
      </c>
      <c r="Y422" s="6">
        <f t="shared" si="802"/>
        <v>5.5252521131036087E-6</v>
      </c>
      <c r="Z422" s="8">
        <f t="shared" si="803"/>
        <v>27.534199650345741</v>
      </c>
      <c r="AA422" s="7">
        <f t="shared" si="804"/>
        <v>1.3828012802624461E-2</v>
      </c>
      <c r="AB422" s="9">
        <f t="shared" si="817"/>
        <v>0.43097605960625379</v>
      </c>
      <c r="AC422" s="4">
        <f t="shared" si="818"/>
        <v>1009.9278929101432</v>
      </c>
      <c r="AD422" s="6">
        <f t="shared" si="819"/>
        <v>5.5198557858202865E-6</v>
      </c>
      <c r="AE422" s="8">
        <f t="shared" si="820"/>
        <v>27.503170768466646</v>
      </c>
      <c r="AF422" s="7">
        <f t="shared" si="821"/>
        <v>1.3814507449161229E-2</v>
      </c>
      <c r="AG422" s="9">
        <f t="shared" si="822"/>
        <v>0.43146228373505763</v>
      </c>
      <c r="AH422" s="4">
        <f t="shared" si="823"/>
        <v>1006.6303974252349</v>
      </c>
      <c r="AI422" s="6">
        <f t="shared" si="824"/>
        <v>5.5132607948504703E-6</v>
      </c>
      <c r="AJ422" s="8">
        <f t="shared" si="825"/>
        <v>27.465249570390199</v>
      </c>
      <c r="AK422" s="7">
        <f t="shared" si="826"/>
        <v>1.3798002207826171E-2</v>
      </c>
      <c r="AL422" s="9">
        <f t="shared" si="827"/>
        <v>0.43205800257904992</v>
      </c>
      <c r="AM422" s="4">
        <f t="shared" si="828"/>
        <v>1002.7334730429172</v>
      </c>
      <c r="AN422" s="6">
        <f t="shared" si="829"/>
        <v>5.5054669460858352E-6</v>
      </c>
      <c r="AO422" s="8">
        <f t="shared" si="830"/>
        <v>27.420434939993548</v>
      </c>
      <c r="AP422" s="7">
        <f t="shared" si="831"/>
        <v>1.3778496592825635E-2</v>
      </c>
      <c r="AQ422" s="9">
        <f t="shared" si="832"/>
        <v>0.43276413724605534</v>
      </c>
      <c r="AR422" s="4">
        <f t="shared" si="833"/>
        <v>998.23706315933816</v>
      </c>
      <c r="AS422" s="6">
        <f t="shared" si="834"/>
        <v>5.4964741263186768E-6</v>
      </c>
      <c r="AT422" s="8">
        <f t="shared" si="835"/>
        <v>27.368726226332388</v>
      </c>
      <c r="AU422" s="7">
        <f t="shared" si="836"/>
        <v>1.375599032083543E-2</v>
      </c>
      <c r="AV422" s="9">
        <f t="shared" si="837"/>
        <v>0.43358177401404435</v>
      </c>
      <c r="AW422" s="4">
        <f t="shared" si="838"/>
        <v>993.14094575577985</v>
      </c>
      <c r="AX422" s="6">
        <f t="shared" si="839"/>
        <v>5.4862818915115604E-6</v>
      </c>
      <c r="AY422" s="8">
        <f t="shared" si="840"/>
        <v>27.310120876191469</v>
      </c>
      <c r="AZ422" s="7">
        <f t="shared" si="841"/>
        <v>1.3730482280565937E-2</v>
      </c>
      <c r="BA422" s="9">
        <f t="shared" si="842"/>
        <v>0.43451220606141644</v>
      </c>
      <c r="BB422" s="4">
        <f t="shared" si="843"/>
        <v>987.44388534793882</v>
      </c>
      <c r="BC422" s="6">
        <f t="shared" si="844"/>
        <v>5.4748877706958784E-6</v>
      </c>
      <c r="BD422" s="8">
        <f t="shared" si="845"/>
        <v>27.244604681501293</v>
      </c>
      <c r="BE422" s="7">
        <f t="shared" si="846"/>
        <v>1.3701966287939965E-2</v>
      </c>
      <c r="BF422" s="9">
        <f t="shared" si="847"/>
        <v>0.43555709500806744</v>
      </c>
      <c r="BG422" s="4">
        <f t="shared" si="848"/>
        <v>981.13951070684993</v>
      </c>
      <c r="BH422" s="6">
        <f t="shared" si="849"/>
        <v>5.4622790214137004E-6</v>
      </c>
      <c r="BI422" s="8">
        <f t="shared" si="850"/>
        <v>27.172104373128775</v>
      </c>
      <c r="BJ422" s="7">
        <f t="shared" si="851"/>
        <v>1.3670410452490294E-2</v>
      </c>
      <c r="BK422" s="9">
        <f t="shared" si="852"/>
        <v>0.43671924363182851</v>
      </c>
      <c r="BL422" s="4">
        <f t="shared" si="853"/>
        <v>974.19798817068079</v>
      </c>
      <c r="BM422" s="6">
        <f t="shared" si="854"/>
        <v>5.4483959763413619E-6</v>
      </c>
      <c r="BN422" s="8">
        <f t="shared" si="855"/>
        <v>27.09227686396283</v>
      </c>
      <c r="BO422" s="7">
        <f t="shared" si="856"/>
        <v>1.3635665445191092E-2</v>
      </c>
      <c r="BP422" s="9">
        <f t="shared" si="857"/>
        <v>0.43800603874318134</v>
      </c>
      <c r="BQ422" s="4">
        <f t="shared" si="858"/>
        <v>966.49376746577445</v>
      </c>
      <c r="BR422" s="6">
        <f t="shared" si="859"/>
        <v>5.4329875349315493E-6</v>
      </c>
      <c r="BS422" s="8">
        <f t="shared" si="860"/>
        <v>27.003678325856406</v>
      </c>
      <c r="BT422" s="7">
        <f t="shared" si="861"/>
        <v>1.3597102838323242E-2</v>
      </c>
      <c r="BU422" s="9">
        <f t="shared" si="862"/>
        <v>0.43944312795177531</v>
      </c>
      <c r="BV422" s="4">
        <f t="shared" si="863"/>
        <v>957.55816362049495</v>
      </c>
      <c r="BW422" s="6">
        <f t="shared" si="864"/>
        <v>5.4151163272409899E-6</v>
      </c>
      <c r="BX422" s="8">
        <f t="shared" si="865"/>
        <v>26.90091888163569</v>
      </c>
      <c r="BY422" s="7">
        <f t="shared" si="866"/>
        <v>1.3552376682179644E-2</v>
      </c>
      <c r="BZ422" s="9">
        <f t="shared" si="867"/>
        <v>0.4411217669526819</v>
      </c>
      <c r="CA422" s="4">
        <f t="shared" si="868"/>
        <v>945.86504192026234</v>
      </c>
      <c r="CB422" s="6">
        <f t="shared" si="869"/>
        <v>5.3917300838405247E-6</v>
      </c>
      <c r="CC422" s="8">
        <f t="shared" si="870"/>
        <v>26.766447982083015</v>
      </c>
      <c r="CD422" s="7">
        <f t="shared" si="871"/>
        <v>1.3493848081759767E-2</v>
      </c>
      <c r="CE422" s="9">
        <f t="shared" si="872"/>
        <v>0.44333790115375699</v>
      </c>
      <c r="CF422" s="4">
        <f t="shared" si="873"/>
        <v>927.17629071606018</v>
      </c>
      <c r="CG422" s="6">
        <f t="shared" si="874"/>
        <v>5.3543525814321212E-6</v>
      </c>
      <c r="CH422" s="8">
        <f t="shared" si="875"/>
        <v>26.551527343234689</v>
      </c>
      <c r="CI422" s="7">
        <f t="shared" si="876"/>
        <v>1.3400303647722493E-2</v>
      </c>
      <c r="CJ422" s="9">
        <f t="shared" si="877"/>
        <v>0.44692648811939234</v>
      </c>
      <c r="CK422" s="4">
        <f t="shared" si="878"/>
        <v>891.77039052067073</v>
      </c>
      <c r="CL422" s="6">
        <f t="shared" si="879"/>
        <v>5.2835407810413419E-6</v>
      </c>
      <c r="CM422" s="8">
        <f t="shared" si="880"/>
        <v>26.144359490987711</v>
      </c>
      <c r="CN422" s="7">
        <f t="shared" si="881"/>
        <v>1.3223083411914907E-2</v>
      </c>
      <c r="CO422" s="9">
        <f t="shared" si="882"/>
        <v>0.45388684598712231</v>
      </c>
      <c r="CP422" s="4">
        <f t="shared" si="883"/>
        <v>822.1256226764516</v>
      </c>
      <c r="CQ422" s="6">
        <f t="shared" si="884"/>
        <v>5.1442512453529037E-6</v>
      </c>
      <c r="CR422" s="8">
        <f t="shared" si="885"/>
        <v>25.343444660779191</v>
      </c>
      <c r="CS422" s="7">
        <f t="shared" si="886"/>
        <v>1.2874484389943867E-2</v>
      </c>
      <c r="CT422" s="9">
        <f t="shared" si="887"/>
        <v>0.46823078032806992</v>
      </c>
      <c r="CU422" s="4">
        <f t="shared" si="888"/>
        <v>695.70255400718963</v>
      </c>
      <c r="CV422" s="6">
        <f t="shared" si="889"/>
        <v>4.8914051080143798E-6</v>
      </c>
      <c r="CW422" s="8">
        <f t="shared" si="890"/>
        <v>24.732927155385369</v>
      </c>
      <c r="CX422" s="7">
        <f t="shared" si="891"/>
        <v>1.2241687993935197E-2</v>
      </c>
      <c r="CY422" s="9">
        <f t="shared" si="892"/>
        <v>0.47978877692744343</v>
      </c>
      <c r="CZ422" s="5">
        <f t="shared" si="893"/>
        <v>497.80985087591995</v>
      </c>
      <c r="DA422" s="6">
        <f t="shared" si="894"/>
        <v>7.247828462517103E-6</v>
      </c>
      <c r="DB422" s="8">
        <f t="shared" si="895"/>
        <v>39.05851432459832</v>
      </c>
      <c r="DC422" s="7">
        <f t="shared" si="896"/>
        <v>1.8139093514524862E-2</v>
      </c>
      <c r="DD422" s="9">
        <f t="shared" si="897"/>
        <v>0.30381546955677596</v>
      </c>
    </row>
    <row r="423" spans="2:108" x14ac:dyDescent="0.25">
      <c r="B423">
        <v>156</v>
      </c>
      <c r="C423">
        <f t="shared" si="805"/>
        <v>0.15250788794985923</v>
      </c>
      <c r="D423" s="4">
        <f t="shared" si="806"/>
        <v>1017.4408135399233</v>
      </c>
      <c r="E423" s="6">
        <f t="shared" si="794"/>
        <v>5.5348816270798469E-6</v>
      </c>
      <c r="F423" s="8">
        <f t="shared" si="807"/>
        <v>27.589569355709116</v>
      </c>
      <c r="G423" s="7">
        <f t="shared" si="792"/>
        <v>1.3852112525102406E-2</v>
      </c>
      <c r="H423" s="9">
        <f t="shared" si="808"/>
        <v>0.43011113064953815</v>
      </c>
      <c r="I423" s="4">
        <f t="shared" si="809"/>
        <v>1017.1161833245058</v>
      </c>
      <c r="J423" s="6">
        <f t="shared" si="795"/>
        <v>5.5342323666490121E-6</v>
      </c>
      <c r="K423" s="8">
        <f t="shared" si="810"/>
        <v>27.585836108231817</v>
      </c>
      <c r="L423" s="7">
        <f t="shared" si="796"/>
        <v>1.3850487625212583E-2</v>
      </c>
      <c r="M423" s="9">
        <f t="shared" si="811"/>
        <v>0.43016933846630168</v>
      </c>
      <c r="N423" s="4">
        <f t="shared" si="812"/>
        <v>1016.2101704536185</v>
      </c>
      <c r="O423" s="6">
        <f t="shared" si="797"/>
        <v>5.5324203409072378E-6</v>
      </c>
      <c r="P423" s="8">
        <f t="shared" si="798"/>
        <v>27.575416960216614</v>
      </c>
      <c r="Q423" s="7">
        <f t="shared" si="793"/>
        <v>1.3852112525102406E-2</v>
      </c>
      <c r="R423" s="9">
        <f t="shared" si="813"/>
        <v>0.43033187446768101</v>
      </c>
      <c r="S423" s="4">
        <f t="shared" si="814"/>
        <v>1014.7086000840303</v>
      </c>
      <c r="T423" s="6">
        <f t="shared" si="799"/>
        <v>5.5294172001680612E-6</v>
      </c>
      <c r="U423" s="8">
        <f t="shared" si="800"/>
        <v>27.558148900966348</v>
      </c>
      <c r="V423" s="7">
        <f t="shared" si="801"/>
        <v>1.3838436739138545E-2</v>
      </c>
      <c r="W423" s="9">
        <f t="shared" si="815"/>
        <v>0.43060152234324373</v>
      </c>
      <c r="X423" s="4">
        <f t="shared" si="816"/>
        <v>1012.6094685305619</v>
      </c>
      <c r="Y423" s="6">
        <f t="shared" si="802"/>
        <v>5.525218937061124E-6</v>
      </c>
      <c r="Z423" s="8">
        <f t="shared" si="803"/>
        <v>27.534008888101461</v>
      </c>
      <c r="AA423" s="7">
        <f t="shared" si="804"/>
        <v>1.3827929773157058E-2</v>
      </c>
      <c r="AB423" s="9">
        <f t="shared" si="817"/>
        <v>0.4309790455121818</v>
      </c>
      <c r="AC423" s="4">
        <f t="shared" si="818"/>
        <v>1009.9113146361693</v>
      </c>
      <c r="AD423" s="6">
        <f t="shared" si="819"/>
        <v>5.5198226292723388E-6</v>
      </c>
      <c r="AE423" s="8">
        <f t="shared" si="820"/>
        <v>27.502980118315946</v>
      </c>
      <c r="AF423" s="7">
        <f t="shared" si="821"/>
        <v>1.3814424468482677E-2</v>
      </c>
      <c r="AG423" s="9">
        <f t="shared" si="822"/>
        <v>0.4314652746236472</v>
      </c>
      <c r="AH423" s="4">
        <f t="shared" si="823"/>
        <v>1006.6138344291866</v>
      </c>
      <c r="AI423" s="6">
        <f t="shared" si="824"/>
        <v>5.5132276688583739E-6</v>
      </c>
      <c r="AJ423" s="8">
        <f t="shared" si="825"/>
        <v>27.465059095935644</v>
      </c>
      <c r="AK423" s="7">
        <f t="shared" si="826"/>
        <v>1.3797919303619552E-2</v>
      </c>
      <c r="AL423" s="9">
        <f t="shared" si="827"/>
        <v>0.43206099896846567</v>
      </c>
      <c r="AM423" s="4">
        <f t="shared" si="828"/>
        <v>1002.7169292082837</v>
      </c>
      <c r="AN423" s="6">
        <f t="shared" si="829"/>
        <v>5.5054338584165679E-6</v>
      </c>
      <c r="AO423" s="8">
        <f t="shared" si="830"/>
        <v>27.420244685895263</v>
      </c>
      <c r="AP423" s="7">
        <f t="shared" si="831"/>
        <v>1.3778413784529315E-2</v>
      </c>
      <c r="AQ423" s="9">
        <f t="shared" si="832"/>
        <v>0.43276713995998606</v>
      </c>
      <c r="AR423" s="4">
        <f t="shared" si="833"/>
        <v>998.22053952784063</v>
      </c>
      <c r="AS423" s="6">
        <f t="shared" si="834"/>
        <v>5.4964410790556823E-6</v>
      </c>
      <c r="AT423" s="8">
        <f t="shared" si="835"/>
        <v>27.368536204570166</v>
      </c>
      <c r="AU423" s="7">
        <f t="shared" si="836"/>
        <v>1.3755907613663626E-2</v>
      </c>
      <c r="AV423" s="9">
        <f t="shared" si="837"/>
        <v>0.43358478440422926</v>
      </c>
      <c r="AW423" s="4">
        <f t="shared" si="838"/>
        <v>993.12443090839679</v>
      </c>
      <c r="AX423" s="6">
        <f t="shared" si="839"/>
        <v>5.4862488618167941E-6</v>
      </c>
      <c r="AY423" s="8">
        <f t="shared" si="840"/>
        <v>27.309930955446561</v>
      </c>
      <c r="AZ423" s="7">
        <f t="shared" si="841"/>
        <v>1.3730399617362023E-2</v>
      </c>
      <c r="BA423" s="9">
        <f t="shared" si="842"/>
        <v>0.43451522777838752</v>
      </c>
      <c r="BB423" s="4">
        <f t="shared" si="843"/>
        <v>987.42730745586289</v>
      </c>
      <c r="BC423" s="6">
        <f t="shared" si="844"/>
        <v>5.4748546149117266E-6</v>
      </c>
      <c r="BD423" s="8">
        <f t="shared" si="845"/>
        <v>27.244414035742423</v>
      </c>
      <c r="BE423" s="7">
        <f t="shared" si="846"/>
        <v>1.370188330917296E-2</v>
      </c>
      <c r="BF423" s="9">
        <f t="shared" si="847"/>
        <v>0.4355601428663477</v>
      </c>
      <c r="BG423" s="4">
        <f t="shared" si="848"/>
        <v>981.12253086540227</v>
      </c>
      <c r="BH423" s="6">
        <f t="shared" si="849"/>
        <v>5.4622450617308055E-6</v>
      </c>
      <c r="BI423" s="8">
        <f t="shared" si="850"/>
        <v>27.171909104952125</v>
      </c>
      <c r="BJ423" s="7">
        <f t="shared" si="851"/>
        <v>1.3670325461811095E-2</v>
      </c>
      <c r="BK423" s="9">
        <f t="shared" si="852"/>
        <v>0.43672238207050362</v>
      </c>
      <c r="BL423" s="4">
        <f t="shared" si="853"/>
        <v>974.17921966862104</v>
      </c>
      <c r="BM423" s="6">
        <f t="shared" si="854"/>
        <v>5.4483584393372427E-6</v>
      </c>
      <c r="BN423" s="8">
        <f t="shared" si="855"/>
        <v>27.092061026189143</v>
      </c>
      <c r="BO423" s="7">
        <f t="shared" si="856"/>
        <v>1.3635571501573154E-2</v>
      </c>
      <c r="BP423" s="9">
        <f t="shared" si="857"/>
        <v>0.43800952826168538</v>
      </c>
      <c r="BQ423" s="4">
        <f t="shared" si="858"/>
        <v>966.46825017917081</v>
      </c>
      <c r="BR423" s="6">
        <f t="shared" si="859"/>
        <v>5.4329365003583423E-6</v>
      </c>
      <c r="BS423" s="8">
        <f t="shared" si="860"/>
        <v>27.003384877060462</v>
      </c>
      <c r="BT423" s="7">
        <f t="shared" si="861"/>
        <v>1.3596975114426261E-2</v>
      </c>
      <c r="BU423" s="9">
        <f t="shared" si="862"/>
        <v>0.43944790342927081</v>
      </c>
      <c r="BV423" s="4">
        <f t="shared" si="863"/>
        <v>957.51065228070479</v>
      </c>
      <c r="BW423" s="6">
        <f t="shared" si="864"/>
        <v>5.4150213045614101E-6</v>
      </c>
      <c r="BX423" s="8">
        <f t="shared" si="865"/>
        <v>26.900372501228105</v>
      </c>
      <c r="BY423" s="7">
        <f t="shared" si="866"/>
        <v>1.3552138869532751E-2</v>
      </c>
      <c r="BZ423" s="9">
        <f t="shared" si="867"/>
        <v>0.44113072669072312</v>
      </c>
      <c r="CA423" s="4">
        <f t="shared" si="868"/>
        <v>945.75651153238755</v>
      </c>
      <c r="CB423" s="6">
        <f t="shared" si="869"/>
        <v>5.3915130230647755E-6</v>
      </c>
      <c r="CC423" s="8">
        <f t="shared" si="870"/>
        <v>26.765199882622454</v>
      </c>
      <c r="CD423" s="7">
        <f t="shared" si="871"/>
        <v>1.3493304845157244E-2</v>
      </c>
      <c r="CE423" s="9">
        <f t="shared" si="872"/>
        <v>0.44335857463266631</v>
      </c>
      <c r="CF423" s="4">
        <f t="shared" si="873"/>
        <v>926.92791126539805</v>
      </c>
      <c r="CG423" s="6">
        <f t="shared" si="874"/>
        <v>5.3538558225307963E-6</v>
      </c>
      <c r="CH423" s="8">
        <f t="shared" si="875"/>
        <v>26.548670979552078</v>
      </c>
      <c r="CI423" s="7">
        <f t="shared" si="876"/>
        <v>1.3399060412426307E-2</v>
      </c>
      <c r="CJ423" s="9">
        <f t="shared" si="877"/>
        <v>0.44697457280846936</v>
      </c>
      <c r="CK423" s="4">
        <f t="shared" si="878"/>
        <v>891.27022244554894</v>
      </c>
      <c r="CL423" s="6">
        <f t="shared" si="879"/>
        <v>5.2825404448910986E-6</v>
      </c>
      <c r="CM423" s="8">
        <f t="shared" si="880"/>
        <v>26.138607558123812</v>
      </c>
      <c r="CN423" s="7">
        <f t="shared" si="881"/>
        <v>1.322057987708802E-2</v>
      </c>
      <c r="CO423" s="9">
        <f t="shared" si="882"/>
        <v>0.4539867260844121</v>
      </c>
      <c r="CP423" s="4">
        <f t="shared" si="883"/>
        <v>821.30297699027676</v>
      </c>
      <c r="CQ423" s="6">
        <f t="shared" si="884"/>
        <v>5.1426059539805546E-6</v>
      </c>
      <c r="CR423" s="8">
        <f t="shared" si="885"/>
        <v>25.333984235388183</v>
      </c>
      <c r="CS423" s="7">
        <f t="shared" si="886"/>
        <v>1.2870366729845255E-2</v>
      </c>
      <c r="CT423" s="9">
        <f t="shared" si="887"/>
        <v>0.46840563092882465</v>
      </c>
      <c r="CU423" s="4">
        <f t="shared" si="888"/>
        <v>694.67286984058023</v>
      </c>
      <c r="CV423" s="6">
        <f t="shared" si="889"/>
        <v>4.889345739681161E-6</v>
      </c>
      <c r="CW423" s="8">
        <f t="shared" si="890"/>
        <v>24.93968773604044</v>
      </c>
      <c r="CX423" s="7">
        <f t="shared" si="891"/>
        <v>1.2236534026099134E-2</v>
      </c>
      <c r="CY423" s="9">
        <f t="shared" si="892"/>
        <v>0.4758111246344699</v>
      </c>
      <c r="CZ423" s="5">
        <f t="shared" si="893"/>
        <v>497.13754164127295</v>
      </c>
      <c r="DA423" s="6">
        <f t="shared" si="894"/>
        <v>7.2578963741082036E-6</v>
      </c>
      <c r="DB423" s="8">
        <f t="shared" si="895"/>
        <v>39.078011292403083</v>
      </c>
      <c r="DC423" s="7">
        <f t="shared" si="896"/>
        <v>1.8164290411884037E-2</v>
      </c>
      <c r="DD423" s="9">
        <f t="shared" si="897"/>
        <v>0.30366388864892946</v>
      </c>
    </row>
    <row r="424" spans="2:108" x14ac:dyDescent="0.25">
      <c r="B424">
        <v>157</v>
      </c>
      <c r="C424">
        <f t="shared" si="805"/>
        <v>0.15348550261620447</v>
      </c>
      <c r="D424" s="4">
        <f t="shared" si="806"/>
        <v>1017.4242395610471</v>
      </c>
      <c r="E424" s="6">
        <f t="shared" si="794"/>
        <v>5.5348484791220949E-6</v>
      </c>
      <c r="F424" s="8">
        <f t="shared" si="807"/>
        <v>27.58937875495204</v>
      </c>
      <c r="G424" s="7">
        <f t="shared" si="792"/>
        <v>1.3852029565922481E-2</v>
      </c>
      <c r="H424" s="9">
        <f t="shared" si="808"/>
        <v>0.43011410206501866</v>
      </c>
      <c r="I424" s="4">
        <f t="shared" si="809"/>
        <v>1017.0996065425647</v>
      </c>
      <c r="J424" s="6">
        <f t="shared" si="795"/>
        <v>5.5341992130851301E-6</v>
      </c>
      <c r="K424" s="8">
        <f t="shared" si="810"/>
        <v>27.585645475239495</v>
      </c>
      <c r="L424" s="7">
        <f t="shared" si="796"/>
        <v>1.3850404652002234E-2</v>
      </c>
      <c r="M424" s="9">
        <f t="shared" si="811"/>
        <v>0.43017231118877325</v>
      </c>
      <c r="N424" s="4">
        <f t="shared" si="812"/>
        <v>1016.1935852407395</v>
      </c>
      <c r="O424" s="6">
        <f t="shared" si="797"/>
        <v>5.5323871704814794E-6</v>
      </c>
      <c r="P424" s="8">
        <f t="shared" si="798"/>
        <v>27.575226230268505</v>
      </c>
      <c r="Q424" s="7">
        <f t="shared" si="793"/>
        <v>1.3852029565922481E-2</v>
      </c>
      <c r="R424" s="9">
        <f t="shared" si="813"/>
        <v>0.43033485095010049</v>
      </c>
      <c r="S424" s="4">
        <f t="shared" si="814"/>
        <v>1014.6920098105944</v>
      </c>
      <c r="T424" s="6">
        <f t="shared" si="799"/>
        <v>5.5293840196211891E-6</v>
      </c>
      <c r="U424" s="8">
        <f t="shared" si="800"/>
        <v>27.557958112821836</v>
      </c>
      <c r="V424" s="7">
        <f t="shared" si="801"/>
        <v>1.383835369839804E-2</v>
      </c>
      <c r="W424" s="9">
        <f t="shared" si="815"/>
        <v>0.43060450346634199</v>
      </c>
      <c r="X424" s="4">
        <f t="shared" si="816"/>
        <v>1012.5928807309325</v>
      </c>
      <c r="Y424" s="6">
        <f t="shared" si="802"/>
        <v>5.5251857614618654E-6</v>
      </c>
      <c r="Z424" s="8">
        <f t="shared" si="803"/>
        <v>27.533818128405724</v>
      </c>
      <c r="AA424" s="7">
        <f t="shared" si="804"/>
        <v>1.3827846744798913E-2</v>
      </c>
      <c r="AB424" s="9">
        <f t="shared" si="817"/>
        <v>0.4309820314195924</v>
      </c>
      <c r="AC424" s="4">
        <f t="shared" si="818"/>
        <v>1009.8947365728195</v>
      </c>
      <c r="AD424" s="6">
        <f t="shared" si="819"/>
        <v>5.5197894731456392E-6</v>
      </c>
      <c r="AE424" s="8">
        <f t="shared" si="820"/>
        <v>27.502789470587423</v>
      </c>
      <c r="AF424" s="7">
        <f t="shared" si="821"/>
        <v>1.381434148885838E-2</v>
      </c>
      <c r="AG424" s="9">
        <f t="shared" si="822"/>
        <v>0.43146826551570311</v>
      </c>
      <c r="AH424" s="4">
        <f t="shared" si="823"/>
        <v>1006.5972716259221</v>
      </c>
      <c r="AI424" s="6">
        <f t="shared" si="824"/>
        <v>5.5131945432518443E-6</v>
      </c>
      <c r="AJ424" s="8">
        <f t="shared" si="825"/>
        <v>27.464868623698102</v>
      </c>
      <c r="AK424" s="7">
        <f t="shared" si="826"/>
        <v>1.379783640037789E-2</v>
      </c>
      <c r="AL424" s="9">
        <f t="shared" si="827"/>
        <v>0.43206399536456552</v>
      </c>
      <c r="AM424" s="4">
        <f t="shared" si="828"/>
        <v>1002.7003855262215</v>
      </c>
      <c r="AN424" s="6">
        <f t="shared" si="829"/>
        <v>5.5054007710524434E-6</v>
      </c>
      <c r="AO424" s="8">
        <f t="shared" si="830"/>
        <v>27.420054433551545</v>
      </c>
      <c r="AP424" s="7">
        <f t="shared" si="831"/>
        <v>1.3778330976996669E-2</v>
      </c>
      <c r="AQ424" s="9">
        <f t="shared" si="832"/>
        <v>0.4327701426878931</v>
      </c>
      <c r="AR424" s="4">
        <f t="shared" si="833"/>
        <v>998.20401586327637</v>
      </c>
      <c r="AS424" s="6">
        <f t="shared" si="834"/>
        <v>5.4964080317265531E-6</v>
      </c>
      <c r="AT424" s="8">
        <f t="shared" si="835"/>
        <v>27.368346182427679</v>
      </c>
      <c r="AU424" s="7">
        <f t="shared" si="836"/>
        <v>1.3755824906326309E-2</v>
      </c>
      <c r="AV424" s="9">
        <f t="shared" si="837"/>
        <v>0.43358779484224158</v>
      </c>
      <c r="AW424" s="4">
        <f t="shared" si="838"/>
        <v>993.10791513077811</v>
      </c>
      <c r="AX424" s="6">
        <f t="shared" si="839"/>
        <v>5.4862158302615563E-6</v>
      </c>
      <c r="AY424" s="8">
        <f t="shared" si="840"/>
        <v>27.309741024003948</v>
      </c>
      <c r="AZ424" s="7">
        <f t="shared" si="841"/>
        <v>1.3730316949501919E-2</v>
      </c>
      <c r="BA424" s="9">
        <f t="shared" si="842"/>
        <v>0.43451824970759501</v>
      </c>
      <c r="BB424" s="4">
        <f t="shared" si="843"/>
        <v>987.41072469110452</v>
      </c>
      <c r="BC424" s="6">
        <f t="shared" si="844"/>
        <v>5.4748214493822099E-6</v>
      </c>
      <c r="BD424" s="8">
        <f t="shared" si="845"/>
        <v>27.244223333947701</v>
      </c>
      <c r="BE424" s="7">
        <f t="shared" si="846"/>
        <v>1.3701800306016294E-2</v>
      </c>
      <c r="BF424" s="9">
        <f t="shared" si="847"/>
        <v>0.435563191663149</v>
      </c>
      <c r="BG424" s="4">
        <f t="shared" si="848"/>
        <v>981.10553076204269</v>
      </c>
      <c r="BH424" s="6">
        <f t="shared" si="849"/>
        <v>5.4622110615240857E-6</v>
      </c>
      <c r="BI424" s="8">
        <f t="shared" si="850"/>
        <v>27.171713603763489</v>
      </c>
      <c r="BJ424" s="7">
        <f t="shared" si="851"/>
        <v>1.367024036971318E-2</v>
      </c>
      <c r="BK424" s="9">
        <f t="shared" si="852"/>
        <v>0.43672552429944228</v>
      </c>
      <c r="BL424" s="4">
        <f t="shared" si="853"/>
        <v>974.16037861442908</v>
      </c>
      <c r="BM424" s="6">
        <f t="shared" si="854"/>
        <v>5.4483207572288579E-6</v>
      </c>
      <c r="BN424" s="8">
        <f t="shared" si="855"/>
        <v>27.091844354065934</v>
      </c>
      <c r="BO424" s="7">
        <f t="shared" si="856"/>
        <v>1.3635477194803704E-2</v>
      </c>
      <c r="BP424" s="9">
        <f t="shared" si="857"/>
        <v>0.43801303132530978</v>
      </c>
      <c r="BQ424" s="4">
        <f t="shared" si="858"/>
        <v>966.44251011860285</v>
      </c>
      <c r="BR424" s="6">
        <f t="shared" si="859"/>
        <v>5.4328850202372061E-6</v>
      </c>
      <c r="BS424" s="8">
        <f t="shared" si="860"/>
        <v>27.003088866363932</v>
      </c>
      <c r="BT424" s="7">
        <f t="shared" si="861"/>
        <v>1.3596846275459354E-2</v>
      </c>
      <c r="BU424" s="9">
        <f t="shared" si="862"/>
        <v>0.4394527207033474</v>
      </c>
      <c r="BV424" s="4">
        <f t="shared" si="863"/>
        <v>957.46257046295557</v>
      </c>
      <c r="BW424" s="6">
        <f t="shared" si="864"/>
        <v>5.4149251409259118E-6</v>
      </c>
      <c r="BX424" s="8">
        <f t="shared" si="865"/>
        <v>26.899819560323991</v>
      </c>
      <c r="BY424" s="7">
        <f t="shared" si="866"/>
        <v>1.3551898201422843E-2</v>
      </c>
      <c r="BZ424" s="9">
        <f t="shared" si="867"/>
        <v>0.44113979438064949</v>
      </c>
      <c r="CA424" s="4">
        <f t="shared" si="868"/>
        <v>945.64682403739505</v>
      </c>
      <c r="CB424" s="6">
        <f t="shared" si="869"/>
        <v>5.3912936480747907E-6</v>
      </c>
      <c r="CC424" s="8">
        <f t="shared" si="870"/>
        <v>26.763938476430042</v>
      </c>
      <c r="CD424" s="7">
        <f t="shared" si="871"/>
        <v>1.3492755816785688E-2</v>
      </c>
      <c r="CE424" s="9">
        <f t="shared" si="872"/>
        <v>0.44337947048295356</v>
      </c>
      <c r="CF424" s="4">
        <f t="shared" si="873"/>
        <v>926.67786641437237</v>
      </c>
      <c r="CG424" s="6">
        <f t="shared" si="874"/>
        <v>5.3533557328287449E-6</v>
      </c>
      <c r="CH424" s="8">
        <f t="shared" si="875"/>
        <v>26.54579546376528</v>
      </c>
      <c r="CI424" s="7">
        <f t="shared" si="876"/>
        <v>1.339780884115664E-2</v>
      </c>
      <c r="CJ424" s="9">
        <f t="shared" si="877"/>
        <v>0.44702299036077675</v>
      </c>
      <c r="CK424" s="4">
        <f t="shared" si="878"/>
        <v>890.76892772084398</v>
      </c>
      <c r="CL424" s="6">
        <f t="shared" si="879"/>
        <v>5.2815378554416887E-6</v>
      </c>
      <c r="CM424" s="8">
        <f t="shared" si="880"/>
        <v>26.132842668789706</v>
      </c>
      <c r="CN424" s="7">
        <f t="shared" si="881"/>
        <v>1.3218070702943849E-2</v>
      </c>
      <c r="CO424" s="9">
        <f t="shared" si="882"/>
        <v>0.4540868752824232</v>
      </c>
      <c r="CP424" s="4">
        <f t="shared" si="883"/>
        <v>820.4818188974258</v>
      </c>
      <c r="CQ424" s="6">
        <f t="shared" si="884"/>
        <v>5.140963637794852E-6</v>
      </c>
      <c r="CR424" s="8">
        <f t="shared" si="885"/>
        <v>25.324540917320398</v>
      </c>
      <c r="CS424" s="7">
        <f t="shared" si="886"/>
        <v>1.2866256515727063E-2</v>
      </c>
      <c r="CT424" s="9">
        <f t="shared" si="887"/>
        <v>0.46858029562944226</v>
      </c>
      <c r="CU424" s="4">
        <f t="shared" si="888"/>
        <v>693.65082729812707</v>
      </c>
      <c r="CV424" s="6">
        <f t="shared" si="889"/>
        <v>4.8873016545962545E-6</v>
      </c>
      <c r="CW424" s="8">
        <f t="shared" si="890"/>
        <v>25.14491387856495</v>
      </c>
      <c r="CX424" s="7">
        <f t="shared" si="891"/>
        <v>1.2231418307549985E-2</v>
      </c>
      <c r="CY424" s="9">
        <f t="shared" si="892"/>
        <v>0.47192767996846041</v>
      </c>
      <c r="CZ424" s="5">
        <f t="shared" si="893"/>
        <v>496.50954235123976</v>
      </c>
      <c r="DA424" s="6">
        <f t="shared" si="894"/>
        <v>7.2672967943109109E-6</v>
      </c>
      <c r="DB424" s="8">
        <f t="shared" si="895"/>
        <v>39.09622327181404</v>
      </c>
      <c r="DC424" s="7">
        <f t="shared" si="896"/>
        <v>1.8187816782853573E-2</v>
      </c>
      <c r="DD424" s="9">
        <f t="shared" si="897"/>
        <v>0.3035224345639792</v>
      </c>
    </row>
    <row r="425" spans="2:108" x14ac:dyDescent="0.25">
      <c r="B425">
        <v>158</v>
      </c>
      <c r="C425">
        <f t="shared" si="805"/>
        <v>0.15446311728254974</v>
      </c>
      <c r="D425" s="4">
        <f t="shared" si="806"/>
        <v>1017.4076654390606</v>
      </c>
      <c r="E425" s="6">
        <f t="shared" si="794"/>
        <v>5.5348153308781219E-6</v>
      </c>
      <c r="F425" s="8">
        <f t="shared" si="807"/>
        <v>27.589188152549198</v>
      </c>
      <c r="G425" s="7">
        <f t="shared" si="792"/>
        <v>1.3851946606026235E-2</v>
      </c>
      <c r="H425" s="9">
        <f t="shared" si="808"/>
        <v>0.4301170735472129</v>
      </c>
      <c r="I425" s="4">
        <f t="shared" si="809"/>
        <v>1017.0830297041388</v>
      </c>
      <c r="J425" s="6">
        <f t="shared" si="795"/>
        <v>5.5341660594082785E-6</v>
      </c>
      <c r="K425" s="8">
        <f t="shared" si="810"/>
        <v>27.585454841597596</v>
      </c>
      <c r="L425" s="7">
        <f t="shared" si="796"/>
        <v>1.3850321678509157E-2</v>
      </c>
      <c r="M425" s="9">
        <f t="shared" si="811"/>
        <v>0.4301752839624613</v>
      </c>
      <c r="N425" s="4">
        <f t="shared" si="812"/>
        <v>1016.1770001271829</v>
      </c>
      <c r="O425" s="6">
        <f t="shared" si="797"/>
        <v>5.5323540002543663E-6</v>
      </c>
      <c r="P425" s="8">
        <f t="shared" si="798"/>
        <v>27.575035501462601</v>
      </c>
      <c r="Q425" s="7">
        <f t="shared" si="793"/>
        <v>1.3851946606026235E-2</v>
      </c>
      <c r="R425" s="9">
        <f t="shared" si="813"/>
        <v>0.43033782745586985</v>
      </c>
      <c r="S425" s="4">
        <f t="shared" si="814"/>
        <v>1014.6754197349114</v>
      </c>
      <c r="T425" s="6">
        <f t="shared" si="799"/>
        <v>5.5293508394698238E-6</v>
      </c>
      <c r="U425" s="8">
        <f t="shared" si="800"/>
        <v>27.557767326951481</v>
      </c>
      <c r="V425" s="7">
        <f t="shared" si="801"/>
        <v>1.3838270658647367E-2</v>
      </c>
      <c r="W425" s="9">
        <f t="shared" si="815"/>
        <v>0.43060748459518305</v>
      </c>
      <c r="X425" s="4">
        <f t="shared" si="816"/>
        <v>1012.5762931524623</v>
      </c>
      <c r="Y425" s="6">
        <f t="shared" si="802"/>
        <v>5.5251525863049249E-6</v>
      </c>
      <c r="Z425" s="8">
        <f t="shared" si="803"/>
        <v>27.533627371253317</v>
      </c>
      <c r="AA425" s="7">
        <f t="shared" si="804"/>
        <v>1.3827763717547755E-2</v>
      </c>
      <c r="AB425" s="9">
        <f t="shared" si="817"/>
        <v>0.43098501732856631</v>
      </c>
      <c r="AC425" s="4">
        <f t="shared" si="818"/>
        <v>1009.8781587199564</v>
      </c>
      <c r="AD425" s="6">
        <f t="shared" si="819"/>
        <v>5.5197563174399141E-6</v>
      </c>
      <c r="AE425" s="8">
        <f t="shared" si="820"/>
        <v>27.502598825279499</v>
      </c>
      <c r="AF425" s="7">
        <f t="shared" si="821"/>
        <v>1.3814258510287655E-2</v>
      </c>
      <c r="AG425" s="9">
        <f t="shared" si="822"/>
        <v>0.43147125641124945</v>
      </c>
      <c r="AH425" s="4">
        <f t="shared" si="823"/>
        <v>1006.5807090150631</v>
      </c>
      <c r="AI425" s="6">
        <f t="shared" si="824"/>
        <v>5.5131614180301269E-6</v>
      </c>
      <c r="AJ425" s="8">
        <f t="shared" si="825"/>
        <v>27.464678153673226</v>
      </c>
      <c r="AK425" s="7">
        <f t="shared" si="826"/>
        <v>1.3797753498099292E-2</v>
      </c>
      <c r="AL425" s="9">
        <f t="shared" si="827"/>
        <v>0.43206699176741742</v>
      </c>
      <c r="AM425" s="4">
        <f t="shared" si="828"/>
        <v>1002.6838419944996</v>
      </c>
      <c r="AN425" s="6">
        <f t="shared" si="829"/>
        <v>5.5053676839890004E-6</v>
      </c>
      <c r="AO425" s="8">
        <f t="shared" si="830"/>
        <v>27.419864182936745</v>
      </c>
      <c r="AP425" s="7">
        <f t="shared" si="831"/>
        <v>1.377824817021654E-2</v>
      </c>
      <c r="AQ425" s="9">
        <f t="shared" si="832"/>
        <v>0.43277314543018114</v>
      </c>
      <c r="AR425" s="4">
        <f t="shared" si="833"/>
        <v>998.18749215491005</v>
      </c>
      <c r="AS425" s="6">
        <f t="shared" si="834"/>
        <v>5.4963749843098213E-6</v>
      </c>
      <c r="AT425" s="8">
        <f t="shared" si="835"/>
        <v>27.368156159781464</v>
      </c>
      <c r="AU425" s="7">
        <f t="shared" si="836"/>
        <v>1.3755742198769747E-2</v>
      </c>
      <c r="AV425" s="9">
        <f t="shared" si="837"/>
        <v>0.43359080533003852</v>
      </c>
      <c r="AW425" s="4">
        <f t="shared" si="838"/>
        <v>993.09139837734779</v>
      </c>
      <c r="AX425" s="6">
        <f t="shared" si="839"/>
        <v>5.4861827967546961E-6</v>
      </c>
      <c r="AY425" s="8">
        <f t="shared" si="840"/>
        <v>27.309551081339499</v>
      </c>
      <c r="AZ425" s="7">
        <f t="shared" si="841"/>
        <v>1.3730234276757505E-2</v>
      </c>
      <c r="BA425" s="9">
        <f t="shared" si="842"/>
        <v>0.43452127185738632</v>
      </c>
      <c r="BB425" s="4">
        <f t="shared" si="843"/>
        <v>987.39413688329103</v>
      </c>
      <c r="BC425" s="6">
        <f t="shared" si="844"/>
        <v>5.4747882737665832E-6</v>
      </c>
      <c r="BD425" s="8">
        <f t="shared" si="845"/>
        <v>27.244032574157846</v>
      </c>
      <c r="BE425" s="7">
        <f t="shared" si="846"/>
        <v>1.3701717277617185E-2</v>
      </c>
      <c r="BF425" s="9">
        <f t="shared" si="847"/>
        <v>0.43556624142983402</v>
      </c>
      <c r="BG425" s="4">
        <f t="shared" si="848"/>
        <v>981.08850984929109</v>
      </c>
      <c r="BH425" s="6">
        <f t="shared" si="849"/>
        <v>5.4621770196985834E-6</v>
      </c>
      <c r="BI425" s="8">
        <f t="shared" si="850"/>
        <v>27.171517863266846</v>
      </c>
      <c r="BJ425" s="7">
        <f t="shared" si="851"/>
        <v>1.3670155173456206E-2</v>
      </c>
      <c r="BK425" s="9">
        <f t="shared" si="852"/>
        <v>0.4367286704200033</v>
      </c>
      <c r="BL425" s="4">
        <f t="shared" si="853"/>
        <v>974.14146355506443</v>
      </c>
      <c r="BM425" s="6">
        <f t="shared" si="854"/>
        <v>5.4482829271101291E-6</v>
      </c>
      <c r="BN425" s="8">
        <f t="shared" si="855"/>
        <v>27.091626830883239</v>
      </c>
      <c r="BO425" s="7">
        <f t="shared" si="856"/>
        <v>1.3635382517609726E-2</v>
      </c>
      <c r="BP425" s="9">
        <f t="shared" si="857"/>
        <v>0.43801654820486929</v>
      </c>
      <c r="BQ425" s="4">
        <f t="shared" si="858"/>
        <v>966.41654433398378</v>
      </c>
      <c r="BR425" s="6">
        <f t="shared" si="859"/>
        <v>5.4328330886679681E-6</v>
      </c>
      <c r="BS425" s="8">
        <f t="shared" si="860"/>
        <v>27.002790259840815</v>
      </c>
      <c r="BT425" s="7">
        <f t="shared" si="861"/>
        <v>1.3596716306656199E-2</v>
      </c>
      <c r="BU425" s="9">
        <f t="shared" si="862"/>
        <v>0.43945758032888022</v>
      </c>
      <c r="BV425" s="4">
        <f t="shared" si="863"/>
        <v>957.41391447980288</v>
      </c>
      <c r="BW425" s="6">
        <f t="shared" si="864"/>
        <v>5.4148278289596061E-6</v>
      </c>
      <c r="BX425" s="8">
        <f t="shared" si="865"/>
        <v>26.899260016517733</v>
      </c>
      <c r="BY425" s="7">
        <f t="shared" si="866"/>
        <v>1.3551654659392839E-2</v>
      </c>
      <c r="BZ425" s="9">
        <f t="shared" si="867"/>
        <v>0.44114897073120662</v>
      </c>
      <c r="CA425" s="4">
        <f t="shared" si="868"/>
        <v>945.53598006693937</v>
      </c>
      <c r="CB425" s="6">
        <f t="shared" si="869"/>
        <v>5.3910719601338793E-6</v>
      </c>
      <c r="CC425" s="8">
        <f t="shared" si="870"/>
        <v>26.762663770769802</v>
      </c>
      <c r="CD425" s="7">
        <f t="shared" si="871"/>
        <v>1.3492200999806778E-2</v>
      </c>
      <c r="CE425" s="9">
        <f t="shared" si="872"/>
        <v>0.44340058864688148</v>
      </c>
      <c r="CF425" s="4">
        <f t="shared" si="873"/>
        <v>926.42617054710024</v>
      </c>
      <c r="CG425" s="6">
        <f t="shared" si="874"/>
        <v>5.3528523410942009E-6</v>
      </c>
      <c r="CH425" s="8">
        <f t="shared" si="875"/>
        <v>26.54290096129165</v>
      </c>
      <c r="CI425" s="7">
        <f t="shared" si="876"/>
        <v>1.3396549005911565E-2</v>
      </c>
      <c r="CJ425" s="9">
        <f t="shared" si="877"/>
        <v>0.44707173820311907</v>
      </c>
      <c r="CK425" s="4">
        <f t="shared" si="878"/>
        <v>890.26653592247135</v>
      </c>
      <c r="CL425" s="6">
        <f t="shared" si="879"/>
        <v>5.2805330718449441E-6</v>
      </c>
      <c r="CM425" s="8">
        <f t="shared" si="880"/>
        <v>26.127065163108419</v>
      </c>
      <c r="CN425" s="7">
        <f t="shared" si="881"/>
        <v>1.3215556037521307E-2</v>
      </c>
      <c r="CO425" s="9">
        <f t="shared" si="882"/>
        <v>0.45418728799565233</v>
      </c>
      <c r="CP425" s="4">
        <f t="shared" si="883"/>
        <v>819.66219823207359</v>
      </c>
      <c r="CQ425" s="6">
        <f t="shared" si="884"/>
        <v>5.1393243964641479E-6</v>
      </c>
      <c r="CR425" s="8">
        <f t="shared" si="885"/>
        <v>25.315115279668845</v>
      </c>
      <c r="CS425" s="7">
        <f t="shared" si="886"/>
        <v>1.2862153997028629E-2</v>
      </c>
      <c r="CT425" s="9">
        <f t="shared" si="887"/>
        <v>0.46875476325593601</v>
      </c>
      <c r="CU425" s="4">
        <f t="shared" si="888"/>
        <v>692.63682807457451</v>
      </c>
      <c r="CV425" s="6">
        <f t="shared" si="889"/>
        <v>4.8852736561491496E-6</v>
      </c>
      <c r="CW425" s="8">
        <f t="shared" si="890"/>
        <v>25.348524922654235</v>
      </c>
      <c r="CX425" s="7">
        <f t="shared" si="891"/>
        <v>1.2226342848925433E-2</v>
      </c>
      <c r="CY425" s="9">
        <f t="shared" si="892"/>
        <v>0.46813693916810972</v>
      </c>
      <c r="CZ425" s="5">
        <f t="shared" si="893"/>
        <v>495.92321096111385</v>
      </c>
      <c r="DA425" s="6">
        <f t="shared" si="894"/>
        <v>7.2760700813937203E-6</v>
      </c>
      <c r="DB425" s="8">
        <f t="shared" si="895"/>
        <v>39.113226882127691</v>
      </c>
      <c r="DC425" s="7">
        <f t="shared" si="896"/>
        <v>1.8209773631811553E-2</v>
      </c>
      <c r="DD425" s="9">
        <f t="shared" si="897"/>
        <v>0.30339048489860565</v>
      </c>
    </row>
    <row r="426" spans="2:108" x14ac:dyDescent="0.25">
      <c r="B426">
        <v>159</v>
      </c>
      <c r="C426">
        <f t="shared" si="805"/>
        <v>0.15544073194889499</v>
      </c>
      <c r="D426" s="4">
        <f t="shared" si="806"/>
        <v>1017.3910911783863</v>
      </c>
      <c r="E426" s="6">
        <f t="shared" si="794"/>
        <v>5.5347821823567735E-6</v>
      </c>
      <c r="F426" s="8">
        <f t="shared" si="807"/>
        <v>27.58899754855144</v>
      </c>
      <c r="G426" s="7">
        <f t="shared" si="792"/>
        <v>1.3851863645435801E-2</v>
      </c>
      <c r="H426" s="9">
        <f t="shared" si="808"/>
        <v>0.43012004509533014</v>
      </c>
      <c r="I426" s="4">
        <f t="shared" si="809"/>
        <v>1017.066452811868</v>
      </c>
      <c r="J426" s="6">
        <f t="shared" si="795"/>
        <v>5.5341329056237368E-6</v>
      </c>
      <c r="K426" s="8">
        <f t="shared" si="810"/>
        <v>27.585264207336479</v>
      </c>
      <c r="L426" s="7">
        <f t="shared" si="796"/>
        <v>1.3850238704746562E-2</v>
      </c>
      <c r="M426" s="9">
        <f t="shared" si="811"/>
        <v>0.43017825678689364</v>
      </c>
      <c r="N426" s="4">
        <f t="shared" si="812"/>
        <v>1016.1604151130344</v>
      </c>
      <c r="O426" s="6">
        <f t="shared" si="797"/>
        <v>5.5323208302260696E-6</v>
      </c>
      <c r="P426" s="8">
        <f t="shared" si="798"/>
        <v>27.574844773799896</v>
      </c>
      <c r="Q426" s="7">
        <f t="shared" si="793"/>
        <v>1.3851863645435801E-2</v>
      </c>
      <c r="R426" s="9">
        <f t="shared" si="813"/>
        <v>0.43034080398497376</v>
      </c>
      <c r="S426" s="4">
        <f t="shared" si="814"/>
        <v>1014.6588298562231</v>
      </c>
      <c r="T426" s="6">
        <f t="shared" si="799"/>
        <v>5.5293176597124466E-6</v>
      </c>
      <c r="U426" s="8">
        <f t="shared" si="800"/>
        <v>27.557576543346563</v>
      </c>
      <c r="V426" s="7">
        <f t="shared" si="801"/>
        <v>1.3838187619882727E-2</v>
      </c>
      <c r="W426" s="9">
        <f t="shared" si="815"/>
        <v>0.43061046572990241</v>
      </c>
      <c r="X426" s="4">
        <f t="shared" si="816"/>
        <v>1012.5597057946991</v>
      </c>
      <c r="Y426" s="6">
        <f t="shared" si="802"/>
        <v>5.5251194115893986E-6</v>
      </c>
      <c r="Z426" s="8">
        <f t="shared" si="803"/>
        <v>27.533436616639037</v>
      </c>
      <c r="AA426" s="7">
        <f t="shared" si="804"/>
        <v>1.3827680691401322E-2</v>
      </c>
      <c r="AB426" s="9">
        <f t="shared" si="817"/>
        <v>0.43098800323918424</v>
      </c>
      <c r="AC426" s="4">
        <f t="shared" si="818"/>
        <v>1009.8615810774354</v>
      </c>
      <c r="AD426" s="6">
        <f t="shared" si="819"/>
        <v>5.5197231621548713E-6</v>
      </c>
      <c r="AE426" s="8">
        <f t="shared" si="820"/>
        <v>27.502408182390507</v>
      </c>
      <c r="AF426" s="7">
        <f t="shared" si="821"/>
        <v>1.3814175532769767E-2</v>
      </c>
      <c r="AG426" s="9">
        <f t="shared" si="822"/>
        <v>0.43147424731031159</v>
      </c>
      <c r="AH426" s="4">
        <f t="shared" si="823"/>
        <v>1006.5641465962068</v>
      </c>
      <c r="AI426" s="6">
        <f t="shared" si="824"/>
        <v>5.5131282931924135E-6</v>
      </c>
      <c r="AJ426" s="8">
        <f t="shared" si="825"/>
        <v>27.464487685856376</v>
      </c>
      <c r="AK426" s="7">
        <f t="shared" si="826"/>
        <v>1.3797670596781738E-2</v>
      </c>
      <c r="AL426" s="9">
        <f t="shared" si="827"/>
        <v>0.43206998817709363</v>
      </c>
      <c r="AM426" s="4">
        <f t="shared" si="828"/>
        <v>1002.6672986107855</v>
      </c>
      <c r="AN426" s="6">
        <f t="shared" si="829"/>
        <v>5.5053345972215716E-6</v>
      </c>
      <c r="AO426" s="8">
        <f t="shared" si="830"/>
        <v>27.419673934024033</v>
      </c>
      <c r="AP426" s="7">
        <f t="shared" si="831"/>
        <v>1.3778165364177244E-2</v>
      </c>
      <c r="AQ426" s="9">
        <f t="shared" si="832"/>
        <v>0.43277614818727322</v>
      </c>
      <c r="AR426" s="4">
        <f t="shared" si="833"/>
        <v>998.17096839160627</v>
      </c>
      <c r="AS426" s="6">
        <f t="shared" si="834"/>
        <v>5.4963419367832123E-6</v>
      </c>
      <c r="AT426" s="8">
        <f t="shared" si="835"/>
        <v>27.367966136503469</v>
      </c>
      <c r="AU426" s="7">
        <f t="shared" si="836"/>
        <v>1.3755659490938196E-2</v>
      </c>
      <c r="AV426" s="9">
        <f t="shared" si="837"/>
        <v>0.4335938158696499</v>
      </c>
      <c r="AW426" s="4">
        <f t="shared" si="838"/>
        <v>993.07488060117157</v>
      </c>
      <c r="AX426" s="6">
        <f t="shared" si="839"/>
        <v>5.4861497612023437E-6</v>
      </c>
      <c r="AY426" s="8">
        <f t="shared" si="840"/>
        <v>27.309361126913473</v>
      </c>
      <c r="AZ426" s="7">
        <f t="shared" si="841"/>
        <v>1.3730151598893851E-2</v>
      </c>
      <c r="BA426" s="9">
        <f t="shared" si="842"/>
        <v>0.43452429423635769</v>
      </c>
      <c r="BB426" s="4">
        <f t="shared" si="843"/>
        <v>987.37754385824428</v>
      </c>
      <c r="BC426" s="6">
        <f t="shared" si="844"/>
        <v>5.474755087716489E-6</v>
      </c>
      <c r="BD426" s="8">
        <f t="shared" si="845"/>
        <v>27.243841754369811</v>
      </c>
      <c r="BE426" s="7">
        <f t="shared" si="846"/>
        <v>1.3701634223103802E-2</v>
      </c>
      <c r="BF426" s="9">
        <f t="shared" si="847"/>
        <v>0.43556929219846696</v>
      </c>
      <c r="BG426" s="4">
        <f t="shared" si="848"/>
        <v>981.07146757163923</v>
      </c>
      <c r="BH426" s="6">
        <f t="shared" si="849"/>
        <v>5.4621429351432783E-6</v>
      </c>
      <c r="BI426" s="8">
        <f t="shared" si="850"/>
        <v>27.171321877073851</v>
      </c>
      <c r="BJ426" s="7">
        <f t="shared" si="851"/>
        <v>1.367006987025963E-2</v>
      </c>
      <c r="BK426" s="9">
        <f t="shared" si="852"/>
        <v>0.4367318205350354</v>
      </c>
      <c r="BL426" s="4">
        <f t="shared" si="853"/>
        <v>974.12247302806543</v>
      </c>
      <c r="BM426" s="6">
        <f t="shared" si="854"/>
        <v>5.4482449460561312E-6</v>
      </c>
      <c r="BN426" s="8">
        <f t="shared" si="855"/>
        <v>27.09140843982275</v>
      </c>
      <c r="BO426" s="7">
        <f t="shared" si="856"/>
        <v>1.3635287462671019E-2</v>
      </c>
      <c r="BP426" s="9">
        <f t="shared" si="857"/>
        <v>0.43802007917295044</v>
      </c>
      <c r="BQ426" s="4">
        <f t="shared" si="858"/>
        <v>966.39034988450783</v>
      </c>
      <c r="BR426" s="6">
        <f t="shared" si="859"/>
        <v>5.4327806997690156E-6</v>
      </c>
      <c r="BS426" s="8">
        <f t="shared" si="860"/>
        <v>27.002489023671838</v>
      </c>
      <c r="BT426" s="7">
        <f t="shared" si="861"/>
        <v>1.3596585193296915E-2</v>
      </c>
      <c r="BU426" s="9">
        <f t="shared" si="862"/>
        <v>0.43946248285908063</v>
      </c>
      <c r="BV426" s="4">
        <f t="shared" si="863"/>
        <v>957.36468071459478</v>
      </c>
      <c r="BW426" s="6">
        <f t="shared" si="864"/>
        <v>5.41472936142919E-6</v>
      </c>
      <c r="BX426" s="8">
        <f t="shared" si="865"/>
        <v>26.898693828217837</v>
      </c>
      <c r="BY426" s="7">
        <f t="shared" si="866"/>
        <v>1.3551408225339992E-2</v>
      </c>
      <c r="BZ426" s="9">
        <f t="shared" si="867"/>
        <v>0.44115825643806417</v>
      </c>
      <c r="CA426" s="4">
        <f t="shared" si="868"/>
        <v>945.42398038952956</v>
      </c>
      <c r="CB426" s="6">
        <f t="shared" si="869"/>
        <v>5.390847960779059E-6</v>
      </c>
      <c r="CC426" s="8">
        <f t="shared" si="870"/>
        <v>26.761375774479589</v>
      </c>
      <c r="CD426" s="7">
        <f t="shared" si="871"/>
        <v>1.3491640398067196E-2</v>
      </c>
      <c r="CE426" s="9">
        <f t="shared" si="872"/>
        <v>0.44342192904126432</v>
      </c>
      <c r="CF426" s="4">
        <f t="shared" si="873"/>
        <v>926.17283807964282</v>
      </c>
      <c r="CG426" s="6">
        <f t="shared" si="874"/>
        <v>5.3523456761592859E-6</v>
      </c>
      <c r="CH426" s="8">
        <f t="shared" si="875"/>
        <v>26.539987637915893</v>
      </c>
      <c r="CI426" s="7">
        <f t="shared" si="876"/>
        <v>1.3395280978849048E-2</v>
      </c>
      <c r="CJ426" s="9">
        <f t="shared" si="877"/>
        <v>0.44712081375519985</v>
      </c>
      <c r="CK426" s="4">
        <f t="shared" si="878"/>
        <v>889.76307669939069</v>
      </c>
      <c r="CL426" s="6">
        <f t="shared" si="879"/>
        <v>5.2795261533987826E-6</v>
      </c>
      <c r="CM426" s="8">
        <f t="shared" si="880"/>
        <v>26.121275382042992</v>
      </c>
      <c r="CN426" s="7">
        <f t="shared" si="881"/>
        <v>1.3213036029224906E-2</v>
      </c>
      <c r="CO426" s="9">
        <f t="shared" si="882"/>
        <v>0.45428795861459165</v>
      </c>
      <c r="CP426" s="4">
        <f t="shared" si="883"/>
        <v>818.84416930699524</v>
      </c>
      <c r="CQ426" s="6">
        <f t="shared" si="884"/>
        <v>5.1376883386139911E-6</v>
      </c>
      <c r="CR426" s="8">
        <f t="shared" si="885"/>
        <v>25.305707947030445</v>
      </c>
      <c r="CS426" s="7">
        <f t="shared" si="886"/>
        <v>1.2858059445606414E-2</v>
      </c>
      <c r="CT426" s="9">
        <f t="shared" si="887"/>
        <v>0.46892902164827238</v>
      </c>
      <c r="CU426" s="4">
        <f t="shared" si="888"/>
        <v>691.63122889615488</v>
      </c>
      <c r="CV426" s="6">
        <f t="shared" si="889"/>
        <v>4.8832624577923104E-6</v>
      </c>
      <c r="CW426" s="8">
        <f t="shared" si="890"/>
        <v>25.550449237680795</v>
      </c>
      <c r="CX426" s="7">
        <f t="shared" si="891"/>
        <v>1.2221309435778359E-2</v>
      </c>
      <c r="CY426" s="9">
        <f t="shared" si="892"/>
        <v>0.46443726915836508</v>
      </c>
      <c r="CZ426" s="5">
        <f t="shared" si="893"/>
        <v>495.37604888549288</v>
      </c>
      <c r="DA426" s="6">
        <f t="shared" si="894"/>
        <v>7.2842543256706816E-6</v>
      </c>
      <c r="DB426" s="8">
        <f t="shared" si="895"/>
        <v>39.129094582320704</v>
      </c>
      <c r="DC426" s="7">
        <f t="shared" si="896"/>
        <v>1.8230256287141113E-2</v>
      </c>
      <c r="DD426" s="9">
        <f t="shared" si="897"/>
        <v>0.30326745344829559</v>
      </c>
    </row>
    <row r="427" spans="2:108" x14ac:dyDescent="0.25">
      <c r="B427">
        <v>160</v>
      </c>
      <c r="C427">
        <f t="shared" si="805"/>
        <v>0.15641834661524023</v>
      </c>
      <c r="D427" s="4">
        <f t="shared" si="806"/>
        <v>1017.3745167833561</v>
      </c>
      <c r="E427" s="6">
        <f t="shared" si="794"/>
        <v>5.5347490335667125E-6</v>
      </c>
      <c r="F427" s="8">
        <f t="shared" si="807"/>
        <v>27.588806943008592</v>
      </c>
      <c r="G427" s="7">
        <f t="shared" si="792"/>
        <v>1.3851780684172862E-2</v>
      </c>
      <c r="H427" s="9">
        <f t="shared" si="808"/>
        <v>0.43012301670859543</v>
      </c>
      <c r="I427" s="4">
        <f t="shared" si="809"/>
        <v>1017.0498758683516</v>
      </c>
      <c r="J427" s="6">
        <f t="shared" si="795"/>
        <v>5.5340997517367041E-6</v>
      </c>
      <c r="K427" s="8">
        <f t="shared" si="810"/>
        <v>27.585073572486042</v>
      </c>
      <c r="L427" s="7">
        <f t="shared" si="796"/>
        <v>1.3850155730727466E-2</v>
      </c>
      <c r="M427" s="9">
        <f t="shared" si="811"/>
        <v>0.43018122966160538</v>
      </c>
      <c r="N427" s="4">
        <f t="shared" si="812"/>
        <v>1016.1438301983923</v>
      </c>
      <c r="O427" s="6">
        <f t="shared" si="797"/>
        <v>5.5322876603967859E-6</v>
      </c>
      <c r="P427" s="8">
        <f t="shared" si="798"/>
        <v>27.574654047281513</v>
      </c>
      <c r="Q427" s="7">
        <f t="shared" si="793"/>
        <v>1.3851780684172862E-2</v>
      </c>
      <c r="R427" s="9">
        <f t="shared" si="813"/>
        <v>0.43034378053739475</v>
      </c>
      <c r="S427" s="4">
        <f t="shared" si="814"/>
        <v>1014.6422401737857</v>
      </c>
      <c r="T427" s="6">
        <f t="shared" si="799"/>
        <v>5.5292844803475717E-6</v>
      </c>
      <c r="U427" s="8">
        <f t="shared" si="800"/>
        <v>27.557385761998535</v>
      </c>
      <c r="V427" s="7">
        <f t="shared" si="801"/>
        <v>1.3838104582100398E-2</v>
      </c>
      <c r="W427" s="9">
        <f t="shared" si="815"/>
        <v>0.43061344687063313</v>
      </c>
      <c r="X427" s="4">
        <f t="shared" si="816"/>
        <v>1012.5431186571918</v>
      </c>
      <c r="Y427" s="6">
        <f t="shared" si="802"/>
        <v>5.5250862373143837E-6</v>
      </c>
      <c r="Z427" s="8">
        <f t="shared" si="803"/>
        <v>27.533245864557706</v>
      </c>
      <c r="AA427" s="7">
        <f t="shared" si="804"/>
        <v>1.3827597666357355E-2</v>
      </c>
      <c r="AB427" s="9">
        <f t="shared" si="817"/>
        <v>0.43099098915152634</v>
      </c>
      <c r="AC427" s="4">
        <f t="shared" si="818"/>
        <v>1009.8450036451036</v>
      </c>
      <c r="AD427" s="6">
        <f t="shared" si="819"/>
        <v>5.5196900072902084E-6</v>
      </c>
      <c r="AE427" s="8">
        <f t="shared" si="820"/>
        <v>27.502217541918689</v>
      </c>
      <c r="AF427" s="7">
        <f t="shared" si="821"/>
        <v>1.3814092556303961E-2</v>
      </c>
      <c r="AG427" s="9">
        <f t="shared" si="822"/>
        <v>0.43147723821291639</v>
      </c>
      <c r="AH427" s="4">
        <f t="shared" si="823"/>
        <v>1006.5475843689245</v>
      </c>
      <c r="AI427" s="6">
        <f t="shared" si="824"/>
        <v>5.5130951687378496E-6</v>
      </c>
      <c r="AJ427" s="8">
        <f t="shared" si="825"/>
        <v>27.464297220242631</v>
      </c>
      <c r="AK427" s="7">
        <f t="shared" si="826"/>
        <v>1.3797587696423091E-2</v>
      </c>
      <c r="AL427" s="9">
        <f t="shared" si="827"/>
        <v>0.43207298459367111</v>
      </c>
      <c r="AM427" s="4">
        <f t="shared" si="828"/>
        <v>1002.6507553726406</v>
      </c>
      <c r="AN427" s="6">
        <f t="shared" si="829"/>
        <v>5.5053015107452825E-6</v>
      </c>
      <c r="AO427" s="8">
        <f t="shared" si="830"/>
        <v>27.419483686785366</v>
      </c>
      <c r="AP427" s="7">
        <f t="shared" si="831"/>
        <v>1.377808255886658E-2</v>
      </c>
      <c r="AQ427" s="9">
        <f t="shared" si="832"/>
        <v>0.43277915095961184</v>
      </c>
      <c r="AR427" s="4">
        <f t="shared" si="833"/>
        <v>998.15444456181945</v>
      </c>
      <c r="AS427" s="6">
        <f t="shared" si="834"/>
        <v>5.4963088891236394E-6</v>
      </c>
      <c r="AT427" s="8">
        <f t="shared" si="835"/>
        <v>27.367776112460923</v>
      </c>
      <c r="AU427" s="7">
        <f t="shared" si="836"/>
        <v>1.3755576782773877E-2</v>
      </c>
      <c r="AV427" s="9">
        <f t="shared" si="837"/>
        <v>0.4335968264631806</v>
      </c>
      <c r="AW427" s="4">
        <f t="shared" si="838"/>
        <v>993.05836175393347</v>
      </c>
      <c r="AX427" s="6">
        <f t="shared" si="839"/>
        <v>5.4861167235078671E-6</v>
      </c>
      <c r="AY427" s="8">
        <f t="shared" si="840"/>
        <v>27.309171160170234</v>
      </c>
      <c r="AZ427" s="7">
        <f t="shared" si="841"/>
        <v>1.3730068915669113E-2</v>
      </c>
      <c r="BA427" s="9">
        <f t="shared" si="842"/>
        <v>0.43452731685335877</v>
      </c>
      <c r="BB427" s="4">
        <f t="shared" si="843"/>
        <v>987.36094543795195</v>
      </c>
      <c r="BC427" s="6">
        <f t="shared" si="844"/>
        <v>5.4747218908759039E-6</v>
      </c>
      <c r="BD427" s="8">
        <f t="shared" si="845"/>
        <v>27.243650872536449</v>
      </c>
      <c r="BE427" s="7">
        <f t="shared" si="846"/>
        <v>1.3701551141585128E-2</v>
      </c>
      <c r="BF427" s="9">
        <f t="shared" si="847"/>
        <v>0.43557234400181888</v>
      </c>
      <c r="BG427" s="4">
        <f t="shared" si="848"/>
        <v>981.05440336558581</v>
      </c>
      <c r="BH427" s="6">
        <f t="shared" si="849"/>
        <v>5.4621088067311721E-6</v>
      </c>
      <c r="BI427" s="8">
        <f t="shared" si="850"/>
        <v>27.171125638704236</v>
      </c>
      <c r="BJ427" s="7">
        <f t="shared" si="851"/>
        <v>1.3669984457302923E-2</v>
      </c>
      <c r="BK427" s="9">
        <f t="shared" si="852"/>
        <v>0.43673497474887107</v>
      </c>
      <c r="BL427" s="4">
        <f t="shared" si="853"/>
        <v>974.10340556183394</v>
      </c>
      <c r="BM427" s="6">
        <f t="shared" si="854"/>
        <v>5.4482068111236685E-6</v>
      </c>
      <c r="BN427" s="8">
        <f t="shared" si="855"/>
        <v>27.09118916396109</v>
      </c>
      <c r="BO427" s="7">
        <f t="shared" si="856"/>
        <v>1.3635192022621674E-2</v>
      </c>
      <c r="BP427" s="9">
        <f t="shared" si="857"/>
        <v>0.43802362450385873</v>
      </c>
      <c r="BQ427" s="4">
        <f t="shared" si="858"/>
        <v>966.36392383927648</v>
      </c>
      <c r="BR427" s="6">
        <f t="shared" si="859"/>
        <v>5.4327278476785534E-6</v>
      </c>
      <c r="BS427" s="8">
        <f t="shared" si="860"/>
        <v>27.00218512415168</v>
      </c>
      <c r="BT427" s="7">
        <f t="shared" si="861"/>
        <v>1.3596452920711231E-2</v>
      </c>
      <c r="BU427" s="9">
        <f t="shared" si="862"/>
        <v>0.4394674288453797</v>
      </c>
      <c r="BV427" s="4">
        <f t="shared" si="863"/>
        <v>957.31486562159716</v>
      </c>
      <c r="BW427" s="6">
        <f t="shared" si="864"/>
        <v>5.4146297312431952E-6</v>
      </c>
      <c r="BX427" s="8">
        <f t="shared" si="865"/>
        <v>26.898120954648366</v>
      </c>
      <c r="BY427" s="7">
        <f t="shared" si="866"/>
        <v>1.3551158881516529E-2</v>
      </c>
      <c r="BZ427" s="9">
        <f t="shared" si="867"/>
        <v>0.44116765218379278</v>
      </c>
      <c r="CA427" s="4">
        <f t="shared" si="868"/>
        <v>945.31082590818733</v>
      </c>
      <c r="CB427" s="6">
        <f t="shared" si="869"/>
        <v>5.3906216518163758E-6</v>
      </c>
      <c r="CC427" s="8">
        <f t="shared" si="870"/>
        <v>26.760074497944153</v>
      </c>
      <c r="CD427" s="7">
        <f t="shared" si="871"/>
        <v>1.3491074016086924E-2</v>
      </c>
      <c r="CE427" s="9">
        <f t="shared" si="872"/>
        <v>0.44344349155790097</v>
      </c>
      <c r="CF427" s="4">
        <f t="shared" si="873"/>
        <v>925.91788346189173</v>
      </c>
      <c r="CG427" s="6">
        <f t="shared" si="874"/>
        <v>5.3518357669237831E-6</v>
      </c>
      <c r="CH427" s="8">
        <f t="shared" si="875"/>
        <v>26.537055659811756</v>
      </c>
      <c r="CI427" s="7">
        <f t="shared" si="876"/>
        <v>1.3394004832296387E-2</v>
      </c>
      <c r="CJ427" s="9">
        <f t="shared" si="877"/>
        <v>0.44717021442920979</v>
      </c>
      <c r="CK427" s="4">
        <f t="shared" si="878"/>
        <v>889.25857983364608</v>
      </c>
      <c r="CL427" s="6">
        <f t="shared" si="879"/>
        <v>5.2785171596672922E-6</v>
      </c>
      <c r="CM427" s="8">
        <f t="shared" si="880"/>
        <v>26.115473668086928</v>
      </c>
      <c r="CN427" s="7">
        <f t="shared" si="881"/>
        <v>1.3210510827125309E-2</v>
      </c>
      <c r="CO427" s="9">
        <f t="shared" si="882"/>
        <v>0.45438888149361212</v>
      </c>
      <c r="CP427" s="4">
        <f t="shared" si="883"/>
        <v>818.02779018206354</v>
      </c>
      <c r="CQ427" s="6">
        <f t="shared" si="884"/>
        <v>5.1360555803641277E-6</v>
      </c>
      <c r="CR427" s="8">
        <f t="shared" si="885"/>
        <v>25.296319587093731</v>
      </c>
      <c r="CS427" s="7">
        <f t="shared" si="886"/>
        <v>1.2853973152072559E-2</v>
      </c>
      <c r="CT427" s="9">
        <f t="shared" si="887"/>
        <v>0.46910305781289502</v>
      </c>
      <c r="CU427" s="4">
        <f t="shared" si="888"/>
        <v>690.63434468262585</v>
      </c>
      <c r="CV427" s="6">
        <f t="shared" si="889"/>
        <v>4.881268689365252E-6</v>
      </c>
      <c r="CW427" s="8">
        <f t="shared" si="890"/>
        <v>25.75062358775736</v>
      </c>
      <c r="CX427" s="7">
        <f t="shared" si="891"/>
        <v>1.2216319644404054E-2</v>
      </c>
      <c r="CY427" s="9">
        <f t="shared" si="892"/>
        <v>0.46082693218193116</v>
      </c>
      <c r="CZ427" s="5">
        <f t="shared" si="893"/>
        <v>494.86569410829321</v>
      </c>
      <c r="DA427" s="6">
        <f t="shared" si="894"/>
        <v>7.2918854689621437E-6</v>
      </c>
      <c r="DB427" s="8">
        <f t="shared" si="895"/>
        <v>39.143894870859498</v>
      </c>
      <c r="DC427" s="7">
        <f t="shared" si="896"/>
        <v>1.8249354700204067E-2</v>
      </c>
      <c r="DD427" s="9">
        <f t="shared" si="897"/>
        <v>0.30315278816446861</v>
      </c>
    </row>
    <row r="428" spans="2:108" x14ac:dyDescent="0.25">
      <c r="B428">
        <v>161</v>
      </c>
      <c r="C428">
        <f t="shared" si="805"/>
        <v>0.15739596128158548</v>
      </c>
      <c r="D428" s="4">
        <f t="shared" si="806"/>
        <v>1017.357942258213</v>
      </c>
      <c r="E428" s="6">
        <f t="shared" si="794"/>
        <v>5.5347158845164268E-6</v>
      </c>
      <c r="F428" s="8">
        <f t="shared" si="807"/>
        <v>27.588616335969448</v>
      </c>
      <c r="G428" s="7">
        <f t="shared" si="792"/>
        <v>1.385169772225866E-2</v>
      </c>
      <c r="H428" s="9">
        <f t="shared" si="808"/>
        <v>0.43012598838624988</v>
      </c>
      <c r="I428" s="4">
        <f t="shared" si="809"/>
        <v>1017.0332988761488</v>
      </c>
      <c r="J428" s="6">
        <f t="shared" si="795"/>
        <v>5.5340665977522973E-6</v>
      </c>
      <c r="K428" s="8">
        <f t="shared" si="810"/>
        <v>27.584882937075712</v>
      </c>
      <c r="L428" s="7">
        <f t="shared" si="796"/>
        <v>1.3850072756464672E-2</v>
      </c>
      <c r="M428" s="9">
        <f t="shared" si="811"/>
        <v>0.43018420258613871</v>
      </c>
      <c r="N428" s="4">
        <f t="shared" si="812"/>
        <v>1016.1272453833654</v>
      </c>
      <c r="O428" s="6">
        <f t="shared" si="797"/>
        <v>5.5322544907667319E-6</v>
      </c>
      <c r="P428" s="8">
        <f t="shared" si="798"/>
        <v>27.574463321908702</v>
      </c>
      <c r="Q428" s="7">
        <f t="shared" si="793"/>
        <v>1.385169772225866E-2</v>
      </c>
      <c r="R428" s="9">
        <f t="shared" si="813"/>
        <v>0.43034675711311343</v>
      </c>
      <c r="S428" s="4">
        <f t="shared" si="814"/>
        <v>1014.6256506868702</v>
      </c>
      <c r="T428" s="6">
        <f t="shared" si="799"/>
        <v>5.5292513013737406E-6</v>
      </c>
      <c r="U428" s="8">
        <f t="shared" si="800"/>
        <v>27.557194982899006</v>
      </c>
      <c r="V428" s="7">
        <f t="shared" si="801"/>
        <v>1.3838021545296734E-2</v>
      </c>
      <c r="W428" s="9">
        <f t="shared" si="815"/>
        <v>0.43061642801750566</v>
      </c>
      <c r="X428" s="4">
        <f t="shared" si="816"/>
        <v>1012.5265317394905</v>
      </c>
      <c r="Y428" s="6">
        <f t="shared" si="802"/>
        <v>5.5250530634789814E-6</v>
      </c>
      <c r="Z428" s="8">
        <f t="shared" si="803"/>
        <v>27.533055115004139</v>
      </c>
      <c r="AA428" s="7">
        <f t="shared" si="804"/>
        <v>1.3827514642413602E-2</v>
      </c>
      <c r="AB428" s="9">
        <f t="shared" si="817"/>
        <v>0.43099397506567316</v>
      </c>
      <c r="AC428" s="4">
        <f t="shared" si="818"/>
        <v>1009.8284264228006</v>
      </c>
      <c r="AD428" s="6">
        <f t="shared" si="819"/>
        <v>5.5196568528456019E-6</v>
      </c>
      <c r="AE428" s="8">
        <f t="shared" si="820"/>
        <v>27.502026903862205</v>
      </c>
      <c r="AF428" s="7">
        <f t="shared" si="821"/>
        <v>1.3814009580889429E-2</v>
      </c>
      <c r="AG428" s="9">
        <f t="shared" si="822"/>
        <v>0.43148022911909206</v>
      </c>
      <c r="AH428" s="4">
        <f t="shared" si="823"/>
        <v>1006.5310223327612</v>
      </c>
      <c r="AI428" s="6">
        <f t="shared" si="824"/>
        <v>5.5130620446655228E-6</v>
      </c>
      <c r="AJ428" s="8">
        <f t="shared" si="825"/>
        <v>27.464106756826752</v>
      </c>
      <c r="AK428" s="7">
        <f t="shared" si="826"/>
        <v>1.3797504797021068E-2</v>
      </c>
      <c r="AL428" s="9">
        <f t="shared" si="827"/>
        <v>0.4320759810172316</v>
      </c>
      <c r="AM428" s="4">
        <f t="shared" si="828"/>
        <v>1002.634212277518</v>
      </c>
      <c r="AN428" s="6">
        <f t="shared" si="829"/>
        <v>5.5052684245550364E-6</v>
      </c>
      <c r="AO428" s="8">
        <f t="shared" si="830"/>
        <v>27.419293441191456</v>
      </c>
      <c r="AP428" s="7">
        <f t="shared" si="831"/>
        <v>1.3777999754271793E-2</v>
      </c>
      <c r="AQ428" s="9">
        <f t="shared" si="832"/>
        <v>0.43278215374765899</v>
      </c>
      <c r="AR428" s="4">
        <f t="shared" si="833"/>
        <v>998.13792065358371</v>
      </c>
      <c r="AS428" s="6">
        <f t="shared" si="834"/>
        <v>5.4962758413071673E-6</v>
      </c>
      <c r="AT428" s="8">
        <f t="shared" si="835"/>
        <v>27.367586087516212</v>
      </c>
      <c r="AU428" s="7">
        <f t="shared" si="836"/>
        <v>1.375549407421689E-2</v>
      </c>
      <c r="AV428" s="9">
        <f t="shared" si="837"/>
        <v>0.4335998371128123</v>
      </c>
      <c r="AW428" s="4">
        <f t="shared" si="838"/>
        <v>993.04184178591299</v>
      </c>
      <c r="AX428" s="6">
        <f t="shared" si="839"/>
        <v>5.4860836835718269E-6</v>
      </c>
      <c r="AY428" s="8">
        <f t="shared" si="840"/>
        <v>27.308981180537998</v>
      </c>
      <c r="AZ428" s="7">
        <f t="shared" si="841"/>
        <v>1.3729986226834429E-2</v>
      </c>
      <c r="BA428" s="9">
        <f t="shared" si="842"/>
        <v>0.43453033971749661</v>
      </c>
      <c r="BB428" s="4">
        <f t="shared" si="843"/>
        <v>987.34434144053944</v>
      </c>
      <c r="BC428" s="6">
        <f t="shared" si="844"/>
        <v>5.4746886828810791E-6</v>
      </c>
      <c r="BD428" s="8">
        <f t="shared" si="845"/>
        <v>27.243459926566203</v>
      </c>
      <c r="BE428" s="7">
        <f t="shared" si="846"/>
        <v>1.3701468032150809E-2</v>
      </c>
      <c r="BF428" s="9">
        <f t="shared" si="847"/>
        <v>0.43557539687337271</v>
      </c>
      <c r="BG428" s="4">
        <f t="shared" si="848"/>
        <v>981.03731665967507</v>
      </c>
      <c r="BH428" s="6">
        <f t="shared" si="849"/>
        <v>5.4620746333193504E-6</v>
      </c>
      <c r="BI428" s="8">
        <f t="shared" si="850"/>
        <v>27.170929141586264</v>
      </c>
      <c r="BJ428" s="7">
        <f t="shared" si="851"/>
        <v>1.3669898931725717E-2</v>
      </c>
      <c r="BK428" s="9">
        <f t="shared" si="852"/>
        <v>0.4367381331673193</v>
      </c>
      <c r="BL428" s="4">
        <f t="shared" si="853"/>
        <v>974.08425967592188</v>
      </c>
      <c r="BM428" s="6">
        <f t="shared" si="854"/>
        <v>5.4481685193518435E-6</v>
      </c>
      <c r="BN428" s="8">
        <f t="shared" si="855"/>
        <v>27.090968986273101</v>
      </c>
      <c r="BO428" s="7">
        <f t="shared" si="856"/>
        <v>1.3635096190051469E-2</v>
      </c>
      <c r="BP428" s="9">
        <f t="shared" si="857"/>
        <v>0.43802718447356587</v>
      </c>
      <c r="BQ428" s="4">
        <f t="shared" si="858"/>
        <v>966.33726327791362</v>
      </c>
      <c r="BR428" s="6">
        <f t="shared" si="859"/>
        <v>5.4326745265558279E-6</v>
      </c>
      <c r="BS428" s="8">
        <f t="shared" si="860"/>
        <v>27.001878527696007</v>
      </c>
      <c r="BT428" s="7">
        <f t="shared" si="861"/>
        <v>1.3596319474281528E-2</v>
      </c>
      <c r="BU428" s="9">
        <f t="shared" si="862"/>
        <v>0.43947241883731414</v>
      </c>
      <c r="BV428" s="4">
        <f t="shared" si="863"/>
        <v>957.26446572609086</v>
      </c>
      <c r="BW428" s="6">
        <f t="shared" si="864"/>
        <v>5.4145289314521822E-6</v>
      </c>
      <c r="BX428" s="8">
        <f t="shared" si="865"/>
        <v>26.897541355850045</v>
      </c>
      <c r="BY428" s="7">
        <f t="shared" si="866"/>
        <v>1.3550906610530138E-2</v>
      </c>
      <c r="BZ428" s="9">
        <f t="shared" si="867"/>
        <v>0.44117715863784673</v>
      </c>
      <c r="CA428" s="4">
        <f t="shared" si="868"/>
        <v>945.1965176581964</v>
      </c>
      <c r="CB428" s="6">
        <f t="shared" si="869"/>
        <v>5.3903930353163934E-6</v>
      </c>
      <c r="CC428" s="8">
        <f t="shared" si="870"/>
        <v>26.758759953069259</v>
      </c>
      <c r="CD428" s="7">
        <f t="shared" si="871"/>
        <v>1.3490501859047944E-2</v>
      </c>
      <c r="CE428" s="9">
        <f t="shared" si="872"/>
        <v>0.44346527606399</v>
      </c>
      <c r="CF428" s="4">
        <f t="shared" si="873"/>
        <v>925.66132118020914</v>
      </c>
      <c r="CG428" s="6">
        <f t="shared" si="874"/>
        <v>5.351322642360419E-6</v>
      </c>
      <c r="CH428" s="8">
        <f t="shared" si="875"/>
        <v>26.534105193572405</v>
      </c>
      <c r="CI428" s="7">
        <f t="shared" si="876"/>
        <v>1.3392720638763443E-2</v>
      </c>
      <c r="CJ428" s="9">
        <f t="shared" si="877"/>
        <v>0.44721993762926843</v>
      </c>
      <c r="CK428" s="4">
        <f t="shared" si="878"/>
        <v>888.75307528871019</v>
      </c>
      <c r="CL428" s="6">
        <f t="shared" si="879"/>
        <v>5.277506150577421E-6</v>
      </c>
      <c r="CM428" s="8">
        <f t="shared" si="880"/>
        <v>26.109660365820169</v>
      </c>
      <c r="CN428" s="7">
        <f t="shared" si="881"/>
        <v>1.32079805812013E-2</v>
      </c>
      <c r="CO428" s="9">
        <f t="shared" si="882"/>
        <v>0.4544900509411563</v>
      </c>
      <c r="CP428" s="4">
        <f t="shared" si="883"/>
        <v>817.21312199643558</v>
      </c>
      <c r="CQ428" s="6">
        <f t="shared" si="884"/>
        <v>5.1344262439928716E-6</v>
      </c>
      <c r="CR428" s="8">
        <f t="shared" si="885"/>
        <v>25.286950902959006</v>
      </c>
      <c r="CS428" s="7">
        <f t="shared" si="886"/>
        <v>1.2849895422452209E-2</v>
      </c>
      <c r="CT428" s="9">
        <f t="shared" si="887"/>
        <v>0.46927685806236547</v>
      </c>
      <c r="CU428" s="4">
        <f t="shared" si="888"/>
        <v>689.64645152321293</v>
      </c>
      <c r="CV428" s="6">
        <f t="shared" si="889"/>
        <v>4.8792929030464261E-6</v>
      </c>
      <c r="CW428" s="8">
        <f t="shared" si="890"/>
        <v>25.948992534167388</v>
      </c>
      <c r="CX428" s="7">
        <f t="shared" si="891"/>
        <v>1.221137485673596E-2</v>
      </c>
      <c r="CY428" s="9">
        <f t="shared" si="892"/>
        <v>0.45730410743665717</v>
      </c>
      <c r="CZ428" s="5">
        <f t="shared" si="893"/>
        <v>494.38991450768549</v>
      </c>
      <c r="DA428" s="6">
        <f t="shared" si="894"/>
        <v>7.2989974187030184E-6</v>
      </c>
      <c r="DB428" s="8">
        <f t="shared" si="895"/>
        <v>39.157692479277117</v>
      </c>
      <c r="DC428" s="7">
        <f t="shared" si="896"/>
        <v>1.826715373091892E-2</v>
      </c>
      <c r="DD428" s="9">
        <f t="shared" si="897"/>
        <v>0.30304596921787169</v>
      </c>
    </row>
    <row r="429" spans="2:108" x14ac:dyDescent="0.25">
      <c r="B429">
        <v>162</v>
      </c>
      <c r="C429">
        <f t="shared" si="805"/>
        <v>0.15837357594793072</v>
      </c>
      <c r="D429" s="4">
        <f t="shared" si="806"/>
        <v>1017.3413676071144</v>
      </c>
      <c r="E429" s="6">
        <f t="shared" si="794"/>
        <v>5.5346827352142285E-6</v>
      </c>
      <c r="F429" s="8">
        <f t="shared" si="807"/>
        <v>27.588425727481813</v>
      </c>
      <c r="G429" s="7">
        <f t="shared" si="792"/>
        <v>1.3851614759714E-2</v>
      </c>
      <c r="H429" s="9">
        <f t="shared" si="808"/>
        <v>0.43012896012754998</v>
      </c>
      <c r="I429" s="4">
        <f t="shared" si="809"/>
        <v>1017.0167218377795</v>
      </c>
      <c r="J429" s="6">
        <f t="shared" si="795"/>
        <v>5.5340334436755598E-6</v>
      </c>
      <c r="K429" s="8">
        <f t="shared" si="810"/>
        <v>27.584692301134464</v>
      </c>
      <c r="L429" s="7">
        <f t="shared" si="796"/>
        <v>1.3849989781970804E-2</v>
      </c>
      <c r="M429" s="9">
        <f t="shared" si="811"/>
        <v>0.43018717556004304</v>
      </c>
      <c r="N429" s="4">
        <f t="shared" si="812"/>
        <v>1016.1106606680743</v>
      </c>
      <c r="O429" s="6">
        <f t="shared" si="797"/>
        <v>5.5322213213361492E-6</v>
      </c>
      <c r="P429" s="8">
        <f t="shared" si="798"/>
        <v>27.574272597682853</v>
      </c>
      <c r="Q429" s="7">
        <f t="shared" si="793"/>
        <v>1.3851614759714E-2</v>
      </c>
      <c r="R429" s="9">
        <f t="shared" si="813"/>
        <v>0.43034973371210822</v>
      </c>
      <c r="S429" s="4">
        <f t="shared" si="814"/>
        <v>1014.6090613947616</v>
      </c>
      <c r="T429" s="6">
        <f t="shared" si="799"/>
        <v>5.5292181227895243E-6</v>
      </c>
      <c r="U429" s="8">
        <f t="shared" si="800"/>
        <v>27.557004206039757</v>
      </c>
      <c r="V429" s="7">
        <f t="shared" si="801"/>
        <v>1.3837938509468156E-2</v>
      </c>
      <c r="W429" s="9">
        <f t="shared" si="815"/>
        <v>0.43061940917064789</v>
      </c>
      <c r="X429" s="4">
        <f t="shared" si="816"/>
        <v>1012.5099450411461</v>
      </c>
      <c r="Y429" s="6">
        <f t="shared" si="802"/>
        <v>5.525019890082293E-6</v>
      </c>
      <c r="Z429" s="8">
        <f t="shared" si="803"/>
        <v>27.532864367973179</v>
      </c>
      <c r="AA429" s="7">
        <f t="shared" si="804"/>
        <v>1.3827431619567818E-2</v>
      </c>
      <c r="AB429" s="9">
        <f t="shared" si="817"/>
        <v>0.43099696098170448</v>
      </c>
      <c r="AC429" s="4">
        <f t="shared" si="818"/>
        <v>1009.8118494103578</v>
      </c>
      <c r="AD429" s="6">
        <f t="shared" si="819"/>
        <v>5.5196236988207163E-6</v>
      </c>
      <c r="AE429" s="8">
        <f t="shared" si="820"/>
        <v>27.501836268219115</v>
      </c>
      <c r="AF429" s="7">
        <f t="shared" si="821"/>
        <v>1.3813926606525331E-2</v>
      </c>
      <c r="AG429" s="9">
        <f t="shared" si="822"/>
        <v>0.4314832200288683</v>
      </c>
      <c r="AH429" s="4">
        <f t="shared" si="823"/>
        <v>1006.5144604872341</v>
      </c>
      <c r="AI429" s="6">
        <f t="shared" si="824"/>
        <v>5.5130289209744693E-6</v>
      </c>
      <c r="AJ429" s="8">
        <f t="shared" si="825"/>
        <v>27.463916295603191</v>
      </c>
      <c r="AK429" s="7">
        <f t="shared" si="826"/>
        <v>1.3797421898573253E-2</v>
      </c>
      <c r="AL429" s="9">
        <f t="shared" si="827"/>
        <v>0.43207897744786189</v>
      </c>
      <c r="AM429" s="4">
        <f t="shared" si="828"/>
        <v>1002.6176693227583</v>
      </c>
      <c r="AN429" s="6">
        <f t="shared" si="829"/>
        <v>5.5052353386455174E-6</v>
      </c>
      <c r="AO429" s="8">
        <f t="shared" si="830"/>
        <v>27.419103197211719</v>
      </c>
      <c r="AP429" s="7">
        <f t="shared" si="831"/>
        <v>1.3777916950379582E-2</v>
      </c>
      <c r="AQ429" s="9">
        <f t="shared" si="832"/>
        <v>0.4327851565518972</v>
      </c>
      <c r="AR429" s="4">
        <f t="shared" si="833"/>
        <v>998.12139665450218</v>
      </c>
      <c r="AS429" s="6">
        <f t="shared" si="834"/>
        <v>5.4962427933090041E-6</v>
      </c>
      <c r="AT429" s="8">
        <f t="shared" si="835"/>
        <v>27.367396061526776</v>
      </c>
      <c r="AU429" s="7">
        <f t="shared" si="836"/>
        <v>1.3755411365205184E-2</v>
      </c>
      <c r="AV429" s="9">
        <f t="shared" si="837"/>
        <v>0.43360284782080522</v>
      </c>
      <c r="AW429" s="4">
        <f t="shared" si="838"/>
        <v>993.02532064596232</v>
      </c>
      <c r="AX429" s="6">
        <f t="shared" si="839"/>
        <v>5.4860506412919247E-6</v>
      </c>
      <c r="AY429" s="8">
        <f t="shared" si="840"/>
        <v>27.308791187428568</v>
      </c>
      <c r="AZ429" s="7">
        <f t="shared" si="841"/>
        <v>1.372990353213378E-2</v>
      </c>
      <c r="BA429" s="9">
        <f t="shared" si="842"/>
        <v>0.43453336283814004</v>
      </c>
      <c r="BB429" s="4">
        <f t="shared" si="843"/>
        <v>987.32773168024301</v>
      </c>
      <c r="BC429" s="6">
        <f t="shared" si="844"/>
        <v>5.4746554633604864E-6</v>
      </c>
      <c r="BD429" s="8">
        <f t="shared" si="845"/>
        <v>27.243268914322794</v>
      </c>
      <c r="BE429" s="7">
        <f t="shared" si="846"/>
        <v>1.3701384893871026E-2</v>
      </c>
      <c r="BF429" s="9">
        <f t="shared" si="847"/>
        <v>0.43557845084732832</v>
      </c>
      <c r="BG429" s="4">
        <f t="shared" si="848"/>
        <v>981.02020687453762</v>
      </c>
      <c r="BH429" s="6">
        <f t="shared" si="849"/>
        <v>5.4620404137490756E-6</v>
      </c>
      <c r="BI429" s="8">
        <f t="shared" si="850"/>
        <v>27.170732379057181</v>
      </c>
      <c r="BJ429" s="7">
        <f t="shared" si="851"/>
        <v>1.3669813290628049E-2</v>
      </c>
      <c r="BK429" s="9">
        <f t="shared" si="852"/>
        <v>0.43674129589765831</v>
      </c>
      <c r="BL429" s="4">
        <f t="shared" si="853"/>
        <v>974.06503388131944</v>
      </c>
      <c r="BM429" s="6">
        <f t="shared" si="854"/>
        <v>5.44813006776264E-6</v>
      </c>
      <c r="BN429" s="8">
        <f t="shared" si="855"/>
        <v>27.090747889635175</v>
      </c>
      <c r="BO429" s="7">
        <f t="shared" si="856"/>
        <v>1.3634999957507341E-2</v>
      </c>
      <c r="BP429" s="9">
        <f t="shared" si="857"/>
        <v>0.43803075935965619</v>
      </c>
      <c r="BQ429" s="4">
        <f t="shared" si="858"/>
        <v>966.31036529116875</v>
      </c>
      <c r="BR429" s="6">
        <f t="shared" si="859"/>
        <v>5.4326207305823384E-6</v>
      </c>
      <c r="BS429" s="8">
        <f t="shared" si="860"/>
        <v>27.00156920084844</v>
      </c>
      <c r="BT429" s="7">
        <f t="shared" si="861"/>
        <v>1.3596184839445885E-2</v>
      </c>
      <c r="BU429" s="9">
        <f t="shared" si="862"/>
        <v>0.43947745338241412</v>
      </c>
      <c r="BV429" s="4">
        <f t="shared" si="863"/>
        <v>957.21347762444202</v>
      </c>
      <c r="BW429" s="6">
        <f t="shared" si="864"/>
        <v>5.4144269552488844E-6</v>
      </c>
      <c r="BX429" s="8">
        <f t="shared" si="865"/>
        <v>26.896954992681081</v>
      </c>
      <c r="BY429" s="7">
        <f t="shared" si="866"/>
        <v>1.3550651395344315E-2</v>
      </c>
      <c r="BZ429" s="9">
        <f t="shared" si="867"/>
        <v>0.44118677645655091</v>
      </c>
      <c r="CA429" s="4">
        <f t="shared" si="868"/>
        <v>945.08105680495089</v>
      </c>
      <c r="CB429" s="6">
        <f t="shared" si="869"/>
        <v>5.3901621136099016E-6</v>
      </c>
      <c r="CC429" s="8">
        <f t="shared" si="870"/>
        <v>26.757432153256936</v>
      </c>
      <c r="CD429" s="7">
        <f t="shared" si="871"/>
        <v>1.3489923932783513E-2</v>
      </c>
      <c r="CE429" s="9">
        <f t="shared" si="872"/>
        <v>0.44348728240252638</v>
      </c>
      <c r="CF429" s="4">
        <f t="shared" si="873"/>
        <v>925.40316576063822</v>
      </c>
      <c r="CG429" s="6">
        <f t="shared" si="874"/>
        <v>5.3508063315212766E-6</v>
      </c>
      <c r="CH429" s="8">
        <f t="shared" si="875"/>
        <v>26.531136406247338</v>
      </c>
      <c r="CI429" s="7">
        <f t="shared" si="876"/>
        <v>1.3391428470958672E-2</v>
      </c>
      <c r="CJ429" s="9">
        <f t="shared" si="877"/>
        <v>0.44726998075075486</v>
      </c>
      <c r="CK429" s="4">
        <f t="shared" si="878"/>
        <v>888.24659324733807</v>
      </c>
      <c r="CL429" s="6">
        <f t="shared" si="879"/>
        <v>5.2764931864946764E-6</v>
      </c>
      <c r="CM429" s="8">
        <f t="shared" si="880"/>
        <v>26.103835822344386</v>
      </c>
      <c r="CN429" s="7">
        <f t="shared" si="881"/>
        <v>1.3205445442529244E-2</v>
      </c>
      <c r="CO429" s="9">
        <f t="shared" si="882"/>
        <v>0.45459146121200822</v>
      </c>
      <c r="CP429" s="4">
        <f t="shared" si="883"/>
        <v>816.40022836000685</v>
      </c>
      <c r="CQ429" s="6">
        <f t="shared" si="884"/>
        <v>5.1328004567200146E-6</v>
      </c>
      <c r="CR429" s="8">
        <f t="shared" si="885"/>
        <v>25.27760262614008</v>
      </c>
      <c r="CS429" s="7">
        <f t="shared" si="886"/>
        <v>1.2845826575137513E-2</v>
      </c>
      <c r="CT429" s="9">
        <f t="shared" si="887"/>
        <v>0.46945040814299482</v>
      </c>
      <c r="CU429" s="4">
        <f t="shared" si="888"/>
        <v>688.66778947519447</v>
      </c>
      <c r="CV429" s="6">
        <f t="shared" si="889"/>
        <v>4.8773355789503896E-6</v>
      </c>
      <c r="CW429" s="8">
        <f t="shared" si="890"/>
        <v>26.1455078734094</v>
      </c>
      <c r="CX429" s="7">
        <f t="shared" si="891"/>
        <v>1.2206476274353686E-2</v>
      </c>
      <c r="CY429" s="9">
        <f t="shared" si="892"/>
        <v>0.45386691003185642</v>
      </c>
      <c r="CZ429" s="5">
        <f t="shared" si="893"/>
        <v>493.94660140760772</v>
      </c>
      <c r="DA429" s="6">
        <f t="shared" si="894"/>
        <v>7.3056221568011258E-6</v>
      </c>
      <c r="DB429" s="8">
        <f t="shared" si="895"/>
        <v>39.170548559179373</v>
      </c>
      <c r="DC429" s="7">
        <f t="shared" si="896"/>
        <v>1.8283733420199958E-2</v>
      </c>
      <c r="DD429" s="9">
        <f t="shared" si="897"/>
        <v>0.30294650716442517</v>
      </c>
    </row>
    <row r="430" spans="2:108" x14ac:dyDescent="0.25">
      <c r="B430">
        <v>163</v>
      </c>
      <c r="C430">
        <f t="shared" si="805"/>
        <v>0.15935119061427599</v>
      </c>
      <c r="D430" s="4">
        <f t="shared" si="806"/>
        <v>1017.3247928341337</v>
      </c>
      <c r="E430" s="6">
        <f t="shared" si="794"/>
        <v>5.5346495856682676E-6</v>
      </c>
      <c r="F430" s="8">
        <f t="shared" si="807"/>
        <v>27.588235117592539</v>
      </c>
      <c r="G430" s="7">
        <f t="shared" si="792"/>
        <v>1.3851531796559275E-2</v>
      </c>
      <c r="H430" s="9">
        <f t="shared" si="808"/>
        <v>0.43013193193176702</v>
      </c>
      <c r="I430" s="4">
        <f t="shared" si="809"/>
        <v>1017.0001447557252</v>
      </c>
      <c r="J430" s="6">
        <f t="shared" si="795"/>
        <v>5.5340002895114507E-6</v>
      </c>
      <c r="K430" s="8">
        <f t="shared" si="810"/>
        <v>27.584501664690841</v>
      </c>
      <c r="L430" s="7">
        <f t="shared" si="796"/>
        <v>1.3849906807258271E-2</v>
      </c>
      <c r="M430" s="9">
        <f t="shared" si="811"/>
        <v>0.43019014858287441</v>
      </c>
      <c r="N430" s="4">
        <f t="shared" si="812"/>
        <v>1016.0940760526493</v>
      </c>
      <c r="O430" s="6">
        <f t="shared" si="797"/>
        <v>5.5321881521052993E-6</v>
      </c>
      <c r="P430" s="8">
        <f t="shared" si="798"/>
        <v>27.574081874605465</v>
      </c>
      <c r="Q430" s="7">
        <f t="shared" si="793"/>
        <v>1.3851531796559275E-2</v>
      </c>
      <c r="R430" s="9">
        <f t="shared" si="813"/>
        <v>0.4303527103343559</v>
      </c>
      <c r="S430" s="4">
        <f t="shared" si="814"/>
        <v>1014.5924722967587</v>
      </c>
      <c r="T430" s="6">
        <f t="shared" si="799"/>
        <v>5.5291849445935185E-6</v>
      </c>
      <c r="U430" s="8">
        <f t="shared" si="800"/>
        <v>27.556813431412724</v>
      </c>
      <c r="V430" s="7">
        <f t="shared" si="801"/>
        <v>1.3837855474611149E-2</v>
      </c>
      <c r="W430" s="9">
        <f t="shared" si="815"/>
        <v>0.43062239033018512</v>
      </c>
      <c r="X430" s="4">
        <f t="shared" si="816"/>
        <v>1012.4933585617111</v>
      </c>
      <c r="Y430" s="6">
        <f t="shared" si="802"/>
        <v>5.5249867171234233E-6</v>
      </c>
      <c r="Z430" s="8">
        <f t="shared" si="803"/>
        <v>27.532673623459679</v>
      </c>
      <c r="AA430" s="7">
        <f t="shared" si="804"/>
        <v>1.3827348597817759E-2</v>
      </c>
      <c r="AB430" s="9">
        <f t="shared" si="817"/>
        <v>0.43099994689970023</v>
      </c>
      <c r="AC430" s="4">
        <f t="shared" si="818"/>
        <v>1009.7952726075983</v>
      </c>
      <c r="AD430" s="6">
        <f t="shared" si="819"/>
        <v>5.5195905452151976E-6</v>
      </c>
      <c r="AE430" s="8">
        <f t="shared" si="820"/>
        <v>27.50164563498738</v>
      </c>
      <c r="AF430" s="7">
        <f t="shared" si="821"/>
        <v>1.3813843633210776E-2</v>
      </c>
      <c r="AG430" s="9">
        <f t="shared" si="822"/>
        <v>0.43148621094227635</v>
      </c>
      <c r="AH430" s="4">
        <f t="shared" si="823"/>
        <v>1006.4978988318321</v>
      </c>
      <c r="AI430" s="6">
        <f t="shared" si="824"/>
        <v>5.512995797663665E-6</v>
      </c>
      <c r="AJ430" s="8">
        <f t="shared" si="825"/>
        <v>27.46372583656607</v>
      </c>
      <c r="AK430" s="7">
        <f t="shared" si="826"/>
        <v>1.3797339001077087E-2</v>
      </c>
      <c r="AL430" s="9">
        <f t="shared" si="827"/>
        <v>0.43208197388565389</v>
      </c>
      <c r="AM430" s="4">
        <f t="shared" si="828"/>
        <v>1002.6011265055859</v>
      </c>
      <c r="AN430" s="6">
        <f t="shared" si="829"/>
        <v>5.5052022530111722E-6</v>
      </c>
      <c r="AO430" s="8">
        <f t="shared" si="830"/>
        <v>27.418912954814239</v>
      </c>
      <c r="AP430" s="7">
        <f t="shared" si="831"/>
        <v>1.3777834147176047E-2</v>
      </c>
      <c r="AQ430" s="9">
        <f t="shared" si="832"/>
        <v>0.43278815937282999</v>
      </c>
      <c r="AR430" s="4">
        <f t="shared" si="833"/>
        <v>998.10487255173689</v>
      </c>
      <c r="AS430" s="6">
        <f t="shared" si="834"/>
        <v>5.4962097451034736E-6</v>
      </c>
      <c r="AT430" s="8">
        <f t="shared" si="835"/>
        <v>27.367206034344974</v>
      </c>
      <c r="AU430" s="7">
        <f t="shared" si="836"/>
        <v>1.3755328655674501E-2</v>
      </c>
      <c r="AV430" s="9">
        <f t="shared" si="837"/>
        <v>0.43360585858950002</v>
      </c>
      <c r="AW430" s="4">
        <f t="shared" si="838"/>
        <v>993.00879828148345</v>
      </c>
      <c r="AX430" s="6">
        <f t="shared" si="839"/>
        <v>5.4860175965629673E-6</v>
      </c>
      <c r="AY430" s="8">
        <f t="shared" si="840"/>
        <v>27.308601180237059</v>
      </c>
      <c r="AZ430" s="7">
        <f t="shared" si="841"/>
        <v>1.3729820831303894E-2</v>
      </c>
      <c r="BA430" s="9">
        <f t="shared" si="842"/>
        <v>0.43453638622492374</v>
      </c>
      <c r="BB430" s="4">
        <f t="shared" si="843"/>
        <v>987.31111596738435</v>
      </c>
      <c r="BC430" s="6">
        <f t="shared" si="844"/>
        <v>5.4746222319347694E-6</v>
      </c>
      <c r="BD430" s="8">
        <f t="shared" si="845"/>
        <v>27.24307783362492</v>
      </c>
      <c r="BE430" s="7">
        <f t="shared" si="846"/>
        <v>1.3701301725796365E-2</v>
      </c>
      <c r="BF430" s="9">
        <f t="shared" si="847"/>
        <v>0.4355815059586074</v>
      </c>
      <c r="BG430" s="4">
        <f t="shared" si="848"/>
        <v>981.00307342293377</v>
      </c>
      <c r="BH430" s="6">
        <f t="shared" si="849"/>
        <v>5.4620061468458679E-6</v>
      </c>
      <c r="BI430" s="8">
        <f t="shared" si="850"/>
        <v>27.170535344363735</v>
      </c>
      <c r="BJ430" s="7">
        <f t="shared" si="851"/>
        <v>1.3669727531070555E-2</v>
      </c>
      <c r="BK430" s="9">
        <f t="shared" si="852"/>
        <v>0.43674446304862763</v>
      </c>
      <c r="BL430" s="4">
        <f t="shared" si="853"/>
        <v>974.04572668074422</v>
      </c>
      <c r="BM430" s="6">
        <f t="shared" si="854"/>
        <v>5.4480914533614897E-6</v>
      </c>
      <c r="BN430" s="8">
        <f t="shared" si="855"/>
        <v>27.090525856828556</v>
      </c>
      <c r="BO430" s="7">
        <f t="shared" si="856"/>
        <v>1.3634903317494807E-2</v>
      </c>
      <c r="BP430" s="9">
        <f t="shared" si="857"/>
        <v>0.43803434944127362</v>
      </c>
      <c r="BQ430" s="4">
        <f t="shared" si="858"/>
        <v>966.28322698150907</v>
      </c>
      <c r="BR430" s="6">
        <f t="shared" si="859"/>
        <v>5.4325664539630185E-6</v>
      </c>
      <c r="BS430" s="8">
        <f t="shared" si="860"/>
        <v>27.001257110287355</v>
      </c>
      <c r="BT430" s="7">
        <f t="shared" si="861"/>
        <v>1.3596049001701022E-2</v>
      </c>
      <c r="BU430" s="9">
        <f t="shared" si="862"/>
        <v>0.4394825330260933</v>
      </c>
      <c r="BV430" s="4">
        <f t="shared" si="863"/>
        <v>957.16189798414894</v>
      </c>
      <c r="BW430" s="6">
        <f t="shared" si="864"/>
        <v>5.4143237959682984E-6</v>
      </c>
      <c r="BX430" s="8">
        <f t="shared" si="865"/>
        <v>26.89636182681771</v>
      </c>
      <c r="BY430" s="7">
        <f t="shared" si="866"/>
        <v>1.35503932192786E-2</v>
      </c>
      <c r="BZ430" s="9">
        <f t="shared" si="867"/>
        <v>0.44119650628309209</v>
      </c>
      <c r="CA430" s="4">
        <f t="shared" si="868"/>
        <v>944.96444464190745</v>
      </c>
      <c r="CB430" s="6">
        <f t="shared" si="869"/>
        <v>5.3899288892838153E-6</v>
      </c>
      <c r="CC430" s="8">
        <f t="shared" si="870"/>
        <v>26.756091113381935</v>
      </c>
      <c r="CD430" s="7">
        <f t="shared" si="871"/>
        <v>1.348934024376788E-2</v>
      </c>
      <c r="CE430" s="9">
        <f t="shared" si="872"/>
        <v>0.44350951039267777</v>
      </c>
      <c r="CF430" s="4">
        <f t="shared" si="873"/>
        <v>925.14343177252499</v>
      </c>
      <c r="CG430" s="6">
        <f t="shared" si="874"/>
        <v>5.350286863545051E-6</v>
      </c>
      <c r="CH430" s="8">
        <f t="shared" si="875"/>
        <v>26.528149465384036</v>
      </c>
      <c r="CI430" s="7">
        <f t="shared" si="876"/>
        <v>1.33901284018073E-2</v>
      </c>
      <c r="CJ430" s="9">
        <f t="shared" si="877"/>
        <v>0.4473203411795581</v>
      </c>
      <c r="CK430" s="4">
        <f t="shared" si="878"/>
        <v>887.73916414004225</v>
      </c>
      <c r="CL430" s="6">
        <f t="shared" si="879"/>
        <v>5.2754783282800849E-6</v>
      </c>
      <c r="CM430" s="8">
        <f t="shared" si="880"/>
        <v>26.098000387610483</v>
      </c>
      <c r="CN430" s="7">
        <f t="shared" si="881"/>
        <v>1.3202905563425637E-2</v>
      </c>
      <c r="CO430" s="9">
        <f t="shared" si="882"/>
        <v>0.45469310650142092</v>
      </c>
      <c r="CP430" s="4">
        <f t="shared" si="883"/>
        <v>815.58917479996683</v>
      </c>
      <c r="CQ430" s="6">
        <f t="shared" si="884"/>
        <v>5.1311783495999342E-6</v>
      </c>
      <c r="CR430" s="8">
        <f t="shared" si="885"/>
        <v>25.268275510199615</v>
      </c>
      <c r="CS430" s="7">
        <f t="shared" si="886"/>
        <v>1.2841766938117422E-2</v>
      </c>
      <c r="CT430" s="9">
        <f t="shared" si="887"/>
        <v>0.46962369335129012</v>
      </c>
      <c r="CU430" s="4">
        <f t="shared" si="888"/>
        <v>687.69856519372183</v>
      </c>
      <c r="CV430" s="6">
        <f t="shared" si="889"/>
        <v>4.8753971303874442E-6</v>
      </c>
      <c r="CW430" s="8">
        <f t="shared" si="890"/>
        <v>26.340128109129012</v>
      </c>
      <c r="CX430" s="7">
        <f t="shared" si="891"/>
        <v>1.2201624931646253E-2</v>
      </c>
      <c r="CY430" s="9">
        <f t="shared" si="892"/>
        <v>0.45051340754888569</v>
      </c>
      <c r="CZ430" s="5">
        <f t="shared" si="893"/>
        <v>493.53376336372702</v>
      </c>
      <c r="DA430" s="6">
        <f t="shared" si="894"/>
        <v>7.3117898433687597E-6</v>
      </c>
      <c r="DB430" s="8">
        <f t="shared" si="895"/>
        <v>39.182520862451909</v>
      </c>
      <c r="DC430" s="7">
        <f t="shared" si="896"/>
        <v>1.8299169249565563E-2</v>
      </c>
      <c r="DD430" s="9">
        <f t="shared" si="897"/>
        <v>0.30285394120952247</v>
      </c>
    </row>
    <row r="431" spans="2:108" x14ac:dyDescent="0.25">
      <c r="B431">
        <v>164</v>
      </c>
      <c r="C431">
        <f t="shared" si="805"/>
        <v>0.16032880528062124</v>
      </c>
      <c r="D431" s="4">
        <f t="shared" si="806"/>
        <v>1017.3082179432635</v>
      </c>
      <c r="E431" s="6">
        <f t="shared" si="794"/>
        <v>5.5346164358865275E-6</v>
      </c>
      <c r="F431" s="8">
        <f t="shared" si="807"/>
        <v>27.588044506347529</v>
      </c>
      <c r="G431" s="7">
        <f t="shared" si="792"/>
        <v>1.3851448832814469E-2</v>
      </c>
      <c r="H431" s="9">
        <f t="shared" si="808"/>
        <v>0.43013490379818708</v>
      </c>
      <c r="I431" s="4">
        <f t="shared" si="809"/>
        <v>1016.9835676324291</v>
      </c>
      <c r="J431" s="6">
        <f t="shared" si="795"/>
        <v>5.5339671352648585E-6</v>
      </c>
      <c r="K431" s="8">
        <f t="shared" si="810"/>
        <v>27.584311027772934</v>
      </c>
      <c r="L431" s="7">
        <f t="shared" si="796"/>
        <v>1.3849823832339306E-2</v>
      </c>
      <c r="M431" s="9">
        <f t="shared" si="811"/>
        <v>0.43019312165419588</v>
      </c>
      <c r="N431" s="4">
        <f t="shared" si="812"/>
        <v>1016.0774915372311</v>
      </c>
      <c r="O431" s="6">
        <f t="shared" si="797"/>
        <v>5.5321549830744627E-6</v>
      </c>
      <c r="P431" s="8">
        <f t="shared" si="798"/>
        <v>27.573891152678158</v>
      </c>
      <c r="Q431" s="7">
        <f t="shared" si="793"/>
        <v>1.3851448832814469E-2</v>
      </c>
      <c r="R431" s="9">
        <f t="shared" si="813"/>
        <v>0.43035568697983123</v>
      </c>
      <c r="S431" s="4">
        <f t="shared" si="814"/>
        <v>1014.5758833921742</v>
      </c>
      <c r="T431" s="6">
        <f t="shared" si="799"/>
        <v>5.5291517667843484E-6</v>
      </c>
      <c r="U431" s="8">
        <f t="shared" si="800"/>
        <v>27.556622659010003</v>
      </c>
      <c r="V431" s="7">
        <f t="shared" si="801"/>
        <v>1.3837772440722273E-2</v>
      </c>
      <c r="W431" s="9">
        <f t="shared" si="815"/>
        <v>0.43062537149624042</v>
      </c>
      <c r="X431" s="4">
        <f t="shared" si="816"/>
        <v>1012.476772300739</v>
      </c>
      <c r="Y431" s="6">
        <f t="shared" si="802"/>
        <v>5.5249535446014786E-6</v>
      </c>
      <c r="Z431" s="8">
        <f t="shared" si="803"/>
        <v>27.532482881458499</v>
      </c>
      <c r="AA431" s="7">
        <f t="shared" si="804"/>
        <v>1.3827265577161187E-2</v>
      </c>
      <c r="AB431" s="9">
        <f t="shared" si="817"/>
        <v>0.43100293281974</v>
      </c>
      <c r="AC431" s="4">
        <f t="shared" si="818"/>
        <v>1009.778696014337</v>
      </c>
      <c r="AD431" s="6">
        <f t="shared" si="819"/>
        <v>5.5195573920286747E-6</v>
      </c>
      <c r="AE431" s="8">
        <f t="shared" si="820"/>
        <v>27.501455004164875</v>
      </c>
      <c r="AF431" s="7">
        <f t="shared" si="821"/>
        <v>1.3813760660944842E-2</v>
      </c>
      <c r="AG431" s="9">
        <f t="shared" si="822"/>
        <v>0.43148920185934891</v>
      </c>
      <c r="AH431" s="4">
        <f t="shared" si="823"/>
        <v>1006.4813373660141</v>
      </c>
      <c r="AI431" s="6">
        <f t="shared" si="824"/>
        <v>5.5129626747320291E-6</v>
      </c>
      <c r="AJ431" s="8">
        <f t="shared" si="825"/>
        <v>27.463535379709164</v>
      </c>
      <c r="AK431" s="7">
        <f t="shared" si="826"/>
        <v>1.3797256104529861E-2</v>
      </c>
      <c r="AL431" s="9">
        <f t="shared" si="827"/>
        <v>0.43208497033070492</v>
      </c>
      <c r="AM431" s="4">
        <f t="shared" si="828"/>
        <v>1002.5845838231057</v>
      </c>
      <c r="AN431" s="6">
        <f t="shared" si="829"/>
        <v>5.5051691676462123E-6</v>
      </c>
      <c r="AO431" s="8">
        <f t="shared" si="830"/>
        <v>27.418722713965714</v>
      </c>
      <c r="AP431" s="7">
        <f t="shared" si="831"/>
        <v>1.3777751344646701E-2</v>
      </c>
      <c r="AQ431" s="9">
        <f t="shared" si="832"/>
        <v>0.43279116221098296</v>
      </c>
      <c r="AR431" s="4">
        <f t="shared" si="833"/>
        <v>998.08834833199796</v>
      </c>
      <c r="AS431" s="6">
        <f t="shared" si="834"/>
        <v>5.4961766966639961E-6</v>
      </c>
      <c r="AT431" s="8">
        <f t="shared" si="835"/>
        <v>27.367016005817973</v>
      </c>
      <c r="AU431" s="7">
        <f t="shared" si="836"/>
        <v>1.3755245945558318E-2</v>
      </c>
      <c r="AV431" s="9">
        <f t="shared" si="837"/>
        <v>0.43360886942131993</v>
      </c>
      <c r="AW431" s="4">
        <f t="shared" si="838"/>
        <v>992.99227463840566</v>
      </c>
      <c r="AX431" s="6">
        <f t="shared" si="839"/>
        <v>5.4859845492768123E-6</v>
      </c>
      <c r="AY431" s="8">
        <f t="shared" si="840"/>
        <v>27.308411158341663</v>
      </c>
      <c r="AZ431" s="7">
        <f t="shared" si="841"/>
        <v>1.3729738124074126E-2</v>
      </c>
      <c r="BA431" s="9">
        <f t="shared" si="842"/>
        <v>0.43453940988775236</v>
      </c>
      <c r="BB431" s="4">
        <f t="shared" si="843"/>
        <v>987.29449410834536</v>
      </c>
      <c r="BC431" s="6">
        <f t="shared" si="844"/>
        <v>5.4745889882166917E-6</v>
      </c>
      <c r="BD431" s="8">
        <f t="shared" si="845"/>
        <v>27.24288668224597</v>
      </c>
      <c r="BE431" s="7">
        <f t="shared" si="846"/>
        <v>1.3701218526957692E-2</v>
      </c>
      <c r="BF431" s="9">
        <f t="shared" si="847"/>
        <v>0.43558456224285808</v>
      </c>
      <c r="BG431" s="4">
        <f t="shared" si="848"/>
        <v>980.9859157098</v>
      </c>
      <c r="BH431" s="6">
        <f t="shared" si="849"/>
        <v>5.4619718314196002E-6</v>
      </c>
      <c r="BI431" s="8">
        <f t="shared" si="850"/>
        <v>27.170338030662698</v>
      </c>
      <c r="BJ431" s="7">
        <f t="shared" si="851"/>
        <v>1.3669641650074711E-2</v>
      </c>
      <c r="BK431" s="9">
        <f t="shared" si="852"/>
        <v>0.43674763473041955</v>
      </c>
      <c r="BL431" s="4">
        <f t="shared" si="853"/>
        <v>974.02633656893136</v>
      </c>
      <c r="BM431" s="6">
        <f t="shared" si="854"/>
        <v>5.4480526731378632E-6</v>
      </c>
      <c r="BN431" s="8">
        <f t="shared" si="855"/>
        <v>27.090302870542708</v>
      </c>
      <c r="BO431" s="7">
        <f t="shared" si="856"/>
        <v>1.363480626247943E-2</v>
      </c>
      <c r="BP431" s="9">
        <f t="shared" si="857"/>
        <v>0.43803795499906761</v>
      </c>
      <c r="BQ431" s="4">
        <f t="shared" si="858"/>
        <v>966.25584546369896</v>
      </c>
      <c r="BR431" s="6">
        <f t="shared" si="859"/>
        <v>5.4325116909273985E-6</v>
      </c>
      <c r="BS431" s="8">
        <f t="shared" si="860"/>
        <v>27.000942222832535</v>
      </c>
      <c r="BT431" s="7">
        <f t="shared" si="861"/>
        <v>1.3595911946605225E-2</v>
      </c>
      <c r="BU431" s="9">
        <f t="shared" si="862"/>
        <v>0.43948765831154146</v>
      </c>
      <c r="BV431" s="4">
        <f t="shared" si="863"/>
        <v>957.10972354386558</v>
      </c>
      <c r="BW431" s="6">
        <f t="shared" si="864"/>
        <v>5.4142194470877311E-6</v>
      </c>
      <c r="BX431" s="8">
        <f t="shared" si="865"/>
        <v>26.895761820754451</v>
      </c>
      <c r="BY431" s="7">
        <f t="shared" si="866"/>
        <v>1.3550132066008688E-2</v>
      </c>
      <c r="BZ431" s="9">
        <f t="shared" si="867"/>
        <v>0.44120634874751541</v>
      </c>
      <c r="CA431" s="4">
        <f t="shared" si="868"/>
        <v>944.84668258864428</v>
      </c>
      <c r="CB431" s="6">
        <f t="shared" si="869"/>
        <v>5.3896933651772897E-6</v>
      </c>
      <c r="CC431" s="8">
        <f t="shared" si="870"/>
        <v>26.754736849769408</v>
      </c>
      <c r="CD431" s="7">
        <f t="shared" si="871"/>
        <v>1.3488750799106589E-2</v>
      </c>
      <c r="CE431" s="9">
        <f t="shared" si="872"/>
        <v>0.44353195983014027</v>
      </c>
      <c r="CF431" s="4">
        <f t="shared" si="873"/>
        <v>924.8821338324102</v>
      </c>
      <c r="CG431" s="6">
        <f t="shared" si="874"/>
        <v>5.349764267664821E-6</v>
      </c>
      <c r="CH431" s="8">
        <f t="shared" si="875"/>
        <v>26.525144539072716</v>
      </c>
      <c r="CI431" s="7">
        <f t="shared" si="876"/>
        <v>1.3388820504470763E-2</v>
      </c>
      <c r="CJ431" s="9">
        <f t="shared" si="877"/>
        <v>0.44737101629127402</v>
      </c>
      <c r="CK431" s="4">
        <f t="shared" si="878"/>
        <v>887.23081866520965</v>
      </c>
      <c r="CL431" s="6">
        <f t="shared" si="879"/>
        <v>5.2744616373304205E-6</v>
      </c>
      <c r="CM431" s="8">
        <f t="shared" si="880"/>
        <v>26.092154414649912</v>
      </c>
      <c r="CN431" s="7">
        <f t="shared" si="881"/>
        <v>1.3200361097547793E-2</v>
      </c>
      <c r="CO431" s="9">
        <f t="shared" si="882"/>
        <v>0.45479498094090659</v>
      </c>
      <c r="CP431" s="4">
        <f t="shared" si="883"/>
        <v>814.78002825853378</v>
      </c>
      <c r="CQ431" s="6">
        <f t="shared" si="884"/>
        <v>5.1295600565170686E-6</v>
      </c>
      <c r="CR431" s="8">
        <f t="shared" si="885"/>
        <v>25.258970324973138</v>
      </c>
      <c r="CS431" s="7">
        <f t="shared" si="886"/>
        <v>1.283771684646365E-2</v>
      </c>
      <c r="CT431" s="9">
        <f t="shared" si="887"/>
        <v>0.46979669863999168</v>
      </c>
      <c r="CU431" s="4">
        <f t="shared" si="888"/>
        <v>686.73895440128081</v>
      </c>
      <c r="CV431" s="6">
        <f t="shared" si="889"/>
        <v>4.8734779088025619E-6</v>
      </c>
      <c r="CW431" s="8">
        <f t="shared" si="890"/>
        <v>26.532817956251137</v>
      </c>
      <c r="CX431" s="7">
        <f t="shared" si="891"/>
        <v>1.2196821708172724E-2</v>
      </c>
      <c r="CY431" s="9">
        <f t="shared" si="892"/>
        <v>0.44724163446506932</v>
      </c>
      <c r="CZ431" s="5">
        <f t="shared" si="893"/>
        <v>493.14952018853882</v>
      </c>
      <c r="DA431" s="6">
        <f t="shared" si="894"/>
        <v>7.317528915466975E-6</v>
      </c>
      <c r="DB431" s="8">
        <f t="shared" si="895"/>
        <v>39.193663914532372</v>
      </c>
      <c r="DC431" s="7">
        <f t="shared" si="896"/>
        <v>1.83135323882649E-2</v>
      </c>
      <c r="DD431" s="9">
        <f t="shared" si="897"/>
        <v>0.30276783756667269</v>
      </c>
    </row>
    <row r="432" spans="2:108" x14ac:dyDescent="0.25">
      <c r="B432">
        <v>165</v>
      </c>
      <c r="C432">
        <f t="shared" si="805"/>
        <v>0.16130641994696648</v>
      </c>
      <c r="D432" s="4">
        <f t="shared" si="806"/>
        <v>1017.2916429384168</v>
      </c>
      <c r="E432" s="6">
        <f t="shared" si="794"/>
        <v>5.5345832858768338E-6</v>
      </c>
      <c r="F432" s="8">
        <f t="shared" si="807"/>
        <v>27.587853893791792</v>
      </c>
      <c r="G432" s="7">
        <f t="shared" si="792"/>
        <v>1.3851365868499164E-2</v>
      </c>
      <c r="H432" s="9">
        <f t="shared" si="808"/>
        <v>0.43013787572611017</v>
      </c>
      <c r="I432" s="4">
        <f t="shared" si="809"/>
        <v>1016.9669904702974</v>
      </c>
      <c r="J432" s="6">
        <f t="shared" si="795"/>
        <v>5.533933980940595E-6</v>
      </c>
      <c r="K432" s="8">
        <f t="shared" si="810"/>
        <v>27.584120390408419</v>
      </c>
      <c r="L432" s="7">
        <f t="shared" si="796"/>
        <v>1.3849740857225954E-2</v>
      </c>
      <c r="M432" s="9">
        <f t="shared" si="811"/>
        <v>0.43019609477357701</v>
      </c>
      <c r="N432" s="4">
        <f t="shared" si="812"/>
        <v>1016.06090712197</v>
      </c>
      <c r="O432" s="6">
        <f t="shared" si="797"/>
        <v>5.5321218142439409E-6</v>
      </c>
      <c r="P432" s="8">
        <f t="shared" si="798"/>
        <v>27.573700431902655</v>
      </c>
      <c r="Q432" s="7">
        <f t="shared" si="793"/>
        <v>1.3851365868499164E-2</v>
      </c>
      <c r="R432" s="9">
        <f t="shared" si="813"/>
        <v>0.43035866364850744</v>
      </c>
      <c r="S432" s="4">
        <f t="shared" si="814"/>
        <v>1014.559294680334</v>
      </c>
      <c r="T432" s="6">
        <f t="shared" si="799"/>
        <v>5.529118589360668E-6</v>
      </c>
      <c r="U432" s="8">
        <f t="shared" si="800"/>
        <v>27.556431888823841</v>
      </c>
      <c r="V432" s="7">
        <f t="shared" si="801"/>
        <v>1.3837689407798162E-2</v>
      </c>
      <c r="W432" s="9">
        <f t="shared" si="815"/>
        <v>0.43062835266893423</v>
      </c>
      <c r="X432" s="4">
        <f t="shared" si="816"/>
        <v>1012.4601862577842</v>
      </c>
      <c r="Y432" s="6">
        <f t="shared" si="802"/>
        <v>5.5249203725155687E-6</v>
      </c>
      <c r="Z432" s="8">
        <f t="shared" si="803"/>
        <v>27.532292141964518</v>
      </c>
      <c r="AA432" s="7">
        <f t="shared" si="804"/>
        <v>1.3827182557595876E-2</v>
      </c>
      <c r="AB432" s="9">
        <f t="shared" si="817"/>
        <v>0.43100591874190319</v>
      </c>
      <c r="AC432" s="4">
        <f t="shared" si="818"/>
        <v>1009.7621196303797</v>
      </c>
      <c r="AD432" s="6">
        <f t="shared" si="819"/>
        <v>5.5195242392607606E-6</v>
      </c>
      <c r="AE432" s="8">
        <f t="shared" si="820"/>
        <v>27.501264375749365</v>
      </c>
      <c r="AF432" s="7">
        <f t="shared" si="821"/>
        <v>1.3813677689726557E-2</v>
      </c>
      <c r="AG432" s="9">
        <f t="shared" si="822"/>
        <v>0.43149219278012024</v>
      </c>
      <c r="AH432" s="4">
        <f t="shared" si="823"/>
        <v>1006.4647760892087</v>
      </c>
      <c r="AI432" s="6">
        <f t="shared" si="824"/>
        <v>5.512929552178418E-6</v>
      </c>
      <c r="AJ432" s="8">
        <f t="shared" si="825"/>
        <v>27.463344925025901</v>
      </c>
      <c r="AK432" s="7">
        <f t="shared" si="826"/>
        <v>1.3797173208928717E-2</v>
      </c>
      <c r="AL432" s="9">
        <f t="shared" si="827"/>
        <v>0.43208796678311784</v>
      </c>
      <c r="AM432" s="4">
        <f t="shared" si="828"/>
        <v>1002.5680412722992</v>
      </c>
      <c r="AN432" s="6">
        <f t="shared" si="829"/>
        <v>5.5051360825445992E-6</v>
      </c>
      <c r="AO432" s="8">
        <f t="shared" si="830"/>
        <v>27.418532474631441</v>
      </c>
      <c r="AP432" s="7">
        <f t="shared" si="831"/>
        <v>1.377766854277643E-2</v>
      </c>
      <c r="AQ432" s="9">
        <f t="shared" si="832"/>
        <v>0.43279416506690366</v>
      </c>
      <c r="AR432" s="4">
        <f t="shared" si="833"/>
        <v>998.07182398153316</v>
      </c>
      <c r="AS432" s="6">
        <f t="shared" si="834"/>
        <v>5.4961436479630674E-6</v>
      </c>
      <c r="AT432" s="8">
        <f t="shared" si="835"/>
        <v>27.366825975787631</v>
      </c>
      <c r="AU432" s="7">
        <f t="shared" si="836"/>
        <v>1.3755163234787806E-2</v>
      </c>
      <c r="AV432" s="9">
        <f t="shared" si="837"/>
        <v>0.4336118803187724</v>
      </c>
      <c r="AW432" s="4">
        <f t="shared" si="838"/>
        <v>992.97574966116281</v>
      </c>
      <c r="AX432" s="6">
        <f t="shared" si="839"/>
        <v>5.4859514993223265E-6</v>
      </c>
      <c r="AY432" s="8">
        <f t="shared" si="840"/>
        <v>27.308221121103372</v>
      </c>
      <c r="AZ432" s="7">
        <f t="shared" si="841"/>
        <v>1.3729655410166344E-2</v>
      </c>
      <c r="BA432" s="9">
        <f t="shared" si="842"/>
        <v>0.43454243383680485</v>
      </c>
      <c r="BB432" s="4">
        <f t="shared" si="843"/>
        <v>987.27786590554479</v>
      </c>
      <c r="BC432" s="6">
        <f t="shared" si="844"/>
        <v>5.4745557318110896E-6</v>
      </c>
      <c r="BD432" s="8">
        <f t="shared" si="845"/>
        <v>27.242695457913765</v>
      </c>
      <c r="BE432" s="7">
        <f t="shared" si="846"/>
        <v>1.3701135296366036E-2</v>
      </c>
      <c r="BF432" s="9">
        <f t="shared" si="847"/>
        <v>0.43558761973645893</v>
      </c>
      <c r="BG432" s="4">
        <f t="shared" si="848"/>
        <v>980.96873313229776</v>
      </c>
      <c r="BH432" s="6">
        <f t="shared" si="849"/>
        <v>5.4619374662645965E-6</v>
      </c>
      <c r="BI432" s="8">
        <f t="shared" si="850"/>
        <v>27.170140431021423</v>
      </c>
      <c r="BJ432" s="7">
        <f t="shared" si="851"/>
        <v>1.3669555644623082E-2</v>
      </c>
      <c r="BK432" s="9">
        <f t="shared" si="852"/>
        <v>0.4367508110546704</v>
      </c>
      <c r="BL432" s="4">
        <f t="shared" si="853"/>
        <v>974.00686203292503</v>
      </c>
      <c r="BM432" s="6">
        <f t="shared" si="854"/>
        <v>5.4480137240658505E-6</v>
      </c>
      <c r="BN432" s="8">
        <f t="shared" si="855"/>
        <v>27.090078913378637</v>
      </c>
      <c r="BO432" s="7">
        <f t="shared" si="856"/>
        <v>1.3634708784888287E-2</v>
      </c>
      <c r="BP432" s="9">
        <f t="shared" si="857"/>
        <v>0.43804157631513946</v>
      </c>
      <c r="BQ432" s="4">
        <f t="shared" si="858"/>
        <v>966.22821786536849</v>
      </c>
      <c r="BR432" s="6">
        <f t="shared" si="859"/>
        <v>5.4324564357307367E-6</v>
      </c>
      <c r="BS432" s="8">
        <f t="shared" si="860"/>
        <v>27.000624505451739</v>
      </c>
      <c r="BT432" s="7">
        <f t="shared" si="861"/>
        <v>1.3595773659781166E-2</v>
      </c>
      <c r="BU432" s="9">
        <f t="shared" si="862"/>
        <v>0.43949282977961857</v>
      </c>
      <c r="BV432" s="4">
        <f t="shared" si="863"/>
        <v>957.05695111340549</v>
      </c>
      <c r="BW432" s="6">
        <f t="shared" si="864"/>
        <v>5.4141139022268119E-6</v>
      </c>
      <c r="BX432" s="8">
        <f t="shared" si="865"/>
        <v>26.895154937804165</v>
      </c>
      <c r="BY432" s="7">
        <f t="shared" si="866"/>
        <v>1.3549867919566468E-2</v>
      </c>
      <c r="BZ432" s="9">
        <f t="shared" si="867"/>
        <v>0.44121630446672327</v>
      </c>
      <c r="CA432" s="4">
        <f t="shared" si="868"/>
        <v>944.72777218902718</v>
      </c>
      <c r="CB432" s="6">
        <f t="shared" si="869"/>
        <v>5.3894555443780549E-6</v>
      </c>
      <c r="CC432" s="8">
        <f t="shared" si="870"/>
        <v>26.753369380173812</v>
      </c>
      <c r="CD432" s="7">
        <f t="shared" si="871"/>
        <v>1.3488155606527276E-2</v>
      </c>
      <c r="CE432" s="9">
        <f t="shared" si="872"/>
        <v>0.44355463048747407</v>
      </c>
      <c r="CF432" s="4">
        <f t="shared" si="873"/>
        <v>924.61928660807018</v>
      </c>
      <c r="CG432" s="6">
        <f t="shared" si="874"/>
        <v>5.3492385732161404E-6</v>
      </c>
      <c r="CH432" s="8">
        <f t="shared" si="875"/>
        <v>26.522121795992806</v>
      </c>
      <c r="CI432" s="7">
        <f t="shared" si="876"/>
        <v>1.3387504852366965E-2</v>
      </c>
      <c r="CJ432" s="9">
        <f t="shared" si="877"/>
        <v>0.4474220034503727</v>
      </c>
      <c r="CK432" s="4">
        <f t="shared" si="878"/>
        <v>886.72158780179825</v>
      </c>
      <c r="CL432" s="6">
        <f t="shared" si="879"/>
        <v>5.2734431756035972E-6</v>
      </c>
      <c r="CM432" s="8">
        <f t="shared" si="880"/>
        <v>26.086298259720678</v>
      </c>
      <c r="CN432" s="7">
        <f t="shared" si="881"/>
        <v>1.3197812199957385E-2</v>
      </c>
      <c r="CO432" s="9">
        <f t="shared" si="882"/>
        <v>0.45489707859550332</v>
      </c>
      <c r="CP432" s="4">
        <f t="shared" si="883"/>
        <v>813.97285663818354</v>
      </c>
      <c r="CQ432" s="6">
        <f t="shared" si="884"/>
        <v>5.1279457132763671E-6</v>
      </c>
      <c r="CR432" s="8">
        <f t="shared" si="885"/>
        <v>25.249687851339111</v>
      </c>
      <c r="CS432" s="7">
        <f t="shared" si="886"/>
        <v>1.2833676640054369E-2</v>
      </c>
      <c r="CT432" s="9">
        <f t="shared" si="887"/>
        <v>0.46996940871443516</v>
      </c>
      <c r="CU432" s="4">
        <f t="shared" si="888"/>
        <v>685.78910420497834</v>
      </c>
      <c r="CV432" s="6">
        <f t="shared" si="889"/>
        <v>4.871578208409957E-6</v>
      </c>
      <c r="CW432" s="8">
        <f t="shared" si="890"/>
        <v>26.723547875668572</v>
      </c>
      <c r="CX432" s="7">
        <f t="shared" si="891"/>
        <v>1.2192067340261114E-2</v>
      </c>
      <c r="CY432" s="9">
        <f t="shared" si="892"/>
        <v>0.44404960467551763</v>
      </c>
      <c r="CZ432" s="5">
        <f t="shared" si="893"/>
        <v>492.79209721763493</v>
      </c>
      <c r="DA432" s="6">
        <f t="shared" si="894"/>
        <v>7.3228661810145663E-6</v>
      </c>
      <c r="DB432" s="8">
        <f t="shared" si="895"/>
        <v>39.204029180688586</v>
      </c>
      <c r="DC432" s="7">
        <f t="shared" si="896"/>
        <v>1.8326889928303308E-2</v>
      </c>
      <c r="DD432" s="9">
        <f t="shared" si="897"/>
        <v>0.3026877879063315</v>
      </c>
    </row>
    <row r="433" spans="2:108" x14ac:dyDescent="0.25">
      <c r="B433">
        <v>166</v>
      </c>
      <c r="C433">
        <f t="shared" si="805"/>
        <v>0.16228403461331176</v>
      </c>
      <c r="D433" s="4">
        <f t="shared" si="806"/>
        <v>1017.27506782343</v>
      </c>
      <c r="E433" s="6">
        <f t="shared" si="794"/>
        <v>5.5345501356468608E-6</v>
      </c>
      <c r="F433" s="8">
        <f t="shared" si="807"/>
        <v>27.587663279969444</v>
      </c>
      <c r="G433" s="7">
        <f t="shared" si="792"/>
        <v>1.3851282903632568E-2</v>
      </c>
      <c r="H433" s="9">
        <f t="shared" si="808"/>
        <v>0.43014084771485012</v>
      </c>
      <c r="I433" s="4">
        <f t="shared" si="809"/>
        <v>1016.9504132717002</v>
      </c>
      <c r="J433" s="6">
        <f t="shared" si="795"/>
        <v>5.5339008265434012E-6</v>
      </c>
      <c r="K433" s="8">
        <f t="shared" si="810"/>
        <v>27.583929752624549</v>
      </c>
      <c r="L433" s="7">
        <f t="shared" si="796"/>
        <v>1.3849657881930081E-2</v>
      </c>
      <c r="M433" s="9">
        <f t="shared" si="811"/>
        <v>0.43019906794059393</v>
      </c>
      <c r="N433" s="4">
        <f t="shared" si="812"/>
        <v>1016.0443228070252</v>
      </c>
      <c r="O433" s="6">
        <f t="shared" si="797"/>
        <v>5.5320886456140516E-6</v>
      </c>
      <c r="P433" s="8">
        <f t="shared" si="798"/>
        <v>27.573509712280789</v>
      </c>
      <c r="Q433" s="7">
        <f t="shared" si="793"/>
        <v>1.3851282903632568E-2</v>
      </c>
      <c r="R433" s="9">
        <f t="shared" si="813"/>
        <v>0.43036164034035601</v>
      </c>
      <c r="S433" s="4">
        <f t="shared" si="814"/>
        <v>1014.5427061605775</v>
      </c>
      <c r="T433" s="6">
        <f t="shared" si="799"/>
        <v>5.5290854123211552E-6</v>
      </c>
      <c r="U433" s="8">
        <f t="shared" si="800"/>
        <v>27.556241120846643</v>
      </c>
      <c r="V433" s="7">
        <f t="shared" si="801"/>
        <v>1.3837606375835502E-2</v>
      </c>
      <c r="W433" s="9">
        <f t="shared" si="815"/>
        <v>0.43063133384838476</v>
      </c>
      <c r="X433" s="4">
        <f t="shared" si="816"/>
        <v>1012.4436004324027</v>
      </c>
      <c r="Y433" s="6">
        <f t="shared" si="802"/>
        <v>5.5248872008648058E-6</v>
      </c>
      <c r="Z433" s="8">
        <f t="shared" si="803"/>
        <v>27.532101404972629</v>
      </c>
      <c r="AA433" s="7">
        <f t="shared" si="804"/>
        <v>1.3827099539119609E-2</v>
      </c>
      <c r="AB433" s="9">
        <f t="shared" si="817"/>
        <v>0.43100890466626901</v>
      </c>
      <c r="AC433" s="4">
        <f t="shared" si="818"/>
        <v>1009.7455434555237</v>
      </c>
      <c r="AD433" s="6">
        <f t="shared" si="819"/>
        <v>5.5194910869110478E-6</v>
      </c>
      <c r="AE433" s="8">
        <f t="shared" si="820"/>
        <v>27.501073749738524</v>
      </c>
      <c r="AF433" s="7">
        <f t="shared" si="821"/>
        <v>1.38135947195549E-2</v>
      </c>
      <c r="AG433" s="9">
        <f t="shared" si="822"/>
        <v>0.43149518370462625</v>
      </c>
      <c r="AH433" s="4">
        <f t="shared" si="823"/>
        <v>1006.4482150008123</v>
      </c>
      <c r="AI433" s="6">
        <f t="shared" si="824"/>
        <v>5.5128964300016248E-6</v>
      </c>
      <c r="AJ433" s="8">
        <f t="shared" si="825"/>
        <v>27.463154472509341</v>
      </c>
      <c r="AK433" s="7">
        <f t="shared" si="826"/>
        <v>1.3797090314270634E-2</v>
      </c>
      <c r="AL433" s="9">
        <f t="shared" si="827"/>
        <v>0.43209096324300122</v>
      </c>
      <c r="AM433" s="4">
        <f t="shared" si="828"/>
        <v>1002.5514988500204</v>
      </c>
      <c r="AN433" s="6">
        <f t="shared" si="829"/>
        <v>5.5051029977000412E-6</v>
      </c>
      <c r="AO433" s="8">
        <f t="shared" si="830"/>
        <v>27.418342236775231</v>
      </c>
      <c r="AP433" s="7">
        <f t="shared" si="831"/>
        <v>1.377758574154949E-2</v>
      </c>
      <c r="AQ433" s="9">
        <f t="shared" si="832"/>
        <v>0.43279716794116324</v>
      </c>
      <c r="AR433" s="4">
        <f t="shared" si="833"/>
        <v>998.05529948611695</v>
      </c>
      <c r="AS433" s="6">
        <f t="shared" si="834"/>
        <v>5.496110598972234E-6</v>
      </c>
      <c r="AT433" s="8">
        <f t="shared" si="835"/>
        <v>27.366635944090344</v>
      </c>
      <c r="AU433" s="7">
        <f t="shared" si="836"/>
        <v>1.3755080523291751E-2</v>
      </c>
      <c r="AV433" s="9">
        <f t="shared" si="837"/>
        <v>0.43361489128445152</v>
      </c>
      <c r="AW433" s="4">
        <f t="shared" si="838"/>
        <v>992.95922329267125</v>
      </c>
      <c r="AX433" s="6">
        <f t="shared" si="839"/>
        <v>5.4859184465853435E-6</v>
      </c>
      <c r="AY433" s="8">
        <f t="shared" si="840"/>
        <v>27.30803106786572</v>
      </c>
      <c r="AZ433" s="7">
        <f t="shared" si="841"/>
        <v>1.3729572689294825E-2</v>
      </c>
      <c r="BA433" s="9">
        <f t="shared" si="842"/>
        <v>0.43454545808253836</v>
      </c>
      <c r="BB433" s="4">
        <f t="shared" si="843"/>
        <v>987.2612311574153</v>
      </c>
      <c r="BC433" s="6">
        <f t="shared" si="844"/>
        <v>5.4745224623148305E-6</v>
      </c>
      <c r="BD433" s="8">
        <f t="shared" si="845"/>
        <v>27.242504158310275</v>
      </c>
      <c r="BE433" s="7">
        <f t="shared" si="846"/>
        <v>1.3701052033012473E-2</v>
      </c>
      <c r="BF433" s="9">
        <f t="shared" si="847"/>
        <v>0.435590678476524</v>
      </c>
      <c r="BG433" s="4">
        <f t="shared" si="848"/>
        <v>980.95152507986438</v>
      </c>
      <c r="BH433" s="6">
        <f t="shared" si="849"/>
        <v>5.4619030501597292E-6</v>
      </c>
      <c r="BI433" s="8">
        <f t="shared" si="850"/>
        <v>27.169942538418439</v>
      </c>
      <c r="BJ433" s="7">
        <f t="shared" si="851"/>
        <v>1.3669469511659559E-2</v>
      </c>
      <c r="BK433" s="9">
        <f t="shared" si="852"/>
        <v>0.43675399213445121</v>
      </c>
      <c r="BL433" s="4">
        <f t="shared" si="853"/>
        <v>973.98730155237035</v>
      </c>
      <c r="BM433" s="6">
        <f t="shared" si="854"/>
        <v>5.4479746031047412E-6</v>
      </c>
      <c r="BN433" s="8">
        <f t="shared" si="855"/>
        <v>27.089853967852257</v>
      </c>
      <c r="BO433" s="7">
        <f t="shared" si="856"/>
        <v>1.3634610877111411E-2</v>
      </c>
      <c r="BP433" s="9">
        <f t="shared" si="857"/>
        <v>0.43804521367298854</v>
      </c>
      <c r="BQ433" s="4">
        <f t="shared" si="858"/>
        <v>966.2003413275703</v>
      </c>
      <c r="BR433" s="6">
        <f t="shared" si="859"/>
        <v>5.4324006826551414E-6</v>
      </c>
      <c r="BS433" s="8">
        <f t="shared" si="860"/>
        <v>27.000303925267058</v>
      </c>
      <c r="BT433" s="7">
        <f t="shared" si="861"/>
        <v>1.3595634126918712E-2</v>
      </c>
      <c r="BU433" s="9">
        <f t="shared" si="862"/>
        <v>0.4394980479687518</v>
      </c>
      <c r="BV433" s="4">
        <f t="shared" si="863"/>
        <v>957.00357757372649</v>
      </c>
      <c r="BW433" s="6">
        <f t="shared" si="864"/>
        <v>5.4140071551474532E-6</v>
      </c>
      <c r="BX433" s="8">
        <f t="shared" si="865"/>
        <v>26.894541142097854</v>
      </c>
      <c r="BY433" s="7">
        <f t="shared" si="866"/>
        <v>1.354960076433992E-2</v>
      </c>
      <c r="BZ433" s="9">
        <f t="shared" si="867"/>
        <v>0.44122637404447906</v>
      </c>
      <c r="CA433" s="4">
        <f t="shared" si="868"/>
        <v>944.60771510948132</v>
      </c>
      <c r="CB433" s="6">
        <f t="shared" si="869"/>
        <v>5.3892154302189634E-6</v>
      </c>
      <c r="CC433" s="8">
        <f t="shared" si="870"/>
        <v>26.751988723759034</v>
      </c>
      <c r="CD433" s="7">
        <f t="shared" si="871"/>
        <v>1.3487554674371053E-2</v>
      </c>
      <c r="CE433" s="9">
        <f t="shared" si="872"/>
        <v>0.44357752211441853</v>
      </c>
      <c r="CF433" s="4">
        <f t="shared" si="873"/>
        <v>924.35490482259922</v>
      </c>
      <c r="CG433" s="6">
        <f t="shared" si="874"/>
        <v>5.348709809645199E-6</v>
      </c>
      <c r="CH433" s="8">
        <f t="shared" si="875"/>
        <v>26.51908140545989</v>
      </c>
      <c r="CI433" s="7">
        <f t="shared" si="876"/>
        <v>1.3386181519190693E-2</v>
      </c>
      <c r="CJ433" s="9">
        <f t="shared" si="877"/>
        <v>0.44747330000935642</v>
      </c>
      <c r="CK433" s="4">
        <f t="shared" si="878"/>
        <v>886.21150281547204</v>
      </c>
      <c r="CL433" s="6">
        <f t="shared" si="879"/>
        <v>5.2724230056309447E-6</v>
      </c>
      <c r="CM433" s="8">
        <f t="shared" si="880"/>
        <v>26.080432282377927</v>
      </c>
      <c r="CN433" s="7">
        <f t="shared" si="881"/>
        <v>1.3195259027151164E-2</v>
      </c>
      <c r="CO433" s="9">
        <f t="shared" si="882"/>
        <v>0.45499939346235191</v>
      </c>
      <c r="CP433" s="4">
        <f t="shared" si="883"/>
        <v>813.16772839091038</v>
      </c>
      <c r="CQ433" s="6">
        <f t="shared" si="884"/>
        <v>5.126335456781821E-6</v>
      </c>
      <c r="CR433" s="8">
        <f t="shared" si="885"/>
        <v>25.240428876495468</v>
      </c>
      <c r="CS433" s="7">
        <f t="shared" si="886"/>
        <v>1.2829646661518314E-2</v>
      </c>
      <c r="CT433" s="9">
        <f t="shared" si="887"/>
        <v>0.47014180811992312</v>
      </c>
      <c r="CU433" s="4">
        <f t="shared" si="888"/>
        <v>684.8491352695961</v>
      </c>
      <c r="CV433" s="6">
        <f t="shared" si="889"/>
        <v>4.8696982705391924E-6</v>
      </c>
      <c r="CW433" s="8">
        <f t="shared" si="890"/>
        <v>26.912293637893242</v>
      </c>
      <c r="CX433" s="7">
        <f t="shared" si="891"/>
        <v>1.2187362431885364E-2</v>
      </c>
      <c r="CY433" s="9">
        <f t="shared" si="892"/>
        <v>0.44093532232456878</v>
      </c>
      <c r="CZ433" s="5">
        <f t="shared" si="893"/>
        <v>492.4598198169686</v>
      </c>
      <c r="DA433" s="6">
        <f t="shared" si="894"/>
        <v>7.3278269080230217E-6</v>
      </c>
      <c r="DB433" s="8">
        <f t="shared" si="895"/>
        <v>39.213665225307906</v>
      </c>
      <c r="DC433" s="7">
        <f t="shared" si="896"/>
        <v>1.8339305107770067E-2</v>
      </c>
      <c r="DD433" s="9">
        <f t="shared" si="897"/>
        <v>0.30261340789076219</v>
      </c>
    </row>
    <row r="434" spans="2:108" x14ac:dyDescent="0.25">
      <c r="B434">
        <v>167</v>
      </c>
      <c r="C434">
        <f t="shared" si="805"/>
        <v>0.163261649279657</v>
      </c>
      <c r="D434" s="4">
        <f t="shared" si="806"/>
        <v>1017.2584926020647</v>
      </c>
      <c r="E434" s="6">
        <f t="shared" si="794"/>
        <v>5.5345169852041301E-6</v>
      </c>
      <c r="F434" s="8">
        <f t="shared" si="807"/>
        <v>27.587472664923745</v>
      </c>
      <c r="G434" s="7">
        <f t="shared" si="792"/>
        <v>1.3851199938233503E-2</v>
      </c>
      <c r="H434" s="9">
        <f t="shared" si="808"/>
        <v>0.430143819763734</v>
      </c>
      <c r="I434" s="4">
        <f t="shared" si="809"/>
        <v>1016.9338360389711</v>
      </c>
      <c r="J434" s="6">
        <f t="shared" si="795"/>
        <v>5.5338676720779424E-6</v>
      </c>
      <c r="K434" s="8">
        <f t="shared" si="810"/>
        <v>27.583739114448164</v>
      </c>
      <c r="L434" s="7">
        <f t="shared" si="796"/>
        <v>1.3849574906463363E-2</v>
      </c>
      <c r="M434" s="9">
        <f t="shared" si="811"/>
        <v>0.43020204115482913</v>
      </c>
      <c r="N434" s="4">
        <f t="shared" si="812"/>
        <v>1016.0277385925649</v>
      </c>
      <c r="O434" s="6">
        <f t="shared" si="797"/>
        <v>5.5320554771851302E-6</v>
      </c>
      <c r="P434" s="8">
        <f t="shared" si="798"/>
        <v>27.573318993814496</v>
      </c>
      <c r="Q434" s="7">
        <f t="shared" si="793"/>
        <v>1.3851199938233503E-2</v>
      </c>
      <c r="R434" s="9">
        <f t="shared" si="813"/>
        <v>0.4303646170553469</v>
      </c>
      <c r="S434" s="4">
        <f t="shared" si="814"/>
        <v>1014.5261178322568</v>
      </c>
      <c r="T434" s="6">
        <f t="shared" si="799"/>
        <v>5.5290522356645141E-6</v>
      </c>
      <c r="U434" s="8">
        <f t="shared" si="800"/>
        <v>27.556050355070951</v>
      </c>
      <c r="V434" s="7">
        <f t="shared" si="801"/>
        <v>1.3837523344831053E-2</v>
      </c>
      <c r="W434" s="9">
        <f t="shared" si="815"/>
        <v>0.43063431503470789</v>
      </c>
      <c r="X434" s="4">
        <f t="shared" si="816"/>
        <v>1012.4270148241513</v>
      </c>
      <c r="Y434" s="6">
        <f t="shared" si="802"/>
        <v>5.5248540296483032E-6</v>
      </c>
      <c r="Z434" s="8">
        <f t="shared" si="803"/>
        <v>27.531910670477739</v>
      </c>
      <c r="AA434" s="7">
        <f t="shared" si="804"/>
        <v>1.3827016521730158E-2</v>
      </c>
      <c r="AB434" s="9">
        <f t="shared" si="817"/>
        <v>0.43101189059291639</v>
      </c>
      <c r="AC434" s="4">
        <f t="shared" si="818"/>
        <v>1009.728967489557</v>
      </c>
      <c r="AD434" s="6">
        <f t="shared" si="819"/>
        <v>5.5194579349791145E-6</v>
      </c>
      <c r="AE434" s="8">
        <f t="shared" si="820"/>
        <v>27.500883126129906</v>
      </c>
      <c r="AF434" s="7">
        <f t="shared" si="821"/>
        <v>1.3813511750428819E-2</v>
      </c>
      <c r="AG434" s="9">
        <f t="shared" si="822"/>
        <v>0.43149817463290446</v>
      </c>
      <c r="AH434" s="4">
        <f t="shared" si="823"/>
        <v>1006.4316541001884</v>
      </c>
      <c r="AI434" s="6">
        <f t="shared" si="824"/>
        <v>5.5128633082003772E-6</v>
      </c>
      <c r="AJ434" s="8">
        <f t="shared" si="825"/>
        <v>27.462964022152164</v>
      </c>
      <c r="AK434" s="7">
        <f t="shared" si="826"/>
        <v>1.3797007420552425E-2</v>
      </c>
      <c r="AL434" s="9">
        <f t="shared" si="827"/>
        <v>0.43209395971046977</v>
      </c>
      <c r="AM434" s="4">
        <f t="shared" si="828"/>
        <v>1002.5349565529923</v>
      </c>
      <c r="AN434" s="6">
        <f t="shared" si="829"/>
        <v>5.5050699131059855E-6</v>
      </c>
      <c r="AO434" s="8">
        <f t="shared" si="830"/>
        <v>27.418152000359413</v>
      </c>
      <c r="AP434" s="7">
        <f t="shared" si="831"/>
        <v>1.377750294094948E-2</v>
      </c>
      <c r="AQ434" s="9">
        <f t="shared" si="832"/>
        <v>0.43280017083435618</v>
      </c>
      <c r="AR434" s="4">
        <f t="shared" si="833"/>
        <v>998.03877483103986</v>
      </c>
      <c r="AS434" s="6">
        <f t="shared" si="834"/>
        <v>5.4960775496620803E-6</v>
      </c>
      <c r="AT434" s="8">
        <f t="shared" si="835"/>
        <v>27.366445910556958</v>
      </c>
      <c r="AU434" s="7">
        <f t="shared" si="836"/>
        <v>1.3754997810996535E-2</v>
      </c>
      <c r="AV434" s="9">
        <f t="shared" si="837"/>
        <v>0.43361790232103953</v>
      </c>
      <c r="AW434" s="4">
        <f t="shared" si="838"/>
        <v>992.94269547430736</v>
      </c>
      <c r="AX434" s="6">
        <f t="shared" si="839"/>
        <v>5.4858853909486151E-6</v>
      </c>
      <c r="AY434" s="8">
        <f t="shared" si="840"/>
        <v>27.307840997954536</v>
      </c>
      <c r="AZ434" s="7">
        <f t="shared" si="841"/>
        <v>1.372948996116613E-2</v>
      </c>
      <c r="BA434" s="9">
        <f t="shared" si="842"/>
        <v>0.43454848263569251</v>
      </c>
      <c r="BB434" s="4">
        <f t="shared" si="843"/>
        <v>987.24458965838198</v>
      </c>
      <c r="BC434" s="6">
        <f t="shared" si="844"/>
        <v>5.4744891793167646E-6</v>
      </c>
      <c r="BD434" s="8">
        <f t="shared" si="845"/>
        <v>27.242312781071391</v>
      </c>
      <c r="BE434" s="7">
        <f t="shared" si="846"/>
        <v>1.3700968735868027E-2</v>
      </c>
      <c r="BF434" s="9">
        <f t="shared" si="847"/>
        <v>0.43559373850090594</v>
      </c>
      <c r="BG434" s="4">
        <f t="shared" si="848"/>
        <v>980.93429093426744</v>
      </c>
      <c r="BH434" s="6">
        <f t="shared" si="849"/>
        <v>5.4618685818685353E-6</v>
      </c>
      <c r="BI434" s="8">
        <f t="shared" si="850"/>
        <v>27.169744345744075</v>
      </c>
      <c r="BJ434" s="7">
        <f t="shared" si="851"/>
        <v>1.366938324808965E-2</v>
      </c>
      <c r="BK434" s="9">
        <f t="shared" si="852"/>
        <v>0.43675717808425768</v>
      </c>
      <c r="BL434" s="4">
        <f t="shared" si="853"/>
        <v>973.96765359980623</v>
      </c>
      <c r="BM434" s="6">
        <f t="shared" si="854"/>
        <v>5.4479353071996129E-6</v>
      </c>
      <c r="BN434" s="8">
        <f t="shared" si="855"/>
        <v>27.089628016397771</v>
      </c>
      <c r="BO434" s="7">
        <f t="shared" si="856"/>
        <v>1.363451253150327E-2</v>
      </c>
      <c r="BP434" s="9">
        <f t="shared" si="857"/>
        <v>0.43804886735745774</v>
      </c>
      <c r="BQ434" s="4">
        <f t="shared" si="858"/>
        <v>966.17221300532435</v>
      </c>
      <c r="BR434" s="6">
        <f t="shared" si="859"/>
        <v>5.4323444260106494E-6</v>
      </c>
      <c r="BS434" s="8">
        <f t="shared" si="860"/>
        <v>26.999980449561228</v>
      </c>
      <c r="BT434" s="7">
        <f t="shared" si="861"/>
        <v>1.3595493333777631E-2</v>
      </c>
      <c r="BU434" s="9">
        <f t="shared" si="862"/>
        <v>0.43950331341483401</v>
      </c>
      <c r="BV434" s="4">
        <f t="shared" si="863"/>
        <v>956.94959987689913</v>
      </c>
      <c r="BW434" s="6">
        <f t="shared" si="864"/>
        <v>5.4138991997537985E-6</v>
      </c>
      <c r="BX434" s="8">
        <f t="shared" si="865"/>
        <v>26.893920398584338</v>
      </c>
      <c r="BY434" s="7">
        <f t="shared" si="866"/>
        <v>1.3549330585072981E-2</v>
      </c>
      <c r="BZ434" s="9">
        <f t="shared" si="867"/>
        <v>0.44123655807141232</v>
      </c>
      <c r="CA434" s="4">
        <f t="shared" si="868"/>
        <v>944.48651313736707</v>
      </c>
      <c r="CB434" s="6">
        <f t="shared" si="869"/>
        <v>5.3889730262747349E-6</v>
      </c>
      <c r="CC434" s="8">
        <f t="shared" si="870"/>
        <v>26.750594901079722</v>
      </c>
      <c r="CD434" s="7">
        <f t="shared" si="871"/>
        <v>1.3486948011584345E-2</v>
      </c>
      <c r="CE434" s="9">
        <f t="shared" si="872"/>
        <v>0.44360063443818715</v>
      </c>
      <c r="CF434" s="4">
        <f t="shared" si="873"/>
        <v>924.08900325844422</v>
      </c>
      <c r="CG434" s="6">
        <f t="shared" si="874"/>
        <v>5.3481780065168891E-6</v>
      </c>
      <c r="CH434" s="8">
        <f t="shared" si="875"/>
        <v>26.516023537472108</v>
      </c>
      <c r="CI434" s="7">
        <f t="shared" si="876"/>
        <v>1.3384850578933811E-2</v>
      </c>
      <c r="CJ434" s="9">
        <f t="shared" si="877"/>
        <v>0.4475249033079261</v>
      </c>
      <c r="CK434" s="4">
        <f t="shared" si="878"/>
        <v>885.7005952589617</v>
      </c>
      <c r="CL434" s="6">
        <f t="shared" si="879"/>
        <v>5.2714011905179246E-6</v>
      </c>
      <c r="CM434" s="8">
        <f t="shared" si="880"/>
        <v>26.074556845478057</v>
      </c>
      <c r="CN434" s="7">
        <f t="shared" si="881"/>
        <v>1.3192701737062763E-2</v>
      </c>
      <c r="CO434" s="9">
        <f t="shared" si="882"/>
        <v>0.45510191947042977</v>
      </c>
      <c r="CP434" s="4">
        <f t="shared" si="883"/>
        <v>812.36471214827111</v>
      </c>
      <c r="CQ434" s="6">
        <f t="shared" si="884"/>
        <v>5.1247294242965423E-6</v>
      </c>
      <c r="CR434" s="8">
        <f t="shared" si="885"/>
        <v>25.231194189705118</v>
      </c>
      <c r="CS434" s="7">
        <f t="shared" si="886"/>
        <v>1.2825627254382993E-2</v>
      </c>
      <c r="CT434" s="9">
        <f t="shared" si="887"/>
        <v>0.47031388132075508</v>
      </c>
      <c r="CU434" s="4">
        <f t="shared" si="888"/>
        <v>683.9191438540845</v>
      </c>
      <c r="CV434" s="6">
        <f t="shared" si="889"/>
        <v>4.8678382877081694E-6</v>
      </c>
      <c r="CW434" s="8">
        <f t="shared" si="890"/>
        <v>27.099035914127882</v>
      </c>
      <c r="CX434" s="7">
        <f t="shared" si="891"/>
        <v>1.2182707464858783E-2</v>
      </c>
      <c r="CY434" s="9">
        <f t="shared" si="892"/>
        <v>0.43789679113755275</v>
      </c>
      <c r="CZ434" s="5">
        <f t="shared" si="893"/>
        <v>492.15110812913616</v>
      </c>
      <c r="DA434" s="6">
        <f t="shared" si="894"/>
        <v>7.3324349093252291E-6</v>
      </c>
      <c r="DB434" s="8">
        <f t="shared" si="895"/>
        <v>39.222617864255049</v>
      </c>
      <c r="DC434" s="7">
        <f t="shared" si="896"/>
        <v>1.8350837522888339E-2</v>
      </c>
      <c r="DD434" s="9">
        <f t="shared" si="897"/>
        <v>0.30254433579081247</v>
      </c>
    </row>
    <row r="435" spans="2:108" x14ac:dyDescent="0.25">
      <c r="B435">
        <v>168</v>
      </c>
      <c r="C435">
        <f t="shared" si="805"/>
        <v>0.16423926394600225</v>
      </c>
      <c r="D435" s="4">
        <f t="shared" si="806"/>
        <v>1017.2419172780093</v>
      </c>
      <c r="E435" s="6">
        <f t="shared" si="794"/>
        <v>5.5344838345560192E-6</v>
      </c>
      <c r="F435" s="8">
        <f t="shared" si="807"/>
        <v>27.587282048697105</v>
      </c>
      <c r="G435" s="7">
        <f t="shared" si="792"/>
        <v>1.3851116972320436E-2</v>
      </c>
      <c r="H435" s="9">
        <f t="shared" si="808"/>
        <v>0.43014679187210231</v>
      </c>
      <c r="I435" s="4">
        <f t="shared" si="809"/>
        <v>1016.917258774409</v>
      </c>
      <c r="J435" s="6">
        <f t="shared" si="795"/>
        <v>5.5338345175488181E-6</v>
      </c>
      <c r="K435" s="8">
        <f t="shared" si="810"/>
        <v>27.583548475905701</v>
      </c>
      <c r="L435" s="7">
        <f t="shared" si="796"/>
        <v>1.3849491930837307E-2</v>
      </c>
      <c r="M435" s="9">
        <f t="shared" si="811"/>
        <v>0.43020501441587133</v>
      </c>
      <c r="N435" s="4">
        <f t="shared" si="812"/>
        <v>1016.0111544787654</v>
      </c>
      <c r="O435" s="6">
        <f t="shared" si="797"/>
        <v>5.5320223089575315E-6</v>
      </c>
      <c r="P435" s="8">
        <f t="shared" si="798"/>
        <v>27.573128276505802</v>
      </c>
      <c r="Q435" s="7">
        <f t="shared" si="793"/>
        <v>1.3851116972320436E-2</v>
      </c>
      <c r="R435" s="9">
        <f t="shared" si="813"/>
        <v>0.43036759379344852</v>
      </c>
      <c r="S435" s="4">
        <f t="shared" si="814"/>
        <v>1014.5095296947368</v>
      </c>
      <c r="T435" s="6">
        <f t="shared" si="799"/>
        <v>5.5290190593894739E-6</v>
      </c>
      <c r="U435" s="8">
        <f t="shared" si="800"/>
        <v>27.555859591489472</v>
      </c>
      <c r="V435" s="7">
        <f t="shared" si="801"/>
        <v>1.3837440314781636E-2</v>
      </c>
      <c r="W435" s="9">
        <f t="shared" si="815"/>
        <v>0.43063729622801711</v>
      </c>
      <c r="X435" s="4">
        <f t="shared" si="816"/>
        <v>1012.4104294325881</v>
      </c>
      <c r="Y435" s="6">
        <f t="shared" si="802"/>
        <v>5.5248208588651765E-6</v>
      </c>
      <c r="Z435" s="8">
        <f t="shared" si="803"/>
        <v>27.531719938474762</v>
      </c>
      <c r="AA435" s="7">
        <f t="shared" si="804"/>
        <v>1.3826933505425319E-2</v>
      </c>
      <c r="AB435" s="9">
        <f t="shared" si="817"/>
        <v>0.43101487652192422</v>
      </c>
      <c r="AC435" s="4">
        <f t="shared" si="818"/>
        <v>1009.7123917322584</v>
      </c>
      <c r="AD435" s="6">
        <f t="shared" si="819"/>
        <v>5.5194247834645178E-6</v>
      </c>
      <c r="AE435" s="8">
        <f t="shared" si="820"/>
        <v>27.50069250492097</v>
      </c>
      <c r="AF435" s="7">
        <f t="shared" si="821"/>
        <v>1.3813428782347204E-2</v>
      </c>
      <c r="AG435" s="9">
        <f t="shared" si="822"/>
        <v>0.43150116556499418</v>
      </c>
      <c r="AH435" s="4">
        <f t="shared" si="823"/>
        <v>1006.4150933866667</v>
      </c>
      <c r="AI435" s="6">
        <f t="shared" si="824"/>
        <v>5.5128301867733343E-6</v>
      </c>
      <c r="AJ435" s="8">
        <f t="shared" si="825"/>
        <v>27.462773573946667</v>
      </c>
      <c r="AK435" s="7">
        <f t="shared" si="826"/>
        <v>1.3796924527770735E-2</v>
      </c>
      <c r="AL435" s="9">
        <f t="shared" si="827"/>
        <v>0.43209695618564414</v>
      </c>
      <c r="AM435" s="4">
        <f t="shared" si="828"/>
        <v>1002.5184143778027</v>
      </c>
      <c r="AN435" s="6">
        <f t="shared" si="829"/>
        <v>5.5050368287556067E-6</v>
      </c>
      <c r="AO435" s="8">
        <f t="shared" si="830"/>
        <v>27.417961765344728</v>
      </c>
      <c r="AP435" s="7">
        <f t="shared" si="831"/>
        <v>1.3777420140959317E-2</v>
      </c>
      <c r="AQ435" s="9">
        <f t="shared" si="832"/>
        <v>0.43280317374710214</v>
      </c>
      <c r="AR435" s="4">
        <f t="shared" si="833"/>
        <v>998.02225000109752</v>
      </c>
      <c r="AS435" s="6">
        <f t="shared" si="834"/>
        <v>5.4960445000021951E-6</v>
      </c>
      <c r="AT435" s="8">
        <f t="shared" si="835"/>
        <v>27.366255875012619</v>
      </c>
      <c r="AU435" s="7">
        <f t="shared" si="836"/>
        <v>1.3754915097826049E-2</v>
      </c>
      <c r="AV435" s="9">
        <f t="shared" si="837"/>
        <v>0.43362091343130899</v>
      </c>
      <c r="AW435" s="4">
        <f t="shared" si="838"/>
        <v>992.92616614588565</v>
      </c>
      <c r="AX435" s="6">
        <f t="shared" si="839"/>
        <v>5.4858523322917712E-6</v>
      </c>
      <c r="AY435" s="8">
        <f t="shared" si="840"/>
        <v>27.307650910677683</v>
      </c>
      <c r="AZ435" s="7">
        <f t="shared" si="841"/>
        <v>1.3729407225479013E-2</v>
      </c>
      <c r="BA435" s="9">
        <f t="shared" si="842"/>
        <v>0.43455150750729332</v>
      </c>
      <c r="BB435" s="4">
        <f t="shared" si="843"/>
        <v>987.22794119884202</v>
      </c>
      <c r="BC435" s="6">
        <f t="shared" si="844"/>
        <v>5.4744558823976842E-6</v>
      </c>
      <c r="BD435" s="8">
        <f t="shared" si="845"/>
        <v>27.242121323786684</v>
      </c>
      <c r="BE435" s="7">
        <f t="shared" si="846"/>
        <v>1.3700885403883548E-2</v>
      </c>
      <c r="BF435" s="9">
        <f t="shared" si="847"/>
        <v>0.43559679984820032</v>
      </c>
      <c r="BG435" s="4">
        <f t="shared" si="848"/>
        <v>980.91703006966031</v>
      </c>
      <c r="BH435" s="6">
        <f t="shared" si="849"/>
        <v>5.4618340601393211E-6</v>
      </c>
      <c r="BI435" s="8">
        <f t="shared" si="850"/>
        <v>27.169545845801093</v>
      </c>
      <c r="BJ435" s="7">
        <f t="shared" si="851"/>
        <v>1.3669296850780754E-2</v>
      </c>
      <c r="BK435" s="9">
        <f t="shared" si="852"/>
        <v>0.43676036902000021</v>
      </c>
      <c r="BL435" s="4">
        <f t="shared" si="853"/>
        <v>973.94791664095806</v>
      </c>
      <c r="BM435" s="6">
        <f t="shared" si="854"/>
        <v>5.4478958332819167E-6</v>
      </c>
      <c r="BN435" s="8">
        <f t="shared" si="855"/>
        <v>27.089401041371019</v>
      </c>
      <c r="BO435" s="7">
        <f t="shared" si="856"/>
        <v>1.3634413740384221E-2</v>
      </c>
      <c r="BP435" s="9">
        <f t="shared" si="857"/>
        <v>0.43805253765467972</v>
      </c>
      <c r="BQ435" s="4">
        <f t="shared" si="858"/>
        <v>966.14383006815171</v>
      </c>
      <c r="BR435" s="6">
        <f t="shared" si="859"/>
        <v>5.4322876601363039E-6</v>
      </c>
      <c r="BS435" s="8">
        <f t="shared" si="860"/>
        <v>26.999654045783743</v>
      </c>
      <c r="BT435" s="7">
        <f t="shared" si="861"/>
        <v>1.3595351266190284E-2</v>
      </c>
      <c r="BU435" s="9">
        <f t="shared" si="862"/>
        <v>0.43950862665112483</v>
      </c>
      <c r="BV435" s="4">
        <f t="shared" si="863"/>
        <v>956.89501504606028</v>
      </c>
      <c r="BW435" s="6">
        <f t="shared" si="864"/>
        <v>5.413790030092121E-6</v>
      </c>
      <c r="BX435" s="8">
        <f t="shared" si="865"/>
        <v>26.893292673029691</v>
      </c>
      <c r="BY435" s="7">
        <f t="shared" si="866"/>
        <v>1.3549057366865298E-2</v>
      </c>
      <c r="BZ435" s="9">
        <f t="shared" si="867"/>
        <v>0.44124685712502815</v>
      </c>
      <c r="CA435" s="4">
        <f t="shared" si="868"/>
        <v>944.36416817945542</v>
      </c>
      <c r="CB435" s="6">
        <f t="shared" si="869"/>
        <v>5.3887283363589108E-6</v>
      </c>
      <c r="CC435" s="8">
        <f t="shared" si="870"/>
        <v>26.749187934063734</v>
      </c>
      <c r="CD435" s="7">
        <f t="shared" si="871"/>
        <v>1.3486335627711277E-2</v>
      </c>
      <c r="CE435" s="9">
        <f t="shared" si="872"/>
        <v>0.44362396716374369</v>
      </c>
      <c r="CF435" s="4">
        <f t="shared" si="873"/>
        <v>923.82159676131232</v>
      </c>
      <c r="CG435" s="6">
        <f t="shared" si="874"/>
        <v>5.347643193522625E-6</v>
      </c>
      <c r="CH435" s="8">
        <f t="shared" si="875"/>
        <v>26.51294836275509</v>
      </c>
      <c r="CI435" s="7">
        <f t="shared" si="876"/>
        <v>1.3383512105904834E-2</v>
      </c>
      <c r="CJ435" s="9">
        <f t="shared" si="877"/>
        <v>0.44757681067217164</v>
      </c>
      <c r="CK435" s="4">
        <f t="shared" si="878"/>
        <v>885.1888969673696</v>
      </c>
      <c r="CL435" s="6">
        <f t="shared" si="879"/>
        <v>5.2703777939347396E-6</v>
      </c>
      <c r="CM435" s="8">
        <f t="shared" si="880"/>
        <v>26.068672315124751</v>
      </c>
      <c r="CN435" s="7">
        <f t="shared" si="881"/>
        <v>1.3190140489039187E-2</v>
      </c>
      <c r="CO435" s="9">
        <f t="shared" si="882"/>
        <v>0.45520465048129982</v>
      </c>
      <c r="CP435" s="4">
        <f t="shared" si="883"/>
        <v>811.56387638916874</v>
      </c>
      <c r="CQ435" s="6">
        <f t="shared" si="884"/>
        <v>5.1231277527783377E-6</v>
      </c>
      <c r="CR435" s="8">
        <f t="shared" si="885"/>
        <v>25.221984578475439</v>
      </c>
      <c r="CS435" s="7">
        <f t="shared" si="886"/>
        <v>1.2821618761411821E-2</v>
      </c>
      <c r="CT435" s="9">
        <f t="shared" si="887"/>
        <v>0.47048561277152212</v>
      </c>
      <c r="CU435" s="4">
        <f t="shared" si="888"/>
        <v>682.99920371889345</v>
      </c>
      <c r="CV435" s="6">
        <f t="shared" si="889"/>
        <v>4.8659984074377876E-6</v>
      </c>
      <c r="CW435" s="8">
        <f t="shared" si="890"/>
        <v>27.28375989327418</v>
      </c>
      <c r="CX435" s="7">
        <f t="shared" si="891"/>
        <v>1.2178102808380973E-2</v>
      </c>
      <c r="CY435" s="9">
        <f t="shared" si="892"/>
        <v>0.43493202242419576</v>
      </c>
      <c r="CZ435" s="5">
        <f t="shared" si="893"/>
        <v>491.86447205522188</v>
      </c>
      <c r="DA435" s="6">
        <f t="shared" si="894"/>
        <v>7.3367126229697865E-6</v>
      </c>
      <c r="DB435" s="8">
        <f t="shared" si="895"/>
        <v>39.230930310398563</v>
      </c>
      <c r="DC435" s="7">
        <f t="shared" si="896"/>
        <v>1.836154332921754E-2</v>
      </c>
      <c r="DD435" s="9">
        <f t="shared" si="897"/>
        <v>0.30248023118056261</v>
      </c>
    </row>
    <row r="436" spans="2:108" x14ac:dyDescent="0.25">
      <c r="B436">
        <v>169</v>
      </c>
      <c r="C436">
        <f t="shared" si="805"/>
        <v>0.16521687861234749</v>
      </c>
      <c r="D436" s="4">
        <f t="shared" si="806"/>
        <v>1017.2253418548814</v>
      </c>
      <c r="E436" s="6">
        <f t="shared" si="794"/>
        <v>5.5344506837097628E-6</v>
      </c>
      <c r="F436" s="8">
        <f t="shared" si="807"/>
        <v>27.587091431331135</v>
      </c>
      <c r="G436" s="7">
        <f t="shared" si="792"/>
        <v>1.3851034005911471E-2</v>
      </c>
      <c r="H436" s="9">
        <f t="shared" si="808"/>
        <v>0.43014976403930782</v>
      </c>
      <c r="I436" s="4">
        <f t="shared" si="809"/>
        <v>1016.9006814802781</v>
      </c>
      <c r="J436" s="6">
        <f t="shared" si="795"/>
        <v>5.5338013629605565E-6</v>
      </c>
      <c r="K436" s="8">
        <f t="shared" si="810"/>
        <v>27.583357837023197</v>
      </c>
      <c r="L436" s="7">
        <f t="shared" si="796"/>
        <v>1.384940895506325E-2</v>
      </c>
      <c r="M436" s="9">
        <f t="shared" si="811"/>
        <v>0.43020798772331564</v>
      </c>
      <c r="N436" s="4">
        <f t="shared" si="812"/>
        <v>1015.9945704658113</v>
      </c>
      <c r="O436" s="6">
        <f t="shared" si="797"/>
        <v>5.5319891409316233E-6</v>
      </c>
      <c r="P436" s="8">
        <f t="shared" si="798"/>
        <v>27.572937560356827</v>
      </c>
      <c r="Q436" s="7">
        <f t="shared" si="793"/>
        <v>1.3851034005911471E-2</v>
      </c>
      <c r="R436" s="9">
        <f t="shared" si="813"/>
        <v>0.43037057055462791</v>
      </c>
      <c r="S436" s="4">
        <f t="shared" si="814"/>
        <v>1014.4929417473949</v>
      </c>
      <c r="T436" s="6">
        <f t="shared" si="799"/>
        <v>5.5289858834947897E-6</v>
      </c>
      <c r="U436" s="8">
        <f t="shared" si="800"/>
        <v>27.555668830095041</v>
      </c>
      <c r="V436" s="7">
        <f t="shared" si="801"/>
        <v>1.3837357285684132E-2</v>
      </c>
      <c r="W436" s="9">
        <f t="shared" si="815"/>
        <v>0.43064027742842381</v>
      </c>
      <c r="X436" s="4">
        <f t="shared" si="816"/>
        <v>1012.3938442572722</v>
      </c>
      <c r="Y436" s="6">
        <f t="shared" si="802"/>
        <v>5.5247876885145448E-6</v>
      </c>
      <c r="Z436" s="8">
        <f t="shared" si="803"/>
        <v>27.531529208958631</v>
      </c>
      <c r="AA436" s="7">
        <f t="shared" si="804"/>
        <v>1.3826850490202878E-2</v>
      </c>
      <c r="AB436" s="9">
        <f t="shared" si="817"/>
        <v>0.43101786245337104</v>
      </c>
      <c r="AC436" s="4">
        <f t="shared" si="818"/>
        <v>1009.6958161833971</v>
      </c>
      <c r="AD436" s="6">
        <f t="shared" si="819"/>
        <v>5.5193916323667951E-6</v>
      </c>
      <c r="AE436" s="8">
        <f t="shared" si="820"/>
        <v>27.500501886109067</v>
      </c>
      <c r="AF436" s="7">
        <f t="shared" si="821"/>
        <v>1.3813345815308894E-2</v>
      </c>
      <c r="AG436" s="9">
        <f t="shared" si="822"/>
        <v>0.43150415650093621</v>
      </c>
      <c r="AH436" s="4">
        <f t="shared" si="823"/>
        <v>1006.3985328595412</v>
      </c>
      <c r="AI436" s="6">
        <f t="shared" si="824"/>
        <v>5.5127970657190825E-6</v>
      </c>
      <c r="AJ436" s="8">
        <f t="shared" si="825"/>
        <v>27.462583127884724</v>
      </c>
      <c r="AK436" s="7">
        <f t="shared" si="826"/>
        <v>1.3796841635922028E-2</v>
      </c>
      <c r="AL436" s="9">
        <f t="shared" si="827"/>
        <v>0.43209995266865159</v>
      </c>
      <c r="AM436" s="4">
        <f t="shared" si="828"/>
        <v>1002.5018723209006</v>
      </c>
      <c r="AN436" s="6">
        <f t="shared" si="829"/>
        <v>5.5050037446418018E-6</v>
      </c>
      <c r="AO436" s="8">
        <f t="shared" si="830"/>
        <v>27.417771531690356</v>
      </c>
      <c r="AP436" s="7">
        <f t="shared" si="831"/>
        <v>1.3777337341561228E-2</v>
      </c>
      <c r="AQ436" s="9">
        <f t="shared" si="832"/>
        <v>0.43280617668004551</v>
      </c>
      <c r="AR436" s="4">
        <f t="shared" si="833"/>
        <v>998.00572498057966</v>
      </c>
      <c r="AS436" s="6">
        <f t="shared" si="834"/>
        <v>5.4960114499611604E-6</v>
      </c>
      <c r="AT436" s="8">
        <f t="shared" si="835"/>
        <v>27.366065837276665</v>
      </c>
      <c r="AU436" s="7">
        <f t="shared" si="836"/>
        <v>1.3754832383701661E-2</v>
      </c>
      <c r="AV436" s="9">
        <f t="shared" si="837"/>
        <v>0.43362392461812488</v>
      </c>
      <c r="AW436" s="4">
        <f t="shared" si="838"/>
        <v>992.90963524563654</v>
      </c>
      <c r="AX436" s="6">
        <f t="shared" si="839"/>
        <v>5.4858192704912739E-6</v>
      </c>
      <c r="AY436" s="8">
        <f t="shared" si="840"/>
        <v>27.307460805324819</v>
      </c>
      <c r="AZ436" s="7">
        <f t="shared" si="841"/>
        <v>1.3729324481924293E-2</v>
      </c>
      <c r="BA436" s="9">
        <f t="shared" si="842"/>
        <v>0.43455453270865718</v>
      </c>
      <c r="BB436" s="4">
        <f t="shared" si="843"/>
        <v>987.21128556514498</v>
      </c>
      <c r="BC436" s="6">
        <f t="shared" si="844"/>
        <v>5.4744225711302909E-6</v>
      </c>
      <c r="BD436" s="8">
        <f t="shared" si="845"/>
        <v>27.241929783999169</v>
      </c>
      <c r="BE436" s="7">
        <f t="shared" si="846"/>
        <v>1.370080203598964E-2</v>
      </c>
      <c r="BF436" s="9">
        <f t="shared" si="847"/>
        <v>0.43559986255774941</v>
      </c>
      <c r="BG436" s="4">
        <f t="shared" si="848"/>
        <v>980.89974185264123</v>
      </c>
      <c r="BH436" s="6">
        <f t="shared" si="849"/>
        <v>5.4617994837052836E-6</v>
      </c>
      <c r="BI436" s="8">
        <f t="shared" si="850"/>
        <v>27.169347031305371</v>
      </c>
      <c r="BJ436" s="7">
        <f t="shared" si="851"/>
        <v>1.3669210316562449E-2</v>
      </c>
      <c r="BK436" s="9">
        <f t="shared" si="852"/>
        <v>0.43676356505899289</v>
      </c>
      <c r="BL436" s="4">
        <f t="shared" si="853"/>
        <v>973.92808913503143</v>
      </c>
      <c r="BM436" s="6">
        <f t="shared" si="854"/>
        <v>5.4478561782700638E-6</v>
      </c>
      <c r="BN436" s="8">
        <f t="shared" si="855"/>
        <v>27.089173025052858</v>
      </c>
      <c r="BO436" s="7">
        <f t="shared" si="856"/>
        <v>1.3634314496041997E-2</v>
      </c>
      <c r="BP436" s="9">
        <f t="shared" si="857"/>
        <v>0.43805622485202256</v>
      </c>
      <c r="BQ436" s="4">
        <f t="shared" si="858"/>
        <v>966.11518970059683</v>
      </c>
      <c r="BR436" s="6">
        <f t="shared" si="859"/>
        <v>5.4322303794011942E-6</v>
      </c>
      <c r="BS436" s="8">
        <f t="shared" si="860"/>
        <v>26.999324681556864</v>
      </c>
      <c r="BT436" s="7">
        <f t="shared" si="861"/>
        <v>1.3595207910064223E-2</v>
      </c>
      <c r="BU436" s="9">
        <f t="shared" si="862"/>
        <v>0.43951398820815379</v>
      </c>
      <c r="BV436" s="4">
        <f t="shared" si="863"/>
        <v>956.83982017535277</v>
      </c>
      <c r="BW436" s="6">
        <f t="shared" si="864"/>
        <v>5.4136796403507066E-6</v>
      </c>
      <c r="BX436" s="8">
        <f t="shared" si="865"/>
        <v>26.892657932016554</v>
      </c>
      <c r="BY436" s="7">
        <f t="shared" si="866"/>
        <v>1.3548781095171934E-2</v>
      </c>
      <c r="BZ436" s="9">
        <f t="shared" si="867"/>
        <v>0.4412572717697183</v>
      </c>
      <c r="CA436" s="4">
        <f t="shared" si="868"/>
        <v>944.24068226049815</v>
      </c>
      <c r="CB436" s="6">
        <f t="shared" si="869"/>
        <v>5.3884813645209972E-6</v>
      </c>
      <c r="CC436" s="8">
        <f t="shared" si="870"/>
        <v>26.747767845995728</v>
      </c>
      <c r="CD436" s="7">
        <f t="shared" si="871"/>
        <v>1.3485717532886526E-2</v>
      </c>
      <c r="CE436" s="9">
        <f t="shared" si="872"/>
        <v>0.4436475199740596</v>
      </c>
      <c r="CF436" s="4">
        <f t="shared" si="873"/>
        <v>923.5527002438871</v>
      </c>
      <c r="CG436" s="6">
        <f t="shared" si="874"/>
        <v>5.3471054004877751E-6</v>
      </c>
      <c r="CH436" s="8">
        <f t="shared" si="875"/>
        <v>26.5098560528047</v>
      </c>
      <c r="CI436" s="7">
        <f t="shared" si="876"/>
        <v>1.3382166174747516E-2</v>
      </c>
      <c r="CJ436" s="9">
        <f t="shared" si="877"/>
        <v>0.44762901941379774</v>
      </c>
      <c r="CK436" s="4">
        <f t="shared" si="878"/>
        <v>884.6764400490764</v>
      </c>
      <c r="CL436" s="6">
        <f t="shared" si="879"/>
        <v>5.2693528800981534E-6</v>
      </c>
      <c r="CM436" s="8">
        <f t="shared" si="880"/>
        <v>26.062779060564377</v>
      </c>
      <c r="CN436" s="7">
        <f t="shared" si="881"/>
        <v>1.3187575443795318E-2</v>
      </c>
      <c r="CO436" s="9">
        <f t="shared" si="882"/>
        <v>0.45530758029074636</v>
      </c>
      <c r="CP436" s="4">
        <f t="shared" si="883"/>
        <v>810.76528914252447</v>
      </c>
      <c r="CQ436" s="6">
        <f t="shared" si="884"/>
        <v>5.1215305782850492E-6</v>
      </c>
      <c r="CR436" s="8">
        <f t="shared" si="885"/>
        <v>25.212800825139031</v>
      </c>
      <c r="CS436" s="7">
        <f t="shared" si="886"/>
        <v>1.281762152311588E-2</v>
      </c>
      <c r="CT436" s="9">
        <f t="shared" si="887"/>
        <v>0.4706569869812337</v>
      </c>
      <c r="CU436" s="4">
        <f t="shared" si="888"/>
        <v>682.08936791124972</v>
      </c>
      <c r="CV436" s="6">
        <f t="shared" si="889"/>
        <v>4.8641787358224999E-6</v>
      </c>
      <c r="CW436" s="8">
        <f t="shared" si="890"/>
        <v>27.466454923448964</v>
      </c>
      <c r="CX436" s="7">
        <f t="shared" si="891"/>
        <v>1.2173548727973837E-2</v>
      </c>
      <c r="CY436" s="9">
        <f t="shared" si="892"/>
        <v>0.43203904190733516</v>
      </c>
      <c r="CZ436" s="5">
        <f t="shared" si="893"/>
        <v>491.5985064675757</v>
      </c>
      <c r="DA436" s="6">
        <f t="shared" si="894"/>
        <v>7.3406811884549675E-6</v>
      </c>
      <c r="DB436" s="8">
        <f t="shared" si="895"/>
        <v>39.238643312440303</v>
      </c>
      <c r="DC436" s="7">
        <f t="shared" si="896"/>
        <v>1.8371475432443565E-2</v>
      </c>
      <c r="DD436" s="9">
        <f t="shared" si="897"/>
        <v>0.30242077370589654</v>
      </c>
    </row>
    <row r="437" spans="2:108" x14ac:dyDescent="0.25">
      <c r="B437">
        <v>170</v>
      </c>
      <c r="C437">
        <f t="shared" si="805"/>
        <v>0.16619449327869273</v>
      </c>
      <c r="D437" s="4">
        <f t="shared" si="806"/>
        <v>1017.2087663362296</v>
      </c>
      <c r="E437" s="6">
        <f t="shared" si="794"/>
        <v>5.5344175326724599E-6</v>
      </c>
      <c r="F437" s="8">
        <f t="shared" si="807"/>
        <v>27.586900812866638</v>
      </c>
      <c r="G437" s="7">
        <f t="shared" si="792"/>
        <v>1.3850951039024376E-2</v>
      </c>
      <c r="H437" s="9">
        <f t="shared" si="808"/>
        <v>0.43015273626471584</v>
      </c>
      <c r="I437" s="4">
        <f t="shared" si="809"/>
        <v>1016.8841041588086</v>
      </c>
      <c r="J437" s="6">
        <f t="shared" si="795"/>
        <v>5.5337682083176172E-6</v>
      </c>
      <c r="K437" s="8">
        <f t="shared" si="810"/>
        <v>27.583167197826299</v>
      </c>
      <c r="L437" s="7">
        <f t="shared" si="796"/>
        <v>1.3849325979152352E-2</v>
      </c>
      <c r="M437" s="9">
        <f t="shared" si="811"/>
        <v>0.4302109610767631</v>
      </c>
      <c r="N437" s="4">
        <f t="shared" si="812"/>
        <v>1015.9779865538945</v>
      </c>
      <c r="O437" s="6">
        <f t="shared" si="797"/>
        <v>5.53195597310779E-6</v>
      </c>
      <c r="P437" s="8">
        <f t="shared" si="798"/>
        <v>27.572746845369785</v>
      </c>
      <c r="Q437" s="7">
        <f t="shared" si="793"/>
        <v>1.3850951039024376E-2</v>
      </c>
      <c r="R437" s="9">
        <f t="shared" si="813"/>
        <v>0.43037354733885064</v>
      </c>
      <c r="S437" s="4">
        <f t="shared" si="814"/>
        <v>1014.4763539896207</v>
      </c>
      <c r="T437" s="6">
        <f t="shared" si="799"/>
        <v>5.5289527079792417E-6</v>
      </c>
      <c r="U437" s="8">
        <f t="shared" si="800"/>
        <v>27.555478070880639</v>
      </c>
      <c r="V437" s="7">
        <f t="shared" si="801"/>
        <v>1.3837274257535488E-2</v>
      </c>
      <c r="W437" s="9">
        <f t="shared" si="815"/>
        <v>0.43064325863603703</v>
      </c>
      <c r="X437" s="4">
        <f t="shared" si="816"/>
        <v>1012.377259297764</v>
      </c>
      <c r="Y437" s="6">
        <f t="shared" si="802"/>
        <v>5.524754518595529E-6</v>
      </c>
      <c r="Z437" s="8">
        <f t="shared" si="803"/>
        <v>27.531338481924287</v>
      </c>
      <c r="AA437" s="7">
        <f t="shared" si="804"/>
        <v>1.3826767476060643E-2</v>
      </c>
      <c r="AB437" s="9">
        <f t="shared" si="817"/>
        <v>0.43102084838733529</v>
      </c>
      <c r="AC437" s="4">
        <f t="shared" si="818"/>
        <v>1009.6792408427325</v>
      </c>
      <c r="AD437" s="6">
        <f t="shared" si="819"/>
        <v>5.5193584816854653E-6</v>
      </c>
      <c r="AE437" s="8">
        <f t="shared" si="820"/>
        <v>27.500311269691423</v>
      </c>
      <c r="AF437" s="7">
        <f t="shared" si="821"/>
        <v>1.3813262849312691E-2</v>
      </c>
      <c r="AG437" s="9">
        <f t="shared" si="822"/>
        <v>0.4315071474407734</v>
      </c>
      <c r="AH437" s="4">
        <f t="shared" si="823"/>
        <v>1006.3819725180695</v>
      </c>
      <c r="AI437" s="6">
        <f t="shared" si="824"/>
        <v>5.5127639450361395E-6</v>
      </c>
      <c r="AJ437" s="8">
        <f t="shared" si="825"/>
        <v>27.462392683957798</v>
      </c>
      <c r="AK437" s="7">
        <f t="shared" si="826"/>
        <v>1.3796758745002592E-2</v>
      </c>
      <c r="AL437" s="9">
        <f t="shared" si="827"/>
        <v>0.43210294915962588</v>
      </c>
      <c r="AM437" s="4">
        <f t="shared" si="828"/>
        <v>1002.4853303785914</v>
      </c>
      <c r="AN437" s="6">
        <f t="shared" si="829"/>
        <v>5.5049706607571828E-6</v>
      </c>
      <c r="AO437" s="8">
        <f t="shared" si="830"/>
        <v>27.417581299353799</v>
      </c>
      <c r="AP437" s="7">
        <f t="shared" si="831"/>
        <v>1.3777254542736719E-2</v>
      </c>
      <c r="AQ437" s="9">
        <f t="shared" si="832"/>
        <v>0.43280917963385707</v>
      </c>
      <c r="AR437" s="4">
        <f t="shared" si="833"/>
        <v>997.98919975325919</v>
      </c>
      <c r="AS437" s="6">
        <f t="shared" si="834"/>
        <v>5.4959783995065186E-6</v>
      </c>
      <c r="AT437" s="8">
        <f t="shared" si="835"/>
        <v>27.365875797162481</v>
      </c>
      <c r="AU437" s="7">
        <f t="shared" si="836"/>
        <v>1.375474966854214E-2</v>
      </c>
      <c r="AV437" s="9">
        <f t="shared" si="837"/>
        <v>0.4336269358844464</v>
      </c>
      <c r="AW437" s="4">
        <f t="shared" si="838"/>
        <v>992.89310271018508</v>
      </c>
      <c r="AX437" s="6">
        <f t="shared" si="839"/>
        <v>5.4857862054203705E-6</v>
      </c>
      <c r="AY437" s="8">
        <f t="shared" si="840"/>
        <v>27.307270681167125</v>
      </c>
      <c r="AZ437" s="7">
        <f t="shared" si="841"/>
        <v>1.3729241730184751E-2</v>
      </c>
      <c r="BA437" s="9">
        <f t="shared" si="842"/>
        <v>0.43455755825139519</v>
      </c>
      <c r="BB437" s="4">
        <f t="shared" si="843"/>
        <v>987.19462253957465</v>
      </c>
      <c r="BC437" s="6">
        <f t="shared" si="844"/>
        <v>5.4743892450791496E-6</v>
      </c>
      <c r="BD437" s="8">
        <f t="shared" si="845"/>
        <v>27.241738159205106</v>
      </c>
      <c r="BE437" s="7">
        <f t="shared" si="846"/>
        <v>1.370071863109654E-2</v>
      </c>
      <c r="BF437" s="9">
        <f t="shared" si="847"/>
        <v>0.43560292666964523</v>
      </c>
      <c r="BG437" s="4">
        <f t="shared" si="848"/>
        <v>980.88242564231416</v>
      </c>
      <c r="BH437" s="6">
        <f t="shared" si="849"/>
        <v>5.4617648512846281E-6</v>
      </c>
      <c r="BI437" s="8">
        <f t="shared" si="850"/>
        <v>27.169147894886613</v>
      </c>
      <c r="BJ437" s="7">
        <f t="shared" si="851"/>
        <v>1.36691236422268E-2</v>
      </c>
      <c r="BK437" s="9">
        <f t="shared" si="852"/>
        <v>0.43676676631994249</v>
      </c>
      <c r="BL437" s="4">
        <f t="shared" si="853"/>
        <v>973.90816953500553</v>
      </c>
      <c r="BM437" s="6">
        <f t="shared" si="854"/>
        <v>5.4478163390700113E-6</v>
      </c>
      <c r="BN437" s="8">
        <f t="shared" si="855"/>
        <v>27.088943949652563</v>
      </c>
      <c r="BO437" s="7">
        <f t="shared" si="856"/>
        <v>1.3634214790733153E-2</v>
      </c>
      <c r="BP437" s="9">
        <f t="shared" si="857"/>
        <v>0.438059929238035</v>
      </c>
      <c r="BQ437" s="4">
        <f t="shared" si="858"/>
        <v>966.08628910273842</v>
      </c>
      <c r="BR437" s="6">
        <f t="shared" si="859"/>
        <v>5.4321725782054772E-6</v>
      </c>
      <c r="BS437" s="8">
        <f t="shared" si="860"/>
        <v>26.998992324681492</v>
      </c>
      <c r="BT437" s="7">
        <f t="shared" si="861"/>
        <v>1.3595063251384759E-2</v>
      </c>
      <c r="BU437" s="9">
        <f t="shared" si="862"/>
        <v>0.43951939861362543</v>
      </c>
      <c r="BV437" s="4">
        <f t="shared" si="863"/>
        <v>956.78401242985444</v>
      </c>
      <c r="BW437" s="6">
        <f t="shared" si="864"/>
        <v>5.413568024859709E-6</v>
      </c>
      <c r="BX437" s="8">
        <f t="shared" si="865"/>
        <v>26.892016142943326</v>
      </c>
      <c r="BY437" s="7">
        <f t="shared" si="866"/>
        <v>1.3548501755802998E-2</v>
      </c>
      <c r="BZ437" s="9">
        <f t="shared" si="867"/>
        <v>0.44126780255677411</v>
      </c>
      <c r="CA437" s="4">
        <f t="shared" si="868"/>
        <v>944.11605752188848</v>
      </c>
      <c r="CB437" s="6">
        <f t="shared" si="869"/>
        <v>5.3882321150437773E-6</v>
      </c>
      <c r="CC437" s="8">
        <f t="shared" si="870"/>
        <v>26.746334661501717</v>
      </c>
      <c r="CD437" s="7">
        <f t="shared" si="871"/>
        <v>1.3485093737828583E-2</v>
      </c>
      <c r="CE437" s="9">
        <f t="shared" si="872"/>
        <v>0.44367129253035487</v>
      </c>
      <c r="CF437" s="4">
        <f t="shared" si="873"/>
        <v>923.28232868929797</v>
      </c>
      <c r="CG437" s="6">
        <f t="shared" si="874"/>
        <v>5.3465646573785972E-6</v>
      </c>
      <c r="CH437" s="8">
        <f t="shared" si="875"/>
        <v>26.506746779926928</v>
      </c>
      <c r="CI437" s="7">
        <f t="shared" si="876"/>
        <v>1.3380812860458217E-2</v>
      </c>
      <c r="CJ437" s="9">
        <f t="shared" si="877"/>
        <v>0.44768152682939732</v>
      </c>
      <c r="CK437" s="4">
        <f t="shared" si="878"/>
        <v>884.16325687284768</v>
      </c>
      <c r="CL437" s="6">
        <f t="shared" si="879"/>
        <v>5.2683265137456956E-6</v>
      </c>
      <c r="CM437" s="8">
        <f t="shared" si="880"/>
        <v>26.056877454037746</v>
      </c>
      <c r="CN437" s="7">
        <f t="shared" si="881"/>
        <v>1.318500676334935E-2</v>
      </c>
      <c r="CO437" s="9">
        <f t="shared" si="882"/>
        <v>0.45541070263118061</v>
      </c>
      <c r="CP437" s="4">
        <f t="shared" si="883"/>
        <v>809.96901772216904</v>
      </c>
      <c r="CQ437" s="6">
        <f t="shared" si="884"/>
        <v>5.119938035444339E-6</v>
      </c>
      <c r="CR437" s="8">
        <f t="shared" si="885"/>
        <v>25.203643703804943</v>
      </c>
      <c r="CS437" s="7">
        <f t="shared" si="886"/>
        <v>1.2813635876426956E-2</v>
      </c>
      <c r="CT437" s="9">
        <f t="shared" si="887"/>
        <v>0.47082798857081226</v>
      </c>
      <c r="CU437" s="4">
        <f t="shared" si="888"/>
        <v>681.18967043519626</v>
      </c>
      <c r="CV437" s="6">
        <f t="shared" si="889"/>
        <v>4.8623793408703927E-6</v>
      </c>
      <c r="CW437" s="8">
        <f t="shared" si="890"/>
        <v>27.647114176640457</v>
      </c>
      <c r="CX437" s="7">
        <f t="shared" si="891"/>
        <v>1.2169045393840776E-2</v>
      </c>
      <c r="CY437" s="9">
        <f t="shared" si="892"/>
        <v>0.42921589551448325</v>
      </c>
      <c r="CZ437" s="5">
        <f t="shared" si="893"/>
        <v>491.35188664795754</v>
      </c>
      <c r="DA437" s="6">
        <f t="shared" si="894"/>
        <v>7.3443605189766972E-6</v>
      </c>
      <c r="DB437" s="8">
        <f t="shared" si="895"/>
        <v>39.245795287209226</v>
      </c>
      <c r="DC437" s="7">
        <f t="shared" si="896"/>
        <v>1.8380683669193324E-2</v>
      </c>
      <c r="DD437" s="9">
        <f t="shared" si="897"/>
        <v>0.30236566192316122</v>
      </c>
    </row>
    <row r="438" spans="2:108" x14ac:dyDescent="0.25">
      <c r="B438">
        <v>171</v>
      </c>
      <c r="C438">
        <f t="shared" si="805"/>
        <v>0.16717210794503801</v>
      </c>
      <c r="D438" s="4">
        <f t="shared" si="806"/>
        <v>1017.1921907255349</v>
      </c>
      <c r="E438" s="6">
        <f t="shared" si="794"/>
        <v>5.5343843814510695E-6</v>
      </c>
      <c r="F438" s="8">
        <f t="shared" si="807"/>
        <v>27.586710193343649</v>
      </c>
      <c r="G438" s="7">
        <f t="shared" si="792"/>
        <v>1.3850868071676565E-2</v>
      </c>
      <c r="H438" s="9">
        <f t="shared" si="808"/>
        <v>0.43015570854770374</v>
      </c>
      <c r="I438" s="4">
        <f t="shared" si="809"/>
        <v>1016.8675268121976</v>
      </c>
      <c r="J438" s="6">
        <f t="shared" si="795"/>
        <v>5.5337350536243963E-6</v>
      </c>
      <c r="K438" s="8">
        <f t="shared" si="810"/>
        <v>27.58297655834027</v>
      </c>
      <c r="L438" s="7">
        <f t="shared" si="796"/>
        <v>1.3849243003115613E-2</v>
      </c>
      <c r="M438" s="9">
        <f t="shared" si="811"/>
        <v>0.43021393447582068</v>
      </c>
      <c r="N438" s="4">
        <f t="shared" si="812"/>
        <v>1015.9614027432144</v>
      </c>
      <c r="O438" s="6">
        <f t="shared" si="797"/>
        <v>5.531922805486429E-6</v>
      </c>
      <c r="P438" s="8">
        <f t="shared" si="798"/>
        <v>27.572556131546968</v>
      </c>
      <c r="Q438" s="7">
        <f t="shared" si="793"/>
        <v>1.3850868071676565E-2</v>
      </c>
      <c r="R438" s="9">
        <f t="shared" si="813"/>
        <v>0.43037652414608102</v>
      </c>
      <c r="S438" s="4">
        <f t="shared" si="814"/>
        <v>1014.459766420816</v>
      </c>
      <c r="T438" s="6">
        <f t="shared" si="799"/>
        <v>5.5289195328416321E-6</v>
      </c>
      <c r="U438" s="8">
        <f t="shared" si="800"/>
        <v>27.555287313839383</v>
      </c>
      <c r="V438" s="7">
        <f t="shared" si="801"/>
        <v>1.3837191230332712E-2</v>
      </c>
      <c r="W438" s="9">
        <f t="shared" si="815"/>
        <v>0.43064623985096395</v>
      </c>
      <c r="X438" s="4">
        <f t="shared" si="816"/>
        <v>1012.3606745536247</v>
      </c>
      <c r="Y438" s="6">
        <f t="shared" si="802"/>
        <v>5.5247213491072497E-6</v>
      </c>
      <c r="Z438" s="8">
        <f t="shared" si="803"/>
        <v>27.531147757366682</v>
      </c>
      <c r="AA438" s="7">
        <f t="shared" si="804"/>
        <v>1.3826684462996406E-2</v>
      </c>
      <c r="AB438" s="9">
        <f t="shared" si="817"/>
        <v>0.43102383432389529</v>
      </c>
      <c r="AC438" s="4">
        <f t="shared" si="818"/>
        <v>1009.6626657100138</v>
      </c>
      <c r="AD438" s="6">
        <f t="shared" si="819"/>
        <v>5.5193253314200279E-6</v>
      </c>
      <c r="AE438" s="8">
        <f t="shared" si="820"/>
        <v>27.500120655665157</v>
      </c>
      <c r="AF438" s="7">
        <f t="shared" si="821"/>
        <v>1.3813179884357336E-2</v>
      </c>
      <c r="AG438" s="9">
        <f t="shared" si="822"/>
        <v>0.43151013838455016</v>
      </c>
      <c r="AH438" s="4">
        <f t="shared" si="823"/>
        <v>1006.3654123614714</v>
      </c>
      <c r="AI438" s="6">
        <f t="shared" si="824"/>
        <v>5.5127308247229432E-6</v>
      </c>
      <c r="AJ438" s="8">
        <f t="shared" si="825"/>
        <v>27.46220224215692</v>
      </c>
      <c r="AK438" s="7">
        <f t="shared" si="826"/>
        <v>1.379667585500852E-2</v>
      </c>
      <c r="AL438" s="9">
        <f t="shared" si="827"/>
        <v>0.43210594565870769</v>
      </c>
      <c r="AM438" s="4">
        <f t="shared" si="828"/>
        <v>1002.4687885470331</v>
      </c>
      <c r="AN438" s="6">
        <f t="shared" si="829"/>
        <v>5.5049375770940671E-6</v>
      </c>
      <c r="AO438" s="8">
        <f t="shared" si="830"/>
        <v>27.417391068290883</v>
      </c>
      <c r="AP438" s="7">
        <f t="shared" si="831"/>
        <v>1.3777171744466568E-2</v>
      </c>
      <c r="AQ438" s="9">
        <f t="shared" si="832"/>
        <v>0.43281218260923415</v>
      </c>
      <c r="AR438" s="4">
        <f t="shared" si="833"/>
        <v>997.97267430238105</v>
      </c>
      <c r="AS438" s="6">
        <f t="shared" si="834"/>
        <v>5.4959453486047628E-6</v>
      </c>
      <c r="AT438" s="8">
        <f t="shared" si="835"/>
        <v>27.365685754477383</v>
      </c>
      <c r="AU438" s="7">
        <f t="shared" si="836"/>
        <v>1.3754666952263633E-2</v>
      </c>
      <c r="AV438" s="9">
        <f t="shared" si="837"/>
        <v>0.43362994723332926</v>
      </c>
      <c r="AW438" s="4">
        <f t="shared" si="838"/>
        <v>992.87656847452899</v>
      </c>
      <c r="AX438" s="6">
        <f t="shared" si="839"/>
        <v>5.4857531369490584E-6</v>
      </c>
      <c r="AY438" s="8">
        <f t="shared" si="840"/>
        <v>27.307080537457082</v>
      </c>
      <c r="AZ438" s="7">
        <f t="shared" si="841"/>
        <v>1.3729158969935028E-2</v>
      </c>
      <c r="BA438" s="9">
        <f t="shared" si="842"/>
        <v>0.43456058414741655</v>
      </c>
      <c r="BB438" s="4">
        <f t="shared" si="843"/>
        <v>987.17795190033189</v>
      </c>
      <c r="BC438" s="6">
        <f t="shared" si="844"/>
        <v>5.4743559038006641E-6</v>
      </c>
      <c r="BD438" s="8">
        <f t="shared" si="845"/>
        <v>27.241546446853818</v>
      </c>
      <c r="BE438" s="7">
        <f t="shared" si="846"/>
        <v>1.3700635188094062E-2</v>
      </c>
      <c r="BF438" s="9">
        <f t="shared" si="847"/>
        <v>0.43560599222473267</v>
      </c>
      <c r="BG438" s="4">
        <f t="shared" si="848"/>
        <v>980.86508079035173</v>
      </c>
      <c r="BH438" s="6">
        <f t="shared" si="849"/>
        <v>5.461730161580704E-6</v>
      </c>
      <c r="BI438" s="8">
        <f t="shared" si="850"/>
        <v>27.168948429089042</v>
      </c>
      <c r="BJ438" s="7">
        <f t="shared" si="851"/>
        <v>1.366903682452868E-2</v>
      </c>
      <c r="BK438" s="9">
        <f t="shared" si="852"/>
        <v>0.43676997292293723</v>
      </c>
      <c r="BL438" s="4">
        <f t="shared" si="853"/>
        <v>973.88815628792679</v>
      </c>
      <c r="BM438" s="6">
        <f t="shared" si="854"/>
        <v>5.4477763125758539E-6</v>
      </c>
      <c r="BN438" s="8">
        <f t="shared" si="855"/>
        <v>27.088713797311158</v>
      </c>
      <c r="BO438" s="7">
        <f t="shared" si="856"/>
        <v>1.3634114616684562E-2</v>
      </c>
      <c r="BP438" s="9">
        <f t="shared" si="857"/>
        <v>0.43806365110239315</v>
      </c>
      <c r="BQ438" s="4">
        <f t="shared" si="858"/>
        <v>966.05712549068937</v>
      </c>
      <c r="BR438" s="6">
        <f t="shared" si="859"/>
        <v>5.432114250981379E-6</v>
      </c>
      <c r="BS438" s="8">
        <f t="shared" si="860"/>
        <v>26.998656943142926</v>
      </c>
      <c r="BT438" s="7">
        <f t="shared" si="861"/>
        <v>1.3594917276217464E-2</v>
      </c>
      <c r="BU438" s="9">
        <f t="shared" si="862"/>
        <v>0.43952485839232652</v>
      </c>
      <c r="BV438" s="4">
        <f t="shared" si="863"/>
        <v>956.72758904549585</v>
      </c>
      <c r="BW438" s="6">
        <f t="shared" si="864"/>
        <v>5.4134551780909923E-6</v>
      </c>
      <c r="BX438" s="8">
        <f t="shared" si="865"/>
        <v>26.891367274023203</v>
      </c>
      <c r="BY438" s="7">
        <f t="shared" si="866"/>
        <v>1.3548219334923261E-2</v>
      </c>
      <c r="BZ438" s="9">
        <f t="shared" si="867"/>
        <v>0.44127845002440241</v>
      </c>
      <c r="CA438" s="4">
        <f t="shared" si="868"/>
        <v>943.99029622040473</v>
      </c>
      <c r="CB438" s="6">
        <f t="shared" si="869"/>
        <v>5.3879805924408093E-6</v>
      </c>
      <c r="CC438" s="8">
        <f t="shared" si="870"/>
        <v>26.744888406534656</v>
      </c>
      <c r="CD438" s="7">
        <f t="shared" si="871"/>
        <v>1.3484464253833501E-2</v>
      </c>
      <c r="CE438" s="9">
        <f t="shared" si="872"/>
        <v>0.44369528447232193</v>
      </c>
      <c r="CF438" s="4">
        <f t="shared" si="873"/>
        <v>923.01049715429838</v>
      </c>
      <c r="CG438" s="6">
        <f t="shared" si="874"/>
        <v>5.3460209943085968E-6</v>
      </c>
      <c r="CH438" s="8">
        <f t="shared" si="875"/>
        <v>26.50362071727443</v>
      </c>
      <c r="CI438" s="7">
        <f t="shared" si="876"/>
        <v>1.3379452238401812E-2</v>
      </c>
      <c r="CJ438" s="9">
        <f t="shared" si="877"/>
        <v>0.44773433019978071</v>
      </c>
      <c r="CK438" s="4">
        <f t="shared" si="878"/>
        <v>883.64938005168483</v>
      </c>
      <c r="CL438" s="6">
        <f t="shared" si="879"/>
        <v>5.2672987601033703E-6</v>
      </c>
      <c r="CM438" s="8">
        <f t="shared" si="880"/>
        <v>26.050967870594377</v>
      </c>
      <c r="CN438" s="7">
        <f t="shared" si="881"/>
        <v>1.3182434610941984E-2</v>
      </c>
      <c r="CO438" s="9">
        <f t="shared" si="882"/>
        <v>0.45551401117470847</v>
      </c>
      <c r="CP438" s="4">
        <f t="shared" si="883"/>
        <v>809.17512849145999</v>
      </c>
      <c r="CQ438" s="6">
        <f t="shared" si="884"/>
        <v>5.1183502569829207E-6</v>
      </c>
      <c r="CR438" s="8">
        <f t="shared" si="885"/>
        <v>25.194513977651788</v>
      </c>
      <c r="CS438" s="7">
        <f t="shared" si="886"/>
        <v>1.2809662153519336E-2</v>
      </c>
      <c r="CT438" s="9">
        <f t="shared" si="887"/>
        <v>0.47099860232445345</v>
      </c>
      <c r="CU438" s="4">
        <f t="shared" si="888"/>
        <v>680.30012781291668</v>
      </c>
      <c r="CV438" s="6">
        <f t="shared" si="889"/>
        <v>4.860600255625834E-6</v>
      </c>
      <c r="CW438" s="8">
        <f t="shared" si="890"/>
        <v>27.825734335194113</v>
      </c>
      <c r="CX438" s="7">
        <f t="shared" si="891"/>
        <v>1.216459288868171E-2</v>
      </c>
      <c r="CY438" s="9">
        <f t="shared" si="892"/>
        <v>0.42646065425518687</v>
      </c>
      <c r="CZ438" s="5">
        <f t="shared" si="893"/>
        <v>491.12336394476472</v>
      </c>
      <c r="DA438" s="6">
        <f t="shared" si="894"/>
        <v>7.3477693698640112E-6</v>
      </c>
      <c r="DB438" s="8">
        <f t="shared" si="895"/>
        <v>39.252422445601823</v>
      </c>
      <c r="DC438" s="7">
        <f t="shared" si="896"/>
        <v>1.8389214978307748E-2</v>
      </c>
      <c r="DD438" s="9">
        <f t="shared" si="897"/>
        <v>0.30231461220420885</v>
      </c>
    </row>
    <row r="439" spans="2:108" x14ac:dyDescent="0.25">
      <c r="B439">
        <v>172</v>
      </c>
      <c r="C439">
        <f t="shared" si="805"/>
        <v>0.16814972261138325</v>
      </c>
      <c r="D439" s="4">
        <f t="shared" si="806"/>
        <v>1017.1756150262132</v>
      </c>
      <c r="E439" s="6">
        <f t="shared" si="794"/>
        <v>5.5343512300524273E-6</v>
      </c>
      <c r="F439" s="8">
        <f t="shared" si="807"/>
        <v>27.58651957280145</v>
      </c>
      <c r="G439" s="7">
        <f t="shared" si="792"/>
        <v>1.3850785103885148E-2</v>
      </c>
      <c r="H439" s="9">
        <f t="shared" si="808"/>
        <v>0.43015868088766046</v>
      </c>
      <c r="I439" s="4">
        <f t="shared" si="809"/>
        <v>1016.8509494426096</v>
      </c>
      <c r="J439" s="6">
        <f t="shared" si="795"/>
        <v>5.5337018988852197E-6</v>
      </c>
      <c r="K439" s="8">
        <f t="shared" si="810"/>
        <v>27.582785918590009</v>
      </c>
      <c r="L439" s="7">
        <f t="shared" si="796"/>
        <v>1.3849160026963861E-2</v>
      </c>
      <c r="M439" s="9">
        <f t="shared" si="811"/>
        <v>0.43021690792010109</v>
      </c>
      <c r="N439" s="4">
        <f t="shared" si="812"/>
        <v>1015.9448190339772</v>
      </c>
      <c r="O439" s="6">
        <f t="shared" si="797"/>
        <v>5.5318896380679552E-6</v>
      </c>
      <c r="P439" s="8">
        <f t="shared" si="798"/>
        <v>27.572365418890737</v>
      </c>
      <c r="Q439" s="7">
        <f t="shared" si="793"/>
        <v>1.3850785103885148E-2</v>
      </c>
      <c r="R439" s="9">
        <f t="shared" si="813"/>
        <v>0.4303795009762823</v>
      </c>
      <c r="S439" s="4">
        <f t="shared" si="814"/>
        <v>1014.4431790403941</v>
      </c>
      <c r="T439" s="6">
        <f t="shared" si="799"/>
        <v>5.5288863580807879E-6</v>
      </c>
      <c r="U439" s="8">
        <f t="shared" si="800"/>
        <v>27.555096558964529</v>
      </c>
      <c r="V439" s="7">
        <f t="shared" si="801"/>
        <v>1.3837108204072862E-2</v>
      </c>
      <c r="W439" s="9">
        <f t="shared" si="815"/>
        <v>0.43064922107330927</v>
      </c>
      <c r="X439" s="4">
        <f t="shared" si="816"/>
        <v>1012.3440900244166</v>
      </c>
      <c r="Y439" s="6">
        <f t="shared" si="802"/>
        <v>5.5246881800488337E-6</v>
      </c>
      <c r="Z439" s="8">
        <f t="shared" si="803"/>
        <v>27.530957035280789</v>
      </c>
      <c r="AA439" s="7">
        <f t="shared" si="804"/>
        <v>1.3826601451007987E-2</v>
      </c>
      <c r="AB439" s="9">
        <f t="shared" si="817"/>
        <v>0.43102682026312894</v>
      </c>
      <c r="AC439" s="4">
        <f t="shared" si="818"/>
        <v>1009.6460907849799</v>
      </c>
      <c r="AD439" s="6">
        <f t="shared" si="819"/>
        <v>5.5192921815699602E-6</v>
      </c>
      <c r="AE439" s="8">
        <f t="shared" si="820"/>
        <v>27.499930044027266</v>
      </c>
      <c r="AF439" s="7">
        <f t="shared" si="821"/>
        <v>1.3813096920441525E-2</v>
      </c>
      <c r="AG439" s="9">
        <f t="shared" si="822"/>
        <v>0.43151312933231301</v>
      </c>
      <c r="AH439" s="4">
        <f t="shared" si="823"/>
        <v>1006.3488523889275</v>
      </c>
      <c r="AI439" s="6">
        <f t="shared" si="824"/>
        <v>5.5126977047778557E-6</v>
      </c>
      <c r="AJ439" s="8">
        <f t="shared" si="825"/>
        <v>27.462011802472666</v>
      </c>
      <c r="AK439" s="7">
        <f t="shared" si="826"/>
        <v>1.379659296593571E-2</v>
      </c>
      <c r="AL439" s="9">
        <f t="shared" si="827"/>
        <v>0.43210894216604473</v>
      </c>
      <c r="AM439" s="4">
        <f t="shared" si="828"/>
        <v>1002.4522468222326</v>
      </c>
      <c r="AN439" s="6">
        <f t="shared" si="829"/>
        <v>5.5049044936444656E-6</v>
      </c>
      <c r="AO439" s="8">
        <f t="shared" si="830"/>
        <v>27.417200838455674</v>
      </c>
      <c r="AP439" s="7">
        <f t="shared" si="831"/>
        <v>1.3777088946730775E-2</v>
      </c>
      <c r="AQ439" s="9">
        <f t="shared" si="832"/>
        <v>0.43281518560690191</v>
      </c>
      <c r="AR439" s="4">
        <f t="shared" si="833"/>
        <v>997.9561486106511</v>
      </c>
      <c r="AS439" s="6">
        <f t="shared" si="834"/>
        <v>5.4959122972213028E-6</v>
      </c>
      <c r="AT439" s="8">
        <f t="shared" si="835"/>
        <v>27.365495709022486</v>
      </c>
      <c r="AU439" s="7">
        <f t="shared" si="836"/>
        <v>1.3754584234779568E-2</v>
      </c>
      <c r="AV439" s="9">
        <f t="shared" si="837"/>
        <v>0.43363295866792761</v>
      </c>
      <c r="AW439" s="4">
        <f t="shared" si="838"/>
        <v>992.86003247201768</v>
      </c>
      <c r="AX439" s="6">
        <f t="shared" si="839"/>
        <v>5.4857200649440358E-6</v>
      </c>
      <c r="AY439" s="8">
        <f t="shared" si="840"/>
        <v>27.306890373428203</v>
      </c>
      <c r="AZ439" s="7">
        <f t="shared" si="841"/>
        <v>1.3729076200841508E-2</v>
      </c>
      <c r="BA439" s="9">
        <f t="shared" si="842"/>
        <v>0.43456361040893304</v>
      </c>
      <c r="BB439" s="4">
        <f t="shared" si="843"/>
        <v>987.16127342151833</v>
      </c>
      <c r="BC439" s="6">
        <f t="shared" si="844"/>
        <v>5.4743225468430372E-6</v>
      </c>
      <c r="BD439" s="8">
        <f t="shared" si="845"/>
        <v>27.24135464434746</v>
      </c>
      <c r="BE439" s="7">
        <f t="shared" si="846"/>
        <v>1.3700551705851502E-2</v>
      </c>
      <c r="BF439" s="9">
        <f t="shared" si="847"/>
        <v>0.43560905926461319</v>
      </c>
      <c r="BG439" s="4">
        <f t="shared" si="848"/>
        <v>980.84770664106088</v>
      </c>
      <c r="BH439" s="6">
        <f t="shared" si="849"/>
        <v>5.461695413282122E-6</v>
      </c>
      <c r="BI439" s="8">
        <f t="shared" si="850"/>
        <v>27.168748626372199</v>
      </c>
      <c r="BJ439" s="7">
        <f t="shared" si="851"/>
        <v>1.366894986018609E-2</v>
      </c>
      <c r="BK439" s="9">
        <f t="shared" si="852"/>
        <v>0.43677318498943413</v>
      </c>
      <c r="BL439" s="4">
        <f t="shared" si="853"/>
        <v>973.86804783520256</v>
      </c>
      <c r="BM439" s="6">
        <f t="shared" si="854"/>
        <v>5.4477360956704051E-6</v>
      </c>
      <c r="BN439" s="8">
        <f t="shared" si="855"/>
        <v>27.088482550104828</v>
      </c>
      <c r="BO439" s="7">
        <f t="shared" si="856"/>
        <v>1.3634013966094862E-2</v>
      </c>
      <c r="BP439" s="9">
        <f t="shared" si="857"/>
        <v>0.43806739073584527</v>
      </c>
      <c r="BQ439" s="4">
        <f t="shared" si="858"/>
        <v>966.02769609708571</v>
      </c>
      <c r="BR439" s="6">
        <f t="shared" si="859"/>
        <v>5.4320553921941722E-6</v>
      </c>
      <c r="BS439" s="8">
        <f t="shared" si="860"/>
        <v>26.998318505116487</v>
      </c>
      <c r="BT439" s="7">
        <f t="shared" si="861"/>
        <v>1.3594769970710602E-2</v>
      </c>
      <c r="BU439" s="9">
        <f t="shared" si="862"/>
        <v>0.43953036806603518</v>
      </c>
      <c r="BV439" s="4">
        <f t="shared" si="863"/>
        <v>956.67054732896952</v>
      </c>
      <c r="BW439" s="6">
        <f t="shared" si="864"/>
        <v>5.4133410946579393E-6</v>
      </c>
      <c r="BX439" s="8">
        <f t="shared" si="865"/>
        <v>26.89071129428315</v>
      </c>
      <c r="BY439" s="7">
        <f t="shared" si="866"/>
        <v>1.3547933819051672E-2</v>
      </c>
      <c r="BZ439" s="9">
        <f t="shared" si="867"/>
        <v>0.44128921469774146</v>
      </c>
      <c r="CA439" s="4">
        <f t="shared" si="868"/>
        <v>943.86340072703126</v>
      </c>
      <c r="CB439" s="6">
        <f t="shared" si="869"/>
        <v>5.3877268014540633E-6</v>
      </c>
      <c r="CC439" s="8">
        <f t="shared" si="870"/>
        <v>26.743429108360857</v>
      </c>
      <c r="CD439" s="7">
        <f t="shared" si="871"/>
        <v>1.3483829092768979E-2</v>
      </c>
      <c r="CE439" s="9">
        <f t="shared" si="872"/>
        <v>0.44371949541833522</v>
      </c>
      <c r="CF439" s="4">
        <f t="shared" si="873"/>
        <v>922.73722077211551</v>
      </c>
      <c r="CG439" s="6">
        <f t="shared" si="874"/>
        <v>5.345474441544232E-6</v>
      </c>
      <c r="CH439" s="8">
        <f t="shared" si="875"/>
        <v>26.500478038879329</v>
      </c>
      <c r="CI439" s="7">
        <f t="shared" si="876"/>
        <v>1.3378084384325976E-2</v>
      </c>
      <c r="CJ439" s="9">
        <f t="shared" si="877"/>
        <v>0.44778742678936673</v>
      </c>
      <c r="CK439" s="4">
        <f t="shared" si="878"/>
        <v>883.13484242391587</v>
      </c>
      <c r="CL439" s="6">
        <f t="shared" si="879"/>
        <v>5.2662696848478321E-6</v>
      </c>
      <c r="CM439" s="8">
        <f t="shared" si="880"/>
        <v>26.045050687875033</v>
      </c>
      <c r="CN439" s="7">
        <f t="shared" si="881"/>
        <v>1.3179859150941761E-2</v>
      </c>
      <c r="CO439" s="9">
        <f t="shared" si="882"/>
        <v>0.455617499536764</v>
      </c>
      <c r="CP439" s="4">
        <f t="shared" si="883"/>
        <v>808.38368665529276</v>
      </c>
      <c r="CQ439" s="6">
        <f t="shared" si="884"/>
        <v>5.1167673733105866E-6</v>
      </c>
      <c r="CR439" s="8">
        <f t="shared" si="885"/>
        <v>25.185412396535867</v>
      </c>
      <c r="CS439" s="7">
        <f t="shared" si="886"/>
        <v>1.2805700680768761E-2</v>
      </c>
      <c r="CT439" s="9">
        <f t="shared" si="887"/>
        <v>0.47116881323531912</v>
      </c>
      <c r="CU439" s="4">
        <f t="shared" si="888"/>
        <v>679.42074054357283</v>
      </c>
      <c r="CV439" s="6">
        <f t="shared" si="889"/>
        <v>4.8588414810871461E-6</v>
      </c>
      <c r="CW439" s="8">
        <f t="shared" si="890"/>
        <v>28.002315298878273</v>
      </c>
      <c r="CX439" s="7">
        <f t="shared" si="891"/>
        <v>1.2160191214995142E-2</v>
      </c>
      <c r="CY439" s="9">
        <f t="shared" si="892"/>
        <v>0.42377141829387421</v>
      </c>
      <c r="CZ439" s="5">
        <f t="shared" si="893"/>
        <v>490.91176164251578</v>
      </c>
      <c r="DA439" s="6">
        <f t="shared" si="894"/>
        <v>7.3509254033732986E-6</v>
      </c>
      <c r="DB439" s="8">
        <f t="shared" si="895"/>
        <v>39.258558912367036</v>
      </c>
      <c r="DC439" s="7">
        <f t="shared" si="896"/>
        <v>1.8397113563001909E-2</v>
      </c>
      <c r="DD439" s="9">
        <f t="shared" si="897"/>
        <v>0.30226735770425206</v>
      </c>
    </row>
    <row r="440" spans="2:108" x14ac:dyDescent="0.25">
      <c r="B440">
        <v>173</v>
      </c>
      <c r="C440">
        <f t="shared" si="805"/>
        <v>0.1691273372777285</v>
      </c>
      <c r="D440" s="4">
        <f t="shared" si="806"/>
        <v>1017.1590392416161</v>
      </c>
      <c r="E440" s="6">
        <f t="shared" si="794"/>
        <v>5.5343180784832334E-6</v>
      </c>
      <c r="F440" s="8">
        <f t="shared" si="807"/>
        <v>27.586328951278585</v>
      </c>
      <c r="G440" s="7">
        <f t="shared" si="792"/>
        <v>1.385070213566689E-2</v>
      </c>
      <c r="H440" s="9">
        <f t="shared" si="808"/>
        <v>0.43016165328398653</v>
      </c>
      <c r="I440" s="4">
        <f t="shared" si="809"/>
        <v>1016.8343720521766</v>
      </c>
      <c r="J440" s="6">
        <f t="shared" si="795"/>
        <v>5.5336687441043538E-6</v>
      </c>
      <c r="K440" s="8">
        <f t="shared" si="810"/>
        <v>27.582595278600031</v>
      </c>
      <c r="L440" s="7">
        <f t="shared" si="796"/>
        <v>1.3849077050707773E-2</v>
      </c>
      <c r="M440" s="9">
        <f t="shared" si="811"/>
        <v>0.43021988140922296</v>
      </c>
      <c r="N440" s="4">
        <f t="shared" si="812"/>
        <v>1015.9282354263956</v>
      </c>
      <c r="O440" s="6">
        <f t="shared" si="797"/>
        <v>5.5318564708527921E-6</v>
      </c>
      <c r="P440" s="8">
        <f t="shared" si="798"/>
        <v>27.572174707403548</v>
      </c>
      <c r="Q440" s="7">
        <f t="shared" si="793"/>
        <v>1.385070213566689E-2</v>
      </c>
      <c r="R440" s="9">
        <f t="shared" si="813"/>
        <v>0.43038247782941624</v>
      </c>
      <c r="S440" s="4">
        <f t="shared" si="814"/>
        <v>1014.4265918477798</v>
      </c>
      <c r="T440" s="6">
        <f t="shared" si="799"/>
        <v>5.5288531836955604E-6</v>
      </c>
      <c r="U440" s="8">
        <f t="shared" si="800"/>
        <v>27.554905806249465</v>
      </c>
      <c r="V440" s="7">
        <f t="shared" si="801"/>
        <v>1.3837025178753065E-2</v>
      </c>
      <c r="W440" s="9">
        <f t="shared" si="815"/>
        <v>0.4306522023031758</v>
      </c>
      <c r="X440" s="4">
        <f t="shared" si="816"/>
        <v>1012.3275057097029</v>
      </c>
      <c r="Y440" s="6">
        <f t="shared" si="802"/>
        <v>5.524655011419406E-6</v>
      </c>
      <c r="Z440" s="8">
        <f t="shared" si="803"/>
        <v>27.53076631566158</v>
      </c>
      <c r="AA440" s="7">
        <f t="shared" si="804"/>
        <v>1.3826518440093194E-2</v>
      </c>
      <c r="AB440" s="9">
        <f t="shared" si="817"/>
        <v>0.43102980620511427</v>
      </c>
      <c r="AC440" s="4">
        <f t="shared" si="818"/>
        <v>1009.629516067359</v>
      </c>
      <c r="AD440" s="6">
        <f t="shared" si="819"/>
        <v>5.5192590321347183E-6</v>
      </c>
      <c r="AE440" s="8">
        <f t="shared" si="820"/>
        <v>27.499739434774625</v>
      </c>
      <c r="AF440" s="7">
        <f t="shared" si="821"/>
        <v>1.3813013957563899E-2</v>
      </c>
      <c r="AG440" s="9">
        <f t="shared" si="822"/>
        <v>0.43151612028411029</v>
      </c>
      <c r="AH440" s="4">
        <f t="shared" si="823"/>
        <v>1006.3322925995783</v>
      </c>
      <c r="AI440" s="6">
        <f t="shared" si="824"/>
        <v>5.5126645851991573E-6</v>
      </c>
      <c r="AJ440" s="8">
        <f t="shared" si="825"/>
        <v>27.461821364895151</v>
      </c>
      <c r="AK440" s="7">
        <f t="shared" si="826"/>
        <v>1.379651007777986E-2</v>
      </c>
      <c r="AL440" s="9">
        <f t="shared" si="827"/>
        <v>0.43211193868179198</v>
      </c>
      <c r="AM440" s="4">
        <f t="shared" si="828"/>
        <v>1002.4357052000404</v>
      </c>
      <c r="AN440" s="6">
        <f t="shared" si="829"/>
        <v>5.5048714104000815E-6</v>
      </c>
      <c r="AO440" s="8">
        <f t="shared" si="830"/>
        <v>27.417010609800464</v>
      </c>
      <c r="AP440" s="7">
        <f t="shared" si="831"/>
        <v>1.377700614950858E-2</v>
      </c>
      <c r="AQ440" s="9">
        <f t="shared" si="832"/>
        <v>0.43281818862761351</v>
      </c>
      <c r="AR440" s="4">
        <f t="shared" si="833"/>
        <v>997.9396226602247</v>
      </c>
      <c r="AS440" s="6">
        <f t="shared" si="834"/>
        <v>5.4958792453204497E-6</v>
      </c>
      <c r="AT440" s="8">
        <f t="shared" si="835"/>
        <v>27.365305660592583</v>
      </c>
      <c r="AU440" s="7">
        <f t="shared" si="836"/>
        <v>1.3754501516000623E-2</v>
      </c>
      <c r="AV440" s="9">
        <f t="shared" si="837"/>
        <v>0.43363597019149586</v>
      </c>
      <c r="AW440" s="4">
        <f t="shared" si="838"/>
        <v>992.84349463433091</v>
      </c>
      <c r="AX440" s="6">
        <f t="shared" si="839"/>
        <v>5.4856869892686619E-6</v>
      </c>
      <c r="AY440" s="8">
        <f t="shared" si="840"/>
        <v>27.306700188294805</v>
      </c>
      <c r="AZ440" s="7">
        <f t="shared" si="841"/>
        <v>1.3728993422562227E-2</v>
      </c>
      <c r="BA440" s="9">
        <f t="shared" si="842"/>
        <v>0.43456663704846277</v>
      </c>
      <c r="BB440" s="4">
        <f t="shared" si="843"/>
        <v>987.1445868731214</v>
      </c>
      <c r="BC440" s="6">
        <f t="shared" si="844"/>
        <v>5.4742891737462435E-6</v>
      </c>
      <c r="BD440" s="8">
        <f t="shared" si="845"/>
        <v>27.241162749040896</v>
      </c>
      <c r="BE440" s="7">
        <f t="shared" si="846"/>
        <v>1.3700468183217551E-2</v>
      </c>
      <c r="BF440" s="9">
        <f t="shared" si="847"/>
        <v>0.43561212783164682</v>
      </c>
      <c r="BG440" s="4">
        <f t="shared" si="848"/>
        <v>980.8303025314508</v>
      </c>
      <c r="BH440" s="6">
        <f t="shared" si="849"/>
        <v>5.4616606050629022E-6</v>
      </c>
      <c r="BI440" s="8">
        <f t="shared" si="850"/>
        <v>27.168548479111685</v>
      </c>
      <c r="BJ440" s="7">
        <f t="shared" si="851"/>
        <v>1.3668862745880505E-2</v>
      </c>
      <c r="BK440" s="9">
        <f t="shared" si="852"/>
        <v>0.43677640264224721</v>
      </c>
      <c r="BL440" s="4">
        <f t="shared" si="853"/>
        <v>973.8478426128944</v>
      </c>
      <c r="BM440" s="6">
        <f t="shared" si="854"/>
        <v>5.4476956852257892E-6</v>
      </c>
      <c r="BN440" s="8">
        <f t="shared" si="855"/>
        <v>27.088250190048285</v>
      </c>
      <c r="BO440" s="7">
        <f t="shared" si="856"/>
        <v>1.3633912831135938E-2</v>
      </c>
      <c r="BP440" s="9">
        <f t="shared" si="857"/>
        <v>0.43807114843015804</v>
      </c>
      <c r="BQ440" s="4">
        <f t="shared" si="858"/>
        <v>965.99799817156486</v>
      </c>
      <c r="BR440" s="6">
        <f t="shared" si="859"/>
        <v>5.4319959963431298E-6</v>
      </c>
      <c r="BS440" s="8">
        <f t="shared" si="860"/>
        <v>26.997976978972993</v>
      </c>
      <c r="BT440" s="7">
        <f t="shared" si="861"/>
        <v>1.3594621321097551E-2</v>
      </c>
      <c r="BU440" s="9">
        <f t="shared" si="862"/>
        <v>0.43953592815343251</v>
      </c>
      <c r="BV440" s="4">
        <f t="shared" si="863"/>
        <v>956.61288465763141</v>
      </c>
      <c r="BW440" s="6">
        <f t="shared" si="864"/>
        <v>5.4132257693152639E-6</v>
      </c>
      <c r="BX440" s="8">
        <f t="shared" si="865"/>
        <v>26.890048173562761</v>
      </c>
      <c r="BY440" s="7">
        <f t="shared" si="866"/>
        <v>1.3547645195060886E-2</v>
      </c>
      <c r="BZ440" s="9">
        <f t="shared" si="867"/>
        <v>0.44130009708887968</v>
      </c>
      <c r="CA440" s="4">
        <f t="shared" si="868"/>
        <v>943.73537352584992</v>
      </c>
      <c r="CB440" s="6">
        <f t="shared" si="869"/>
        <v>5.3874707470517007E-6</v>
      </c>
      <c r="CC440" s="8">
        <f t="shared" si="870"/>
        <v>26.741956795547274</v>
      </c>
      <c r="CD440" s="7">
        <f t="shared" si="871"/>
        <v>1.3483188267068803E-2</v>
      </c>
      <c r="CE440" s="9">
        <f t="shared" si="872"/>
        <v>0.4437439249656468</v>
      </c>
      <c r="CF440" s="4">
        <f t="shared" si="873"/>
        <v>922.46251475494455</v>
      </c>
      <c r="CG440" s="6">
        <f t="shared" si="874"/>
        <v>5.3449250295098896E-6</v>
      </c>
      <c r="CH440" s="8">
        <f t="shared" si="875"/>
        <v>26.497318919681859</v>
      </c>
      <c r="CI440" s="7">
        <f t="shared" si="876"/>
        <v>1.3376709374373616E-2</v>
      </c>
      <c r="CJ440" s="9">
        <f t="shared" si="877"/>
        <v>0.44784081384564378</v>
      </c>
      <c r="CK440" s="4">
        <f t="shared" si="878"/>
        <v>882.61967703197445</v>
      </c>
      <c r="CL440" s="6">
        <f t="shared" si="879"/>
        <v>5.2652393540639495E-6</v>
      </c>
      <c r="CM440" s="8">
        <f t="shared" si="880"/>
        <v>26.039126285867706</v>
      </c>
      <c r="CN440" s="7">
        <f t="shared" si="881"/>
        <v>1.3177280548738856E-2</v>
      </c>
      <c r="CO440" s="9">
        <f t="shared" si="882"/>
        <v>0.45572116128021867</v>
      </c>
      <c r="CP440" s="4">
        <f t="shared" si="883"/>
        <v>807.59475607733089</v>
      </c>
      <c r="CQ440" s="6">
        <f t="shared" si="884"/>
        <v>5.1151895121546621E-6</v>
      </c>
      <c r="CR440" s="8">
        <f t="shared" si="885"/>
        <v>25.176339694889304</v>
      </c>
      <c r="CS440" s="7">
        <f t="shared" si="886"/>
        <v>1.2801751777837591E-2</v>
      </c>
      <c r="CT440" s="9">
        <f t="shared" si="887"/>
        <v>0.47133860654600107</v>
      </c>
      <c r="CU440" s="4">
        <f t="shared" si="888"/>
        <v>678.55149446559494</v>
      </c>
      <c r="CV440" s="6">
        <f t="shared" si="889"/>
        <v>4.8571029889311906E-6</v>
      </c>
      <c r="CW440" s="8">
        <f t="shared" si="890"/>
        <v>28.176859911336152</v>
      </c>
      <c r="CX440" s="7">
        <f t="shared" si="891"/>
        <v>1.2155840301896934E-2</v>
      </c>
      <c r="CY440" s="9">
        <f t="shared" si="892"/>
        <v>0.42114632031597388</v>
      </c>
      <c r="CZ440" s="5">
        <f t="shared" si="893"/>
        <v>490.71597103637487</v>
      </c>
      <c r="DA440" s="6">
        <f t="shared" si="894"/>
        <v>7.3538452500095438E-6</v>
      </c>
      <c r="DB440" s="8">
        <f t="shared" si="895"/>
        <v>39.264236839945127</v>
      </c>
      <c r="DC440" s="7">
        <f t="shared" si="896"/>
        <v>1.8404421044333291E-2</v>
      </c>
      <c r="DD440" s="9">
        <f t="shared" si="897"/>
        <v>0.3022236473891054</v>
      </c>
    </row>
    <row r="441" spans="2:108" x14ac:dyDescent="0.25">
      <c r="B441">
        <v>174</v>
      </c>
      <c r="C441">
        <f t="shared" si="805"/>
        <v>0.17010495194407377</v>
      </c>
      <c r="D441" s="4">
        <f t="shared" si="806"/>
        <v>1017.1424633750331</v>
      </c>
      <c r="E441" s="6">
        <f t="shared" si="794"/>
        <v>5.5342849267500666E-6</v>
      </c>
      <c r="F441" s="8">
        <f t="shared" si="807"/>
        <v>27.586138328812879</v>
      </c>
      <c r="G441" s="7">
        <f t="shared" si="792"/>
        <v>1.3850619167038261E-2</v>
      </c>
      <c r="H441" s="9">
        <f t="shared" si="808"/>
        <v>0.4301646257360936</v>
      </c>
      <c r="I441" s="4">
        <f t="shared" si="809"/>
        <v>1016.8177946429996</v>
      </c>
      <c r="J441" s="6">
        <f t="shared" si="795"/>
        <v>5.5336355892859999E-6</v>
      </c>
      <c r="K441" s="8">
        <f t="shared" si="810"/>
        <v>27.582404638394493</v>
      </c>
      <c r="L441" s="7">
        <f t="shared" si="796"/>
        <v>1.3848994074357867E-2</v>
      </c>
      <c r="M441" s="9">
        <f t="shared" si="811"/>
        <v>0.43022285494281054</v>
      </c>
      <c r="N441" s="4">
        <f t="shared" si="812"/>
        <v>1015.9116519206889</v>
      </c>
      <c r="O441" s="6">
        <f t="shared" si="797"/>
        <v>5.5318233038413778E-6</v>
      </c>
      <c r="P441" s="8">
        <f t="shared" si="798"/>
        <v>27.571983997087919</v>
      </c>
      <c r="Q441" s="7">
        <f t="shared" si="793"/>
        <v>1.3850619167038261E-2</v>
      </c>
      <c r="R441" s="9">
        <f t="shared" si="813"/>
        <v>0.43038545470544359</v>
      </c>
      <c r="S441" s="4">
        <f t="shared" si="814"/>
        <v>1014.4100048424096</v>
      </c>
      <c r="T441" s="6">
        <f t="shared" si="799"/>
        <v>5.5288200096848197E-6</v>
      </c>
      <c r="U441" s="8">
        <f t="shared" si="800"/>
        <v>27.554715055687709</v>
      </c>
      <c r="V441" s="7">
        <f t="shared" si="801"/>
        <v>1.3836942154370495E-2</v>
      </c>
      <c r="W441" s="9">
        <f t="shared" si="815"/>
        <v>0.4306551835406644</v>
      </c>
      <c r="X441" s="4">
        <f t="shared" si="816"/>
        <v>1012.3109216090478</v>
      </c>
      <c r="Y441" s="6">
        <f t="shared" si="802"/>
        <v>5.5246218432180959E-6</v>
      </c>
      <c r="Z441" s="8">
        <f t="shared" si="803"/>
        <v>27.530575598504051</v>
      </c>
      <c r="AA441" s="7">
        <f t="shared" si="804"/>
        <v>1.3826435430249848E-2</v>
      </c>
      <c r="AB441" s="9">
        <f t="shared" si="817"/>
        <v>0.43103279214992879</v>
      </c>
      <c r="AC441" s="4">
        <f t="shared" si="818"/>
        <v>1009.6129415568681</v>
      </c>
      <c r="AD441" s="6">
        <f t="shared" si="819"/>
        <v>5.5192258831137366E-6</v>
      </c>
      <c r="AE441" s="8">
        <f t="shared" si="820"/>
        <v>27.499548827903983</v>
      </c>
      <c r="AF441" s="7">
        <f t="shared" si="821"/>
        <v>1.3812930995723038E-2</v>
      </c>
      <c r="AG441" s="9">
        <f t="shared" si="822"/>
        <v>0.43151911123999231</v>
      </c>
      <c r="AH441" s="4">
        <f t="shared" si="823"/>
        <v>1006.315732992522</v>
      </c>
      <c r="AI441" s="6">
        <f t="shared" si="824"/>
        <v>5.5126314659850447E-6</v>
      </c>
      <c r="AJ441" s="8">
        <f t="shared" si="825"/>
        <v>27.461630929414003</v>
      </c>
      <c r="AK441" s="7">
        <f t="shared" si="826"/>
        <v>1.3796427190536456E-2</v>
      </c>
      <c r="AL441" s="9">
        <f t="shared" si="827"/>
        <v>0.43211493520611222</v>
      </c>
      <c r="AM441" s="4">
        <f t="shared" si="828"/>
        <v>1002.419163676147</v>
      </c>
      <c r="AN441" s="6">
        <f t="shared" si="829"/>
        <v>5.5048383273522946E-6</v>
      </c>
      <c r="AO441" s="8">
        <f t="shared" si="830"/>
        <v>27.416820382275688</v>
      </c>
      <c r="AP441" s="7">
        <f t="shared" si="831"/>
        <v>1.3776923352778407E-2</v>
      </c>
      <c r="AQ441" s="9">
        <f t="shared" si="832"/>
        <v>0.43282119167215161</v>
      </c>
      <c r="AR441" s="4">
        <f t="shared" si="833"/>
        <v>997.92309643269562</v>
      </c>
      <c r="AS441" s="6">
        <f t="shared" si="834"/>
        <v>5.4958461928653922E-6</v>
      </c>
      <c r="AT441" s="8">
        <f t="shared" si="835"/>
        <v>27.365115608975998</v>
      </c>
      <c r="AU441" s="7">
        <f t="shared" si="836"/>
        <v>1.3754418795834677E-2</v>
      </c>
      <c r="AV441" s="9">
        <f t="shared" si="837"/>
        <v>0.43363898180739113</v>
      </c>
      <c r="AW441" s="4">
        <f t="shared" si="838"/>
        <v>992.82695489145794</v>
      </c>
      <c r="AX441" s="6">
        <f t="shared" si="839"/>
        <v>5.4856539097829162E-6</v>
      </c>
      <c r="AY441" s="8">
        <f t="shared" si="840"/>
        <v>27.306509981251764</v>
      </c>
      <c r="AZ441" s="7">
        <f t="shared" si="841"/>
        <v>1.372891063474675E-2</v>
      </c>
      <c r="BA441" s="9">
        <f t="shared" si="842"/>
        <v>0.43456966407883368</v>
      </c>
      <c r="BB441" s="4">
        <f t="shared" si="843"/>
        <v>987.12789202100066</v>
      </c>
      <c r="BC441" s="6">
        <f t="shared" si="844"/>
        <v>5.4742557840420026E-6</v>
      </c>
      <c r="BD441" s="8">
        <f t="shared" si="845"/>
        <v>27.240970758241506</v>
      </c>
      <c r="BE441" s="7">
        <f t="shared" si="846"/>
        <v>1.3700384619020249E-2</v>
      </c>
      <c r="BF441" s="9">
        <f t="shared" si="847"/>
        <v>0.43561519796895537</v>
      </c>
      <c r="BG441" s="4">
        <f t="shared" si="848"/>
        <v>980.81286779130232</v>
      </c>
      <c r="BH441" s="6">
        <f t="shared" si="849"/>
        <v>5.4616257355826047E-6</v>
      </c>
      <c r="BI441" s="8">
        <f t="shared" si="850"/>
        <v>27.168347979599975</v>
      </c>
      <c r="BJ441" s="7">
        <f t="shared" si="851"/>
        <v>1.366877547825722E-2</v>
      </c>
      <c r="BK441" s="9">
        <f t="shared" si="852"/>
        <v>0.4367796260055346</v>
      </c>
      <c r="BL441" s="4">
        <f t="shared" si="853"/>
        <v>973.82753905201093</v>
      </c>
      <c r="BM441" s="6">
        <f t="shared" si="854"/>
        <v>5.4476550781040227E-6</v>
      </c>
      <c r="BN441" s="8">
        <f t="shared" si="855"/>
        <v>27.088016699098127</v>
      </c>
      <c r="BO441" s="7">
        <f t="shared" si="856"/>
        <v>1.3633811203954377E-2</v>
      </c>
      <c r="BP441" s="9">
        <f t="shared" si="857"/>
        <v>0.43807492447806218</v>
      </c>
      <c r="BQ441" s="4">
        <f t="shared" si="858"/>
        <v>965.96802898123281</v>
      </c>
      <c r="BR441" s="6">
        <f t="shared" si="859"/>
        <v>5.4319360579624669E-6</v>
      </c>
      <c r="BS441" s="8">
        <f t="shared" si="860"/>
        <v>26.997632333284177</v>
      </c>
      <c r="BT441" s="7">
        <f t="shared" si="861"/>
        <v>1.3594471313699116E-2</v>
      </c>
      <c r="BU441" s="9">
        <f t="shared" si="862"/>
        <v>0.43954153917001532</v>
      </c>
      <c r="BV441" s="4">
        <f t="shared" si="863"/>
        <v>956.55459847939551</v>
      </c>
      <c r="BW441" s="6">
        <f t="shared" si="864"/>
        <v>5.413109196958792E-6</v>
      </c>
      <c r="BX441" s="8">
        <f t="shared" si="865"/>
        <v>26.889377882513045</v>
      </c>
      <c r="BY441" s="7">
        <f t="shared" si="866"/>
        <v>1.3547353450176719E-2</v>
      </c>
      <c r="BZ441" s="9">
        <f t="shared" si="867"/>
        <v>0.44131109769687477</v>
      </c>
      <c r="CA441" s="4">
        <f t="shared" si="868"/>
        <v>943.60621721299469</v>
      </c>
      <c r="CB441" s="6">
        <f t="shared" si="869"/>
        <v>5.3872124344259897E-6</v>
      </c>
      <c r="CC441" s="8">
        <f t="shared" si="870"/>
        <v>26.740471497949436</v>
      </c>
      <c r="CD441" s="7">
        <f t="shared" si="871"/>
        <v>1.3482541789727626E-2</v>
      </c>
      <c r="CE441" s="9">
        <f t="shared" si="872"/>
        <v>0.44376857269057035</v>
      </c>
      <c r="CF441" s="4">
        <f t="shared" si="873"/>
        <v>922.18639439606443</v>
      </c>
      <c r="CG441" s="6">
        <f t="shared" si="874"/>
        <v>5.3443727887921291E-6</v>
      </c>
      <c r="CH441" s="8">
        <f t="shared" si="875"/>
        <v>26.494143535554741</v>
      </c>
      <c r="CI441" s="7">
        <f t="shared" si="876"/>
        <v>1.3375327285093525E-2</v>
      </c>
      <c r="CJ441" s="9">
        <f t="shared" si="877"/>
        <v>0.44789448859870207</v>
      </c>
      <c r="CK441" s="4">
        <f t="shared" si="878"/>
        <v>882.10391709927296</v>
      </c>
      <c r="CL441" s="6">
        <f t="shared" si="879"/>
        <v>5.264207834198546E-6</v>
      </c>
      <c r="CM441" s="8">
        <f t="shared" si="880"/>
        <v>26.033195046641637</v>
      </c>
      <c r="CN441" s="7">
        <f t="shared" si="881"/>
        <v>1.3174698970629299E-2</v>
      </c>
      <c r="CO441" s="9">
        <f t="shared" si="882"/>
        <v>0.45582498991988785</v>
      </c>
      <c r="CP441" s="4">
        <f t="shared" si="883"/>
        <v>806.80839912042541</v>
      </c>
      <c r="CQ441" s="6">
        <f t="shared" si="884"/>
        <v>5.1136167982408511E-6</v>
      </c>
      <c r="CR441" s="8">
        <f t="shared" si="885"/>
        <v>25.167296589884891</v>
      </c>
      <c r="CS441" s="7">
        <f t="shared" si="886"/>
        <v>1.279781575687604E-2</v>
      </c>
      <c r="CT441" s="9">
        <f t="shared" si="887"/>
        <v>0.4715079677841621</v>
      </c>
      <c r="CU441" s="4">
        <f t="shared" si="888"/>
        <v>677.6923620280769</v>
      </c>
      <c r="CV441" s="6">
        <f t="shared" si="889"/>
        <v>4.8553847240561542E-6</v>
      </c>
      <c r="CW441" s="8">
        <f t="shared" si="890"/>
        <v>28.349373704789741</v>
      </c>
      <c r="CX441" s="7">
        <f t="shared" si="891"/>
        <v>1.215154001148413E-2</v>
      </c>
      <c r="CY441" s="9">
        <f t="shared" si="892"/>
        <v>0.41858352827431217</v>
      </c>
      <c r="CZ441" s="5">
        <f t="shared" si="893"/>
        <v>490.53494770423782</v>
      </c>
      <c r="DA441" s="6">
        <f t="shared" si="894"/>
        <v>7.3565445665390457E-6</v>
      </c>
      <c r="DB441" s="8">
        <f t="shared" si="895"/>
        <v>39.269486516577103</v>
      </c>
      <c r="DC441" s="7">
        <f t="shared" si="896"/>
        <v>1.8411176606389867E-2</v>
      </c>
      <c r="DD441" s="9">
        <f t="shared" si="897"/>
        <v>0.30218324511853689</v>
      </c>
    </row>
    <row r="442" spans="2:108" x14ac:dyDescent="0.25">
      <c r="B442">
        <v>175</v>
      </c>
      <c r="C442">
        <f t="shared" si="805"/>
        <v>0.17108256661041901</v>
      </c>
      <c r="D442" s="4">
        <f t="shared" si="806"/>
        <v>1017.1258874296931</v>
      </c>
      <c r="E442" s="6">
        <f t="shared" si="794"/>
        <v>5.5342517748593872E-6</v>
      </c>
      <c r="F442" s="8">
        <f t="shared" si="807"/>
        <v>27.58594770544147</v>
      </c>
      <c r="G442" s="7">
        <f t="shared" si="792"/>
        <v>1.3850536198015424E-2</v>
      </c>
      <c r="H442" s="9">
        <f t="shared" si="808"/>
        <v>0.430167598243404</v>
      </c>
      <c r="I442" s="4">
        <f t="shared" si="809"/>
        <v>1016.8012172171484</v>
      </c>
      <c r="J442" s="6">
        <f t="shared" si="795"/>
        <v>5.5336024344342966E-6</v>
      </c>
      <c r="K442" s="8">
        <f t="shared" si="810"/>
        <v>27.582213997997208</v>
      </c>
      <c r="L442" s="7">
        <f t="shared" si="796"/>
        <v>1.3848911097924495E-2</v>
      </c>
      <c r="M442" s="9">
        <f t="shared" si="811"/>
        <v>0.43022582852049335</v>
      </c>
      <c r="N442" s="4">
        <f t="shared" si="812"/>
        <v>1015.8950685170819</v>
      </c>
      <c r="O442" s="6">
        <f t="shared" si="797"/>
        <v>5.5317901370341645E-6</v>
      </c>
      <c r="P442" s="8">
        <f t="shared" si="798"/>
        <v>27.571793287946441</v>
      </c>
      <c r="Q442" s="7">
        <f t="shared" si="793"/>
        <v>1.3850536198015424E-2</v>
      </c>
      <c r="R442" s="9">
        <f t="shared" si="813"/>
        <v>0.43038843160432405</v>
      </c>
      <c r="S442" s="4">
        <f t="shared" si="814"/>
        <v>1014.3934180237309</v>
      </c>
      <c r="T442" s="6">
        <f t="shared" si="799"/>
        <v>5.5287868360474622E-6</v>
      </c>
      <c r="U442" s="8">
        <f t="shared" si="800"/>
        <v>27.554524307272906</v>
      </c>
      <c r="V442" s="7">
        <f t="shared" si="801"/>
        <v>1.3836859130922389E-2</v>
      </c>
      <c r="W442" s="9">
        <f t="shared" si="815"/>
        <v>0.43065816478587371</v>
      </c>
      <c r="X442" s="4">
        <f t="shared" si="816"/>
        <v>1012.2943377220163</v>
      </c>
      <c r="Y442" s="6">
        <f t="shared" si="802"/>
        <v>5.5245886754440334E-6</v>
      </c>
      <c r="Z442" s="8">
        <f t="shared" si="803"/>
        <v>27.530384883803187</v>
      </c>
      <c r="AA442" s="7">
        <f t="shared" si="804"/>
        <v>1.3826352421475771E-2</v>
      </c>
      <c r="AB442" s="9">
        <f t="shared" si="817"/>
        <v>0.43103577809765037</v>
      </c>
      <c r="AC442" s="4">
        <f t="shared" si="818"/>
        <v>1009.5963672532134</v>
      </c>
      <c r="AD442" s="6">
        <f t="shared" si="819"/>
        <v>5.5191927345064272E-6</v>
      </c>
      <c r="AE442" s="8">
        <f t="shared" si="820"/>
        <v>27.499358223411953</v>
      </c>
      <c r="AF442" s="7">
        <f t="shared" si="821"/>
        <v>1.3812848034917469E-2</v>
      </c>
      <c r="AG442" s="9">
        <f t="shared" si="822"/>
        <v>0.43152210220001147</v>
      </c>
      <c r="AH442" s="4">
        <f t="shared" si="823"/>
        <v>1006.2991735668143</v>
      </c>
      <c r="AI442" s="6">
        <f t="shared" si="824"/>
        <v>5.5125983471336292E-6</v>
      </c>
      <c r="AJ442" s="8">
        <f t="shared" si="825"/>
        <v>27.461440496018362</v>
      </c>
      <c r="AK442" s="7">
        <f t="shared" si="826"/>
        <v>1.3796344304200773E-2</v>
      </c>
      <c r="AL442" s="9">
        <f t="shared" si="827"/>
        <v>0.43211793173917573</v>
      </c>
      <c r="AM442" s="4">
        <f t="shared" si="828"/>
        <v>1002.4026222460783</v>
      </c>
      <c r="AN442" s="6">
        <f t="shared" si="829"/>
        <v>5.5048052444921568E-6</v>
      </c>
      <c r="AO442" s="8">
        <f t="shared" si="830"/>
        <v>27.4166301558299</v>
      </c>
      <c r="AP442" s="7">
        <f t="shared" si="831"/>
        <v>1.3776840556517863E-2</v>
      </c>
      <c r="AQ442" s="9">
        <f t="shared" si="832"/>
        <v>0.43282419474132844</v>
      </c>
      <c r="AR442" s="4">
        <f t="shared" si="833"/>
        <v>997.90656990908474</v>
      </c>
      <c r="AS442" s="6">
        <f t="shared" si="834"/>
        <v>5.4958131398181706E-6</v>
      </c>
      <c r="AT442" s="8">
        <f t="shared" si="835"/>
        <v>27.364925553954471</v>
      </c>
      <c r="AU442" s="7">
        <f t="shared" si="836"/>
        <v>1.3754336074186725E-2</v>
      </c>
      <c r="AV442" s="9">
        <f t="shared" si="837"/>
        <v>0.43364199351907512</v>
      </c>
      <c r="AW442" s="4">
        <f t="shared" si="838"/>
        <v>992.81041317167694</v>
      </c>
      <c r="AX442" s="6">
        <f t="shared" si="839"/>
        <v>5.4856208263433545E-6</v>
      </c>
      <c r="AY442" s="8">
        <f t="shared" si="840"/>
        <v>27.306319751474284</v>
      </c>
      <c r="AZ442" s="7">
        <f t="shared" si="841"/>
        <v>1.3728827837036085E-2</v>
      </c>
      <c r="BA442" s="9">
        <f t="shared" si="842"/>
        <v>0.43457269151318773</v>
      </c>
      <c r="BB442" s="4">
        <f t="shared" si="843"/>
        <v>987.11118862687454</v>
      </c>
      <c r="BC442" s="6">
        <f t="shared" si="844"/>
        <v>5.4742223772537501E-6</v>
      </c>
      <c r="BD442" s="8">
        <f t="shared" si="845"/>
        <v>27.240778669209057</v>
      </c>
      <c r="BE442" s="7">
        <f t="shared" si="846"/>
        <v>1.3700301012066903E-2</v>
      </c>
      <c r="BF442" s="9">
        <f t="shared" si="847"/>
        <v>0.43561826972042456</v>
      </c>
      <c r="BG442" s="4">
        <f t="shared" si="848"/>
        <v>980.79540174324018</v>
      </c>
      <c r="BH442" s="6">
        <f t="shared" si="849"/>
        <v>5.4615908034864808E-6</v>
      </c>
      <c r="BI442" s="8">
        <f t="shared" si="850"/>
        <v>27.168147120047259</v>
      </c>
      <c r="BJ442" s="7">
        <f t="shared" si="851"/>
        <v>1.3668688053925708E-2</v>
      </c>
      <c r="BK442" s="9">
        <f t="shared" si="852"/>
        <v>0.43678285520478499</v>
      </c>
      <c r="BL442" s="4">
        <f t="shared" si="853"/>
        <v>973.80713557880051</v>
      </c>
      <c r="BM442" s="6">
        <f t="shared" si="854"/>
        <v>5.4476142711576014E-6</v>
      </c>
      <c r="BN442" s="8">
        <f t="shared" si="855"/>
        <v>27.087782059156204</v>
      </c>
      <c r="BO442" s="7">
        <f t="shared" si="856"/>
        <v>1.3633709076672943E-2</v>
      </c>
      <c r="BP442" s="9">
        <f t="shared" si="857"/>
        <v>0.43807871917319863</v>
      </c>
      <c r="BQ442" s="4">
        <f t="shared" si="858"/>
        <v>965.9377858111219</v>
      </c>
      <c r="BR442" s="6">
        <f t="shared" si="859"/>
        <v>5.431875571622244E-6</v>
      </c>
      <c r="BS442" s="8">
        <f t="shared" si="860"/>
        <v>26.997284536827902</v>
      </c>
      <c r="BT442" s="7">
        <f t="shared" si="861"/>
        <v>1.3594319934925828E-2</v>
      </c>
      <c r="BU442" s="9">
        <f t="shared" si="862"/>
        <v>0.43954720162801181</v>
      </c>
      <c r="BV442" s="4">
        <f t="shared" si="863"/>
        <v>956.49568631262275</v>
      </c>
      <c r="BW442" s="6">
        <f t="shared" si="864"/>
        <v>5.412991372625246E-6</v>
      </c>
      <c r="BX442" s="8">
        <f t="shared" si="865"/>
        <v>26.888700392595162</v>
      </c>
      <c r="BY442" s="7">
        <f t="shared" si="866"/>
        <v>1.354705857197761E-2</v>
      </c>
      <c r="BZ442" s="9">
        <f t="shared" si="867"/>
        <v>0.44132221700777396</v>
      </c>
      <c r="CA442" s="4">
        <f t="shared" si="868"/>
        <v>943.47593449566295</v>
      </c>
      <c r="CB442" s="6">
        <f t="shared" si="869"/>
        <v>5.3869518689913264E-6</v>
      </c>
      <c r="CC442" s="8">
        <f t="shared" si="870"/>
        <v>26.738973246700123</v>
      </c>
      <c r="CD442" s="7">
        <f t="shared" si="871"/>
        <v>1.3481889674296022E-2</v>
      </c>
      <c r="CE442" s="9">
        <f t="shared" si="872"/>
        <v>0.44379343814865302</v>
      </c>
      <c r="CF442" s="4">
        <f t="shared" si="873"/>
        <v>921.90887507156094</v>
      </c>
      <c r="CG442" s="6">
        <f t="shared" si="874"/>
        <v>5.3438177501431221E-6</v>
      </c>
      <c r="CH442" s="8">
        <f t="shared" si="875"/>
        <v>26.49095206332295</v>
      </c>
      <c r="CI442" s="7">
        <f t="shared" si="876"/>
        <v>1.3373938193448962E-2</v>
      </c>
      <c r="CJ442" s="9">
        <f t="shared" si="877"/>
        <v>0.44794844826084323</v>
      </c>
      <c r="CK442" s="4">
        <f t="shared" si="878"/>
        <v>881.58759600553776</v>
      </c>
      <c r="CL442" s="6">
        <f t="shared" si="879"/>
        <v>5.2631751920110755E-6</v>
      </c>
      <c r="CM442" s="8">
        <f t="shared" si="880"/>
        <v>26.027257354063686</v>
      </c>
      <c r="CN442" s="7">
        <f t="shared" si="881"/>
        <v>1.317211458369155E-2</v>
      </c>
      <c r="CO442" s="9">
        <f t="shared" si="882"/>
        <v>0.45592897892736078</v>
      </c>
      <c r="CP442" s="4">
        <f t="shared" si="883"/>
        <v>806.02467650833</v>
      </c>
      <c r="CQ442" s="6">
        <f t="shared" si="884"/>
        <v>5.1120493530166604E-6</v>
      </c>
      <c r="CR442" s="8">
        <f t="shared" si="885"/>
        <v>25.158283779845796</v>
      </c>
      <c r="CS442" s="7">
        <f t="shared" si="886"/>
        <v>1.2793892921829992E-2</v>
      </c>
      <c r="CT442" s="9">
        <f t="shared" si="887"/>
        <v>0.47167688279373693</v>
      </c>
      <c r="CU442" s="4">
        <f t="shared" si="888"/>
        <v>676.84330347665127</v>
      </c>
      <c r="CV442" s="6">
        <f t="shared" si="889"/>
        <v>4.8536866069533031E-6</v>
      </c>
      <c r="CW442" s="8">
        <f t="shared" si="890"/>
        <v>28.519864661915904</v>
      </c>
      <c r="CX442" s="7">
        <f t="shared" si="891"/>
        <v>1.2147290144770737E-2</v>
      </c>
      <c r="CY442" s="9">
        <f t="shared" si="892"/>
        <v>0.41608124759315485</v>
      </c>
      <c r="CZ442" s="5">
        <f t="shared" si="893"/>
        <v>490.36770796874532</v>
      </c>
      <c r="DA442" s="6">
        <f t="shared" si="894"/>
        <v>7.3590380908535755E-6</v>
      </c>
      <c r="DB442" s="8">
        <f t="shared" si="895"/>
        <v>39.274336468906384</v>
      </c>
      <c r="DC442" s="7">
        <f t="shared" si="896"/>
        <v>1.8417417133598245E-2</v>
      </c>
      <c r="DD442" s="9">
        <f t="shared" si="897"/>
        <v>0.30214592878259594</v>
      </c>
    </row>
    <row r="443" spans="2:108" x14ac:dyDescent="0.25">
      <c r="B443">
        <v>176</v>
      </c>
      <c r="C443">
        <f t="shared" si="805"/>
        <v>0.17206018127676426</v>
      </c>
      <c r="D443" s="4">
        <f t="shared" si="806"/>
        <v>1017.1093114087656</v>
      </c>
      <c r="E443" s="6">
        <f t="shared" si="794"/>
        <v>5.5342186228175311E-6</v>
      </c>
      <c r="F443" s="8">
        <f t="shared" si="807"/>
        <v>27.585757081200803</v>
      </c>
      <c r="G443" s="7">
        <f t="shared" si="792"/>
        <v>1.3850453228614239E-2</v>
      </c>
      <c r="H443" s="9">
        <f t="shared" si="808"/>
        <v>0.43017057080535082</v>
      </c>
      <c r="I443" s="4">
        <f t="shared" si="809"/>
        <v>1016.7846397766625</v>
      </c>
      <c r="J443" s="6">
        <f t="shared" si="795"/>
        <v>5.5335692795533259E-6</v>
      </c>
      <c r="K443" s="8">
        <f t="shared" si="810"/>
        <v>27.582023357431616</v>
      </c>
      <c r="L443" s="7">
        <f t="shared" si="796"/>
        <v>1.3848828121417878E-2</v>
      </c>
      <c r="M443" s="9">
        <f t="shared" si="811"/>
        <v>0.43022880214190679</v>
      </c>
      <c r="N443" s="4">
        <f t="shared" si="812"/>
        <v>1015.8784852158055</v>
      </c>
      <c r="O443" s="6">
        <f t="shared" si="797"/>
        <v>5.5317569704316112E-6</v>
      </c>
      <c r="P443" s="8">
        <f t="shared" si="798"/>
        <v>27.571602579981764</v>
      </c>
      <c r="Q443" s="7">
        <f t="shared" si="793"/>
        <v>1.3850453228614239E-2</v>
      </c>
      <c r="R443" s="9">
        <f t="shared" si="813"/>
        <v>0.43039140852601637</v>
      </c>
      <c r="S443" s="4">
        <f t="shared" si="814"/>
        <v>1014.3768313912018</v>
      </c>
      <c r="T443" s="6">
        <f t="shared" si="799"/>
        <v>5.5287536627824045E-6</v>
      </c>
      <c r="U443" s="8">
        <f t="shared" si="800"/>
        <v>27.55433356099882</v>
      </c>
      <c r="V443" s="7">
        <f t="shared" si="801"/>
        <v>1.3836776108406033E-2</v>
      </c>
      <c r="W443" s="9">
        <f t="shared" si="815"/>
        <v>0.43066114603890082</v>
      </c>
      <c r="X443" s="4">
        <f t="shared" si="816"/>
        <v>1012.2777540481742</v>
      </c>
      <c r="Y443" s="6">
        <f t="shared" si="802"/>
        <v>5.5245555080963487E-6</v>
      </c>
      <c r="Z443" s="8">
        <f t="shared" si="803"/>
        <v>27.530194171554001</v>
      </c>
      <c r="AA443" s="7">
        <f t="shared" si="804"/>
        <v>1.3826269413768789E-2</v>
      </c>
      <c r="AB443" s="9">
        <f t="shared" si="817"/>
        <v>0.43103876404835628</v>
      </c>
      <c r="AC443" s="4">
        <f t="shared" si="818"/>
        <v>1009.579793156089</v>
      </c>
      <c r="AD443" s="6">
        <f t="shared" si="819"/>
        <v>5.5191595863121784E-6</v>
      </c>
      <c r="AE443" s="8">
        <f t="shared" si="820"/>
        <v>27.499167621295022</v>
      </c>
      <c r="AF443" s="7">
        <f t="shared" si="821"/>
        <v>1.3812765075145667E-2</v>
      </c>
      <c r="AG443" s="9">
        <f t="shared" si="822"/>
        <v>0.43152509316422227</v>
      </c>
      <c r="AH443" s="4">
        <f t="shared" si="823"/>
        <v>1006.2826143214656</v>
      </c>
      <c r="AI443" s="6">
        <f t="shared" si="824"/>
        <v>5.5125652286429319E-6</v>
      </c>
      <c r="AJ443" s="8">
        <f t="shared" si="825"/>
        <v>27.461250064696856</v>
      </c>
      <c r="AK443" s="7">
        <f t="shared" si="826"/>
        <v>1.3796261418767858E-2</v>
      </c>
      <c r="AL443" s="9">
        <f t="shared" si="827"/>
        <v>0.432120928281161</v>
      </c>
      <c r="AM443" s="4">
        <f t="shared" si="828"/>
        <v>1002.3860809051911</v>
      </c>
      <c r="AN443" s="6">
        <f t="shared" si="829"/>
        <v>5.5047721618103822E-6</v>
      </c>
      <c r="AO443" s="8">
        <f t="shared" si="830"/>
        <v>27.416439930409695</v>
      </c>
      <c r="AP443" s="7">
        <f t="shared" si="831"/>
        <v>1.3776757760703705E-2</v>
      </c>
      <c r="AQ443" s="9">
        <f t="shared" si="832"/>
        <v>0.43282719783598728</v>
      </c>
      <c r="AR443" s="4">
        <f t="shared" si="833"/>
        <v>997.89004306982861</v>
      </c>
      <c r="AS443" s="6">
        <f t="shared" si="834"/>
        <v>5.4957800861396579E-6</v>
      </c>
      <c r="AT443" s="8">
        <f t="shared" si="835"/>
        <v>27.36473549530303</v>
      </c>
      <c r="AU443" s="7">
        <f t="shared" si="836"/>
        <v>1.3754253350958845E-2</v>
      </c>
      <c r="AV443" s="9">
        <f t="shared" si="837"/>
        <v>0.43364500533011607</v>
      </c>
      <c r="AW443" s="4">
        <f t="shared" si="838"/>
        <v>992.79386940153427</v>
      </c>
      <c r="AX443" s="6">
        <f t="shared" si="839"/>
        <v>5.4855877388030692E-6</v>
      </c>
      <c r="AY443" s="8">
        <f t="shared" si="840"/>
        <v>27.306129498117642</v>
      </c>
      <c r="AZ443" s="7">
        <f t="shared" si="841"/>
        <v>1.3728745029062567E-2</v>
      </c>
      <c r="BA443" s="9">
        <f t="shared" si="842"/>
        <v>0.43457571936498457</v>
      </c>
      <c r="BB443" s="4">
        <f t="shared" si="843"/>
        <v>987.09447644830902</v>
      </c>
      <c r="BC443" s="6">
        <f t="shared" si="844"/>
        <v>5.4741889528966189E-6</v>
      </c>
      <c r="BD443" s="8">
        <f t="shared" si="845"/>
        <v>27.240586479155553</v>
      </c>
      <c r="BE443" s="7">
        <f t="shared" si="846"/>
        <v>1.3700217361144037E-2</v>
      </c>
      <c r="BF443" s="9">
        <f t="shared" si="847"/>
        <v>0.43562134313070627</v>
      </c>
      <c r="BG443" s="4">
        <f t="shared" si="848"/>
        <v>980.77790370280673</v>
      </c>
      <c r="BH443" s="6">
        <f t="shared" si="849"/>
        <v>5.4615558074056134E-6</v>
      </c>
      <c r="BI443" s="8">
        <f t="shared" si="850"/>
        <v>27.167945892582274</v>
      </c>
      <c r="BJ443" s="7">
        <f t="shared" si="851"/>
        <v>1.3668600469459991E-2</v>
      </c>
      <c r="BK443" s="9">
        <f t="shared" si="852"/>
        <v>0.4367860903668046</v>
      </c>
      <c r="BL443" s="4">
        <f t="shared" si="853"/>
        <v>973.78663061504324</v>
      </c>
      <c r="BM443" s="6">
        <f t="shared" si="854"/>
        <v>5.4475732612300868E-6</v>
      </c>
      <c r="BN443" s="8">
        <f t="shared" si="855"/>
        <v>27.087546252072997</v>
      </c>
      <c r="BO443" s="7">
        <f t="shared" si="856"/>
        <v>1.3633606441392037E-2</v>
      </c>
      <c r="BP443" s="9">
        <f t="shared" si="857"/>
        <v>0.43808253281006415</v>
      </c>
      <c r="BQ443" s="4">
        <f t="shared" si="858"/>
        <v>965.90726596463708</v>
      </c>
      <c r="BR443" s="6">
        <f t="shared" si="859"/>
        <v>5.4318145319292745E-6</v>
      </c>
      <c r="BS443" s="8">
        <f t="shared" si="860"/>
        <v>26.996933558593327</v>
      </c>
      <c r="BT443" s="7">
        <f t="shared" si="861"/>
        <v>1.3594167171280192E-2</v>
      </c>
      <c r="BU443" s="9">
        <f t="shared" si="862"/>
        <v>0.43955291603629837</v>
      </c>
      <c r="BV443" s="4">
        <f t="shared" si="863"/>
        <v>956.43614574600497</v>
      </c>
      <c r="BW443" s="6">
        <f t="shared" si="864"/>
        <v>5.4128722914920099E-6</v>
      </c>
      <c r="BX443" s="8">
        <f t="shared" si="865"/>
        <v>26.888015676079057</v>
      </c>
      <c r="BY443" s="7">
        <f t="shared" si="866"/>
        <v>1.354676054839403E-2</v>
      </c>
      <c r="BZ443" s="9">
        <f t="shared" si="867"/>
        <v>0.44133345549463554</v>
      </c>
      <c r="CA443" s="4">
        <f t="shared" si="868"/>
        <v>943.34452819117507</v>
      </c>
      <c r="CB443" s="6">
        <f t="shared" si="869"/>
        <v>5.3866890563823504E-6</v>
      </c>
      <c r="CC443" s="8">
        <f t="shared" si="870"/>
        <v>26.737462074198511</v>
      </c>
      <c r="CD443" s="7">
        <f t="shared" si="871"/>
        <v>1.3481231934875774E-2</v>
      </c>
      <c r="CE443" s="9">
        <f t="shared" si="872"/>
        <v>0.44381852087483942</v>
      </c>
      <c r="CF443" s="4">
        <f t="shared" si="873"/>
        <v>921.62997224164656</v>
      </c>
      <c r="CG443" s="6">
        <f t="shared" si="874"/>
        <v>5.343259944483293E-6</v>
      </c>
      <c r="CH443" s="8">
        <f t="shared" si="875"/>
        <v>26.487744680778935</v>
      </c>
      <c r="CI443" s="7">
        <f t="shared" si="876"/>
        <v>1.3372542176824272E-2</v>
      </c>
      <c r="CJ443" s="9">
        <f t="shared" si="877"/>
        <v>0.44800269002626664</v>
      </c>
      <c r="CK443" s="4">
        <f t="shared" si="878"/>
        <v>881.07074726093492</v>
      </c>
      <c r="CL443" s="6">
        <f t="shared" si="879"/>
        <v>5.2621414945218696E-6</v>
      </c>
      <c r="CM443" s="8">
        <f t="shared" si="880"/>
        <v>26.02131359350075</v>
      </c>
      <c r="CN443" s="7">
        <f t="shared" si="881"/>
        <v>1.316952755565696E-2</v>
      </c>
      <c r="CO443" s="9">
        <f t="shared" si="882"/>
        <v>0.4560331217360899</v>
      </c>
      <c r="CP443" s="4">
        <f t="shared" si="883"/>
        <v>805.24364720695155</v>
      </c>
      <c r="CQ443" s="6">
        <f t="shared" si="884"/>
        <v>5.1104872944139038E-6</v>
      </c>
      <c r="CR443" s="8">
        <f t="shared" si="885"/>
        <v>25.149301942879944</v>
      </c>
      <c r="CS443" s="7">
        <f t="shared" si="886"/>
        <v>1.2789983567846643E-2</v>
      </c>
      <c r="CT443" s="9">
        <f t="shared" si="887"/>
        <v>0.47184533776204723</v>
      </c>
      <c r="CU443" s="4">
        <f t="shared" si="888"/>
        <v>676.00426795894521</v>
      </c>
      <c r="CV443" s="6">
        <f t="shared" si="889"/>
        <v>4.8520085359178902E-6</v>
      </c>
      <c r="CW443" s="8">
        <f t="shared" si="890"/>
        <v>28.688342993871231</v>
      </c>
      <c r="CX443" s="7">
        <f t="shared" si="891"/>
        <v>1.2143090447220941E-2</v>
      </c>
      <c r="CY443" s="9">
        <f t="shared" si="892"/>
        <v>0.41363772289856504</v>
      </c>
      <c r="CZ443" s="5">
        <f t="shared" si="893"/>
        <v>490.21332554151809</v>
      </c>
      <c r="DA443" s="6">
        <f t="shared" si="894"/>
        <v>7.3613396938412232E-6</v>
      </c>
      <c r="DB443" s="8">
        <f t="shared" si="895"/>
        <v>39.278813559295969</v>
      </c>
      <c r="DC443" s="7">
        <f t="shared" si="896"/>
        <v>1.8423177340540525E-2</v>
      </c>
      <c r="DD443" s="9">
        <f t="shared" si="897"/>
        <v>0.30211148948793742</v>
      </c>
    </row>
    <row r="444" spans="2:108" x14ac:dyDescent="0.25">
      <c r="B444">
        <v>177</v>
      </c>
      <c r="C444">
        <f t="shared" si="805"/>
        <v>0.1730377959431095</v>
      </c>
      <c r="D444" s="4">
        <f t="shared" si="806"/>
        <v>1017.0927353153627</v>
      </c>
      <c r="E444" s="6">
        <f t="shared" si="794"/>
        <v>5.5341854706307256E-6</v>
      </c>
      <c r="F444" s="8">
        <f t="shared" si="807"/>
        <v>27.585566456126671</v>
      </c>
      <c r="G444" s="7">
        <f t="shared" si="792"/>
        <v>1.3850370258850291E-2</v>
      </c>
      <c r="H444" s="9">
        <f t="shared" si="808"/>
        <v>0.43017354342137742</v>
      </c>
      <c r="I444" s="4">
        <f t="shared" si="809"/>
        <v>1016.7680623235517</v>
      </c>
      <c r="J444" s="6">
        <f t="shared" si="795"/>
        <v>5.5335361246471042E-6</v>
      </c>
      <c r="K444" s="8">
        <f t="shared" si="810"/>
        <v>27.581832716720843</v>
      </c>
      <c r="L444" s="7">
        <f t="shared" si="796"/>
        <v>1.3848745144848061E-2</v>
      </c>
      <c r="M444" s="9">
        <f t="shared" si="811"/>
        <v>0.43023177580669109</v>
      </c>
      <c r="N444" s="4">
        <f t="shared" si="812"/>
        <v>1015.861902017096</v>
      </c>
      <c r="O444" s="6">
        <f t="shared" si="797"/>
        <v>5.5317238040341933E-6</v>
      </c>
      <c r="P444" s="8">
        <f t="shared" si="798"/>
        <v>27.571411873196602</v>
      </c>
      <c r="Q444" s="7">
        <f t="shared" si="793"/>
        <v>1.3850370258850291E-2</v>
      </c>
      <c r="R444" s="9">
        <f t="shared" si="813"/>
        <v>0.4303943854704782</v>
      </c>
      <c r="S444" s="4">
        <f t="shared" si="814"/>
        <v>1014.3602449442913</v>
      </c>
      <c r="T444" s="6">
        <f t="shared" si="799"/>
        <v>5.5287204898885835E-6</v>
      </c>
      <c r="U444" s="8">
        <f t="shared" si="800"/>
        <v>27.554142816859347</v>
      </c>
      <c r="V444" s="7">
        <f t="shared" si="801"/>
        <v>1.3836693086818772E-2</v>
      </c>
      <c r="W444" s="9">
        <f t="shared" si="815"/>
        <v>0.43066412729984044</v>
      </c>
      <c r="X444" s="4">
        <f t="shared" si="816"/>
        <v>1012.261170587088</v>
      </c>
      <c r="Y444" s="6">
        <f t="shared" si="802"/>
        <v>5.5245223411741761E-6</v>
      </c>
      <c r="Z444" s="8">
        <f t="shared" si="803"/>
        <v>27.530003461751512</v>
      </c>
      <c r="AA444" s="7">
        <f t="shared" si="804"/>
        <v>1.3826186407126731E-2</v>
      </c>
      <c r="AB444" s="9">
        <f t="shared" si="817"/>
        <v>0.4310417500021238</v>
      </c>
      <c r="AC444" s="4">
        <f t="shared" si="818"/>
        <v>1009.5632192651771</v>
      </c>
      <c r="AD444" s="6">
        <f t="shared" si="819"/>
        <v>5.5191264385303542E-6</v>
      </c>
      <c r="AE444" s="8">
        <f t="shared" si="820"/>
        <v>27.498977021549535</v>
      </c>
      <c r="AF444" s="7">
        <f t="shared" si="821"/>
        <v>1.3812682116406036E-2</v>
      </c>
      <c r="AG444" s="9">
        <f t="shared" si="822"/>
        <v>0.43152808413268134</v>
      </c>
      <c r="AH444" s="4">
        <f t="shared" si="823"/>
        <v>1006.2660552554411</v>
      </c>
      <c r="AI444" s="6">
        <f t="shared" si="824"/>
        <v>5.5125321105108828E-6</v>
      </c>
      <c r="AJ444" s="8">
        <f t="shared" si="825"/>
        <v>27.461059635437572</v>
      </c>
      <c r="AK444" s="7">
        <f t="shared" si="826"/>
        <v>1.3796178534232527E-2</v>
      </c>
      <c r="AL444" s="9">
        <f t="shared" si="827"/>
        <v>0.43212392483225504</v>
      </c>
      <c r="AM444" s="4">
        <f t="shared" si="828"/>
        <v>1002.3695396486684</v>
      </c>
      <c r="AN444" s="6">
        <f t="shared" si="829"/>
        <v>5.5047390792973365E-6</v>
      </c>
      <c r="AO444" s="8">
        <f t="shared" si="830"/>
        <v>27.416249705959686</v>
      </c>
      <c r="AP444" s="7">
        <f t="shared" si="831"/>
        <v>1.3776674965311826E-2</v>
      </c>
      <c r="AQ444" s="9">
        <f t="shared" si="832"/>
        <v>0.43283020095700275</v>
      </c>
      <c r="AR444" s="4">
        <f t="shared" si="833"/>
        <v>997.87351589476805</v>
      </c>
      <c r="AS444" s="6">
        <f t="shared" si="834"/>
        <v>5.495747031789537E-6</v>
      </c>
      <c r="AT444" s="8">
        <f t="shared" si="835"/>
        <v>27.364545432789832</v>
      </c>
      <c r="AU444" s="7">
        <f t="shared" si="836"/>
        <v>1.3754170626050137E-2</v>
      </c>
      <c r="AV444" s="9">
        <f t="shared" si="837"/>
        <v>0.43364801724419122</v>
      </c>
      <c r="AW444" s="4">
        <f t="shared" si="838"/>
        <v>992.7773235058246</v>
      </c>
      <c r="AX444" s="6">
        <f t="shared" si="839"/>
        <v>5.4855546470116492E-6</v>
      </c>
      <c r="AY444" s="8">
        <f t="shared" si="840"/>
        <v>27.305939220316983</v>
      </c>
      <c r="AZ444" s="7">
        <f t="shared" si="841"/>
        <v>1.3728662210449759E-2</v>
      </c>
      <c r="BA444" s="9">
        <f t="shared" si="842"/>
        <v>0.43457874764800508</v>
      </c>
      <c r="BB444" s="4">
        <f t="shared" si="843"/>
        <v>987.07775523870725</v>
      </c>
      <c r="BC444" s="6">
        <f t="shared" si="844"/>
        <v>5.4741555104774147E-6</v>
      </c>
      <c r="BD444" s="8">
        <f t="shared" si="845"/>
        <v>27.240394185245133</v>
      </c>
      <c r="BE444" s="7">
        <f t="shared" si="846"/>
        <v>1.3700133665017338E-2</v>
      </c>
      <c r="BF444" s="9">
        <f t="shared" si="847"/>
        <v>0.43562441824522052</v>
      </c>
      <c r="BG444" s="4">
        <f t="shared" si="848"/>
        <v>980.76037297853804</v>
      </c>
      <c r="BH444" s="6">
        <f t="shared" si="849"/>
        <v>5.4615207459570773E-6</v>
      </c>
      <c r="BI444" s="8">
        <f t="shared" si="850"/>
        <v>27.167744289253186</v>
      </c>
      <c r="BJ444" s="7">
        <f t="shared" si="851"/>
        <v>1.3668512721399032E-2</v>
      </c>
      <c r="BK444" s="9">
        <f t="shared" si="852"/>
        <v>0.43678933161970285</v>
      </c>
      <c r="BL444" s="4">
        <f t="shared" si="853"/>
        <v>973.76602257834236</v>
      </c>
      <c r="BM444" s="6">
        <f t="shared" si="854"/>
        <v>5.447532045156685E-6</v>
      </c>
      <c r="BN444" s="8">
        <f t="shared" si="855"/>
        <v>27.087309259650937</v>
      </c>
      <c r="BO444" s="7">
        <f t="shared" si="856"/>
        <v>1.3633503290191151E-2</v>
      </c>
      <c r="BP444" s="9">
        <f t="shared" si="857"/>
        <v>0.43808636568395787</v>
      </c>
      <c r="BQ444" s="4">
        <f t="shared" si="858"/>
        <v>965.87646676399322</v>
      </c>
      <c r="BR444" s="6">
        <f t="shared" si="859"/>
        <v>5.4317529335279866E-6</v>
      </c>
      <c r="BS444" s="8">
        <f t="shared" si="860"/>
        <v>26.99657936778592</v>
      </c>
      <c r="BT444" s="7">
        <f t="shared" si="861"/>
        <v>1.3594013009358858E-2</v>
      </c>
      <c r="BU444" s="9">
        <f t="shared" si="862"/>
        <v>0.43955868290031874</v>
      </c>
      <c r="BV444" s="4">
        <f t="shared" si="863"/>
        <v>956.37597443844425</v>
      </c>
      <c r="BW444" s="6">
        <f t="shared" si="864"/>
        <v>5.4127519488768882E-6</v>
      </c>
      <c r="BX444" s="8">
        <f t="shared" si="865"/>
        <v>26.88732370604211</v>
      </c>
      <c r="BY444" s="7">
        <f t="shared" si="866"/>
        <v>1.3546459367707873E-2</v>
      </c>
      <c r="BZ444" s="9">
        <f t="shared" si="867"/>
        <v>0.44134481361755035</v>
      </c>
      <c r="CA444" s="4">
        <f t="shared" si="868"/>
        <v>943.21200122607695</v>
      </c>
      <c r="CB444" s="6">
        <f t="shared" si="869"/>
        <v>5.3864240024521549E-6</v>
      </c>
      <c r="CC444" s="8">
        <f t="shared" si="870"/>
        <v>26.735938014099887</v>
      </c>
      <c r="CD444" s="7">
        <f t="shared" si="871"/>
        <v>1.3480568586115372E-2</v>
      </c>
      <c r="CE444" s="9">
        <f t="shared" si="872"/>
        <v>0.44384382038362563</v>
      </c>
      <c r="CF444" s="4">
        <f t="shared" si="873"/>
        <v>921.34970145157195</v>
      </c>
      <c r="CG444" s="6">
        <f t="shared" si="874"/>
        <v>5.3426994029031445E-6</v>
      </c>
      <c r="CH444" s="8">
        <f t="shared" si="875"/>
        <v>26.484521566693076</v>
      </c>
      <c r="CI444" s="7">
        <f t="shared" si="876"/>
        <v>1.3371139313029455E-2</v>
      </c>
      <c r="CJ444" s="9">
        <f t="shared" si="877"/>
        <v>0.44805721107083568</v>
      </c>
      <c r="CK444" s="4">
        <f t="shared" si="878"/>
        <v>880.55340447928597</v>
      </c>
      <c r="CL444" s="6">
        <f t="shared" si="879"/>
        <v>5.2611068089585724E-6</v>
      </c>
      <c r="CM444" s="8">
        <f t="shared" si="880"/>
        <v>26.01536415151179</v>
      </c>
      <c r="CN444" s="7">
        <f t="shared" si="881"/>
        <v>1.3166938054775718E-2</v>
      </c>
      <c r="CO444" s="9">
        <f t="shared" si="882"/>
        <v>0.45613741174667793</v>
      </c>
      <c r="CP444" s="4">
        <f t="shared" si="883"/>
        <v>804.46536832349284</v>
      </c>
      <c r="CQ444" s="6">
        <f t="shared" si="884"/>
        <v>5.1089307366469858E-6</v>
      </c>
      <c r="CR444" s="8">
        <f t="shared" si="885"/>
        <v>25.140351735720166</v>
      </c>
      <c r="CS444" s="7">
        <f t="shared" si="886"/>
        <v>1.2786087980769644E-2</v>
      </c>
      <c r="CT444" s="9">
        <f t="shared" si="887"/>
        <v>0.47201331924316337</v>
      </c>
      <c r="CU444" s="4">
        <f t="shared" si="888"/>
        <v>675.17519455445768</v>
      </c>
      <c r="CV444" s="6">
        <f t="shared" si="889"/>
        <v>4.8503503891089154E-6</v>
      </c>
      <c r="CW444" s="8">
        <f t="shared" si="890"/>
        <v>28.854820933492249</v>
      </c>
      <c r="CX444" s="7">
        <f t="shared" si="891"/>
        <v>1.2138940613904059E-2</v>
      </c>
      <c r="CY444" s="9">
        <f t="shared" si="892"/>
        <v>0.41125123933602964</v>
      </c>
      <c r="CZ444" s="5">
        <f t="shared" si="893"/>
        <v>490.07092834191678</v>
      </c>
      <c r="DA444" s="6">
        <f t="shared" si="894"/>
        <v>7.3634624284138751E-6</v>
      </c>
      <c r="DB444" s="8">
        <f t="shared" si="895"/>
        <v>39.282943078084408</v>
      </c>
      <c r="DC444" s="7">
        <f t="shared" si="896"/>
        <v>1.842848989465504E-2</v>
      </c>
      <c r="DD444" s="9">
        <f t="shared" si="897"/>
        <v>0.30207973079130507</v>
      </c>
    </row>
    <row r="445" spans="2:108" x14ac:dyDescent="0.25">
      <c r="B445">
        <v>178</v>
      </c>
      <c r="C445">
        <f t="shared" si="805"/>
        <v>0.17401541060945475</v>
      </c>
      <c r="D445" s="4">
        <f t="shared" si="806"/>
        <v>1017.07615915254</v>
      </c>
      <c r="E445" s="6">
        <f t="shared" si="794"/>
        <v>5.5341523183050804E-6</v>
      </c>
      <c r="F445" s="8">
        <f t="shared" si="807"/>
        <v>27.585375830254208</v>
      </c>
      <c r="G445" s="7">
        <f t="shared" si="792"/>
        <v>1.3850287288738869E-2</v>
      </c>
      <c r="H445" s="9">
        <f t="shared" si="808"/>
        <v>0.43017651609093716</v>
      </c>
      <c r="I445" s="4">
        <f t="shared" si="809"/>
        <v>1016.7514848597964</v>
      </c>
      <c r="J445" s="6">
        <f t="shared" si="795"/>
        <v>5.5335029697195931E-6</v>
      </c>
      <c r="K445" s="8">
        <f t="shared" si="810"/>
        <v>27.581642075887657</v>
      </c>
      <c r="L445" s="7">
        <f t="shared" si="796"/>
        <v>1.3848662168224968E-2</v>
      </c>
      <c r="M445" s="9">
        <f t="shared" si="811"/>
        <v>0.43023474951449198</v>
      </c>
      <c r="N445" s="4">
        <f t="shared" si="812"/>
        <v>1015.8453189211945</v>
      </c>
      <c r="O445" s="6">
        <f t="shared" si="797"/>
        <v>5.5316906378423892E-6</v>
      </c>
      <c r="P445" s="8">
        <f t="shared" si="798"/>
        <v>27.571221167593734</v>
      </c>
      <c r="Q445" s="7">
        <f t="shared" si="793"/>
        <v>1.3850287288738869E-2</v>
      </c>
      <c r="R445" s="9">
        <f t="shared" si="813"/>
        <v>0.43039736243766635</v>
      </c>
      <c r="S445" s="4">
        <f t="shared" si="814"/>
        <v>1014.3436586824786</v>
      </c>
      <c r="T445" s="6">
        <f t="shared" si="799"/>
        <v>5.5286873173649583E-6</v>
      </c>
      <c r="U445" s="8">
        <f t="shared" si="800"/>
        <v>27.553952074848503</v>
      </c>
      <c r="V445" s="7">
        <f t="shared" si="801"/>
        <v>1.3836610066157995E-2</v>
      </c>
      <c r="W445" s="9">
        <f t="shared" si="815"/>
        <v>0.43066710856878571</v>
      </c>
      <c r="X445" s="4">
        <f t="shared" si="816"/>
        <v>1012.2445873383249</v>
      </c>
      <c r="Y445" s="6">
        <f t="shared" si="802"/>
        <v>5.5244891746766498E-6</v>
      </c>
      <c r="Z445" s="8">
        <f t="shared" si="803"/>
        <v>27.529812754390736</v>
      </c>
      <c r="AA445" s="7">
        <f t="shared" si="804"/>
        <v>1.3826103401547435E-2</v>
      </c>
      <c r="AB445" s="9">
        <f t="shared" si="817"/>
        <v>0.43104473595903026</v>
      </c>
      <c r="AC445" s="4">
        <f t="shared" si="818"/>
        <v>1009.5466455801477</v>
      </c>
      <c r="AD445" s="6">
        <f t="shared" si="819"/>
        <v>5.5190932911602956E-6</v>
      </c>
      <c r="AE445" s="8">
        <f t="shared" si="820"/>
        <v>27.498786424171698</v>
      </c>
      <c r="AF445" s="7">
        <f t="shared" si="821"/>
        <v>1.3812599158696929E-2</v>
      </c>
      <c r="AG445" s="9">
        <f t="shared" si="822"/>
        <v>0.43153107510544758</v>
      </c>
      <c r="AH445" s="4">
        <f t="shared" si="823"/>
        <v>1006.2494963676578</v>
      </c>
      <c r="AI445" s="6">
        <f t="shared" si="824"/>
        <v>5.5124989927353168E-6</v>
      </c>
      <c r="AJ445" s="8">
        <f t="shared" si="825"/>
        <v>27.460869208228061</v>
      </c>
      <c r="AK445" s="7">
        <f t="shared" si="826"/>
        <v>1.3796095650589367E-2</v>
      </c>
      <c r="AL445" s="9">
        <f t="shared" si="827"/>
        <v>0.43212692139265324</v>
      </c>
      <c r="AM445" s="4">
        <f t="shared" si="828"/>
        <v>1002.3529984715151</v>
      </c>
      <c r="AN445" s="6">
        <f t="shared" si="829"/>
        <v>5.5047059969430307E-6</v>
      </c>
      <c r="AO445" s="8">
        <f t="shared" si="830"/>
        <v>27.416059482422423</v>
      </c>
      <c r="AP445" s="7">
        <f t="shared" si="831"/>
        <v>1.3776592170317223E-2</v>
      </c>
      <c r="AQ445" s="9">
        <f t="shared" si="832"/>
        <v>0.43283320410528209</v>
      </c>
      <c r="AR445" s="4">
        <f t="shared" si="833"/>
        <v>997.85698836313657</v>
      </c>
      <c r="AS445" s="6">
        <f t="shared" si="834"/>
        <v>5.4957139767262736E-6</v>
      </c>
      <c r="AT445" s="8">
        <f t="shared" si="835"/>
        <v>27.364355366176071</v>
      </c>
      <c r="AU445" s="7">
        <f t="shared" si="836"/>
        <v>1.375408789935665E-2</v>
      </c>
      <c r="AV445" s="9">
        <f t="shared" si="837"/>
        <v>0.43365102926508842</v>
      </c>
      <c r="AW445" s="4">
        <f t="shared" si="838"/>
        <v>992.76077540757069</v>
      </c>
      <c r="AX445" s="6">
        <f t="shared" si="839"/>
        <v>5.485521550815142E-6</v>
      </c>
      <c r="AY445" s="8">
        <f t="shared" si="840"/>
        <v>27.30574891718706</v>
      </c>
      <c r="AZ445" s="7">
        <f t="shared" si="841"/>
        <v>1.3728579380812369E-2</v>
      </c>
      <c r="BA445" s="9">
        <f t="shared" si="842"/>
        <v>0.43458177637635553</v>
      </c>
      <c r="BB445" s="4">
        <f t="shared" si="843"/>
        <v>987.0610247472996</v>
      </c>
      <c r="BC445" s="6">
        <f t="shared" si="844"/>
        <v>5.4741220494945991E-6</v>
      </c>
      <c r="BD445" s="8">
        <f t="shared" si="845"/>
        <v>27.240201784593943</v>
      </c>
      <c r="BE445" s="7">
        <f t="shared" si="846"/>
        <v>1.3700049922431607E-2</v>
      </c>
      <c r="BF445" s="9">
        <f t="shared" si="847"/>
        <v>0.43562749511015741</v>
      </c>
      <c r="BG445" s="4">
        <f t="shared" si="848"/>
        <v>980.74280887204191</v>
      </c>
      <c r="BH445" s="6">
        <f t="shared" si="849"/>
        <v>5.4614856177440845E-6</v>
      </c>
      <c r="BI445" s="8">
        <f t="shared" si="850"/>
        <v>27.16754230202848</v>
      </c>
      <c r="BJ445" s="7">
        <f t="shared" si="851"/>
        <v>1.3668424806247097E-2</v>
      </c>
      <c r="BK445" s="9">
        <f t="shared" si="852"/>
        <v>0.43679257909287855</v>
      </c>
      <c r="BL445" s="4">
        <f t="shared" si="853"/>
        <v>973.74530988241463</v>
      </c>
      <c r="BM445" s="6">
        <f t="shared" si="854"/>
        <v>5.44749061976483E-6</v>
      </c>
      <c r="BN445" s="8">
        <f t="shared" si="855"/>
        <v>27.08707106364777</v>
      </c>
      <c r="BO445" s="7">
        <f t="shared" si="856"/>
        <v>1.3633399615130321E-2</v>
      </c>
      <c r="BP445" s="9">
        <f t="shared" si="857"/>
        <v>0.43809021809092735</v>
      </c>
      <c r="BQ445" s="4">
        <f t="shared" si="858"/>
        <v>965.84538555064228</v>
      </c>
      <c r="BR445" s="6">
        <f t="shared" si="859"/>
        <v>5.4316907711012853E-6</v>
      </c>
      <c r="BS445" s="8">
        <f t="shared" si="860"/>
        <v>26.996221933832388</v>
      </c>
      <c r="BT445" s="7">
        <f t="shared" si="861"/>
        <v>1.3593857435854758E-2</v>
      </c>
      <c r="BU445" s="9">
        <f t="shared" si="862"/>
        <v>0.43956450272200431</v>
      </c>
      <c r="BV445" s="4">
        <f t="shared" si="863"/>
        <v>956.31517011892902</v>
      </c>
      <c r="BW445" s="6">
        <f t="shared" si="864"/>
        <v>5.4126303402378587E-6</v>
      </c>
      <c r="BX445" s="8">
        <f t="shared" si="865"/>
        <v>26.886624456367684</v>
      </c>
      <c r="BY445" s="7">
        <f t="shared" si="866"/>
        <v>1.3546155018551857E-2</v>
      </c>
      <c r="BZ445" s="9">
        <f t="shared" si="867"/>
        <v>0.44135629182366481</v>
      </c>
      <c r="CA445" s="4">
        <f t="shared" si="868"/>
        <v>943.07835663527749</v>
      </c>
      <c r="CB445" s="6">
        <f t="shared" si="869"/>
        <v>5.3861567132705552E-6</v>
      </c>
      <c r="CC445" s="8">
        <f t="shared" si="870"/>
        <v>26.734401101305693</v>
      </c>
      <c r="CD445" s="7">
        <f t="shared" si="871"/>
        <v>1.3479899643205709E-2</v>
      </c>
      <c r="CE445" s="9">
        <f t="shared" si="872"/>
        <v>0.44386933616920793</v>
      </c>
      <c r="CF445" s="4">
        <f t="shared" si="873"/>
        <v>921.06807833212827</v>
      </c>
      <c r="CG445" s="6">
        <f t="shared" si="874"/>
        <v>5.3421361566642563E-6</v>
      </c>
      <c r="CH445" s="8">
        <f t="shared" si="875"/>
        <v>26.481282900819473</v>
      </c>
      <c r="CI445" s="7">
        <f t="shared" si="876"/>
        <v>1.336972968030267E-2</v>
      </c>
      <c r="CJ445" s="9">
        <f t="shared" si="877"/>
        <v>0.44811200855192262</v>
      </c>
      <c r="CK445" s="4">
        <f t="shared" si="878"/>
        <v>880.03560135063753</v>
      </c>
      <c r="CL445" s="6">
        <f t="shared" si="879"/>
        <v>5.2600712027012757E-6</v>
      </c>
      <c r="CM445" s="8">
        <f t="shared" si="880"/>
        <v>26.009409415532332</v>
      </c>
      <c r="CN445" s="7">
        <f t="shared" si="881"/>
        <v>1.3164346249679547E-2</v>
      </c>
      <c r="CO445" s="9">
        <f t="shared" si="882"/>
        <v>0.45624184233231374</v>
      </c>
      <c r="CP445" s="4">
        <f t="shared" si="883"/>
        <v>803.68989502196268</v>
      </c>
      <c r="CQ445" s="6">
        <f t="shared" si="884"/>
        <v>5.1073797900439256E-6</v>
      </c>
      <c r="CR445" s="8">
        <f t="shared" si="885"/>
        <v>25.131433792752571</v>
      </c>
      <c r="CS445" s="7">
        <f t="shared" si="886"/>
        <v>1.2782206436716218E-2</v>
      </c>
      <c r="CT445" s="9">
        <f t="shared" si="887"/>
        <v>0.47218081417782043</v>
      </c>
      <c r="CU445" s="4">
        <f t="shared" si="888"/>
        <v>674.35601323344054</v>
      </c>
      <c r="CV445" s="6">
        <f t="shared" si="889"/>
        <v>4.8487120264668812E-6</v>
      </c>
      <c r="CW445" s="8">
        <f t="shared" si="890"/>
        <v>29.019312542752431</v>
      </c>
      <c r="CX445" s="7">
        <f t="shared" si="891"/>
        <v>1.2134840294294087E-2</v>
      </c>
      <c r="CY445" s="9">
        <f t="shared" si="892"/>
        <v>0.40892012352930723</v>
      </c>
      <c r="CZ445" s="5">
        <f t="shared" si="893"/>
        <v>489.93969548268939</v>
      </c>
      <c r="DA445" s="6">
        <f t="shared" si="894"/>
        <v>7.3654185758359597E-6</v>
      </c>
      <c r="DB445" s="8">
        <f t="shared" si="895"/>
        <v>39.286748831002001</v>
      </c>
      <c r="DC445" s="7">
        <f t="shared" si="896"/>
        <v>1.843338553218301E-2</v>
      </c>
      <c r="DD445" s="9">
        <f t="shared" si="897"/>
        <v>0.30205046797748075</v>
      </c>
    </row>
    <row r="446" spans="2:108" x14ac:dyDescent="0.25">
      <c r="B446">
        <v>179</v>
      </c>
      <c r="C446">
        <f t="shared" si="805"/>
        <v>0.17499302527580002</v>
      </c>
      <c r="D446" s="4">
        <f t="shared" si="806"/>
        <v>1017.0595829232982</v>
      </c>
      <c r="E446" s="6">
        <f t="shared" si="794"/>
        <v>5.5341191658465968E-6</v>
      </c>
      <c r="F446" s="8">
        <f t="shared" si="807"/>
        <v>27.585185203617929</v>
      </c>
      <c r="G446" s="7">
        <f t="shared" si="792"/>
        <v>1.3850204318294992E-2</v>
      </c>
      <c r="H446" s="9">
        <f t="shared" si="808"/>
        <v>0.43017948881349327</v>
      </c>
      <c r="I446" s="4">
        <f t="shared" si="809"/>
        <v>1016.7349073873482</v>
      </c>
      <c r="J446" s="6">
        <f t="shared" si="795"/>
        <v>5.5334698147746968E-6</v>
      </c>
      <c r="K446" s="8">
        <f t="shared" si="810"/>
        <v>27.581451434954502</v>
      </c>
      <c r="L446" s="7">
        <f t="shared" si="796"/>
        <v>1.3848579191558363E-2</v>
      </c>
      <c r="M446" s="9">
        <f t="shared" si="811"/>
        <v>0.43023772326496035</v>
      </c>
      <c r="N446" s="4">
        <f t="shared" si="812"/>
        <v>1015.8287359283472</v>
      </c>
      <c r="O446" s="6">
        <f t="shared" si="797"/>
        <v>5.5316574718566945E-6</v>
      </c>
      <c r="P446" s="8">
        <f t="shared" si="798"/>
        <v>27.571030463175994</v>
      </c>
      <c r="Q446" s="7">
        <f t="shared" si="793"/>
        <v>1.3850204318294992E-2</v>
      </c>
      <c r="R446" s="9">
        <f t="shared" si="813"/>
        <v>0.43040033942753658</v>
      </c>
      <c r="S446" s="4">
        <f t="shared" si="814"/>
        <v>1014.3270726052532</v>
      </c>
      <c r="T446" s="6">
        <f t="shared" si="799"/>
        <v>5.5286541452105073E-6</v>
      </c>
      <c r="U446" s="8">
        <f t="shared" si="800"/>
        <v>27.553761334960413</v>
      </c>
      <c r="V446" s="7">
        <f t="shared" si="801"/>
        <v>1.3836527046421148E-2</v>
      </c>
      <c r="W446" s="9">
        <f t="shared" si="815"/>
        <v>0.43067008984582783</v>
      </c>
      <c r="X446" s="4">
        <f t="shared" si="816"/>
        <v>1012.2280043014524</v>
      </c>
      <c r="Y446" s="6">
        <f t="shared" si="802"/>
        <v>5.5244560086029061E-6</v>
      </c>
      <c r="Z446" s="8">
        <f t="shared" si="803"/>
        <v>27.529622049466703</v>
      </c>
      <c r="AA446" s="7">
        <f t="shared" si="804"/>
        <v>1.3826020397028734E-2</v>
      </c>
      <c r="AB446" s="9">
        <f t="shared" si="817"/>
        <v>0.43104772191915275</v>
      </c>
      <c r="AC446" s="4">
        <f t="shared" si="818"/>
        <v>1009.5300721006581</v>
      </c>
      <c r="AD446" s="6">
        <f t="shared" si="819"/>
        <v>5.5190601442013165E-6</v>
      </c>
      <c r="AE446" s="8">
        <f t="shared" si="820"/>
        <v>27.498595829157566</v>
      </c>
      <c r="AF446" s="7">
        <f t="shared" si="821"/>
        <v>1.3812516202016629E-2</v>
      </c>
      <c r="AG446" s="9">
        <f t="shared" si="822"/>
        <v>0.43153406608258216</v>
      </c>
      <c r="AH446" s="4">
        <f t="shared" si="823"/>
        <v>1006.2329376569842</v>
      </c>
      <c r="AI446" s="6">
        <f t="shared" si="824"/>
        <v>5.512465875313969E-6</v>
      </c>
      <c r="AJ446" s="8">
        <f t="shared" si="825"/>
        <v>27.460678783055318</v>
      </c>
      <c r="AK446" s="7">
        <f t="shared" si="826"/>
        <v>1.3796012767832704E-2</v>
      </c>
      <c r="AL446" s="9">
        <f t="shared" si="827"/>
        <v>0.43212991796255973</v>
      </c>
      <c r="AM446" s="4">
        <f t="shared" si="828"/>
        <v>1002.3364573685532</v>
      </c>
      <c r="AN446" s="6">
        <f t="shared" si="829"/>
        <v>5.5046729147371073E-6</v>
      </c>
      <c r="AO446" s="8">
        <f t="shared" si="830"/>
        <v>27.415869259738361</v>
      </c>
      <c r="AP446" s="7">
        <f t="shared" si="831"/>
        <v>1.3776509375693977E-2</v>
      </c>
      <c r="AQ446" s="9">
        <f t="shared" si="832"/>
        <v>0.43283620728176558</v>
      </c>
      <c r="AR446" s="4">
        <f t="shared" si="833"/>
        <v>997.8404604535491</v>
      </c>
      <c r="AS446" s="6">
        <f t="shared" si="834"/>
        <v>5.4956809209070994E-6</v>
      </c>
      <c r="AT446" s="8">
        <f t="shared" si="835"/>
        <v>27.364165295215813</v>
      </c>
      <c r="AU446" s="7">
        <f t="shared" si="836"/>
        <v>1.3754005170771348E-2</v>
      </c>
      <c r="AV446" s="9">
        <f t="shared" si="837"/>
        <v>0.43365404139670871</v>
      </c>
      <c r="AW446" s="4">
        <f t="shared" si="838"/>
        <v>992.74422502800405</v>
      </c>
      <c r="AX446" s="6">
        <f t="shared" si="839"/>
        <v>5.4854884500560089E-6</v>
      </c>
      <c r="AY446" s="8">
        <f t="shared" si="840"/>
        <v>27.305558587822048</v>
      </c>
      <c r="AZ446" s="7">
        <f t="shared" si="841"/>
        <v>1.3728496539756123E-2</v>
      </c>
      <c r="BA446" s="9">
        <f t="shared" si="842"/>
        <v>0.43458480556447038</v>
      </c>
      <c r="BB446" s="4">
        <f t="shared" si="843"/>
        <v>987.04428471913582</v>
      </c>
      <c r="BC446" s="6">
        <f t="shared" si="844"/>
        <v>5.474088569438272E-6</v>
      </c>
      <c r="BD446" s="8">
        <f t="shared" si="845"/>
        <v>27.240009274270061</v>
      </c>
      <c r="BE446" s="7">
        <f t="shared" si="846"/>
        <v>1.3699966132110723E-2</v>
      </c>
      <c r="BF446" s="9">
        <f t="shared" si="847"/>
        <v>0.43563057377247832</v>
      </c>
      <c r="BG446" s="4">
        <f t="shared" si="848"/>
        <v>980.72521067807759</v>
      </c>
      <c r="BH446" s="6">
        <f t="shared" si="849"/>
        <v>5.4614504213561551E-6</v>
      </c>
      <c r="BI446" s="8">
        <f t="shared" si="850"/>
        <v>27.167339922797893</v>
      </c>
      <c r="BJ446" s="7">
        <f t="shared" si="851"/>
        <v>1.3668336720474189E-2</v>
      </c>
      <c r="BK446" s="9">
        <f t="shared" si="852"/>
        <v>0.43679583291700463</v>
      </c>
      <c r="BL446" s="4">
        <f t="shared" si="853"/>
        <v>973.72449093738044</v>
      </c>
      <c r="BM446" s="6">
        <f t="shared" si="854"/>
        <v>5.4474489818747608E-6</v>
      </c>
      <c r="BN446" s="8">
        <f t="shared" si="855"/>
        <v>27.086831645779874</v>
      </c>
      <c r="BO446" s="7">
        <f t="shared" si="856"/>
        <v>1.3633295408251582E-2</v>
      </c>
      <c r="BP446" s="9">
        <f t="shared" si="857"/>
        <v>0.43809409032771507</v>
      </c>
      <c r="BQ446" s="4">
        <f t="shared" si="858"/>
        <v>965.8140196856906</v>
      </c>
      <c r="BR446" s="6">
        <f t="shared" si="859"/>
        <v>5.431628039371382E-6</v>
      </c>
      <c r="BS446" s="8">
        <f t="shared" si="860"/>
        <v>26.995861226385443</v>
      </c>
      <c r="BT446" s="7">
        <f t="shared" si="861"/>
        <v>1.3593700437559208E-2</v>
      </c>
      <c r="BU446" s="9">
        <f t="shared" si="862"/>
        <v>0.43957037599969728</v>
      </c>
      <c r="BV446" s="4">
        <f t="shared" si="863"/>
        <v>956.25373058640673</v>
      </c>
      <c r="BW446" s="6">
        <f t="shared" si="864"/>
        <v>5.4125074611728135E-6</v>
      </c>
      <c r="BX446" s="8">
        <f t="shared" si="865"/>
        <v>26.885917901743674</v>
      </c>
      <c r="BY446" s="7">
        <f t="shared" si="866"/>
        <v>1.3545847489908848E-2</v>
      </c>
      <c r="BZ446" s="9">
        <f t="shared" si="867"/>
        <v>0.44136789054720338</v>
      </c>
      <c r="CA446" s="4">
        <f t="shared" si="868"/>
        <v>942.94359756121423</v>
      </c>
      <c r="CB446" s="6">
        <f t="shared" si="869"/>
        <v>5.3858871951224291E-6</v>
      </c>
      <c r="CC446" s="8">
        <f t="shared" si="870"/>
        <v>26.732851371953963</v>
      </c>
      <c r="CD446" s="7">
        <f t="shared" si="871"/>
        <v>1.3479225121875906E-2</v>
      </c>
      <c r="CE446" s="9">
        <f t="shared" si="872"/>
        <v>0.44389506770562442</v>
      </c>
      <c r="CF446" s="4">
        <f t="shared" si="873"/>
        <v>920.78511859974287</v>
      </c>
      <c r="CG446" s="6">
        <f t="shared" si="874"/>
        <v>5.3415702371994857E-6</v>
      </c>
      <c r="CH446" s="8">
        <f t="shared" si="875"/>
        <v>26.478028863897045</v>
      </c>
      <c r="CI446" s="7">
        <f t="shared" si="876"/>
        <v>1.3368313357310721E-2</v>
      </c>
      <c r="CJ446" s="9">
        <f t="shared" si="877"/>
        <v>0.44816707960833346</v>
      </c>
      <c r="CK446" s="4">
        <f t="shared" si="878"/>
        <v>879.51737161342453</v>
      </c>
      <c r="CL446" s="6">
        <f t="shared" si="879"/>
        <v>5.2590347432268493E-6</v>
      </c>
      <c r="CM446" s="8">
        <f t="shared" si="880"/>
        <v>26.003449773554379</v>
      </c>
      <c r="CN446" s="7">
        <f t="shared" si="881"/>
        <v>1.3161752309242372E-2</v>
      </c>
      <c r="CO446" s="9">
        <f t="shared" si="882"/>
        <v>0.45634640684430505</v>
      </c>
      <c r="CP446" s="4">
        <f t="shared" si="883"/>
        <v>802.91728045363413</v>
      </c>
      <c r="CQ446" s="6">
        <f t="shared" si="884"/>
        <v>5.1058345609072683E-6</v>
      </c>
      <c r="CR446" s="8">
        <f t="shared" si="885"/>
        <v>25.122548725216792</v>
      </c>
      <c r="CS446" s="7">
        <f t="shared" si="886"/>
        <v>1.2778339201729055E-2</v>
      </c>
      <c r="CT446" s="9">
        <f t="shared" si="887"/>
        <v>0.4723478099101785</v>
      </c>
      <c r="CU446" s="4">
        <f t="shared" si="888"/>
        <v>673.54664574912283</v>
      </c>
      <c r="CV446" s="6">
        <f t="shared" si="889"/>
        <v>4.847093291498246E-6</v>
      </c>
      <c r="CW446" s="8">
        <f t="shared" si="890"/>
        <v>29.181833533603367</v>
      </c>
      <c r="CX446" s="7">
        <f t="shared" si="891"/>
        <v>1.2130789096735654E-2</v>
      </c>
      <c r="CY446" s="9">
        <f t="shared" si="892"/>
        <v>0.40664274422829988</v>
      </c>
      <c r="CZ446" s="5">
        <f t="shared" si="893"/>
        <v>489.81885441498298</v>
      </c>
      <c r="DA446" s="6">
        <f t="shared" si="894"/>
        <v>7.3672196894934815E-6</v>
      </c>
      <c r="DB446" s="8">
        <f t="shared" si="895"/>
        <v>39.290253221965493</v>
      </c>
      <c r="DC446" s="7">
        <f t="shared" si="896"/>
        <v>1.8437893167709021E-2</v>
      </c>
      <c r="DD446" s="9">
        <f t="shared" si="897"/>
        <v>0.30202352737914662</v>
      </c>
    </row>
    <row r="447" spans="2:108" x14ac:dyDescent="0.25">
      <c r="B447">
        <v>180</v>
      </c>
      <c r="C447">
        <f t="shared" si="805"/>
        <v>0.17597063994214526</v>
      </c>
      <c r="D447" s="4">
        <f t="shared" si="806"/>
        <v>1017.0430066305846</v>
      </c>
      <c r="E447" s="6">
        <f t="shared" si="794"/>
        <v>5.53408601326117E-6</v>
      </c>
      <c r="F447" s="8">
        <f t="shared" si="807"/>
        <v>27.584994576251724</v>
      </c>
      <c r="G447" s="7">
        <f t="shared" si="792"/>
        <v>1.3850121347533417E-2</v>
      </c>
      <c r="H447" s="9">
        <f t="shared" si="808"/>
        <v>0.43018246158851853</v>
      </c>
      <c r="I447" s="4">
        <f t="shared" si="809"/>
        <v>1016.7183299081307</v>
      </c>
      <c r="J447" s="6">
        <f t="shared" si="795"/>
        <v>5.5334366598162623E-6</v>
      </c>
      <c r="K447" s="8">
        <f t="shared" si="810"/>
        <v>27.581260793943503</v>
      </c>
      <c r="L447" s="7">
        <f t="shared" si="796"/>
        <v>1.3848496214857875E-2</v>
      </c>
      <c r="M447" s="9">
        <f t="shared" si="811"/>
        <v>0.43024069705775198</v>
      </c>
      <c r="N447" s="4">
        <f t="shared" si="812"/>
        <v>1015.8121530388049</v>
      </c>
      <c r="O447" s="6">
        <f t="shared" si="797"/>
        <v>5.5316243060776106E-6</v>
      </c>
      <c r="P447" s="8">
        <f t="shared" si="798"/>
        <v>27.570839759946256</v>
      </c>
      <c r="Q447" s="7">
        <f t="shared" si="793"/>
        <v>1.3850121347533417E-2</v>
      </c>
      <c r="R447" s="9">
        <f t="shared" si="813"/>
        <v>0.43040331644004409</v>
      </c>
      <c r="S447" s="4">
        <f t="shared" si="814"/>
        <v>1014.3104867121148</v>
      </c>
      <c r="T447" s="6">
        <f t="shared" si="799"/>
        <v>5.5286209734242302E-6</v>
      </c>
      <c r="U447" s="8">
        <f t="shared" si="800"/>
        <v>27.553570597189321</v>
      </c>
      <c r="V447" s="7">
        <f t="shared" si="801"/>
        <v>1.383644402760573E-2</v>
      </c>
      <c r="W447" s="9">
        <f t="shared" si="815"/>
        <v>0.43067307113105635</v>
      </c>
      <c r="X447" s="4">
        <f t="shared" si="816"/>
        <v>1012.2114214760387</v>
      </c>
      <c r="Y447" s="6">
        <f t="shared" si="802"/>
        <v>5.5244228429520782E-6</v>
      </c>
      <c r="Z447" s="8">
        <f t="shared" si="803"/>
        <v>27.529431346974444</v>
      </c>
      <c r="AA447" s="7">
        <f t="shared" si="804"/>
        <v>1.3825937393568464E-2</v>
      </c>
      <c r="AB447" s="9">
        <f t="shared" si="817"/>
        <v>0.43105070788256822</v>
      </c>
      <c r="AC447" s="4">
        <f t="shared" si="818"/>
        <v>1009.5134988263524</v>
      </c>
      <c r="AD447" s="6">
        <f t="shared" si="819"/>
        <v>5.5190269976527054E-6</v>
      </c>
      <c r="AE447" s="8">
        <f t="shared" si="820"/>
        <v>27.498405236503054</v>
      </c>
      <c r="AF447" s="7">
        <f t="shared" si="821"/>
        <v>1.3812433246363352E-2</v>
      </c>
      <c r="AG447" s="9">
        <f t="shared" si="822"/>
        <v>0.43153705706414852</v>
      </c>
      <c r="AH447" s="4">
        <f t="shared" si="823"/>
        <v>1006.2163791222381</v>
      </c>
      <c r="AI447" s="6">
        <f t="shared" si="824"/>
        <v>5.512432758244477E-6</v>
      </c>
      <c r="AJ447" s="8">
        <f t="shared" si="825"/>
        <v>27.460488359905739</v>
      </c>
      <c r="AK447" s="7">
        <f t="shared" si="826"/>
        <v>1.3795929885956629E-2</v>
      </c>
      <c r="AL447" s="9">
        <f t="shared" si="827"/>
        <v>0.43213291454218811</v>
      </c>
      <c r="AM447" s="4">
        <f t="shared" si="828"/>
        <v>1002.3199163344169</v>
      </c>
      <c r="AN447" s="6">
        <f t="shared" si="829"/>
        <v>5.5046398326688336E-6</v>
      </c>
      <c r="AO447" s="8">
        <f t="shared" si="830"/>
        <v>27.415679037845791</v>
      </c>
      <c r="AP447" s="7">
        <f t="shared" si="831"/>
        <v>1.3776426581415225E-2</v>
      </c>
      <c r="AQ447" s="9">
        <f t="shared" si="832"/>
        <v>0.43283921048742785</v>
      </c>
      <c r="AR447" s="4">
        <f t="shared" si="833"/>
        <v>997.82393214399031</v>
      </c>
      <c r="AS447" s="6">
        <f t="shared" si="834"/>
        <v>5.4956478642879805E-6</v>
      </c>
      <c r="AT447" s="8">
        <f t="shared" si="835"/>
        <v>27.363975219655888</v>
      </c>
      <c r="AU447" s="7">
        <f t="shared" si="836"/>
        <v>1.3753922440184032E-2</v>
      </c>
      <c r="AV447" s="9">
        <f t="shared" si="837"/>
        <v>0.43365705364306806</v>
      </c>
      <c r="AW447" s="4">
        <f t="shared" si="838"/>
        <v>992.72767228654527</v>
      </c>
      <c r="AX447" s="6">
        <f t="shared" si="839"/>
        <v>5.4854553445730907E-6</v>
      </c>
      <c r="AY447" s="8">
        <f t="shared" si="840"/>
        <v>27.305368231295269</v>
      </c>
      <c r="AZ447" s="7">
        <f t="shared" si="841"/>
        <v>1.372841368687769E-2</v>
      </c>
      <c r="BA447" s="9">
        <f t="shared" si="842"/>
        <v>0.4345878352271168</v>
      </c>
      <c r="BB447" s="4">
        <f t="shared" si="843"/>
        <v>987.02753489507757</v>
      </c>
      <c r="BC447" s="6">
        <f t="shared" si="844"/>
        <v>5.4740550697901557E-6</v>
      </c>
      <c r="BD447" s="8">
        <f t="shared" si="845"/>
        <v>27.239816651293392</v>
      </c>
      <c r="BE447" s="7">
        <f t="shared" si="846"/>
        <v>1.3699882292757593E-2</v>
      </c>
      <c r="BF447" s="9">
        <f t="shared" si="847"/>
        <v>0.43563365427991796</v>
      </c>
      <c r="BG447" s="4">
        <f t="shared" si="848"/>
        <v>980.7075776846375</v>
      </c>
      <c r="BH447" s="6">
        <f t="shared" si="849"/>
        <v>5.4614151553692758E-6</v>
      </c>
      <c r="BI447" s="8">
        <f t="shared" si="850"/>
        <v>27.167137143373331</v>
      </c>
      <c r="BJ447" s="7">
        <f t="shared" si="851"/>
        <v>1.3668248460516438E-2</v>
      </c>
      <c r="BK447" s="9">
        <f t="shared" si="852"/>
        <v>0.43679909322401389</v>
      </c>
      <c r="BL447" s="4">
        <f t="shared" si="853"/>
        <v>973.70356415005222</v>
      </c>
      <c r="BM447" s="6">
        <f t="shared" si="854"/>
        <v>5.4474071283001048E-6</v>
      </c>
      <c r="BN447" s="8">
        <f t="shared" si="855"/>
        <v>27.0865909877256</v>
      </c>
      <c r="BO447" s="7">
        <f t="shared" si="856"/>
        <v>1.3633190661580419E-2</v>
      </c>
      <c r="BP447" s="9">
        <f t="shared" si="857"/>
        <v>0.43809798269170486</v>
      </c>
      <c r="BQ447" s="4">
        <f t="shared" si="858"/>
        <v>965.78236655030719</v>
      </c>
      <c r="BR447" s="6">
        <f t="shared" si="859"/>
        <v>5.4315647331006145E-6</v>
      </c>
      <c r="BS447" s="8">
        <f t="shared" si="860"/>
        <v>26.995497215328534</v>
      </c>
      <c r="BT447" s="7">
        <f t="shared" si="861"/>
        <v>1.3593542001363946E-2</v>
      </c>
      <c r="BU447" s="9">
        <f t="shared" si="862"/>
        <v>0.43957630322807456</v>
      </c>
      <c r="BV447" s="4">
        <f t="shared" si="863"/>
        <v>956.19165370965356</v>
      </c>
      <c r="BW447" s="6">
        <f t="shared" si="864"/>
        <v>5.4123833074193082E-6</v>
      </c>
      <c r="BX447" s="8">
        <f t="shared" si="865"/>
        <v>26.885204017661017</v>
      </c>
      <c r="BY447" s="7">
        <f t="shared" si="866"/>
        <v>1.3545536771111259E-2</v>
      </c>
      <c r="BZ447" s="9">
        <f t="shared" si="867"/>
        <v>0.4413796102094924</v>
      </c>
      <c r="CA447" s="4">
        <f t="shared" si="868"/>
        <v>942.80772725304132</v>
      </c>
      <c r="CB447" s="6">
        <f t="shared" si="869"/>
        <v>5.3856154545060837E-6</v>
      </c>
      <c r="CC447" s="8">
        <f t="shared" si="870"/>
        <v>26.731288863409972</v>
      </c>
      <c r="CD447" s="7">
        <f t="shared" si="871"/>
        <v>1.3478545038389234E-2</v>
      </c>
      <c r="CE447" s="9">
        <f t="shared" si="872"/>
        <v>0.44392101444689336</v>
      </c>
      <c r="CF447" s="4">
        <f t="shared" si="873"/>
        <v>920.50083805617396</v>
      </c>
      <c r="CG447" s="6">
        <f t="shared" si="874"/>
        <v>5.3410016761123487E-6</v>
      </c>
      <c r="CH447" s="8">
        <f t="shared" si="875"/>
        <v>26.474759637646002</v>
      </c>
      <c r="CI447" s="7">
        <f t="shared" si="876"/>
        <v>1.3366890423147527E-2</v>
      </c>
      <c r="CJ447" s="9">
        <f t="shared" si="877"/>
        <v>0.44822242136031015</v>
      </c>
      <c r="CK447" s="4">
        <f t="shared" si="878"/>
        <v>878.99874902643796</v>
      </c>
      <c r="CL447" s="6">
        <f t="shared" si="879"/>
        <v>5.2579974980528764E-6</v>
      </c>
      <c r="CM447" s="8">
        <f t="shared" si="880"/>
        <v>25.997485613804038</v>
      </c>
      <c r="CN447" s="7">
        <f t="shared" si="881"/>
        <v>1.315915640244001E-2</v>
      </c>
      <c r="CO447" s="9">
        <f t="shared" si="882"/>
        <v>0.45645109861766903</v>
      </c>
      <c r="CP447" s="4">
        <f t="shared" si="883"/>
        <v>802.14757570113261</v>
      </c>
      <c r="CQ447" s="6">
        <f t="shared" si="884"/>
        <v>5.1042951514022664E-6</v>
      </c>
      <c r="CR447" s="8">
        <f t="shared" si="885"/>
        <v>25.113697120563025</v>
      </c>
      <c r="CS447" s="7">
        <f t="shared" si="886"/>
        <v>1.2774486531496477E-2</v>
      </c>
      <c r="CT447" s="9">
        <f t="shared" si="887"/>
        <v>0.47251429420169183</v>
      </c>
      <c r="CU447" s="4">
        <f t="shared" si="888"/>
        <v>672.74700646738131</v>
      </c>
      <c r="CV447" s="6">
        <f t="shared" si="889"/>
        <v>4.845494012934763E-6</v>
      </c>
      <c r="CW447" s="8">
        <f t="shared" si="890"/>
        <v>29.342401101376964</v>
      </c>
      <c r="CX447" s="7">
        <f t="shared" si="891"/>
        <v>1.2126786592596816E-2</v>
      </c>
      <c r="CY447" s="9">
        <f t="shared" si="892"/>
        <v>0.40441751268818388</v>
      </c>
      <c r="CZ447" s="5">
        <f t="shared" si="893"/>
        <v>489.70767822534623</v>
      </c>
      <c r="DA447" s="6">
        <f t="shared" si="894"/>
        <v>7.3688766362367468E-6</v>
      </c>
      <c r="DB447" s="8">
        <f t="shared" si="895"/>
        <v>39.293477331464956</v>
      </c>
      <c r="DC447" s="7">
        <f t="shared" si="896"/>
        <v>1.8442039997629198E-2</v>
      </c>
      <c r="DD447" s="9">
        <f t="shared" si="897"/>
        <v>0.30199874573624264</v>
      </c>
    </row>
    <row r="448" spans="2:108" x14ac:dyDescent="0.25">
      <c r="B448">
        <v>181</v>
      </c>
      <c r="C448">
        <f t="shared" si="805"/>
        <v>0.17694825460849051</v>
      </c>
      <c r="D448" s="4">
        <f t="shared" si="806"/>
        <v>1017.0264302772941</v>
      </c>
      <c r="E448" s="6">
        <f t="shared" si="794"/>
        <v>5.5340528605545895E-6</v>
      </c>
      <c r="F448" s="8">
        <f t="shared" si="807"/>
        <v>27.584803948188881</v>
      </c>
      <c r="G448" s="7">
        <f t="shared" si="792"/>
        <v>1.3850038376468633E-2</v>
      </c>
      <c r="H448" s="9">
        <f t="shared" si="808"/>
        <v>0.43018543441549512</v>
      </c>
      <c r="I448" s="4">
        <f t="shared" si="809"/>
        <v>1016.7017524240397</v>
      </c>
      <c r="J448" s="6">
        <f t="shared" si="795"/>
        <v>5.5334035048480801E-6</v>
      </c>
      <c r="K448" s="8">
        <f t="shared" si="810"/>
        <v>27.581070152876457</v>
      </c>
      <c r="L448" s="7">
        <f t="shared" si="796"/>
        <v>1.3848413238132993E-2</v>
      </c>
      <c r="M448" s="9">
        <f t="shared" si="811"/>
        <v>0.43024367089252774</v>
      </c>
      <c r="N448" s="4">
        <f t="shared" si="812"/>
        <v>1015.7955702528226</v>
      </c>
      <c r="O448" s="6">
        <f t="shared" si="797"/>
        <v>5.5315911405056458E-6</v>
      </c>
      <c r="P448" s="8">
        <f t="shared" si="798"/>
        <v>27.57064905790746</v>
      </c>
      <c r="Q448" s="7">
        <f t="shared" si="793"/>
        <v>1.3850038376468633E-2</v>
      </c>
      <c r="R448" s="9">
        <f t="shared" si="813"/>
        <v>0.4304062934751432</v>
      </c>
      <c r="S448" s="4">
        <f t="shared" si="814"/>
        <v>1014.2939010025724</v>
      </c>
      <c r="T448" s="6">
        <f t="shared" si="799"/>
        <v>5.528587802005146E-6</v>
      </c>
      <c r="U448" s="8">
        <f t="shared" si="800"/>
        <v>27.553379861529582</v>
      </c>
      <c r="V448" s="7">
        <f t="shared" si="801"/>
        <v>1.383636100970928E-2</v>
      </c>
      <c r="W448" s="9">
        <f t="shared" si="815"/>
        <v>0.43067605242455886</v>
      </c>
      <c r="X448" s="4">
        <f t="shared" si="816"/>
        <v>1012.1948388616523</v>
      </c>
      <c r="Y448" s="6">
        <f t="shared" si="802"/>
        <v>5.5243896777233057E-6</v>
      </c>
      <c r="Z448" s="8">
        <f t="shared" si="803"/>
        <v>27.529240646909003</v>
      </c>
      <c r="AA448" s="7">
        <f t="shared" si="804"/>
        <v>1.3825854391164467E-2</v>
      </c>
      <c r="AB448" s="9">
        <f t="shared" si="817"/>
        <v>0.43105369384935377</v>
      </c>
      <c r="AC448" s="4">
        <f t="shared" si="818"/>
        <v>1009.4969257568609</v>
      </c>
      <c r="AD448" s="6">
        <f t="shared" si="819"/>
        <v>5.5189938515137228E-6</v>
      </c>
      <c r="AE448" s="8">
        <f t="shared" si="820"/>
        <v>27.498214646203898</v>
      </c>
      <c r="AF448" s="7">
        <f t="shared" si="821"/>
        <v>1.381235029173525E-2</v>
      </c>
      <c r="AG448" s="9">
        <f t="shared" si="822"/>
        <v>0.4315400480502129</v>
      </c>
      <c r="AH448" s="4">
        <f t="shared" si="823"/>
        <v>1006.199820762185</v>
      </c>
      <c r="AI448" s="6">
        <f t="shared" si="824"/>
        <v>5.5123996415243708E-6</v>
      </c>
      <c r="AJ448" s="8">
        <f t="shared" si="825"/>
        <v>27.460297938765127</v>
      </c>
      <c r="AK448" s="7">
        <f t="shared" si="826"/>
        <v>1.379584700495496E-2</v>
      </c>
      <c r="AL448" s="9">
        <f t="shared" si="827"/>
        <v>0.43213591113176142</v>
      </c>
      <c r="AM448" s="4">
        <f t="shared" si="828"/>
        <v>1002.3033753635483</v>
      </c>
      <c r="AN448" s="6">
        <f t="shared" si="829"/>
        <v>5.5046067507270972E-6</v>
      </c>
      <c r="AO448" s="8">
        <f t="shared" si="830"/>
        <v>27.415488816680806</v>
      </c>
      <c r="AP448" s="7">
        <f t="shared" si="831"/>
        <v>1.3776343787453158E-2</v>
      </c>
      <c r="AQ448" s="9">
        <f t="shared" si="832"/>
        <v>0.43284221372327825</v>
      </c>
      <c r="AR448" s="4">
        <f t="shared" si="833"/>
        <v>997.80740341180319</v>
      </c>
      <c r="AS448" s="6">
        <f t="shared" si="834"/>
        <v>5.4956148068236066E-6</v>
      </c>
      <c r="AT448" s="8">
        <f t="shared" si="835"/>
        <v>27.363785139235738</v>
      </c>
      <c r="AU448" s="7">
        <f t="shared" si="836"/>
        <v>1.3753839707481301E-2</v>
      </c>
      <c r="AV448" s="9">
        <f t="shared" si="837"/>
        <v>0.43366006600829965</v>
      </c>
      <c r="AW448" s="4">
        <f t="shared" si="838"/>
        <v>992.71111710078492</v>
      </c>
      <c r="AX448" s="6">
        <f t="shared" si="839"/>
        <v>5.4854222342015701E-6</v>
      </c>
      <c r="AY448" s="8">
        <f t="shared" si="840"/>
        <v>27.305177846659028</v>
      </c>
      <c r="AZ448" s="7">
        <f t="shared" si="841"/>
        <v>1.3728330821764587E-2</v>
      </c>
      <c r="BA448" s="9">
        <f t="shared" si="842"/>
        <v>0.43459086537939745</v>
      </c>
      <c r="BB448" s="4">
        <f t="shared" si="843"/>
        <v>987.01077501179259</v>
      </c>
      <c r="BC448" s="6">
        <f t="shared" si="844"/>
        <v>5.4740215500235865E-6</v>
      </c>
      <c r="BD448" s="8">
        <f t="shared" si="845"/>
        <v>27.239623912635615</v>
      </c>
      <c r="BE448" s="7">
        <f t="shared" si="846"/>
        <v>1.3699798403054143E-2</v>
      </c>
      <c r="BF448" s="9">
        <f t="shared" si="847"/>
        <v>0.43563673668098479</v>
      </c>
      <c r="BG448" s="4">
        <f t="shared" si="848"/>
        <v>980.68990917303063</v>
      </c>
      <c r="BH448" s="6">
        <f t="shared" si="849"/>
        <v>5.4613798183460614E-6</v>
      </c>
      <c r="BI448" s="8">
        <f t="shared" si="850"/>
        <v>27.166933955489853</v>
      </c>
      <c r="BJ448" s="7">
        <f t="shared" si="851"/>
        <v>1.3668160022776512E-2</v>
      </c>
      <c r="BK448" s="9">
        <f t="shared" si="852"/>
        <v>0.43680236014708307</v>
      </c>
      <c r="BL448" s="4">
        <f t="shared" si="853"/>
        <v>973.68252792422265</v>
      </c>
      <c r="BM448" s="6">
        <f t="shared" si="854"/>
        <v>5.4473650558484455E-6</v>
      </c>
      <c r="BN448" s="8">
        <f t="shared" si="855"/>
        <v>27.086349071128559</v>
      </c>
      <c r="BO448" s="7">
        <f t="shared" si="856"/>
        <v>1.3633085367127193E-2</v>
      </c>
      <c r="BP448" s="9">
        <f t="shared" si="857"/>
        <v>0.43810189548086903</v>
      </c>
      <c r="BQ448" s="4">
        <f t="shared" si="858"/>
        <v>965.75042354612253</v>
      </c>
      <c r="BR448" s="6">
        <f t="shared" si="859"/>
        <v>5.4315008470922451E-6</v>
      </c>
      <c r="BS448" s="8">
        <f t="shared" si="860"/>
        <v>26.99512987078041</v>
      </c>
      <c r="BT448" s="7">
        <f t="shared" si="861"/>
        <v>1.3593382114263131E-2</v>
      </c>
      <c r="BU448" s="9">
        <f t="shared" si="862"/>
        <v>0.43958228489807388</v>
      </c>
      <c r="BV448" s="4">
        <f t="shared" si="863"/>
        <v>956.1289374271413</v>
      </c>
      <c r="BW448" s="6">
        <f t="shared" si="864"/>
        <v>5.4122578748542828E-6</v>
      </c>
      <c r="BX448" s="8">
        <f t="shared" si="865"/>
        <v>26.884482780412124</v>
      </c>
      <c r="BY448" s="7">
        <f t="shared" si="866"/>
        <v>1.354522285184033E-2</v>
      </c>
      <c r="BZ448" s="9">
        <f t="shared" si="867"/>
        <v>0.44139145121898421</v>
      </c>
      <c r="CA448" s="4">
        <f t="shared" si="868"/>
        <v>942.67074906583287</v>
      </c>
      <c r="CB448" s="6">
        <f t="shared" si="869"/>
        <v>5.3853414981316665E-6</v>
      </c>
      <c r="CC448" s="8">
        <f t="shared" si="870"/>
        <v>26.729713614257079</v>
      </c>
      <c r="CD448" s="7">
        <f t="shared" si="871"/>
        <v>1.3477859409539137E-2</v>
      </c>
      <c r="CE448" s="9">
        <f t="shared" si="872"/>
        <v>0.44394717582714799</v>
      </c>
      <c r="CF448" s="4">
        <f t="shared" si="873"/>
        <v>920.21525258781344</v>
      </c>
      <c r="CG448" s="6">
        <f t="shared" si="874"/>
        <v>5.3404305051756269E-6</v>
      </c>
      <c r="CH448" s="8">
        <f t="shared" si="875"/>
        <v>26.471475404759854</v>
      </c>
      <c r="CI448" s="7">
        <f t="shared" si="876"/>
        <v>1.3365460957330618E-2</v>
      </c>
      <c r="CJ448" s="9">
        <f t="shared" si="877"/>
        <v>0.44827803090960922</v>
      </c>
      <c r="CK448" s="4">
        <f t="shared" si="878"/>
        <v>878.4797673407852</v>
      </c>
      <c r="CL448" s="6">
        <f t="shared" si="879"/>
        <v>5.2569595346815708E-6</v>
      </c>
      <c r="CM448" s="8">
        <f t="shared" si="880"/>
        <v>25.991517324419029</v>
      </c>
      <c r="CN448" s="7">
        <f t="shared" si="881"/>
        <v>1.3156558698209822E-2</v>
      </c>
      <c r="CO448" s="9">
        <f t="shared" si="882"/>
        <v>0.45655591097674186</v>
      </c>
      <c r="CP448" s="4">
        <f t="shared" si="883"/>
        <v>801.38082973493033</v>
      </c>
      <c r="CQ448" s="6">
        <f t="shared" si="884"/>
        <v>5.1027616594698606E-6</v>
      </c>
      <c r="CR448" s="8">
        <f t="shared" si="885"/>
        <v>25.104879541951696</v>
      </c>
      <c r="CS448" s="7">
        <f t="shared" si="886"/>
        <v>1.2770648671134642E-2</v>
      </c>
      <c r="CT448" s="9">
        <f t="shared" si="887"/>
        <v>0.47268025524233886</v>
      </c>
      <c r="CU448" s="4">
        <f t="shared" si="888"/>
        <v>671.9570031377333</v>
      </c>
      <c r="CV448" s="6">
        <f t="shared" si="889"/>
        <v>4.8439140062754667E-6</v>
      </c>
      <c r="CW448" s="8">
        <f t="shared" si="890"/>
        <v>29.501033769970235</v>
      </c>
      <c r="CX448" s="7">
        <f t="shared" si="891"/>
        <v>1.2122832320128205E-2</v>
      </c>
      <c r="CY448" s="9">
        <f t="shared" si="892"/>
        <v>0.40224288281711529</v>
      </c>
      <c r="CZ448" s="5">
        <f t="shared" si="893"/>
        <v>489.6054830775289</v>
      </c>
      <c r="DA448" s="6">
        <f t="shared" si="894"/>
        <v>7.3703996354245586E-6</v>
      </c>
      <c r="DB448" s="8">
        <f t="shared" si="895"/>
        <v>39.296440990751663</v>
      </c>
      <c r="DC448" s="7">
        <f t="shared" si="896"/>
        <v>1.8445851597866863E-2</v>
      </c>
      <c r="DD448" s="9">
        <f t="shared" si="897"/>
        <v>0.30197596959253065</v>
      </c>
    </row>
    <row r="449" spans="2:108" x14ac:dyDescent="0.25">
      <c r="B449">
        <v>182</v>
      </c>
      <c r="C449">
        <f t="shared" si="805"/>
        <v>0.17792586927483578</v>
      </c>
      <c r="D449" s="4">
        <f t="shared" si="806"/>
        <v>1017.0098538662706</v>
      </c>
      <c r="E449" s="6">
        <f t="shared" si="794"/>
        <v>5.5340197077325415E-6</v>
      </c>
      <c r="F449" s="8">
        <f t="shared" si="807"/>
        <v>27.584613319462111</v>
      </c>
      <c r="G449" s="7">
        <f t="shared" si="792"/>
        <v>1.3849955405114864E-2</v>
      </c>
      <c r="H449" s="9">
        <f t="shared" si="808"/>
        <v>0.43018840729391422</v>
      </c>
      <c r="I449" s="4">
        <f t="shared" si="809"/>
        <v>1016.6851749369436</v>
      </c>
      <c r="J449" s="6">
        <f t="shared" si="795"/>
        <v>5.5333703498738874E-6</v>
      </c>
      <c r="K449" s="8">
        <f t="shared" si="810"/>
        <v>27.58087951177485</v>
      </c>
      <c r="L449" s="7">
        <f t="shared" si="796"/>
        <v>1.3848330261393068E-2</v>
      </c>
      <c r="M449" s="9">
        <f t="shared" si="811"/>
        <v>0.43024664476895341</v>
      </c>
      <c r="N449" s="4">
        <f t="shared" si="812"/>
        <v>1015.7789875706595</v>
      </c>
      <c r="O449" s="6">
        <f t="shared" si="797"/>
        <v>5.5315579751413201E-6</v>
      </c>
      <c r="P449" s="8">
        <f t="shared" si="798"/>
        <v>27.570458357062584</v>
      </c>
      <c r="Q449" s="7">
        <f t="shared" si="793"/>
        <v>1.3849955405114864E-2</v>
      </c>
      <c r="R449" s="9">
        <f t="shared" si="813"/>
        <v>0.43040927053278738</v>
      </c>
      <c r="S449" s="4">
        <f t="shared" si="814"/>
        <v>1014.2773154761451</v>
      </c>
      <c r="T449" s="6">
        <f t="shared" si="799"/>
        <v>5.5285546309522902E-6</v>
      </c>
      <c r="U449" s="8">
        <f t="shared" si="800"/>
        <v>27.553189127975667</v>
      </c>
      <c r="V449" s="7">
        <f t="shared" si="801"/>
        <v>1.3836277992729389E-2</v>
      </c>
      <c r="W449" s="9">
        <f t="shared" si="815"/>
        <v>0.43067903372642136</v>
      </c>
      <c r="X449" s="4">
        <f t="shared" si="816"/>
        <v>1012.1782564578619</v>
      </c>
      <c r="Y449" s="6">
        <f t="shared" si="802"/>
        <v>5.5243565129157246E-6</v>
      </c>
      <c r="Z449" s="8">
        <f t="shared" si="803"/>
        <v>27.529049949265413</v>
      </c>
      <c r="AA449" s="7">
        <f t="shared" si="804"/>
        <v>1.3825771389814587E-2</v>
      </c>
      <c r="AB449" s="9">
        <f t="shared" si="817"/>
        <v>0.43105667981958623</v>
      </c>
      <c r="AC449" s="4">
        <f t="shared" si="818"/>
        <v>1009.4803528918006</v>
      </c>
      <c r="AD449" s="6">
        <f t="shared" si="819"/>
        <v>5.5189607057836013E-6</v>
      </c>
      <c r="AE449" s="8">
        <f t="shared" si="820"/>
        <v>27.498024058255709</v>
      </c>
      <c r="AF449" s="7">
        <f t="shared" si="821"/>
        <v>1.3812267338130403E-2</v>
      </c>
      <c r="AG449" s="9">
        <f t="shared" si="822"/>
        <v>0.43154303904084357</v>
      </c>
      <c r="AH449" s="4">
        <f t="shared" si="823"/>
        <v>1006.1832625755371</v>
      </c>
      <c r="AI449" s="6">
        <f t="shared" si="824"/>
        <v>5.5123665251510746E-6</v>
      </c>
      <c r="AJ449" s="8">
        <f t="shared" si="825"/>
        <v>27.460107519618674</v>
      </c>
      <c r="AK449" s="7">
        <f t="shared" si="826"/>
        <v>1.3795764124821251E-2</v>
      </c>
      <c r="AL449" s="9">
        <f t="shared" si="827"/>
        <v>0.4321389077315122</v>
      </c>
      <c r="AM449" s="4">
        <f t="shared" si="828"/>
        <v>1002.286834450192</v>
      </c>
      <c r="AN449" s="6">
        <f t="shared" si="829"/>
        <v>5.5045736689003846E-6</v>
      </c>
      <c r="AO449" s="8">
        <f t="shared" si="830"/>
        <v>27.415298596177209</v>
      </c>
      <c r="AP449" s="7">
        <f t="shared" si="831"/>
        <v>1.3776260993778959E-2</v>
      </c>
      <c r="AQ449" s="9">
        <f t="shared" si="832"/>
        <v>0.43284521699036227</v>
      </c>
      <c r="AR449" s="4">
        <f t="shared" si="833"/>
        <v>997.7908742336773</v>
      </c>
      <c r="AS449" s="6">
        <f t="shared" si="834"/>
        <v>5.4955817484673553E-6</v>
      </c>
      <c r="AT449" s="8">
        <f t="shared" si="835"/>
        <v>27.363595053687288</v>
      </c>
      <c r="AU449" s="7">
        <f t="shared" si="836"/>
        <v>1.3753756972546475E-2</v>
      </c>
      <c r="AV449" s="9">
        <f t="shared" si="837"/>
        <v>0.43366307849665603</v>
      </c>
      <c r="AW449" s="4">
        <f t="shared" si="838"/>
        <v>992.69455938646479</v>
      </c>
      <c r="AX449" s="6">
        <f t="shared" si="839"/>
        <v>5.48538911877293E-6</v>
      </c>
      <c r="AY449" s="8">
        <f t="shared" si="840"/>
        <v>27.304987432944344</v>
      </c>
      <c r="AZ449" s="7">
        <f t="shared" si="841"/>
        <v>1.3728247943995062E-2</v>
      </c>
      <c r="BA449" s="9">
        <f t="shared" si="842"/>
        <v>0.43459389603675436</v>
      </c>
      <c r="BB449" s="4">
        <f t="shared" si="843"/>
        <v>986.99400480174972</v>
      </c>
      <c r="BC449" s="6">
        <f t="shared" si="844"/>
        <v>5.4739880096035004E-6</v>
      </c>
      <c r="BD449" s="8">
        <f t="shared" si="845"/>
        <v>27.239431055220123</v>
      </c>
      <c r="BE449" s="7">
        <f t="shared" si="846"/>
        <v>1.3699714461661268E-2</v>
      </c>
      <c r="BF449" s="9">
        <f t="shared" si="847"/>
        <v>0.43563982102496246</v>
      </c>
      <c r="BG449" s="4">
        <f t="shared" si="848"/>
        <v>980.67220441796792</v>
      </c>
      <c r="BH449" s="6">
        <f t="shared" si="849"/>
        <v>5.4613444088359358E-6</v>
      </c>
      <c r="BI449" s="8">
        <f t="shared" si="850"/>
        <v>27.166730350806631</v>
      </c>
      <c r="BJ449" s="7">
        <f t="shared" si="851"/>
        <v>1.3668071403624058E-2</v>
      </c>
      <c r="BK449" s="9">
        <f t="shared" si="852"/>
        <v>0.43680563382061754</v>
      </c>
      <c r="BL449" s="4">
        <f t="shared" si="853"/>
        <v>973.66138066095118</v>
      </c>
      <c r="BM449" s="6">
        <f t="shared" si="854"/>
        <v>5.4473227613219032E-6</v>
      </c>
      <c r="BN449" s="8">
        <f t="shared" si="855"/>
        <v>27.086105877600936</v>
      </c>
      <c r="BO449" s="7">
        <f t="shared" si="856"/>
        <v>1.3632979516888593E-2</v>
      </c>
      <c r="BP449" s="9">
        <f t="shared" si="857"/>
        <v>0.43810582899371514</v>
      </c>
      <c r="BQ449" s="4">
        <f t="shared" si="858"/>
        <v>965.71818809561853</v>
      </c>
      <c r="BR449" s="6">
        <f t="shared" si="859"/>
        <v>5.4314363761912372E-6</v>
      </c>
      <c r="BS449" s="8">
        <f t="shared" si="860"/>
        <v>26.994759163099612</v>
      </c>
      <c r="BT449" s="7">
        <f t="shared" si="861"/>
        <v>1.3593220763355285E-2</v>
      </c>
      <c r="BU449" s="9">
        <f t="shared" si="862"/>
        <v>0.43958832149682142</v>
      </c>
      <c r="BV449" s="4">
        <f t="shared" si="863"/>
        <v>956.06557974690247</v>
      </c>
      <c r="BW449" s="6">
        <f t="shared" si="864"/>
        <v>5.4121311594938053E-6</v>
      </c>
      <c r="BX449" s="8">
        <f t="shared" si="865"/>
        <v>26.883754167089378</v>
      </c>
      <c r="BY449" s="7">
        <f t="shared" si="866"/>
        <v>1.3544905722125503E-2</v>
      </c>
      <c r="BZ449" s="9">
        <f t="shared" si="867"/>
        <v>0.4414034139712808</v>
      </c>
      <c r="CA449" s="4">
        <f t="shared" si="868"/>
        <v>942.53266645979636</v>
      </c>
      <c r="CB449" s="6">
        <f t="shared" si="869"/>
        <v>5.3850653329195935E-6</v>
      </c>
      <c r="CC449" s="8">
        <f t="shared" si="870"/>
        <v>26.72812566428766</v>
      </c>
      <c r="CD449" s="7">
        <f t="shared" si="871"/>
        <v>1.3477168252645296E-2</v>
      </c>
      <c r="CE449" s="9">
        <f t="shared" si="872"/>
        <v>0.44397355126076921</v>
      </c>
      <c r="CF449" s="4">
        <f t="shared" si="873"/>
        <v>919.92837816460781</v>
      </c>
      <c r="CG449" s="6">
        <f t="shared" si="874"/>
        <v>5.339856756329216E-6</v>
      </c>
      <c r="CH449" s="8">
        <f t="shared" si="875"/>
        <v>26.468176348892989</v>
      </c>
      <c r="CI449" s="7">
        <f t="shared" si="876"/>
        <v>1.3364025039795771E-2</v>
      </c>
      <c r="CJ449" s="9">
        <f t="shared" si="877"/>
        <v>0.4483339053396555</v>
      </c>
      <c r="CK449" s="4">
        <f t="shared" si="878"/>
        <v>877.96046027200953</v>
      </c>
      <c r="CL449" s="6">
        <f t="shared" si="879"/>
        <v>5.2559209205440192E-6</v>
      </c>
      <c r="CM449" s="8">
        <f t="shared" si="880"/>
        <v>25.985545293128109</v>
      </c>
      <c r="CN449" s="7">
        <f t="shared" si="881"/>
        <v>1.3153959365311151E-2</v>
      </c>
      <c r="CO449" s="9">
        <f t="shared" si="882"/>
        <v>0.45666083724077255</v>
      </c>
      <c r="CP449" s="4">
        <f t="shared" si="883"/>
        <v>800.61708938111212</v>
      </c>
      <c r="CQ449" s="6">
        <f t="shared" si="884"/>
        <v>5.1012341787622251E-6</v>
      </c>
      <c r="CR449" s="8">
        <f t="shared" si="885"/>
        <v>25.096096527882789</v>
      </c>
      <c r="CS449" s="7">
        <f t="shared" si="886"/>
        <v>1.276682585502624E-2</v>
      </c>
      <c r="CT449" s="9">
        <f t="shared" si="887"/>
        <v>0.47284568165944224</v>
      </c>
      <c r="CU449" s="4">
        <f t="shared" si="888"/>
        <v>671.17653760931273</v>
      </c>
      <c r="CV449" s="6">
        <f t="shared" si="889"/>
        <v>4.8423530752186257E-6</v>
      </c>
      <c r="CW449" s="8">
        <f t="shared" si="890"/>
        <v>29.657751248077034</v>
      </c>
      <c r="CX449" s="7">
        <f t="shared" si="891"/>
        <v>1.2118925788046742E-2</v>
      </c>
      <c r="CY449" s="9">
        <f t="shared" si="892"/>
        <v>0.4001173511254435</v>
      </c>
      <c r="CZ449" s="5">
        <f t="shared" si="893"/>
        <v>489.51162579208864</v>
      </c>
      <c r="DA449" s="6">
        <f t="shared" si="894"/>
        <v>7.3717982957919899E-6</v>
      </c>
      <c r="DB449" s="8">
        <f t="shared" si="895"/>
        <v>39.299162852029426</v>
      </c>
      <c r="DC449" s="7">
        <f t="shared" si="896"/>
        <v>1.8449352016141261E-2</v>
      </c>
      <c r="DD449" s="9">
        <f t="shared" si="897"/>
        <v>0.3019550547272053</v>
      </c>
    </row>
    <row r="450" spans="2:108" x14ac:dyDescent="0.25">
      <c r="B450">
        <v>183</v>
      </c>
      <c r="C450">
        <f t="shared" si="805"/>
        <v>0.17890348394118102</v>
      </c>
      <c r="D450" s="4">
        <f t="shared" si="806"/>
        <v>1016.9932774003083</v>
      </c>
      <c r="E450" s="6">
        <f t="shared" si="794"/>
        <v>5.5339865548006172E-6</v>
      </c>
      <c r="F450" s="8">
        <f t="shared" si="807"/>
        <v>27.584422690103544</v>
      </c>
      <c r="G450" s="7">
        <f t="shared" si="792"/>
        <v>1.3849872433486113E-2</v>
      </c>
      <c r="H450" s="9">
        <f t="shared" si="808"/>
        <v>0.43019138022327613</v>
      </c>
      <c r="I450" s="4">
        <f t="shared" si="809"/>
        <v>1016.6685974486843</v>
      </c>
      <c r="J450" s="6">
        <f t="shared" si="795"/>
        <v>5.5333371948973688E-6</v>
      </c>
      <c r="K450" s="8">
        <f t="shared" si="810"/>
        <v>27.58068887065987</v>
      </c>
      <c r="L450" s="7">
        <f t="shared" si="796"/>
        <v>1.3848247284647324E-2</v>
      </c>
      <c r="M450" s="9">
        <f t="shared" si="811"/>
        <v>0.43024961868669925</v>
      </c>
      <c r="N450" s="4">
        <f t="shared" si="812"/>
        <v>1015.7624049925788</v>
      </c>
      <c r="O450" s="6">
        <f t="shared" si="797"/>
        <v>5.5315248099851586E-6</v>
      </c>
      <c r="P450" s="8">
        <f t="shared" si="798"/>
        <v>27.570267657414654</v>
      </c>
      <c r="Q450" s="7">
        <f t="shared" si="793"/>
        <v>1.3849872433486113E-2</v>
      </c>
      <c r="R450" s="9">
        <f t="shared" si="813"/>
        <v>0.43041224761292951</v>
      </c>
      <c r="S450" s="4">
        <f t="shared" si="814"/>
        <v>1014.2607301323609</v>
      </c>
      <c r="T450" s="6">
        <f t="shared" si="799"/>
        <v>5.5285214602647224E-6</v>
      </c>
      <c r="U450" s="8">
        <f t="shared" si="800"/>
        <v>27.552998396522149</v>
      </c>
      <c r="V450" s="7">
        <f t="shared" si="801"/>
        <v>1.3836194976663701E-2</v>
      </c>
      <c r="W450" s="9">
        <f t="shared" si="815"/>
        <v>0.43068201503672815</v>
      </c>
      <c r="X450" s="4">
        <f t="shared" si="816"/>
        <v>1012.1616742642366</v>
      </c>
      <c r="Y450" s="6">
        <f t="shared" si="802"/>
        <v>5.5243233485284734E-6</v>
      </c>
      <c r="Z450" s="8">
        <f t="shared" si="803"/>
        <v>27.528859254038721</v>
      </c>
      <c r="AA450" s="7">
        <f t="shared" si="804"/>
        <v>1.3825688389516659E-2</v>
      </c>
      <c r="AB450" s="9">
        <f t="shared" si="817"/>
        <v>0.43105966579334259</v>
      </c>
      <c r="AC450" s="4">
        <f t="shared" si="818"/>
        <v>1009.4637802307738</v>
      </c>
      <c r="AD450" s="6">
        <f t="shared" si="819"/>
        <v>5.5189275604615481E-6</v>
      </c>
      <c r="AE450" s="8">
        <f t="shared" si="820"/>
        <v>27.497833472653895</v>
      </c>
      <c r="AF450" s="7">
        <f t="shared" si="821"/>
        <v>1.3812184385546825E-2</v>
      </c>
      <c r="AG450" s="9">
        <f t="shared" si="822"/>
        <v>0.43154603003611181</v>
      </c>
      <c r="AH450" s="4">
        <f t="shared" si="823"/>
        <v>1006.1667045609508</v>
      </c>
      <c r="AI450" s="6">
        <f t="shared" si="824"/>
        <v>5.5123334091219025E-6</v>
      </c>
      <c r="AJ450" s="8">
        <f t="shared" si="825"/>
        <v>27.459917102450934</v>
      </c>
      <c r="AK450" s="7">
        <f t="shared" si="826"/>
        <v>1.3795681245548778E-2</v>
      </c>
      <c r="AL450" s="9">
        <f t="shared" si="827"/>
        <v>0.43214190434168309</v>
      </c>
      <c r="AM450" s="4">
        <f t="shared" si="828"/>
        <v>1002.2702935883906</v>
      </c>
      <c r="AN450" s="6">
        <f t="shared" si="829"/>
        <v>5.5045405871767812E-6</v>
      </c>
      <c r="AO450" s="8">
        <f t="shared" si="830"/>
        <v>27.415108376266492</v>
      </c>
      <c r="AP450" s="7">
        <f t="shared" si="831"/>
        <v>1.3776178200362811E-2</v>
      </c>
      <c r="AQ450" s="9">
        <f t="shared" si="832"/>
        <v>0.432848220289762</v>
      </c>
      <c r="AR450" s="4">
        <f t="shared" si="833"/>
        <v>997.77434458563732</v>
      </c>
      <c r="AS450" s="6">
        <f t="shared" si="834"/>
        <v>5.4955486891712752E-6</v>
      </c>
      <c r="AT450" s="8">
        <f t="shared" si="835"/>
        <v>27.363404962734826</v>
      </c>
      <c r="AU450" s="7">
        <f t="shared" si="836"/>
        <v>1.3753674235259545E-2</v>
      </c>
      <c r="AV450" s="9">
        <f t="shared" si="837"/>
        <v>0.43366609111251109</v>
      </c>
      <c r="AW450" s="4">
        <f t="shared" si="838"/>
        <v>992.67799905745926</v>
      </c>
      <c r="AX450" s="6">
        <f t="shared" si="839"/>
        <v>5.4853559981149185E-6</v>
      </c>
      <c r="AY450" s="8">
        <f t="shared" si="840"/>
        <v>27.304796989160781</v>
      </c>
      <c r="AZ450" s="7">
        <f t="shared" si="841"/>
        <v>1.3728165053138022E-2</v>
      </c>
      <c r="BA450" s="9">
        <f t="shared" si="842"/>
        <v>0.43459692721497212</v>
      </c>
      <c r="BB450" s="4">
        <f t="shared" si="843"/>
        <v>986.97722399321481</v>
      </c>
      <c r="BC450" s="6">
        <f t="shared" si="844"/>
        <v>5.4739544479864301E-6</v>
      </c>
      <c r="BD450" s="8">
        <f t="shared" si="845"/>
        <v>27.239238075921968</v>
      </c>
      <c r="BE450" s="7">
        <f t="shared" si="846"/>
        <v>1.3699630467218837E-2</v>
      </c>
      <c r="BF450" s="9">
        <f t="shared" si="847"/>
        <v>0.43564290736191047</v>
      </c>
      <c r="BG450" s="4">
        <f t="shared" si="848"/>
        <v>980.65446268764913</v>
      </c>
      <c r="BH450" s="6">
        <f t="shared" si="849"/>
        <v>5.4613089253752989E-6</v>
      </c>
      <c r="BI450" s="8">
        <f t="shared" si="850"/>
        <v>27.166526320907963</v>
      </c>
      <c r="BJ450" s="7">
        <f t="shared" si="851"/>
        <v>1.3667982599396137E-2</v>
      </c>
      <c r="BK450" s="9">
        <f t="shared" si="852"/>
        <v>0.43680891438023545</v>
      </c>
      <c r="BL450" s="4">
        <f t="shared" si="853"/>
        <v>973.64012075884932</v>
      </c>
      <c r="BM450" s="6">
        <f t="shared" si="854"/>
        <v>5.4472802415176991E-6</v>
      </c>
      <c r="BN450" s="8">
        <f t="shared" si="855"/>
        <v>27.085861388726766</v>
      </c>
      <c r="BO450" s="7">
        <f t="shared" si="856"/>
        <v>1.363287310284904E-2</v>
      </c>
      <c r="BP450" s="9">
        <f t="shared" si="857"/>
        <v>0.43810978352923319</v>
      </c>
      <c r="BQ450" s="4">
        <f t="shared" si="858"/>
        <v>965.68565764250968</v>
      </c>
      <c r="BR450" s="6">
        <f t="shared" si="859"/>
        <v>5.4313713152850194E-6</v>
      </c>
      <c r="BS450" s="8">
        <f t="shared" si="860"/>
        <v>26.99438506288886</v>
      </c>
      <c r="BT450" s="7">
        <f t="shared" si="861"/>
        <v>1.3593057935845207E-2</v>
      </c>
      <c r="BU450" s="9">
        <f t="shared" si="862"/>
        <v>0.43959441350756118</v>
      </c>
      <c r="BV450" s="4">
        <f t="shared" si="863"/>
        <v>956.00157874639228</v>
      </c>
      <c r="BW450" s="6">
        <f t="shared" si="864"/>
        <v>5.4120031574927855E-6</v>
      </c>
      <c r="BX450" s="8">
        <f t="shared" si="865"/>
        <v>26.88301815558351</v>
      </c>
      <c r="BY450" s="7">
        <f t="shared" si="866"/>
        <v>1.3544585372343697E-2</v>
      </c>
      <c r="BZ450" s="9">
        <f t="shared" si="867"/>
        <v>0.4414154988491592</v>
      </c>
      <c r="CA450" s="4">
        <f t="shared" si="868"/>
        <v>942.39348299948983</v>
      </c>
      <c r="CB450" s="6">
        <f t="shared" si="869"/>
        <v>5.3847869659989802E-6</v>
      </c>
      <c r="CC450" s="8">
        <f t="shared" si="870"/>
        <v>26.726525054494132</v>
      </c>
      <c r="CD450" s="7">
        <f t="shared" si="871"/>
        <v>1.3476471585549699E-2</v>
      </c>
      <c r="CE450" s="9">
        <f t="shared" si="872"/>
        <v>0.44400014014251743</v>
      </c>
      <c r="CF450" s="4">
        <f t="shared" si="873"/>
        <v>919.64023083861059</v>
      </c>
      <c r="CG450" s="6">
        <f t="shared" si="874"/>
        <v>5.3392804616772215E-6</v>
      </c>
      <c r="CH450" s="8">
        <f t="shared" si="875"/>
        <v>26.464862654644023</v>
      </c>
      <c r="CI450" s="7">
        <f t="shared" si="876"/>
        <v>1.336258275088972E-2</v>
      </c>
      <c r="CJ450" s="9">
        <f t="shared" si="877"/>
        <v>0.4483900417157678</v>
      </c>
      <c r="CK450" s="4">
        <f t="shared" si="878"/>
        <v>877.44086147251414</v>
      </c>
      <c r="CL450" s="6">
        <f t="shared" si="879"/>
        <v>5.2548817229450286E-6</v>
      </c>
      <c r="CM450" s="8">
        <f t="shared" si="880"/>
        <v>25.979569906933911</v>
      </c>
      <c r="CN450" s="7">
        <f t="shared" si="881"/>
        <v>1.3151358572187299E-2</v>
      </c>
      <c r="CO450" s="9">
        <f t="shared" si="882"/>
        <v>0.45676587072947367</v>
      </c>
      <c r="CP450" s="4">
        <f t="shared" si="883"/>
        <v>799.8563992993611</v>
      </c>
      <c r="CQ450" s="6">
        <f t="shared" si="884"/>
        <v>5.0997127985987224E-6</v>
      </c>
      <c r="CR450" s="8">
        <f t="shared" si="885"/>
        <v>25.08734859194265</v>
      </c>
      <c r="CS450" s="7">
        <f t="shared" si="886"/>
        <v>1.2763018306710268E-2</v>
      </c>
      <c r="CT450" s="9">
        <f t="shared" si="887"/>
        <v>0.47301056252429602</v>
      </c>
      <c r="CU450" s="4">
        <f t="shared" si="888"/>
        <v>670.40550649528348</v>
      </c>
      <c r="CV450" s="6">
        <f t="shared" si="889"/>
        <v>4.8408110129905678E-6</v>
      </c>
      <c r="CW450" s="8">
        <f t="shared" si="890"/>
        <v>29.812574295774056</v>
      </c>
      <c r="CX450" s="7">
        <f t="shared" si="891"/>
        <v>1.2115066478861292E-2</v>
      </c>
      <c r="CY450" s="9">
        <f t="shared" si="892"/>
        <v>0.39803945650543809</v>
      </c>
      <c r="CZ450" s="5">
        <f t="shared" si="893"/>
        <v>489.42550155703481</v>
      </c>
      <c r="DA450" s="6">
        <f t="shared" si="894"/>
        <v>7.3730816502583704E-6</v>
      </c>
      <c r="DB450" s="8">
        <f t="shared" si="895"/>
        <v>39.301660454845987</v>
      </c>
      <c r="DC450" s="7">
        <f t="shared" si="896"/>
        <v>1.8452563859081301E-2</v>
      </c>
      <c r="DD450" s="9">
        <f t="shared" si="897"/>
        <v>0.30193586561950769</v>
      </c>
    </row>
    <row r="451" spans="2:108" x14ac:dyDescent="0.25">
      <c r="B451">
        <v>184</v>
      </c>
      <c r="C451">
        <f t="shared" si="805"/>
        <v>0.17988109860752627</v>
      </c>
      <c r="D451" s="4">
        <f t="shared" si="806"/>
        <v>1016.9767008821527</v>
      </c>
      <c r="E451" s="6">
        <f t="shared" si="794"/>
        <v>5.5339534017643063E-6</v>
      </c>
      <c r="F451" s="8">
        <f t="shared" si="807"/>
        <v>27.584232060144757</v>
      </c>
      <c r="G451" s="7">
        <f t="shared" si="792"/>
        <v>1.3849789461596112E-2</v>
      </c>
      <c r="H451" s="9">
        <f t="shared" si="808"/>
        <v>0.43019435320308952</v>
      </c>
      <c r="I451" s="4">
        <f t="shared" si="809"/>
        <v>1016.6520199610774</v>
      </c>
      <c r="J451" s="6">
        <f t="shared" si="795"/>
        <v>5.5333040399221554E-6</v>
      </c>
      <c r="K451" s="8">
        <f t="shared" si="810"/>
        <v>27.58049822955239</v>
      </c>
      <c r="L451" s="7">
        <f t="shared" si="796"/>
        <v>1.3848164307904845E-2</v>
      </c>
      <c r="M451" s="9">
        <f t="shared" si="811"/>
        <v>0.43025259264544052</v>
      </c>
      <c r="N451" s="4">
        <f t="shared" si="812"/>
        <v>1015.7458225188471</v>
      </c>
      <c r="O451" s="6">
        <f t="shared" si="797"/>
        <v>5.5314916450376951E-6</v>
      </c>
      <c r="P451" s="8">
        <f t="shared" si="798"/>
        <v>27.570076958966741</v>
      </c>
      <c r="Q451" s="7">
        <f t="shared" si="793"/>
        <v>1.3849789461596112E-2</v>
      </c>
      <c r="R451" s="9">
        <f t="shared" si="813"/>
        <v>0.43041522471552174</v>
      </c>
      <c r="S451" s="4">
        <f t="shared" si="814"/>
        <v>1014.2441449707571</v>
      </c>
      <c r="T451" s="6">
        <f t="shared" si="799"/>
        <v>5.5284882899415151E-6</v>
      </c>
      <c r="U451" s="8">
        <f t="shared" si="800"/>
        <v>27.552807667163705</v>
      </c>
      <c r="V451" s="7">
        <f t="shared" si="801"/>
        <v>1.3836111961509898E-2</v>
      </c>
      <c r="W451" s="9">
        <f t="shared" si="815"/>
        <v>0.4306849963555619</v>
      </c>
      <c r="X451" s="4">
        <f t="shared" si="816"/>
        <v>1012.1450922803451</v>
      </c>
      <c r="Y451" s="6">
        <f t="shared" si="802"/>
        <v>5.5242901845606907E-6</v>
      </c>
      <c r="Z451" s="8">
        <f t="shared" si="803"/>
        <v>27.528668561223967</v>
      </c>
      <c r="AA451" s="7">
        <f t="shared" si="804"/>
        <v>1.3825605390268536E-2</v>
      </c>
      <c r="AB451" s="9">
        <f t="shared" si="817"/>
        <v>0.4310626517706998</v>
      </c>
      <c r="AC451" s="4">
        <f t="shared" si="818"/>
        <v>1009.4472077733679</v>
      </c>
      <c r="AD451" s="6">
        <f t="shared" si="819"/>
        <v>5.5188944155467364E-6</v>
      </c>
      <c r="AE451" s="8">
        <f t="shared" si="820"/>
        <v>27.497642889393731</v>
      </c>
      <c r="AF451" s="7">
        <f t="shared" si="821"/>
        <v>1.3812101433982447E-2</v>
      </c>
      <c r="AG451" s="9">
        <f t="shared" si="822"/>
        <v>0.43154902103609116</v>
      </c>
      <c r="AH451" s="4">
        <f t="shared" si="823"/>
        <v>1006.1501467170258</v>
      </c>
      <c r="AI451" s="6">
        <f t="shared" si="824"/>
        <v>5.5123002934340525E-6</v>
      </c>
      <c r="AJ451" s="8">
        <f t="shared" si="825"/>
        <v>27.459726687245798</v>
      </c>
      <c r="AK451" s="7">
        <f t="shared" si="826"/>
        <v>1.3795598367130528E-2</v>
      </c>
      <c r="AL451" s="9">
        <f t="shared" si="827"/>
        <v>0.43214490096252711</v>
      </c>
      <c r="AM451" s="4">
        <f t="shared" si="828"/>
        <v>1002.2537527719794</v>
      </c>
      <c r="AN451" s="6">
        <f t="shared" si="829"/>
        <v>5.5045075055439595E-6</v>
      </c>
      <c r="AO451" s="8">
        <f t="shared" si="830"/>
        <v>27.414918156877761</v>
      </c>
      <c r="AP451" s="7">
        <f t="shared" si="831"/>
        <v>1.3776095407173863E-2</v>
      </c>
      <c r="AQ451" s="9">
        <f t="shared" si="832"/>
        <v>0.43285122362259731</v>
      </c>
      <c r="AR451" s="4">
        <f t="shared" si="833"/>
        <v>997.75781444303141</v>
      </c>
      <c r="AS451" s="6">
        <f t="shared" si="834"/>
        <v>5.4955156288860639E-6</v>
      </c>
      <c r="AT451" s="8">
        <f t="shared" si="835"/>
        <v>27.363214866094861</v>
      </c>
      <c r="AU451" s="7">
        <f t="shared" si="836"/>
        <v>1.3753591495497123E-2</v>
      </c>
      <c r="AV451" s="9">
        <f t="shared" si="837"/>
        <v>0.43366910386036217</v>
      </c>
      <c r="AW451" s="4">
        <f t="shared" si="838"/>
        <v>992.6614360257571</v>
      </c>
      <c r="AX451" s="6">
        <f t="shared" si="839"/>
        <v>5.4853228720515155E-6</v>
      </c>
      <c r="AY451" s="8">
        <f t="shared" si="840"/>
        <v>27.304606514296204</v>
      </c>
      <c r="AZ451" s="7">
        <f t="shared" si="841"/>
        <v>1.3728082148752943E-2</v>
      </c>
      <c r="BA451" s="9">
        <f t="shared" si="842"/>
        <v>0.43459995893018161</v>
      </c>
      <c r="BB451" s="4">
        <f t="shared" si="843"/>
        <v>986.96043231024839</v>
      </c>
      <c r="BC451" s="6">
        <f t="shared" si="844"/>
        <v>5.4739208646204979E-6</v>
      </c>
      <c r="BD451" s="8">
        <f t="shared" si="845"/>
        <v>27.239044971567857</v>
      </c>
      <c r="BE451" s="7">
        <f t="shared" si="846"/>
        <v>1.3699546418345672E-2</v>
      </c>
      <c r="BF451" s="9">
        <f t="shared" si="847"/>
        <v>0.43564599574266455</v>
      </c>
      <c r="BG451" s="4">
        <f t="shared" si="848"/>
        <v>980.63668324385162</v>
      </c>
      <c r="BH451" s="6">
        <f t="shared" si="849"/>
        <v>5.4612733664877036E-6</v>
      </c>
      <c r="BI451" s="8">
        <f t="shared" si="850"/>
        <v>27.166321857304293</v>
      </c>
      <c r="BJ451" s="7">
        <f t="shared" si="851"/>
        <v>1.3667893606397655E-2</v>
      </c>
      <c r="BK451" s="9">
        <f t="shared" si="852"/>
        <v>0.43681220196275095</v>
      </c>
      <c r="BL451" s="4">
        <f t="shared" si="853"/>
        <v>973.61874661436536</v>
      </c>
      <c r="BM451" s="6">
        <f t="shared" si="854"/>
        <v>5.4472374932287316E-6</v>
      </c>
      <c r="BN451" s="8">
        <f t="shared" si="855"/>
        <v>27.085615586065202</v>
      </c>
      <c r="BO451" s="7">
        <f t="shared" si="856"/>
        <v>1.3632766116982144E-2</v>
      </c>
      <c r="BP451" s="9">
        <f t="shared" si="857"/>
        <v>0.43811375938684316</v>
      </c>
      <c r="BQ451" s="4">
        <f t="shared" si="858"/>
        <v>965.65282965211554</v>
      </c>
      <c r="BR451" s="6">
        <f t="shared" si="859"/>
        <v>5.4313056593042317E-6</v>
      </c>
      <c r="BS451" s="8">
        <f t="shared" si="860"/>
        <v>26.994007540999327</v>
      </c>
      <c r="BT451" s="7">
        <f t="shared" si="861"/>
        <v>1.3592893619045842E-2</v>
      </c>
      <c r="BU451" s="9">
        <f t="shared" si="862"/>
        <v>0.43960056140958587</v>
      </c>
      <c r="BV451" s="4">
        <f t="shared" si="863"/>
        <v>955.93693257234884</v>
      </c>
      <c r="BW451" s="6">
        <f t="shared" si="864"/>
        <v>5.411873865144698E-6</v>
      </c>
      <c r="BX451" s="8">
        <f t="shared" si="865"/>
        <v>26.882274724582011</v>
      </c>
      <c r="BY451" s="7">
        <f t="shared" si="866"/>
        <v>1.3544261793218611E-2</v>
      </c>
      <c r="BZ451" s="9">
        <f t="shared" si="867"/>
        <v>0.44142770622259575</v>
      </c>
      <c r="CA451" s="4">
        <f t="shared" si="868"/>
        <v>942.25320235303843</v>
      </c>
      <c r="CB451" s="6">
        <f t="shared" si="869"/>
        <v>5.3845064047060771E-6</v>
      </c>
      <c r="CC451" s="8">
        <f t="shared" si="870"/>
        <v>26.724911827059941</v>
      </c>
      <c r="CD451" s="7">
        <f t="shared" si="871"/>
        <v>1.3475769426612738E-2</v>
      </c>
      <c r="CE451" s="9">
        <f t="shared" si="872"/>
        <v>0.44402694184766422</v>
      </c>
      <c r="CF451" s="4">
        <f t="shared" si="873"/>
        <v>919.35082674218052</v>
      </c>
      <c r="CG451" s="6">
        <f t="shared" si="874"/>
        <v>5.3387016534843616E-6</v>
      </c>
      <c r="CH451" s="8">
        <f t="shared" si="875"/>
        <v>26.461534507535077</v>
      </c>
      <c r="CI451" s="7">
        <f t="shared" si="876"/>
        <v>1.3361134171361167E-2</v>
      </c>
      <c r="CJ451" s="9">
        <f t="shared" si="877"/>
        <v>0.44844643708545395</v>
      </c>
      <c r="CK451" s="4">
        <f t="shared" si="878"/>
        <v>876.92100450441899</v>
      </c>
      <c r="CL451" s="6">
        <f t="shared" si="879"/>
        <v>5.2538420090088386E-6</v>
      </c>
      <c r="CM451" s="8">
        <f t="shared" si="880"/>
        <v>25.973591551800816</v>
      </c>
      <c r="CN451" s="7">
        <f t="shared" si="881"/>
        <v>1.3148756486829673E-2</v>
      </c>
      <c r="CO451" s="9">
        <f t="shared" si="882"/>
        <v>0.4568710047685014</v>
      </c>
      <c r="CP451" s="4">
        <f t="shared" si="883"/>
        <v>799.09880197018845</v>
      </c>
      <c r="CQ451" s="6">
        <f t="shared" si="884"/>
        <v>5.0981976039403773E-6</v>
      </c>
      <c r="CR451" s="8">
        <f t="shared" si="885"/>
        <v>25.078636222657167</v>
      </c>
      <c r="CS451" s="7">
        <f t="shared" si="886"/>
        <v>1.275922623881813E-2</v>
      </c>
      <c r="CT451" s="9">
        <f t="shared" si="887"/>
        <v>0.47317488735679719</v>
      </c>
      <c r="CU451" s="4">
        <f t="shared" si="888"/>
        <v>669.64380178894623</v>
      </c>
      <c r="CV451" s="6">
        <f t="shared" si="889"/>
        <v>4.8392876035778929E-6</v>
      </c>
      <c r="CW451" s="8">
        <f t="shared" si="890"/>
        <v>29.965524600806503</v>
      </c>
      <c r="CX451" s="7">
        <f t="shared" si="891"/>
        <v>1.2111253851956515E-2</v>
      </c>
      <c r="CY451" s="9">
        <f t="shared" si="892"/>
        <v>0.39600777986708491</v>
      </c>
      <c r="CZ451" s="5">
        <f t="shared" si="893"/>
        <v>489.34654176297477</v>
      </c>
      <c r="DA451" s="6">
        <f t="shared" si="894"/>
        <v>7.3742581887865601E-6</v>
      </c>
      <c r="DB451" s="8">
        <f t="shared" si="895"/>
        <v>39.303950288873729</v>
      </c>
      <c r="DC451" s="7">
        <f t="shared" si="896"/>
        <v>1.8455508374462238E-2</v>
      </c>
      <c r="DD451" s="9">
        <f t="shared" si="897"/>
        <v>0.30191827494441759</v>
      </c>
    </row>
    <row r="452" spans="2:108" x14ac:dyDescent="0.25">
      <c r="B452">
        <v>185</v>
      </c>
      <c r="C452">
        <f t="shared" si="805"/>
        <v>0.18085871327387151</v>
      </c>
      <c r="D452" s="4">
        <f t="shared" si="806"/>
        <v>1016.9601243145017</v>
      </c>
      <c r="E452" s="6">
        <f t="shared" si="794"/>
        <v>5.5339202486290044E-6</v>
      </c>
      <c r="F452" s="8">
        <f t="shared" si="807"/>
        <v>27.584041429616768</v>
      </c>
      <c r="G452" s="7">
        <f t="shared" si="792"/>
        <v>1.3849706489458368E-2</v>
      </c>
      <c r="H452" s="9">
        <f t="shared" si="808"/>
        <v>0.43019732623287188</v>
      </c>
      <c r="I452" s="4">
        <f t="shared" si="809"/>
        <v>1016.6354424759126</v>
      </c>
      <c r="J452" s="6">
        <f t="shared" si="795"/>
        <v>5.5332708849518252E-6</v>
      </c>
      <c r="K452" s="8">
        <f t="shared" si="810"/>
        <v>27.580307588472994</v>
      </c>
      <c r="L452" s="7">
        <f t="shared" si="796"/>
        <v>1.3848081331174586E-2</v>
      </c>
      <c r="M452" s="9">
        <f t="shared" si="811"/>
        <v>0.43025556664485703</v>
      </c>
      <c r="N452" s="4">
        <f t="shared" si="812"/>
        <v>1015.7292401497348</v>
      </c>
      <c r="O452" s="6">
        <f t="shared" si="797"/>
        <v>5.5314584802994698E-6</v>
      </c>
      <c r="P452" s="8">
        <f t="shared" si="798"/>
        <v>27.569886261721948</v>
      </c>
      <c r="Q452" s="7">
        <f t="shared" si="793"/>
        <v>1.3849706489458368E-2</v>
      </c>
      <c r="R452" s="9">
        <f t="shared" si="813"/>
        <v>0.43041820184051571</v>
      </c>
      <c r="S452" s="4">
        <f t="shared" si="814"/>
        <v>1014.2275599908801</v>
      </c>
      <c r="T452" s="6">
        <f t="shared" si="799"/>
        <v>5.5284551199817612E-6</v>
      </c>
      <c r="U452" s="8">
        <f t="shared" si="800"/>
        <v>27.55261693989512</v>
      </c>
      <c r="V452" s="7">
        <f t="shared" si="801"/>
        <v>1.3836028947265705E-2</v>
      </c>
      <c r="W452" s="9">
        <f t="shared" si="815"/>
        <v>0.43068797768300365</v>
      </c>
      <c r="X452" s="4">
        <f t="shared" si="816"/>
        <v>1012.1285105057565</v>
      </c>
      <c r="Y452" s="6">
        <f t="shared" si="802"/>
        <v>5.5242570210115142E-6</v>
      </c>
      <c r="Z452" s="8">
        <f t="shared" si="803"/>
        <v>27.528477870816197</v>
      </c>
      <c r="AA452" s="7">
        <f t="shared" si="804"/>
        <v>1.3825522392068055E-2</v>
      </c>
      <c r="AB452" s="9">
        <f t="shared" si="817"/>
        <v>0.43106563775173468</v>
      </c>
      <c r="AC452" s="4">
        <f t="shared" si="818"/>
        <v>1009.4306355191554</v>
      </c>
      <c r="AD452" s="6">
        <f t="shared" si="819"/>
        <v>5.5188612710383109E-6</v>
      </c>
      <c r="AE452" s="8">
        <f t="shared" si="820"/>
        <v>27.497452308470287</v>
      </c>
      <c r="AF452" s="7">
        <f t="shared" si="821"/>
        <v>1.3812018483435133E-2</v>
      </c>
      <c r="AG452" s="9">
        <f t="shared" si="822"/>
        <v>0.43155201204085841</v>
      </c>
      <c r="AH452" s="4">
        <f t="shared" si="823"/>
        <v>1006.1335890423027</v>
      </c>
      <c r="AI452" s="6">
        <f t="shared" si="824"/>
        <v>5.5122671780846058E-6</v>
      </c>
      <c r="AJ452" s="8">
        <f t="shared" si="825"/>
        <v>27.45953627398648</v>
      </c>
      <c r="AK452" s="7">
        <f t="shared" si="826"/>
        <v>1.37955154895592E-2</v>
      </c>
      <c r="AL452" s="9">
        <f t="shared" si="827"/>
        <v>0.43214789759430811</v>
      </c>
      <c r="AM452" s="4">
        <f t="shared" si="828"/>
        <v>1002.2372119945818</v>
      </c>
      <c r="AN452" s="6">
        <f t="shared" si="829"/>
        <v>5.5044744239891639E-6</v>
      </c>
      <c r="AO452" s="8">
        <f t="shared" si="830"/>
        <v>27.414727937937691</v>
      </c>
      <c r="AP452" s="7">
        <f t="shared" si="831"/>
        <v>1.377601261418019E-2</v>
      </c>
      <c r="AQ452" s="9">
        <f t="shared" si="832"/>
        <v>0.43285422699002635</v>
      </c>
      <c r="AR452" s="4">
        <f t="shared" si="833"/>
        <v>997.74128378051967</v>
      </c>
      <c r="AS452" s="6">
        <f t="shared" si="834"/>
        <v>5.49548256756104E-6</v>
      </c>
      <c r="AT452" s="8">
        <f t="shared" si="835"/>
        <v>27.363024763475977</v>
      </c>
      <c r="AU452" s="7">
        <f t="shared" si="836"/>
        <v>1.375350875313237E-2</v>
      </c>
      <c r="AV452" s="9">
        <f t="shared" si="837"/>
        <v>0.43367211674483258</v>
      </c>
      <c r="AW452" s="4">
        <f t="shared" si="838"/>
        <v>992.64487020144361</v>
      </c>
      <c r="AX452" s="6">
        <f t="shared" si="839"/>
        <v>5.4852897404028881E-6</v>
      </c>
      <c r="AY452" s="8">
        <f t="shared" si="840"/>
        <v>27.3044160073166</v>
      </c>
      <c r="AZ452" s="7">
        <f t="shared" si="841"/>
        <v>1.372799923038976E-2</v>
      </c>
      <c r="BA452" s="9">
        <f t="shared" si="842"/>
        <v>0.43460299119886259</v>
      </c>
      <c r="BB452" s="4">
        <f t="shared" si="843"/>
        <v>986.94362947270395</v>
      </c>
      <c r="BC452" s="6">
        <f t="shared" si="844"/>
        <v>5.4738872589454086E-6</v>
      </c>
      <c r="BD452" s="8">
        <f t="shared" si="845"/>
        <v>27.238851738936095</v>
      </c>
      <c r="BE452" s="7">
        <f t="shared" si="846"/>
        <v>1.3699462313639523E-2</v>
      </c>
      <c r="BF452" s="9">
        <f t="shared" si="847"/>
        <v>0.43564908621883736</v>
      </c>
      <c r="BG452" s="4">
        <f t="shared" si="848"/>
        <v>980.61886534202017</v>
      </c>
      <c r="BH452" s="6">
        <f t="shared" si="849"/>
        <v>5.4612377306840407E-6</v>
      </c>
      <c r="BI452" s="8">
        <f t="shared" si="850"/>
        <v>27.166116951433231</v>
      </c>
      <c r="BJ452" s="7">
        <f t="shared" si="851"/>
        <v>1.3667804420901829E-2</v>
      </c>
      <c r="BK452" s="9">
        <f t="shared" si="852"/>
        <v>0.43681549670615849</v>
      </c>
      <c r="BL452" s="4">
        <f t="shared" si="853"/>
        <v>973.59725662206711</v>
      </c>
      <c r="BM452" s="6">
        <f t="shared" si="854"/>
        <v>5.4471945132441344E-6</v>
      </c>
      <c r="BN452" s="8">
        <f t="shared" si="855"/>
        <v>27.085368451153769</v>
      </c>
      <c r="BO452" s="7">
        <f t="shared" si="856"/>
        <v>1.3632658551252093E-2</v>
      </c>
      <c r="BP452" s="9">
        <f t="shared" si="857"/>
        <v>0.4381177568663428</v>
      </c>
      <c r="BQ452" s="4">
        <f t="shared" si="858"/>
        <v>965.61970161172496</v>
      </c>
      <c r="BR452" s="6">
        <f t="shared" si="859"/>
        <v>5.4312394032234503E-6</v>
      </c>
      <c r="BS452" s="8">
        <f t="shared" si="860"/>
        <v>26.993626568534836</v>
      </c>
      <c r="BT452" s="7">
        <f t="shared" si="861"/>
        <v>1.35927278003801E-2</v>
      </c>
      <c r="BU452" s="9">
        <f t="shared" si="862"/>
        <v>0.43960676567816931</v>
      </c>
      <c r="BV452" s="4">
        <f t="shared" si="863"/>
        <v>955.87163944065048</v>
      </c>
      <c r="BW452" s="6">
        <f t="shared" si="864"/>
        <v>5.4117432788813012E-6</v>
      </c>
      <c r="BX452" s="8">
        <f t="shared" si="865"/>
        <v>26.881523853567479</v>
      </c>
      <c r="BY452" s="7">
        <f t="shared" si="866"/>
        <v>1.3543934975820031E-2</v>
      </c>
      <c r="BZ452" s="9">
        <f t="shared" si="867"/>
        <v>0.44144003644879193</v>
      </c>
      <c r="CA452" s="4">
        <f t="shared" si="868"/>
        <v>942.11182829134407</v>
      </c>
      <c r="CB452" s="6">
        <f t="shared" si="869"/>
        <v>5.3842236565826887E-6</v>
      </c>
      <c r="CC452" s="8">
        <f t="shared" si="870"/>
        <v>26.723286025350454</v>
      </c>
      <c r="CD452" s="7">
        <f t="shared" si="871"/>
        <v>1.3475061794709234E-2</v>
      </c>
      <c r="CE452" s="9">
        <f t="shared" si="872"/>
        <v>0.44405395573212547</v>
      </c>
      <c r="CF452" s="4">
        <f t="shared" si="873"/>
        <v>919.06018208584032</v>
      </c>
      <c r="CG452" s="6">
        <f t="shared" si="874"/>
        <v>5.3381203641716804E-6</v>
      </c>
      <c r="CH452" s="8">
        <f t="shared" si="875"/>
        <v>26.458192093987165</v>
      </c>
      <c r="CI452" s="7">
        <f t="shared" si="876"/>
        <v>1.3359679382350052E-2</v>
      </c>
      <c r="CJ452" s="9">
        <f t="shared" si="877"/>
        <v>0.44850308847877302</v>
      </c>
      <c r="CK452" s="4">
        <f t="shared" si="878"/>
        <v>876.40092281296131</v>
      </c>
      <c r="CL452" s="6">
        <f t="shared" si="879"/>
        <v>5.2528018456259232E-6</v>
      </c>
      <c r="CM452" s="8">
        <f t="shared" si="880"/>
        <v>25.967610612349056</v>
      </c>
      <c r="CN452" s="7">
        <f t="shared" si="881"/>
        <v>1.3146153276644628E-2</v>
      </c>
      <c r="CO452" s="9">
        <f t="shared" si="882"/>
        <v>0.45697623269484305</v>
      </c>
      <c r="CP452" s="4">
        <f t="shared" si="883"/>
        <v>798.34433769050634</v>
      </c>
      <c r="CQ452" s="6">
        <f t="shared" si="884"/>
        <v>5.0966886753810127E-6</v>
      </c>
      <c r="CR452" s="8">
        <f t="shared" si="885"/>
        <v>25.069959883440823</v>
      </c>
      <c r="CS452" s="7">
        <f t="shared" si="886"/>
        <v>1.2755449853051468E-2</v>
      </c>
      <c r="CT452" s="9">
        <f t="shared" si="887"/>
        <v>0.47333864612826909</v>
      </c>
      <c r="CU452" s="4">
        <f t="shared" si="888"/>
        <v>668.89131143460884</v>
      </c>
      <c r="CV452" s="6">
        <f t="shared" si="889"/>
        <v>4.8377826228692179E-6</v>
      </c>
      <c r="CW452" s="8">
        <f t="shared" si="890"/>
        <v>30.116624663957396</v>
      </c>
      <c r="CX452" s="7">
        <f t="shared" si="891"/>
        <v>1.2107487346450294E-2</v>
      </c>
      <c r="CY452" s="9">
        <f t="shared" si="892"/>
        <v>0.3940209436524087</v>
      </c>
      <c r="CZ452" s="5">
        <f t="shared" si="893"/>
        <v>489.27421195646531</v>
      </c>
      <c r="DA452" s="6">
        <f t="shared" si="894"/>
        <v>7.3753358893994163E-6</v>
      </c>
      <c r="DB452" s="8">
        <f t="shared" si="895"/>
        <v>39.306047853262498</v>
      </c>
      <c r="DC452" s="7">
        <f t="shared" si="896"/>
        <v>1.8458205528830384E-2</v>
      </c>
      <c r="DD452" s="9">
        <f t="shared" si="897"/>
        <v>0.30190216309760443</v>
      </c>
    </row>
    <row r="453" spans="2:108" x14ac:dyDescent="0.25">
      <c r="B453">
        <v>186</v>
      </c>
      <c r="C453">
        <f t="shared" si="805"/>
        <v>0.18183632794021676</v>
      </c>
      <c r="D453" s="4">
        <f t="shared" si="806"/>
        <v>1016.9435477000072</v>
      </c>
      <c r="E453" s="6">
        <f t="shared" si="794"/>
        <v>5.5338870954000147E-6</v>
      </c>
      <c r="F453" s="8">
        <f t="shared" si="807"/>
        <v>27.583850798550081</v>
      </c>
      <c r="G453" s="7">
        <f t="shared" si="792"/>
        <v>1.3849623517086152E-2</v>
      </c>
      <c r="H453" s="9">
        <f t="shared" si="808"/>
        <v>0.43020029931214876</v>
      </c>
      <c r="I453" s="4">
        <f t="shared" si="809"/>
        <v>1016.6188649949544</v>
      </c>
      <c r="J453" s="6">
        <f t="shared" si="795"/>
        <v>5.5332377299899094E-6</v>
      </c>
      <c r="K453" s="8">
        <f t="shared" si="810"/>
        <v>27.580116947441972</v>
      </c>
      <c r="L453" s="7">
        <f t="shared" si="796"/>
        <v>1.3847998354465386E-2</v>
      </c>
      <c r="M453" s="9">
        <f t="shared" si="811"/>
        <v>0.43025854068463304</v>
      </c>
      <c r="N453" s="4">
        <f t="shared" si="812"/>
        <v>1015.7126578855151</v>
      </c>
      <c r="O453" s="6">
        <f t="shared" si="797"/>
        <v>5.5314253157710309E-6</v>
      </c>
      <c r="P453" s="8">
        <f t="shared" si="798"/>
        <v>27.569695565683425</v>
      </c>
      <c r="Q453" s="7">
        <f t="shared" si="793"/>
        <v>1.3849623517086152E-2</v>
      </c>
      <c r="R453" s="9">
        <f t="shared" si="813"/>
        <v>0.43042117898786231</v>
      </c>
      <c r="S453" s="4">
        <f t="shared" si="814"/>
        <v>1014.2109751922846</v>
      </c>
      <c r="T453" s="6">
        <f t="shared" si="799"/>
        <v>5.5284219503845696E-6</v>
      </c>
      <c r="U453" s="8">
        <f t="shared" si="800"/>
        <v>27.552426214711275</v>
      </c>
      <c r="V453" s="7">
        <f t="shared" si="801"/>
        <v>1.3835945933928895E-2</v>
      </c>
      <c r="W453" s="9">
        <f t="shared" si="815"/>
        <v>0.43069095901913296</v>
      </c>
      <c r="X453" s="4">
        <f t="shared" si="816"/>
        <v>1012.1119289400392</v>
      </c>
      <c r="Y453" s="6">
        <f t="shared" si="802"/>
        <v>5.5242238578800783E-6</v>
      </c>
      <c r="Z453" s="8">
        <f t="shared" si="803"/>
        <v>27.528287182810452</v>
      </c>
      <c r="AA453" s="7">
        <f t="shared" si="804"/>
        <v>1.382543939491305E-2</v>
      </c>
      <c r="AB453" s="9">
        <f t="shared" si="817"/>
        <v>0.4310686237365241</v>
      </c>
      <c r="AC453" s="4">
        <f t="shared" si="818"/>
        <v>1009.4140634676928</v>
      </c>
      <c r="AD453" s="6">
        <f t="shared" si="819"/>
        <v>5.5188281269353863E-6</v>
      </c>
      <c r="AE453" s="8">
        <f t="shared" si="820"/>
        <v>27.497261729878467</v>
      </c>
      <c r="AF453" s="7">
        <f t="shared" si="821"/>
        <v>1.3811935533902659E-2</v>
      </c>
      <c r="AG453" s="9">
        <f t="shared" si="822"/>
        <v>0.43155500305049271</v>
      </c>
      <c r="AH453" s="4">
        <f t="shared" si="823"/>
        <v>1006.1170315352618</v>
      </c>
      <c r="AI453" s="6">
        <f t="shared" si="824"/>
        <v>5.5122340630705247E-6</v>
      </c>
      <c r="AJ453" s="8">
        <f t="shared" si="825"/>
        <v>27.45934586265551</v>
      </c>
      <c r="AK453" s="7">
        <f t="shared" si="826"/>
        <v>1.3795432612827188E-2</v>
      </c>
      <c r="AL453" s="9">
        <f t="shared" si="827"/>
        <v>0.43215089423730058</v>
      </c>
      <c r="AM453" s="4">
        <f t="shared" si="828"/>
        <v>1002.2206712496039</v>
      </c>
      <c r="AN453" s="6">
        <f t="shared" si="829"/>
        <v>5.5044413424992086E-6</v>
      </c>
      <c r="AO453" s="8">
        <f t="shared" si="830"/>
        <v>27.414537719370443</v>
      </c>
      <c r="AP453" s="7">
        <f t="shared" si="831"/>
        <v>1.377592982134879E-2</v>
      </c>
      <c r="AQ453" s="9">
        <f t="shared" si="832"/>
        <v>0.43285723039324725</v>
      </c>
      <c r="AR453" s="4">
        <f t="shared" si="833"/>
        <v>997.72475257206224</v>
      </c>
      <c r="AS453" s="6">
        <f t="shared" si="834"/>
        <v>5.4954495051441246E-6</v>
      </c>
      <c r="AT453" s="8">
        <f t="shared" si="835"/>
        <v>27.362834654578712</v>
      </c>
      <c r="AU453" s="7">
        <f t="shared" si="836"/>
        <v>1.3753426008034945E-2</v>
      </c>
      <c r="AV453" s="9">
        <f t="shared" si="837"/>
        <v>0.43367512977067324</v>
      </c>
      <c r="AW453" s="4">
        <f t="shared" si="838"/>
        <v>992.62830149268291</v>
      </c>
      <c r="AX453" s="6">
        <f t="shared" si="839"/>
        <v>5.4852566029853667E-6</v>
      </c>
      <c r="AY453" s="8">
        <f t="shared" si="840"/>
        <v>27.304225467165853</v>
      </c>
      <c r="AZ453" s="7">
        <f t="shared" si="841"/>
        <v>1.3727916297588802E-2</v>
      </c>
      <c r="BA453" s="9">
        <f t="shared" si="842"/>
        <v>0.43460602403784776</v>
      </c>
      <c r="BB453" s="4">
        <f t="shared" si="843"/>
        <v>986.92681519622727</v>
      </c>
      <c r="BC453" s="6">
        <f t="shared" si="844"/>
        <v>5.4738536303924549E-6</v>
      </c>
      <c r="BD453" s="8">
        <f t="shared" si="845"/>
        <v>27.238658374756611</v>
      </c>
      <c r="BE453" s="7">
        <f t="shared" si="846"/>
        <v>1.3699378151677089E-2</v>
      </c>
      <c r="BF453" s="9">
        <f t="shared" si="847"/>
        <v>0.43565217884281832</v>
      </c>
      <c r="BG453" s="4">
        <f t="shared" si="848"/>
        <v>980.60100823135906</v>
      </c>
      <c r="BH453" s="6">
        <f t="shared" si="849"/>
        <v>5.461202016462718E-6</v>
      </c>
      <c r="BI453" s="8">
        <f t="shared" si="850"/>
        <v>27.165911594660628</v>
      </c>
      <c r="BJ453" s="7">
        <f t="shared" si="851"/>
        <v>1.3667715039150628E-2</v>
      </c>
      <c r="BK453" s="9">
        <f t="shared" si="852"/>
        <v>0.43681879874961521</v>
      </c>
      <c r="BL453" s="4">
        <f t="shared" si="853"/>
        <v>973.57564917492357</v>
      </c>
      <c r="BM453" s="6">
        <f t="shared" si="854"/>
        <v>5.4471512983498478E-6</v>
      </c>
      <c r="BN453" s="8">
        <f t="shared" si="855"/>
        <v>27.08511996551162</v>
      </c>
      <c r="BO453" s="7">
        <f t="shared" si="856"/>
        <v>1.3632550397615078E-2</v>
      </c>
      <c r="BP453" s="9">
        <f t="shared" si="857"/>
        <v>0.43812177626785515</v>
      </c>
      <c r="BQ453" s="4">
        <f t="shared" si="858"/>
        <v>965.58627103095182</v>
      </c>
      <c r="BR453" s="6">
        <f t="shared" si="859"/>
        <v>5.4311725420619049E-6</v>
      </c>
      <c r="BS453" s="8">
        <f t="shared" si="860"/>
        <v>26.993242116855946</v>
      </c>
      <c r="BT453" s="7">
        <f t="shared" si="861"/>
        <v>1.3592560467382631E-2</v>
      </c>
      <c r="BU453" s="9">
        <f t="shared" si="862"/>
        <v>0.43961302678450043</v>
      </c>
      <c r="BV453" s="4">
        <f t="shared" si="863"/>
        <v>955.80569763617075</v>
      </c>
      <c r="BW453" s="6">
        <f t="shared" si="864"/>
        <v>5.4116113952723422E-6</v>
      </c>
      <c r="BX453" s="8">
        <f t="shared" si="865"/>
        <v>26.880765522815963</v>
      </c>
      <c r="BY453" s="7">
        <f t="shared" si="866"/>
        <v>1.354360491156309E-2</v>
      </c>
      <c r="BZ453" s="9">
        <f t="shared" si="867"/>
        <v>0.44145248987220004</v>
      </c>
      <c r="CA453" s="4">
        <f t="shared" si="868"/>
        <v>941.96936468728506</v>
      </c>
      <c r="CB453" s="6">
        <f t="shared" si="869"/>
        <v>5.3839387293745711E-6</v>
      </c>
      <c r="CC453" s="8">
        <f t="shared" si="870"/>
        <v>26.721647693903776</v>
      </c>
      <c r="CD453" s="7">
        <f t="shared" si="871"/>
        <v>1.3474348709224444E-2</v>
      </c>
      <c r="CE453" s="9">
        <f t="shared" si="872"/>
        <v>0.44408118113259598</v>
      </c>
      <c r="CF453" s="4">
        <f t="shared" si="873"/>
        <v>918.76831315581455</v>
      </c>
      <c r="CG453" s="6">
        <f t="shared" si="874"/>
        <v>5.33753662631163E-6</v>
      </c>
      <c r="CH453" s="8">
        <f t="shared" si="875"/>
        <v>26.454835601291869</v>
      </c>
      <c r="CI453" s="7">
        <f t="shared" si="876"/>
        <v>1.3358218465375238E-2</v>
      </c>
      <c r="CJ453" s="9">
        <f t="shared" si="877"/>
        <v>0.44855999290876025</v>
      </c>
      <c r="CK453" s="4">
        <f t="shared" si="878"/>
        <v>875.8806497005354</v>
      </c>
      <c r="CL453" s="6">
        <f t="shared" si="879"/>
        <v>5.2517612994010715E-6</v>
      </c>
      <c r="CM453" s="8">
        <f t="shared" si="880"/>
        <v>25.961627471556156</v>
      </c>
      <c r="CN453" s="7">
        <f t="shared" si="881"/>
        <v>1.314354910832354E-2</v>
      </c>
      <c r="CO453" s="9">
        <f t="shared" si="882"/>
        <v>0.45708154786209204</v>
      </c>
      <c r="CP453" s="4">
        <f t="shared" si="883"/>
        <v>797.59304457670919</v>
      </c>
      <c r="CQ453" s="6">
        <f t="shared" si="884"/>
        <v>5.0951860891534186E-6</v>
      </c>
      <c r="CR453" s="8">
        <f t="shared" si="885"/>
        <v>25.061320012632155</v>
      </c>
      <c r="CS453" s="7">
        <f t="shared" si="886"/>
        <v>1.2751689340197596E-2</v>
      </c>
      <c r="CT453" s="9">
        <f t="shared" si="887"/>
        <v>0.47350182926264656</v>
      </c>
      <c r="CU453" s="4">
        <f t="shared" si="888"/>
        <v>668.147919856111</v>
      </c>
      <c r="CV453" s="6">
        <f t="shared" si="889"/>
        <v>4.8362958397122222E-6</v>
      </c>
      <c r="CW453" s="8">
        <f t="shared" si="890"/>
        <v>30.26589769291968</v>
      </c>
      <c r="CX453" s="7">
        <f t="shared" si="891"/>
        <v>1.2103766383839211E-2</v>
      </c>
      <c r="CY453" s="9">
        <f t="shared" si="892"/>
        <v>0.39207761124805274</v>
      </c>
      <c r="CZ453" s="5">
        <f t="shared" si="893"/>
        <v>489.20800990552232</v>
      </c>
      <c r="DA453" s="6">
        <f t="shared" si="894"/>
        <v>7.3763222474539977E-6</v>
      </c>
      <c r="DB453" s="8">
        <f t="shared" si="895"/>
        <v>39.307967712739853</v>
      </c>
      <c r="DC453" s="7">
        <f t="shared" si="896"/>
        <v>1.8460674080767476E-2</v>
      </c>
      <c r="DD453" s="9">
        <f t="shared" si="897"/>
        <v>0.30188741774792638</v>
      </c>
    </row>
    <row r="454" spans="2:108" x14ac:dyDescent="0.25">
      <c r="B454">
        <v>187</v>
      </c>
      <c r="C454">
        <f t="shared" si="805"/>
        <v>0.18281394260656203</v>
      </c>
      <c r="D454" s="4">
        <f t="shared" si="806"/>
        <v>1016.9269710412755</v>
      </c>
      <c r="E454" s="6">
        <f t="shared" si="794"/>
        <v>5.5338539420825523E-6</v>
      </c>
      <c r="F454" s="8">
        <f t="shared" si="807"/>
        <v>27.583660166974667</v>
      </c>
      <c r="G454" s="7">
        <f t="shared" si="792"/>
        <v>1.3849540544492514E-2</v>
      </c>
      <c r="H454" s="9">
        <f t="shared" si="808"/>
        <v>0.43020327244045387</v>
      </c>
      <c r="I454" s="4">
        <f t="shared" si="809"/>
        <v>1016.6022875199424</v>
      </c>
      <c r="J454" s="6">
        <f t="shared" si="795"/>
        <v>5.5332045750398851E-6</v>
      </c>
      <c r="K454" s="8">
        <f t="shared" si="810"/>
        <v>27.579926306479337</v>
      </c>
      <c r="L454" s="7">
        <f t="shared" si="796"/>
        <v>1.3847915377785947E-2</v>
      </c>
      <c r="M454" s="9">
        <f t="shared" si="811"/>
        <v>0.43026151476445712</v>
      </c>
      <c r="N454" s="4">
        <f t="shared" si="812"/>
        <v>1015.6960757264646</v>
      </c>
      <c r="O454" s="6">
        <f t="shared" si="797"/>
        <v>5.5313921514529298E-6</v>
      </c>
      <c r="P454" s="8">
        <f t="shared" si="798"/>
        <v>27.569504870854342</v>
      </c>
      <c r="Q454" s="7">
        <f t="shared" si="793"/>
        <v>1.3849540544492514E-2</v>
      </c>
      <c r="R454" s="9">
        <f t="shared" si="813"/>
        <v>0.43042415615751206</v>
      </c>
      <c r="S454" s="4">
        <f t="shared" si="814"/>
        <v>1014.1943905745343</v>
      </c>
      <c r="T454" s="6">
        <f t="shared" si="799"/>
        <v>5.5283887811490695E-6</v>
      </c>
      <c r="U454" s="8">
        <f t="shared" si="800"/>
        <v>27.552235491607142</v>
      </c>
      <c r="V454" s="7">
        <f t="shared" si="801"/>
        <v>1.3835862921497289E-2</v>
      </c>
      <c r="W454" s="9">
        <f t="shared" si="815"/>
        <v>0.43069394036402786</v>
      </c>
      <c r="X454" s="4">
        <f t="shared" si="816"/>
        <v>1012.0953475827616</v>
      </c>
      <c r="Y454" s="6">
        <f t="shared" si="802"/>
        <v>5.5241906951655232E-6</v>
      </c>
      <c r="Z454" s="8">
        <f t="shared" si="803"/>
        <v>27.528096497201759</v>
      </c>
      <c r="AA454" s="7">
        <f t="shared" si="804"/>
        <v>1.3825356398801371E-2</v>
      </c>
      <c r="AB454" s="9">
        <f t="shared" si="817"/>
        <v>0.43107160972514541</v>
      </c>
      <c r="AC454" s="4">
        <f t="shared" si="818"/>
        <v>1009.3974916185203</v>
      </c>
      <c r="AD454" s="6">
        <f t="shared" si="819"/>
        <v>5.518794983237041E-6</v>
      </c>
      <c r="AE454" s="8">
        <f t="shared" si="820"/>
        <v>27.497071153612985</v>
      </c>
      <c r="AF454" s="7">
        <f t="shared" si="821"/>
        <v>1.3811852585382726E-2</v>
      </c>
      <c r="AG454" s="9">
        <f t="shared" si="822"/>
        <v>0.4315579940650765</v>
      </c>
      <c r="AH454" s="4">
        <f t="shared" si="823"/>
        <v>1006.1004741943215</v>
      </c>
      <c r="AI454" s="6">
        <f t="shared" si="824"/>
        <v>5.5122009483886433E-6</v>
      </c>
      <c r="AJ454" s="8">
        <f t="shared" si="825"/>
        <v>27.459155453234697</v>
      </c>
      <c r="AK454" s="7">
        <f t="shared" si="826"/>
        <v>1.379534973692657E-2</v>
      </c>
      <c r="AL454" s="9">
        <f t="shared" si="827"/>
        <v>0.4321538908917904</v>
      </c>
      <c r="AM454" s="4">
        <f t="shared" si="828"/>
        <v>1002.2041305302297</v>
      </c>
      <c r="AN454" s="6">
        <f t="shared" si="829"/>
        <v>5.5044082610604599E-6</v>
      </c>
      <c r="AO454" s="8">
        <f t="shared" si="830"/>
        <v>27.414347501097641</v>
      </c>
      <c r="AP454" s="7">
        <f t="shared" si="831"/>
        <v>1.3775847028645547E-2</v>
      </c>
      <c r="AQ454" s="9">
        <f t="shared" si="832"/>
        <v>0.43286023383349809</v>
      </c>
      <c r="AR454" s="4">
        <f t="shared" si="833"/>
        <v>997.70822079090794</v>
      </c>
      <c r="AS454" s="6">
        <f t="shared" si="834"/>
        <v>5.4954164415818165E-6</v>
      </c>
      <c r="AT454" s="8">
        <f t="shared" si="835"/>
        <v>27.362644539095442</v>
      </c>
      <c r="AU454" s="7">
        <f t="shared" si="836"/>
        <v>1.3753343260070954E-2</v>
      </c>
      <c r="AV454" s="9">
        <f t="shared" si="837"/>
        <v>0.43367814294276491</v>
      </c>
      <c r="AW454" s="4">
        <f t="shared" si="838"/>
        <v>992.61172980570075</v>
      </c>
      <c r="AX454" s="6">
        <f t="shared" si="839"/>
        <v>5.485223459611402E-6</v>
      </c>
      <c r="AY454" s="8">
        <f t="shared" si="840"/>
        <v>27.304034892765557</v>
      </c>
      <c r="AZ454" s="7">
        <f t="shared" si="841"/>
        <v>1.3727833349880696E-2</v>
      </c>
      <c r="BA454" s="9">
        <f t="shared" si="842"/>
        <v>0.43460905746432565</v>
      </c>
      <c r="BB454" s="4">
        <f t="shared" si="843"/>
        <v>986.90998919225729</v>
      </c>
      <c r="BC454" s="6">
        <f t="shared" si="844"/>
        <v>5.4738199783845151E-6</v>
      </c>
      <c r="BD454" s="8">
        <f t="shared" si="845"/>
        <v>27.23846487571096</v>
      </c>
      <c r="BE454" s="7">
        <f t="shared" si="846"/>
        <v>1.3699293931014014E-2</v>
      </c>
      <c r="BF454" s="9">
        <f t="shared" si="847"/>
        <v>0.43565527366777362</v>
      </c>
      <c r="BG454" s="4">
        <f t="shared" si="848"/>
        <v>980.5831111549254</v>
      </c>
      <c r="BH454" s="6">
        <f t="shared" si="849"/>
        <v>5.4611662223098514E-6</v>
      </c>
      <c r="BI454" s="8">
        <f t="shared" si="850"/>
        <v>27.165705778281641</v>
      </c>
      <c r="BJ454" s="7">
        <f t="shared" si="851"/>
        <v>1.3667625457355271E-2</v>
      </c>
      <c r="BK454" s="9">
        <f t="shared" si="852"/>
        <v>0.43682210823342416</v>
      </c>
      <c r="BL454" s="4">
        <f t="shared" si="853"/>
        <v>973.55392266458489</v>
      </c>
      <c r="BM454" s="6">
        <f t="shared" si="854"/>
        <v>5.44710784532917E-6</v>
      </c>
      <c r="BN454" s="8">
        <f t="shared" si="855"/>
        <v>27.084870110642726</v>
      </c>
      <c r="BO454" s="7">
        <f t="shared" si="856"/>
        <v>1.3632441648020679E-2</v>
      </c>
      <c r="BP454" s="9">
        <f t="shared" si="857"/>
        <v>0.43812581789177735</v>
      </c>
      <c r="BQ454" s="4">
        <f t="shared" si="858"/>
        <v>965.55253544208267</v>
      </c>
      <c r="BR454" s="6">
        <f t="shared" si="859"/>
        <v>5.4311050708841655E-6</v>
      </c>
      <c r="BS454" s="8">
        <f t="shared" si="860"/>
        <v>26.992854157583949</v>
      </c>
      <c r="BT454" s="7">
        <f t="shared" si="861"/>
        <v>1.3592391607701572E-2</v>
      </c>
      <c r="BU454" s="9">
        <f t="shared" si="862"/>
        <v>0.43961934519561902</v>
      </c>
      <c r="BV454" s="4">
        <f t="shared" si="863"/>
        <v>955.73910551263089</v>
      </c>
      <c r="BW454" s="6">
        <f t="shared" si="864"/>
        <v>5.4114782110252624E-6</v>
      </c>
      <c r="BX454" s="8">
        <f t="shared" si="865"/>
        <v>26.879999713395254</v>
      </c>
      <c r="BY454" s="7">
        <f t="shared" si="866"/>
        <v>1.3543271592207513E-2</v>
      </c>
      <c r="BZ454" s="9">
        <f t="shared" si="867"/>
        <v>0.44146506682454917</v>
      </c>
      <c r="CA454" s="4">
        <f t="shared" si="868"/>
        <v>941.82581551490046</v>
      </c>
      <c r="CB454" s="6">
        <f t="shared" si="869"/>
        <v>5.3836516310298014E-6</v>
      </c>
      <c r="CC454" s="8">
        <f t="shared" si="870"/>
        <v>26.719996878421355</v>
      </c>
      <c r="CD454" s="7">
        <f t="shared" si="871"/>
        <v>1.3473630190049966E-2</v>
      </c>
      <c r="CE454" s="9">
        <f t="shared" si="872"/>
        <v>0.44410861736668694</v>
      </c>
      <c r="CF454" s="4">
        <f t="shared" si="873"/>
        <v>918.47523631126228</v>
      </c>
      <c r="CG454" s="6">
        <f t="shared" si="874"/>
        <v>5.336950472622525E-6</v>
      </c>
      <c r="CH454" s="8">
        <f t="shared" si="875"/>
        <v>26.451465217579518</v>
      </c>
      <c r="CI454" s="7">
        <f t="shared" si="876"/>
        <v>1.3356751502320643E-2</v>
      </c>
      <c r="CJ454" s="9">
        <f t="shared" si="877"/>
        <v>0.44861714737191288</v>
      </c>
      <c r="CK454" s="4">
        <f t="shared" si="878"/>
        <v>875.36021830145319</v>
      </c>
      <c r="CL454" s="6">
        <f t="shared" si="879"/>
        <v>5.2507204366029066E-6</v>
      </c>
      <c r="CM454" s="8">
        <f t="shared" si="880"/>
        <v>25.95564251046671</v>
      </c>
      <c r="CN454" s="7">
        <f t="shared" si="881"/>
        <v>1.3140944147716462E-2</v>
      </c>
      <c r="CO454" s="9">
        <f t="shared" si="882"/>
        <v>0.45718694364559287</v>
      </c>
      <c r="CP454" s="4">
        <f t="shared" si="883"/>
        <v>796.84495857449292</v>
      </c>
      <c r="CQ454" s="6">
        <f t="shared" si="884"/>
        <v>5.0936899171489861E-6</v>
      </c>
      <c r="CR454" s="8">
        <f t="shared" si="885"/>
        <v>25.052717023606668</v>
      </c>
      <c r="CS454" s="7">
        <f t="shared" si="886"/>
        <v>1.274794488017863E-2</v>
      </c>
      <c r="CT454" s="9">
        <f t="shared" si="887"/>
        <v>0.47366442763618249</v>
      </c>
      <c r="CU454" s="4">
        <f t="shared" si="888"/>
        <v>667.41350844572548</v>
      </c>
      <c r="CV454" s="6">
        <f t="shared" si="889"/>
        <v>4.834827016891451E-6</v>
      </c>
      <c r="CW454" s="8">
        <f t="shared" si="890"/>
        <v>30.413367504125034</v>
      </c>
      <c r="CX454" s="7">
        <f t="shared" si="891"/>
        <v>1.2100090370445678E-2</v>
      </c>
      <c r="CY454" s="9">
        <f t="shared" si="892"/>
        <v>0.39017648631340829</v>
      </c>
      <c r="CZ454" s="5">
        <f t="shared" si="893"/>
        <v>489.14746377148668</v>
      </c>
      <c r="DA454" s="6">
        <f t="shared" si="894"/>
        <v>7.3772243032692159E-6</v>
      </c>
      <c r="DB454" s="8">
        <f t="shared" si="895"/>
        <v>39.309723550626885</v>
      </c>
      <c r="DC454" s="7">
        <f t="shared" si="896"/>
        <v>1.8462931650034212E-2</v>
      </c>
      <c r="DD454" s="9">
        <f t="shared" si="897"/>
        <v>0.30187393341586238</v>
      </c>
    </row>
    <row r="455" spans="2:108" x14ac:dyDescent="0.25">
      <c r="B455">
        <v>188</v>
      </c>
      <c r="C455">
        <f t="shared" si="805"/>
        <v>0.18379155727290727</v>
      </c>
      <c r="D455" s="4">
        <f t="shared" si="806"/>
        <v>1016.9103943408685</v>
      </c>
      <c r="E455" s="6">
        <f t="shared" si="794"/>
        <v>5.5338207886817369E-6</v>
      </c>
      <c r="F455" s="8">
        <f t="shared" si="807"/>
        <v>27.583469534919985</v>
      </c>
      <c r="G455" s="7">
        <f t="shared" si="792"/>
        <v>1.3849457571690272E-2</v>
      </c>
      <c r="H455" s="9">
        <f t="shared" si="808"/>
        <v>0.43020624561732901</v>
      </c>
      <c r="I455" s="4">
        <f t="shared" si="809"/>
        <v>1016.5857100525917</v>
      </c>
      <c r="J455" s="6">
        <f t="shared" si="795"/>
        <v>5.5331714201051836E-6</v>
      </c>
      <c r="K455" s="8">
        <f t="shared" si="810"/>
        <v>27.579735665604804</v>
      </c>
      <c r="L455" s="7">
        <f t="shared" si="796"/>
        <v>1.3847832401144858E-2</v>
      </c>
      <c r="M455" s="9">
        <f t="shared" si="811"/>
        <v>0.43026448888402252</v>
      </c>
      <c r="N455" s="4">
        <f t="shared" si="812"/>
        <v>1015.6794936728626</v>
      </c>
      <c r="O455" s="6">
        <f t="shared" si="797"/>
        <v>5.5313589873457263E-6</v>
      </c>
      <c r="P455" s="8">
        <f t="shared" si="798"/>
        <v>27.569314177237921</v>
      </c>
      <c r="Q455" s="7">
        <f t="shared" si="793"/>
        <v>1.3849457571690272E-2</v>
      </c>
      <c r="R455" s="9">
        <f t="shared" si="813"/>
        <v>0.43042713334941479</v>
      </c>
      <c r="S455" s="4">
        <f t="shared" si="814"/>
        <v>1014.1778061372007</v>
      </c>
      <c r="T455" s="6">
        <f t="shared" si="799"/>
        <v>5.528355612274402E-6</v>
      </c>
      <c r="U455" s="8">
        <f t="shared" si="800"/>
        <v>27.552044770577808</v>
      </c>
      <c r="V455" s="7">
        <f t="shared" si="801"/>
        <v>1.3835779909968737E-2</v>
      </c>
      <c r="W455" s="9">
        <f t="shared" si="815"/>
        <v>0.43069692171776469</v>
      </c>
      <c r="X455" s="4">
        <f t="shared" si="816"/>
        <v>1012.0787664334916</v>
      </c>
      <c r="Y455" s="6">
        <f t="shared" si="802"/>
        <v>5.524157532866984E-6</v>
      </c>
      <c r="Z455" s="8">
        <f t="shared" si="803"/>
        <v>27.527905813985154</v>
      </c>
      <c r="AA455" s="7">
        <f t="shared" si="804"/>
        <v>1.3825273403730852E-2</v>
      </c>
      <c r="AB455" s="9">
        <f t="shared" si="817"/>
        <v>0.43107459571767548</v>
      </c>
      <c r="AC455" s="4">
        <f t="shared" si="818"/>
        <v>1009.3809199711619</v>
      </c>
      <c r="AD455" s="6">
        <f t="shared" si="819"/>
        <v>5.5187618399423239E-6</v>
      </c>
      <c r="AE455" s="8">
        <f t="shared" si="820"/>
        <v>27.49688057966836</v>
      </c>
      <c r="AF455" s="7">
        <f t="shared" si="821"/>
        <v>1.381176963787295E-2</v>
      </c>
      <c r="AG455" s="9">
        <f t="shared" si="822"/>
        <v>0.43156098508469504</v>
      </c>
      <c r="AH455" s="4">
        <f t="shared" si="823"/>
        <v>1006.0839170178353</v>
      </c>
      <c r="AI455" s="6">
        <f t="shared" si="824"/>
        <v>5.5121678340356706E-6</v>
      </c>
      <c r="AJ455" s="8">
        <f t="shared" si="825"/>
        <v>27.458965045705106</v>
      </c>
      <c r="AK455" s="7">
        <f t="shared" si="826"/>
        <v>1.3795266861849112E-2</v>
      </c>
      <c r="AL455" s="9">
        <f t="shared" si="827"/>
        <v>0.43215688755807519</v>
      </c>
      <c r="AM455" s="4">
        <f t="shared" si="828"/>
        <v>1002.1875898294154</v>
      </c>
      <c r="AN455" s="6">
        <f t="shared" si="829"/>
        <v>5.5043751796588307E-6</v>
      </c>
      <c r="AO455" s="8">
        <f t="shared" si="830"/>
        <v>27.414157283038278</v>
      </c>
      <c r="AP455" s="7">
        <f t="shared" si="831"/>
        <v>1.3775764236035203E-2</v>
      </c>
      <c r="AQ455" s="9">
        <f t="shared" si="832"/>
        <v>0.43286323731205861</v>
      </c>
      <c r="AR455" s="4">
        <f t="shared" si="833"/>
        <v>997.69168840958264</v>
      </c>
      <c r="AS455" s="6">
        <f t="shared" si="834"/>
        <v>5.4953833768191653E-6</v>
      </c>
      <c r="AT455" s="8">
        <f t="shared" si="835"/>
        <v>27.3624544167102</v>
      </c>
      <c r="AU455" s="7">
        <f t="shared" si="836"/>
        <v>1.3753260509102872E-2</v>
      </c>
      <c r="AV455" s="9">
        <f t="shared" si="837"/>
        <v>0.43368115626612064</v>
      </c>
      <c r="AW455" s="4">
        <f t="shared" si="838"/>
        <v>992.59515504476758</v>
      </c>
      <c r="AX455" s="6">
        <f t="shared" si="839"/>
        <v>5.4851903100895358E-6</v>
      </c>
      <c r="AY455" s="8">
        <f t="shared" si="840"/>
        <v>27.303844283014826</v>
      </c>
      <c r="AZ455" s="7">
        <f t="shared" si="841"/>
        <v>1.3727750386786272E-2</v>
      </c>
      <c r="BA455" s="9">
        <f t="shared" si="842"/>
        <v>0.43461209149584334</v>
      </c>
      <c r="BB455" s="4">
        <f t="shared" si="843"/>
        <v>986.89315116802788</v>
      </c>
      <c r="BC455" s="6">
        <f t="shared" si="844"/>
        <v>5.4737863023360557E-6</v>
      </c>
      <c r="BD455" s="8">
        <f t="shared" si="845"/>
        <v>27.238271238432318</v>
      </c>
      <c r="BE455" s="7">
        <f t="shared" si="846"/>
        <v>1.3699209650184885E-2</v>
      </c>
      <c r="BF455" s="9">
        <f t="shared" si="847"/>
        <v>0.4356583707476463</v>
      </c>
      <c r="BG455" s="4">
        <f t="shared" si="848"/>
        <v>980.56517334972352</v>
      </c>
      <c r="BH455" s="6">
        <f t="shared" si="849"/>
        <v>5.4611303466994475E-6</v>
      </c>
      <c r="BI455" s="8">
        <f t="shared" si="850"/>
        <v>27.165499493521821</v>
      </c>
      <c r="BJ455" s="7">
        <f t="shared" si="851"/>
        <v>1.366753567169666E-2</v>
      </c>
      <c r="BK455" s="9">
        <f t="shared" si="852"/>
        <v>0.43682542529901691</v>
      </c>
      <c r="BL455" s="4">
        <f t="shared" si="853"/>
        <v>973.53207548166131</v>
      </c>
      <c r="BM455" s="6">
        <f t="shared" si="854"/>
        <v>5.4470641509633235E-6</v>
      </c>
      <c r="BN455" s="8">
        <f t="shared" si="855"/>
        <v>27.084618868039104</v>
      </c>
      <c r="BO455" s="7">
        <f t="shared" si="856"/>
        <v>1.3632332294413286E-2</v>
      </c>
      <c r="BP455" s="9">
        <f t="shared" si="857"/>
        <v>0.43812988203872871</v>
      </c>
      <c r="BQ455" s="4">
        <f t="shared" si="858"/>
        <v>965.51849240041679</v>
      </c>
      <c r="BR455" s="6">
        <f t="shared" si="859"/>
        <v>5.4310369848008337E-6</v>
      </c>
      <c r="BS455" s="8">
        <f t="shared" si="860"/>
        <v>26.992462662604794</v>
      </c>
      <c r="BT455" s="7">
        <f t="shared" si="861"/>
        <v>1.3592221209100254E-2</v>
      </c>
      <c r="BU455" s="9">
        <f t="shared" si="862"/>
        <v>0.43962572137435213</v>
      </c>
      <c r="BV455" s="4">
        <f t="shared" si="863"/>
        <v>955.67186149244878</v>
      </c>
      <c r="BW455" s="6">
        <f t="shared" si="864"/>
        <v>5.4113437229848979E-6</v>
      </c>
      <c r="BX455" s="8">
        <f t="shared" si="865"/>
        <v>26.879226407163159</v>
      </c>
      <c r="BY455" s="7">
        <f t="shared" si="866"/>
        <v>1.3542935009856901E-2</v>
      </c>
      <c r="BZ455" s="9">
        <f t="shared" si="867"/>
        <v>0.44147776762487195</v>
      </c>
      <c r="CA455" s="4">
        <f t="shared" si="868"/>
        <v>941.68118484855529</v>
      </c>
      <c r="CB455" s="6">
        <f t="shared" si="869"/>
        <v>5.3833623696971108E-6</v>
      </c>
      <c r="CC455" s="8">
        <f t="shared" si="870"/>
        <v>26.718333625758383</v>
      </c>
      <c r="CD455" s="7">
        <f t="shared" si="871"/>
        <v>1.3472906257579579E-2</v>
      </c>
      <c r="CE455" s="9">
        <f t="shared" si="872"/>
        <v>0.44413626373306703</v>
      </c>
      <c r="CF455" s="4">
        <f t="shared" si="873"/>
        <v>918.18096798122394</v>
      </c>
      <c r="CG455" s="6">
        <f t="shared" si="874"/>
        <v>5.3363619359624487E-6</v>
      </c>
      <c r="CH455" s="8">
        <f t="shared" si="875"/>
        <v>26.448081131784075</v>
      </c>
      <c r="CI455" s="7">
        <f t="shared" si="876"/>
        <v>1.3355278575419977E-2</v>
      </c>
      <c r="CJ455" s="9">
        <f t="shared" si="877"/>
        <v>0.44867454884873265</v>
      </c>
      <c r="CK455" s="4">
        <f t="shared" si="878"/>
        <v>874.83966155749579</v>
      </c>
      <c r="CL455" s="6">
        <f t="shared" si="879"/>
        <v>5.2496793231149919E-6</v>
      </c>
      <c r="CM455" s="8">
        <f t="shared" si="880"/>
        <v>25.949656107911203</v>
      </c>
      <c r="CN455" s="7">
        <f t="shared" si="881"/>
        <v>1.3138338559709768E-2</v>
      </c>
      <c r="CO455" s="9">
        <f t="shared" si="882"/>
        <v>0.45729241344744315</v>
      </c>
      <c r="CP455" s="4">
        <f t="shared" si="883"/>
        <v>796.10011347469936</v>
      </c>
      <c r="CQ455" s="6">
        <f t="shared" si="884"/>
        <v>5.0922002269493993E-6</v>
      </c>
      <c r="CR455" s="8">
        <f t="shared" si="885"/>
        <v>25.044151304959044</v>
      </c>
      <c r="CS455" s="7">
        <f t="shared" si="886"/>
        <v>1.2744216642130816E-2</v>
      </c>
      <c r="CT455" s="9">
        <f t="shared" si="887"/>
        <v>0.47382643257582352</v>
      </c>
      <c r="CU455" s="4">
        <f t="shared" si="888"/>
        <v>666.68795601599652</v>
      </c>
      <c r="CV455" s="6">
        <f t="shared" si="889"/>
        <v>4.8333759120319942E-6</v>
      </c>
      <c r="CW455" s="8">
        <f t="shared" si="890"/>
        <v>30.559058432014552</v>
      </c>
      <c r="CX455" s="7">
        <f t="shared" si="891"/>
        <v>1.2096458699679574E-2</v>
      </c>
      <c r="CY455" s="9">
        <f t="shared" si="892"/>
        <v>0.38831631203944839</v>
      </c>
      <c r="CZ455" s="5">
        <f t="shared" si="893"/>
        <v>489.09213038169349</v>
      </c>
      <c r="DA455" s="6">
        <f t="shared" si="894"/>
        <v>7.3780486681976478E-6</v>
      </c>
      <c r="DB455" s="8">
        <f t="shared" si="895"/>
        <v>39.311328218930882</v>
      </c>
      <c r="DC455" s="7">
        <f t="shared" si="896"/>
        <v>1.8464994782820019E-2</v>
      </c>
      <c r="DD455" s="9">
        <f t="shared" si="897"/>
        <v>0.30186161107635617</v>
      </c>
    </row>
    <row r="456" spans="2:108" x14ac:dyDescent="0.25">
      <c r="B456">
        <v>189</v>
      </c>
      <c r="C456">
        <f t="shared" si="805"/>
        <v>0.18476917193925252</v>
      </c>
      <c r="D456" s="4">
        <f t="shared" si="806"/>
        <v>1016.8938176013053</v>
      </c>
      <c r="E456" s="6">
        <f t="shared" si="794"/>
        <v>5.5337876352026107E-6</v>
      </c>
      <c r="F456" s="8">
        <f t="shared" si="807"/>
        <v>27.58327890241501</v>
      </c>
      <c r="G456" s="7">
        <f t="shared" si="792"/>
        <v>1.3849374598692041E-2</v>
      </c>
      <c r="H456" s="9">
        <f t="shared" si="808"/>
        <v>0.43020921884232333</v>
      </c>
      <c r="I456" s="4">
        <f t="shared" si="809"/>
        <v>1016.5691325945935</v>
      </c>
      <c r="J456" s="6">
        <f t="shared" si="795"/>
        <v>5.5331382651891872E-6</v>
      </c>
      <c r="K456" s="8">
        <f t="shared" si="810"/>
        <v>27.579545024837824</v>
      </c>
      <c r="L456" s="7">
        <f t="shared" si="796"/>
        <v>1.384774942455058E-2</v>
      </c>
      <c r="M456" s="9">
        <f t="shared" si="811"/>
        <v>0.43026746304302665</v>
      </c>
      <c r="N456" s="4">
        <f t="shared" si="812"/>
        <v>1015.662911724991</v>
      </c>
      <c r="O456" s="6">
        <f t="shared" si="797"/>
        <v>5.5313258234499829E-6</v>
      </c>
      <c r="P456" s="8">
        <f t="shared" si="798"/>
        <v>27.569123484837394</v>
      </c>
      <c r="Q456" s="7">
        <f t="shared" si="793"/>
        <v>1.3849374598692041E-2</v>
      </c>
      <c r="R456" s="9">
        <f t="shared" si="813"/>
        <v>0.4304301105635201</v>
      </c>
      <c r="S456" s="4">
        <f t="shared" si="814"/>
        <v>1014.1612218798638</v>
      </c>
      <c r="T456" s="6">
        <f t="shared" si="799"/>
        <v>5.5283224437597287E-6</v>
      </c>
      <c r="U456" s="8">
        <f t="shared" si="800"/>
        <v>27.551854051618434</v>
      </c>
      <c r="V456" s="7">
        <f t="shared" si="801"/>
        <v>1.3835696899341138E-2</v>
      </c>
      <c r="W456" s="9">
        <f t="shared" si="815"/>
        <v>0.43069990308041861</v>
      </c>
      <c r="X456" s="4">
        <f t="shared" si="816"/>
        <v>1012.0621854917963</v>
      </c>
      <c r="Y456" s="6">
        <f t="shared" si="802"/>
        <v>5.5241243709835936E-6</v>
      </c>
      <c r="Z456" s="8">
        <f t="shared" si="803"/>
        <v>27.527715133155656</v>
      </c>
      <c r="AA456" s="7">
        <f t="shared" si="804"/>
        <v>1.3825190409699322E-2</v>
      </c>
      <c r="AB456" s="9">
        <f t="shared" si="817"/>
        <v>0.43107758171419169</v>
      </c>
      <c r="AC456" s="4">
        <f t="shared" si="818"/>
        <v>1009.3643485251238</v>
      </c>
      <c r="AD456" s="6">
        <f t="shared" si="819"/>
        <v>5.5187286970502481E-6</v>
      </c>
      <c r="AE456" s="8">
        <f t="shared" si="820"/>
        <v>27.496690008038925</v>
      </c>
      <c r="AF456" s="7">
        <f t="shared" si="821"/>
        <v>1.381168669137086E-2</v>
      </c>
      <c r="AG456" s="9">
        <f t="shared" si="822"/>
        <v>0.43156397610943675</v>
      </c>
      <c r="AH456" s="4">
        <f t="shared" si="823"/>
        <v>1006.0673600040916</v>
      </c>
      <c r="AI456" s="6">
        <f t="shared" si="824"/>
        <v>5.5121347200081839E-6</v>
      </c>
      <c r="AJ456" s="8">
        <f t="shared" si="825"/>
        <v>27.458774640047054</v>
      </c>
      <c r="AK456" s="7">
        <f t="shared" si="826"/>
        <v>1.3795183987586244E-2</v>
      </c>
      <c r="AL456" s="9">
        <f t="shared" si="827"/>
        <v>0.4321598842364644</v>
      </c>
      <c r="AM456" s="4">
        <f t="shared" si="828"/>
        <v>1002.1710491398848</v>
      </c>
      <c r="AN456" s="6">
        <f t="shared" si="829"/>
        <v>5.5043420982797699E-6</v>
      </c>
      <c r="AO456" s="8">
        <f t="shared" si="830"/>
        <v>27.413967065108672</v>
      </c>
      <c r="AP456" s="7">
        <f t="shared" si="831"/>
        <v>1.3775681443481338E-2</v>
      </c>
      <c r="AQ456" s="9">
        <f t="shared" si="832"/>
        <v>0.43286624083025094</v>
      </c>
      <c r="AR456" s="4">
        <f t="shared" si="833"/>
        <v>997.67515539987744</v>
      </c>
      <c r="AS456" s="6">
        <f t="shared" si="834"/>
        <v>5.4953503107997553E-6</v>
      </c>
      <c r="AT456" s="8">
        <f t="shared" si="835"/>
        <v>27.36226428709859</v>
      </c>
      <c r="AU456" s="7">
        <f t="shared" si="836"/>
        <v>1.3753177754989509E-2</v>
      </c>
      <c r="AV456" s="9">
        <f t="shared" si="837"/>
        <v>0.43368416974588742</v>
      </c>
      <c r="AW456" s="4">
        <f t="shared" si="838"/>
        <v>992.57857711218185</v>
      </c>
      <c r="AX456" s="6">
        <f t="shared" si="839"/>
        <v>5.4851571542243644E-6</v>
      </c>
      <c r="AY456" s="8">
        <f t="shared" si="840"/>
        <v>27.303653636790088</v>
      </c>
      <c r="AZ456" s="7">
        <f t="shared" si="841"/>
        <v>1.37276674078165E-2</v>
      </c>
      <c r="BA456" s="9">
        <f t="shared" si="842"/>
        <v>0.43461512615031017</v>
      </c>
      <c r="BB456" s="4">
        <f t="shared" si="843"/>
        <v>986.87630082657051</v>
      </c>
      <c r="BC456" s="6">
        <f t="shared" si="844"/>
        <v>5.4737526016531415E-6</v>
      </c>
      <c r="BD456" s="8">
        <f t="shared" si="845"/>
        <v>27.238077459505561</v>
      </c>
      <c r="BE456" s="7">
        <f t="shared" si="846"/>
        <v>1.3699125307703265E-2</v>
      </c>
      <c r="BF456" s="9">
        <f t="shared" si="847"/>
        <v>0.43566147013715506</v>
      </c>
      <c r="BG456" s="4">
        <f t="shared" si="848"/>
        <v>980.54719404680156</v>
      </c>
      <c r="BH456" s="6">
        <f t="shared" si="849"/>
        <v>5.4610943880936036E-6</v>
      </c>
      <c r="BI456" s="8">
        <f t="shared" si="850"/>
        <v>27.165292731538216</v>
      </c>
      <c r="BJ456" s="7">
        <f t="shared" si="851"/>
        <v>1.3667445678325897E-2</v>
      </c>
      <c r="BK456" s="9">
        <f t="shared" si="852"/>
        <v>0.43682875008893607</v>
      </c>
      <c r="BL456" s="4">
        <f t="shared" si="853"/>
        <v>973.51010601600035</v>
      </c>
      <c r="BM456" s="6">
        <f t="shared" si="854"/>
        <v>5.4470202120320015E-6</v>
      </c>
      <c r="BN456" s="8">
        <f t="shared" si="855"/>
        <v>27.084366219184005</v>
      </c>
      <c r="BO456" s="7">
        <f t="shared" si="856"/>
        <v>1.3632222328733455E-2</v>
      </c>
      <c r="BP456" s="9">
        <f t="shared" si="857"/>
        <v>0.43813396900949941</v>
      </c>
      <c r="BQ456" s="4">
        <f t="shared" si="858"/>
        <v>965.48413948459836</v>
      </c>
      <c r="BR456" s="6">
        <f t="shared" si="859"/>
        <v>5.4309682789691976E-6</v>
      </c>
      <c r="BS456" s="8">
        <f t="shared" si="860"/>
        <v>26.992067604072879</v>
      </c>
      <c r="BT456" s="7">
        <f t="shared" si="861"/>
        <v>1.3592049259458859E-2</v>
      </c>
      <c r="BU456" s="9">
        <f t="shared" si="862"/>
        <v>0.43963215577925308</v>
      </c>
      <c r="BV456" s="4">
        <f t="shared" si="863"/>
        <v>955.60396406658481</v>
      </c>
      <c r="BW456" s="6">
        <f t="shared" si="864"/>
        <v>5.4112079281331704E-6</v>
      </c>
      <c r="BX456" s="8">
        <f t="shared" si="865"/>
        <v>26.878445586765725</v>
      </c>
      <c r="BY456" s="7">
        <f t="shared" si="866"/>
        <v>1.3542595156957923E-2</v>
      </c>
      <c r="BZ456" s="9">
        <f t="shared" si="867"/>
        <v>0.44149059257953172</v>
      </c>
      <c r="CA456" s="4">
        <f t="shared" si="868"/>
        <v>941.53547686208401</v>
      </c>
      <c r="CB456" s="6">
        <f t="shared" si="869"/>
        <v>5.3830709537241684E-6</v>
      </c>
      <c r="CC456" s="8">
        <f t="shared" si="870"/>
        <v>26.716657983913965</v>
      </c>
      <c r="CD456" s="7">
        <f t="shared" si="871"/>
        <v>1.3472176932704942E-2</v>
      </c>
      <c r="CE456" s="9">
        <f t="shared" si="872"/>
        <v>0.44416411951160728</v>
      </c>
      <c r="CF456" s="4">
        <f t="shared" si="873"/>
        <v>917.88552466130034</v>
      </c>
      <c r="CG456" s="6">
        <f t="shared" si="874"/>
        <v>5.3357710493226011E-6</v>
      </c>
      <c r="CH456" s="8">
        <f t="shared" si="875"/>
        <v>26.444683533604952</v>
      </c>
      <c r="CI456" s="7">
        <f t="shared" si="876"/>
        <v>1.3353799767240106E-2</v>
      </c>
      <c r="CJ456" s="9">
        <f t="shared" si="877"/>
        <v>0.4487321943043211</v>
      </c>
      <c r="CK456" s="4">
        <f t="shared" si="878"/>
        <v>874.31901219431256</v>
      </c>
      <c r="CL456" s="6">
        <f t="shared" si="879"/>
        <v>5.2486380243886254E-6</v>
      </c>
      <c r="CM456" s="8">
        <f t="shared" si="880"/>
        <v>25.943668640234591</v>
      </c>
      <c r="CN456" s="7">
        <f t="shared" si="881"/>
        <v>1.3135732508107996E-2</v>
      </c>
      <c r="CO456" s="9">
        <f t="shared" si="882"/>
        <v>0.4573979507013391</v>
      </c>
      <c r="CP456" s="4">
        <f t="shared" si="883"/>
        <v>795.3585409345302</v>
      </c>
      <c r="CQ456" s="6">
        <f t="shared" si="884"/>
        <v>5.0907170818690607E-6</v>
      </c>
      <c r="CR456" s="8">
        <f t="shared" si="885"/>
        <v>25.035623220747098</v>
      </c>
      <c r="CS456" s="7">
        <f t="shared" si="886"/>
        <v>1.2740504784510703E-2</v>
      </c>
      <c r="CT456" s="9">
        <f t="shared" si="887"/>
        <v>0.47398783585638987</v>
      </c>
      <c r="CU456" s="4">
        <f t="shared" si="888"/>
        <v>665.97113921692585</v>
      </c>
      <c r="CV456" s="6">
        <f t="shared" si="889"/>
        <v>4.8319422784338525E-6</v>
      </c>
      <c r="CW456" s="8">
        <f t="shared" si="890"/>
        <v>30.702995245267886</v>
      </c>
      <c r="CX456" s="7">
        <f t="shared" si="891"/>
        <v>1.2092870754126399E-2</v>
      </c>
      <c r="CY456" s="9">
        <f t="shared" si="892"/>
        <v>0.38649587035150396</v>
      </c>
      <c r="CZ456" s="5">
        <f t="shared" si="893"/>
        <v>489.04159359763622</v>
      </c>
      <c r="DA456" s="6">
        <f t="shared" si="894"/>
        <v>7.3788015492276647E-6</v>
      </c>
      <c r="DB456" s="8">
        <f t="shared" si="895"/>
        <v>39.312793785668546</v>
      </c>
      <c r="DC456" s="7">
        <f t="shared" si="896"/>
        <v>1.8466879013314629E-2</v>
      </c>
      <c r="DD456" s="9">
        <f t="shared" si="897"/>
        <v>0.30185035778464192</v>
      </c>
    </row>
    <row r="457" spans="2:108" x14ac:dyDescent="0.25">
      <c r="B457">
        <v>190</v>
      </c>
      <c r="C457">
        <f t="shared" si="805"/>
        <v>0.18574678660559779</v>
      </c>
      <c r="D457" s="4">
        <f t="shared" si="806"/>
        <v>1016.8772408250624</v>
      </c>
      <c r="E457" s="6">
        <f t="shared" si="794"/>
        <v>5.5337544816501247E-6</v>
      </c>
      <c r="F457" s="8">
        <f t="shared" si="807"/>
        <v>27.583088269488215</v>
      </c>
      <c r="G457" s="7">
        <f t="shared" si="792"/>
        <v>1.3849291625510211E-2</v>
      </c>
      <c r="H457" s="9">
        <f t="shared" si="808"/>
        <v>0.4302121921149939</v>
      </c>
      <c r="I457" s="4">
        <f t="shared" si="809"/>
        <v>1016.5525551476153</v>
      </c>
      <c r="J457" s="6">
        <f t="shared" si="795"/>
        <v>5.5331051102952313E-6</v>
      </c>
      <c r="K457" s="8">
        <f t="shared" si="810"/>
        <v>27.579354384197575</v>
      </c>
      <c r="L457" s="7">
        <f t="shared" si="796"/>
        <v>1.3847666448011463E-2</v>
      </c>
      <c r="M457" s="9">
        <f t="shared" si="811"/>
        <v>0.43027043724117103</v>
      </c>
      <c r="N457" s="4">
        <f t="shared" si="812"/>
        <v>1015.6463298831343</v>
      </c>
      <c r="O457" s="6">
        <f t="shared" si="797"/>
        <v>5.5312926597662697E-6</v>
      </c>
      <c r="P457" s="8">
        <f t="shared" si="798"/>
        <v>27.568932793656046</v>
      </c>
      <c r="Q457" s="7">
        <f t="shared" si="793"/>
        <v>1.3849291625510211E-2</v>
      </c>
      <c r="R457" s="9">
        <f t="shared" si="813"/>
        <v>0.43043308779977679</v>
      </c>
      <c r="S457" s="4">
        <f t="shared" si="814"/>
        <v>1014.1446378021112</v>
      </c>
      <c r="T457" s="6">
        <f t="shared" si="799"/>
        <v>5.5282892756042227E-6</v>
      </c>
      <c r="U457" s="8">
        <f t="shared" si="800"/>
        <v>27.551663334724278</v>
      </c>
      <c r="V457" s="7">
        <f t="shared" si="801"/>
        <v>1.3835613889612427E-2</v>
      </c>
      <c r="W457" s="9">
        <f t="shared" si="815"/>
        <v>0.43070288445206323</v>
      </c>
      <c r="X457" s="4">
        <f t="shared" si="816"/>
        <v>1012.0456047572421</v>
      </c>
      <c r="Y457" s="6">
        <f t="shared" si="802"/>
        <v>5.5240912095144844E-6</v>
      </c>
      <c r="Z457" s="8">
        <f t="shared" si="803"/>
        <v>27.527524454708285</v>
      </c>
      <c r="AA457" s="7">
        <f t="shared" si="804"/>
        <v>1.3825107416704613E-2</v>
      </c>
      <c r="AB457" s="9">
        <f t="shared" si="817"/>
        <v>0.43108056771477132</v>
      </c>
      <c r="AC457" s="4">
        <f t="shared" si="818"/>
        <v>1009.3477772798947</v>
      </c>
      <c r="AD457" s="6">
        <f t="shared" si="819"/>
        <v>5.5186955545597896E-6</v>
      </c>
      <c r="AE457" s="8">
        <f t="shared" si="820"/>
        <v>27.496499438718786</v>
      </c>
      <c r="AF457" s="7">
        <f t="shared" si="821"/>
        <v>1.3811603745873896E-2</v>
      </c>
      <c r="AG457" s="9">
        <f t="shared" si="822"/>
        <v>0.43156696713939335</v>
      </c>
      <c r="AH457" s="4">
        <f t="shared" si="823"/>
        <v>1006.0508031513104</v>
      </c>
      <c r="AI457" s="6">
        <f t="shared" si="824"/>
        <v>5.5121016063026214E-6</v>
      </c>
      <c r="AJ457" s="8">
        <f t="shared" si="825"/>
        <v>27.458584236240071</v>
      </c>
      <c r="AK457" s="7">
        <f t="shared" si="826"/>
        <v>1.3795101114129054E-2</v>
      </c>
      <c r="AL457" s="9">
        <f t="shared" si="827"/>
        <v>0.43216288092727972</v>
      </c>
      <c r="AM457" s="4">
        <f t="shared" si="828"/>
        <v>1002.1545084541235</v>
      </c>
      <c r="AN457" s="6">
        <f t="shared" si="829"/>
        <v>5.5043090169082477E-6</v>
      </c>
      <c r="AO457" s="8">
        <f t="shared" si="830"/>
        <v>27.413776847222419</v>
      </c>
      <c r="AP457" s="7">
        <f t="shared" si="831"/>
        <v>1.3775598650946344E-2</v>
      </c>
      <c r="AQ457" s="9">
        <f t="shared" si="832"/>
        <v>0.43286924438944019</v>
      </c>
      <c r="AR457" s="4">
        <f t="shared" si="833"/>
        <v>997.65862173283745</v>
      </c>
      <c r="AS457" s="6">
        <f t="shared" si="834"/>
        <v>5.4953172434656747E-6</v>
      </c>
      <c r="AT457" s="8">
        <f t="shared" si="835"/>
        <v>27.362074149927629</v>
      </c>
      <c r="AU457" s="7">
        <f t="shared" si="836"/>
        <v>1.3753094997585926E-2</v>
      </c>
      <c r="AV457" s="9">
        <f t="shared" si="837"/>
        <v>0.43368718338734874</v>
      </c>
      <c r="AW457" s="4">
        <f t="shared" si="838"/>
        <v>992.56199590825383</v>
      </c>
      <c r="AX457" s="6">
        <f t="shared" si="839"/>
        <v>5.4851239918165081E-6</v>
      </c>
      <c r="AY457" s="8">
        <f t="shared" si="840"/>
        <v>27.303462952944919</v>
      </c>
      <c r="AZ457" s="7">
        <f t="shared" si="841"/>
        <v>1.3727584412472394E-2</v>
      </c>
      <c r="BA457" s="9">
        <f t="shared" si="842"/>
        <v>0.43461816144600013</v>
      </c>
      <c r="BB457" s="4">
        <f t="shared" si="843"/>
        <v>986.85943786671817</v>
      </c>
      <c r="BC457" s="6">
        <f t="shared" si="844"/>
        <v>5.4737188757334371E-6</v>
      </c>
      <c r="BD457" s="8">
        <f t="shared" si="845"/>
        <v>27.237883535467258</v>
      </c>
      <c r="BE457" s="7">
        <f t="shared" si="846"/>
        <v>1.3699040902061692E-2</v>
      </c>
      <c r="BF457" s="9">
        <f t="shared" si="847"/>
        <v>0.43566457189179442</v>
      </c>
      <c r="BG457" s="4">
        <f t="shared" si="848"/>
        <v>980.52917247134872</v>
      </c>
      <c r="BH457" s="6">
        <f t="shared" si="849"/>
        <v>5.4610583449426983E-6</v>
      </c>
      <c r="BI457" s="8">
        <f t="shared" si="850"/>
        <v>27.165085483420512</v>
      </c>
      <c r="BJ457" s="7">
        <f t="shared" si="851"/>
        <v>1.3667355473364754E-2</v>
      </c>
      <c r="BK457" s="9">
        <f t="shared" si="852"/>
        <v>0.43683208274681673</v>
      </c>
      <c r="BL457" s="4">
        <f t="shared" si="853"/>
        <v>973.48801265696204</v>
      </c>
      <c r="BM457" s="6">
        <f t="shared" si="854"/>
        <v>5.4469760253139242E-6</v>
      </c>
      <c r="BN457" s="8">
        <f t="shared" si="855"/>
        <v>27.084112145555061</v>
      </c>
      <c r="BO457" s="7">
        <f t="shared" si="856"/>
        <v>1.3632111742919312E-2</v>
      </c>
      <c r="BP457" s="9">
        <f t="shared" si="857"/>
        <v>0.43813807910500013</v>
      </c>
      <c r="BQ457" s="4">
        <f t="shared" si="858"/>
        <v>965.44947429694059</v>
      </c>
      <c r="BR457" s="6">
        <f t="shared" si="859"/>
        <v>5.4308989485938819E-6</v>
      </c>
      <c r="BS457" s="8">
        <f t="shared" si="860"/>
        <v>26.991668954414816</v>
      </c>
      <c r="BT457" s="7">
        <f t="shared" si="861"/>
        <v>1.3591875746776024E-2</v>
      </c>
      <c r="BU457" s="9">
        <f t="shared" si="862"/>
        <v>0.43963864886454063</v>
      </c>
      <c r="BV457" s="4">
        <f t="shared" si="863"/>
        <v>955.53541179438457</v>
      </c>
      <c r="BW457" s="6">
        <f t="shared" si="864"/>
        <v>5.4110708235887695E-6</v>
      </c>
      <c r="BX457" s="8">
        <f t="shared" si="865"/>
        <v>26.877657235635422</v>
      </c>
      <c r="BY457" s="7">
        <f t="shared" si="866"/>
        <v>1.3542252026299545E-2</v>
      </c>
      <c r="BZ457" s="9">
        <f t="shared" si="867"/>
        <v>0.44150354198225034</v>
      </c>
      <c r="CA457" s="4">
        <f t="shared" si="868"/>
        <v>941.38869582790767</v>
      </c>
      <c r="CB457" s="6">
        <f t="shared" si="869"/>
        <v>5.3827773916558155E-6</v>
      </c>
      <c r="CC457" s="8">
        <f t="shared" si="870"/>
        <v>26.714970002020937</v>
      </c>
      <c r="CD457" s="7">
        <f t="shared" si="871"/>
        <v>1.347144223681117E-2</v>
      </c>
      <c r="CE457" s="9">
        <f t="shared" si="872"/>
        <v>0.44419218396353111</v>
      </c>
      <c r="CF457" s="4">
        <f t="shared" si="873"/>
        <v>917.58892291008272</v>
      </c>
      <c r="CG457" s="6">
        <f t="shared" si="874"/>
        <v>5.3351778458201661E-6</v>
      </c>
      <c r="CH457" s="8">
        <f t="shared" si="875"/>
        <v>26.441272613465948</v>
      </c>
      <c r="CI457" s="7">
        <f t="shared" si="876"/>
        <v>1.3352315160663191E-2</v>
      </c>
      <c r="CJ457" s="9">
        <f t="shared" si="877"/>
        <v>0.44879008068902532</v>
      </c>
      <c r="CK457" s="4">
        <f t="shared" si="878"/>
        <v>873.7983026987157</v>
      </c>
      <c r="CL457" s="6">
        <f t="shared" si="879"/>
        <v>5.2475966053974328E-6</v>
      </c>
      <c r="CM457" s="8">
        <f t="shared" si="880"/>
        <v>25.93768048103523</v>
      </c>
      <c r="CN457" s="7">
        <f t="shared" si="881"/>
        <v>1.3133126155520218E-2</v>
      </c>
      <c r="CO457" s="9">
        <f t="shared" si="882"/>
        <v>0.45750354887725403</v>
      </c>
      <c r="CP457" s="4">
        <f t="shared" si="883"/>
        <v>794.62027050352401</v>
      </c>
      <c r="CQ457" s="6">
        <f t="shared" si="884"/>
        <v>5.0892405410070489E-6</v>
      </c>
      <c r="CR457" s="8">
        <f t="shared" si="885"/>
        <v>25.027133110790526</v>
      </c>
      <c r="CS457" s="7">
        <f t="shared" si="886"/>
        <v>1.2736809455225172E-2</v>
      </c>
      <c r="CT457" s="9">
        <f t="shared" si="887"/>
        <v>0.47414862969668647</v>
      </c>
      <c r="CU457" s="4">
        <f t="shared" si="888"/>
        <v>665.26293292076934</v>
      </c>
      <c r="CV457" s="6">
        <f t="shared" si="889"/>
        <v>4.8305258658415398E-6</v>
      </c>
      <c r="CW457" s="8">
        <f t="shared" si="890"/>
        <v>30.845203069536069</v>
      </c>
      <c r="CX457" s="7">
        <f t="shared" si="891"/>
        <v>1.2089325907473365E-2</v>
      </c>
      <c r="CY457" s="9">
        <f t="shared" si="892"/>
        <v>0.38471398106753912</v>
      </c>
      <c r="CZ457" s="5">
        <f t="shared" si="893"/>
        <v>488.99546277356052</v>
      </c>
      <c r="DA457" s="6">
        <f t="shared" si="894"/>
        <v>7.3794887721974702E-6</v>
      </c>
      <c r="DB457" s="8">
        <f t="shared" si="895"/>
        <v>39.314131579566741</v>
      </c>
      <c r="DC457" s="7">
        <f t="shared" si="896"/>
        <v>1.8468598921805718E-2</v>
      </c>
      <c r="DD457" s="9">
        <f t="shared" si="897"/>
        <v>0.3018400863237044</v>
      </c>
    </row>
    <row r="458" spans="2:108" x14ac:dyDescent="0.25">
      <c r="B458">
        <v>191</v>
      </c>
      <c r="C458">
        <f t="shared" si="805"/>
        <v>0.18672440127194304</v>
      </c>
      <c r="D458" s="4">
        <f t="shared" si="806"/>
        <v>1016.8606640145751</v>
      </c>
      <c r="E458" s="6">
        <f t="shared" si="794"/>
        <v>5.533721328029151E-6</v>
      </c>
      <c r="F458" s="8">
        <f t="shared" si="807"/>
        <v>27.582897636167615</v>
      </c>
      <c r="G458" s="7">
        <f t="shared" si="792"/>
        <v>1.3849208652156979E-2</v>
      </c>
      <c r="H458" s="9">
        <f t="shared" si="808"/>
        <v>0.4302151654349049</v>
      </c>
      <c r="I458" s="4">
        <f t="shared" si="809"/>
        <v>1016.5359777133015</v>
      </c>
      <c r="J458" s="6">
        <f t="shared" si="795"/>
        <v>5.5330719554266035E-6</v>
      </c>
      <c r="K458" s="8">
        <f t="shared" si="810"/>
        <v>27.579163743702964</v>
      </c>
      <c r="L458" s="7">
        <f t="shared" si="796"/>
        <v>1.3847583471535736E-2</v>
      </c>
      <c r="M458" s="9">
        <f t="shared" si="811"/>
        <v>0.4302734114781615</v>
      </c>
      <c r="N458" s="4">
        <f t="shared" si="812"/>
        <v>1015.6297481475791</v>
      </c>
      <c r="O458" s="6">
        <f t="shared" si="797"/>
        <v>5.5312594962951583E-6</v>
      </c>
      <c r="P458" s="8">
        <f t="shared" si="798"/>
        <v>27.568742103697161</v>
      </c>
      <c r="Q458" s="7">
        <f t="shared" si="793"/>
        <v>1.3849208652156979E-2</v>
      </c>
      <c r="R458" s="9">
        <f t="shared" si="813"/>
        <v>0.43043606505813359</v>
      </c>
      <c r="S458" s="4">
        <f t="shared" si="814"/>
        <v>1014.1280539035386</v>
      </c>
      <c r="T458" s="6">
        <f t="shared" si="799"/>
        <v>5.5282561078070778E-6</v>
      </c>
      <c r="U458" s="8">
        <f t="shared" si="800"/>
        <v>27.551472619890692</v>
      </c>
      <c r="V458" s="7">
        <f t="shared" si="801"/>
        <v>1.3835530880780581E-2</v>
      </c>
      <c r="W458" s="9">
        <f t="shared" si="815"/>
        <v>0.43070586583277082</v>
      </c>
      <c r="X458" s="4">
        <f t="shared" si="816"/>
        <v>1012.0290242293946</v>
      </c>
      <c r="Y458" s="6">
        <f t="shared" si="802"/>
        <v>5.5240580484587891E-6</v>
      </c>
      <c r="Z458" s="8">
        <f t="shared" si="803"/>
        <v>27.527333778638038</v>
      </c>
      <c r="AA458" s="7">
        <f t="shared" si="804"/>
        <v>1.3825024424744549E-2</v>
      </c>
      <c r="AB458" s="9">
        <f t="shared" si="817"/>
        <v>0.43108355371949203</v>
      </c>
      <c r="AC458" s="4">
        <f t="shared" si="818"/>
        <v>1009.3312062349449</v>
      </c>
      <c r="AD458" s="6">
        <f t="shared" si="819"/>
        <v>5.5186624124698905E-6</v>
      </c>
      <c r="AE458" s="8">
        <f t="shared" si="820"/>
        <v>27.496308871701864</v>
      </c>
      <c r="AF458" s="7">
        <f t="shared" si="821"/>
        <v>1.381152080137941E-2</v>
      </c>
      <c r="AG458" s="9">
        <f t="shared" si="822"/>
        <v>0.43156995817465971</v>
      </c>
      <c r="AH458" s="4">
        <f t="shared" si="823"/>
        <v>1006.0342464576424</v>
      </c>
      <c r="AI458" s="6">
        <f t="shared" si="824"/>
        <v>5.5120684929152858E-6</v>
      </c>
      <c r="AJ458" s="8">
        <f t="shared" si="825"/>
        <v>27.458393834262885</v>
      </c>
      <c r="AK458" s="7">
        <f t="shared" si="826"/>
        <v>1.3795018241468287E-2</v>
      </c>
      <c r="AL458" s="9">
        <f t="shared" si="827"/>
        <v>0.43216587763085579</v>
      </c>
      <c r="AM458" s="4">
        <f t="shared" si="828"/>
        <v>1002.1379677643741</v>
      </c>
      <c r="AN458" s="6">
        <f t="shared" si="829"/>
        <v>5.5042759355287489E-6</v>
      </c>
      <c r="AO458" s="8">
        <f t="shared" si="830"/>
        <v>27.4135866292903</v>
      </c>
      <c r="AP458" s="7">
        <f t="shared" si="831"/>
        <v>1.3775515858391384E-2</v>
      </c>
      <c r="AQ458" s="9">
        <f t="shared" si="832"/>
        <v>0.43287224799103596</v>
      </c>
      <c r="AR458" s="4">
        <f t="shared" si="833"/>
        <v>997.64208737874958</v>
      </c>
      <c r="AS458" s="6">
        <f t="shared" si="834"/>
        <v>5.4952841747575E-6</v>
      </c>
      <c r="AT458" s="8">
        <f t="shared" si="835"/>
        <v>27.361884004855618</v>
      </c>
      <c r="AU458" s="7">
        <f t="shared" si="836"/>
        <v>1.3753012236743408E-2</v>
      </c>
      <c r="AV458" s="9">
        <f t="shared" si="837"/>
        <v>0.43369019719592644</v>
      </c>
      <c r="AW458" s="4">
        <f t="shared" si="838"/>
        <v>992.54541133128964</v>
      </c>
      <c r="AX458" s="6">
        <f t="shared" si="839"/>
        <v>5.4850908226625798E-6</v>
      </c>
      <c r="AY458" s="8">
        <f t="shared" si="840"/>
        <v>27.30327223030983</v>
      </c>
      <c r="AZ458" s="7">
        <f t="shared" si="841"/>
        <v>1.3727501400244937E-2</v>
      </c>
      <c r="BA458" s="9">
        <f t="shared" si="842"/>
        <v>0.43462119740155558</v>
      </c>
      <c r="BB458" s="4">
        <f t="shared" si="843"/>
        <v>986.8425619831105</v>
      </c>
      <c r="BC458" s="6">
        <f t="shared" si="844"/>
        <v>5.4736851239662208E-6</v>
      </c>
      <c r="BD458" s="8">
        <f t="shared" si="845"/>
        <v>27.237689462805768</v>
      </c>
      <c r="BE458" s="7">
        <f t="shared" si="846"/>
        <v>1.369895643173172E-2</v>
      </c>
      <c r="BF458" s="9">
        <f t="shared" si="847"/>
        <v>0.43566767606783324</v>
      </c>
      <c r="BG458" s="4">
        <f t="shared" si="848"/>
        <v>980.51110784279422</v>
      </c>
      <c r="BH458" s="6">
        <f t="shared" si="849"/>
        <v>5.461022215685589E-6</v>
      </c>
      <c r="BI458" s="8">
        <f t="shared" si="850"/>
        <v>27.164877740192132</v>
      </c>
      <c r="BJ458" s="7">
        <f t="shared" si="851"/>
        <v>1.366726505290617E-2</v>
      </c>
      <c r="BK458" s="9">
        <f t="shared" si="852"/>
        <v>0.43683542341736925</v>
      </c>
      <c r="BL458" s="4">
        <f t="shared" si="853"/>
        <v>973.46579379369291</v>
      </c>
      <c r="BM458" s="6">
        <f t="shared" si="854"/>
        <v>5.4469315875873867E-6</v>
      </c>
      <c r="BN458" s="8">
        <f t="shared" si="855"/>
        <v>27.083856628627466</v>
      </c>
      <c r="BO458" s="7">
        <f t="shared" si="856"/>
        <v>1.3632000528907914E-2</v>
      </c>
      <c r="BP458" s="9">
        <f t="shared" si="857"/>
        <v>0.43814221262621061</v>
      </c>
      <c r="BQ458" s="4">
        <f t="shared" si="858"/>
        <v>965.41449446374315</v>
      </c>
      <c r="BR458" s="6">
        <f t="shared" si="859"/>
        <v>5.430828988927487E-6</v>
      </c>
      <c r="BS458" s="8">
        <f t="shared" si="860"/>
        <v>26.991266686333045</v>
      </c>
      <c r="BT458" s="7">
        <f t="shared" si="861"/>
        <v>1.359170065917047E-2</v>
      </c>
      <c r="BU458" s="9">
        <f t="shared" si="862"/>
        <v>0.43964520108004079</v>
      </c>
      <c r="BV458" s="4">
        <f t="shared" si="863"/>
        <v>955.46620330341693</v>
      </c>
      <c r="BW458" s="6">
        <f t="shared" si="864"/>
        <v>5.4109324066068349E-6</v>
      </c>
      <c r="BX458" s="8">
        <f t="shared" si="865"/>
        <v>26.876861337989293</v>
      </c>
      <c r="BY458" s="7">
        <f t="shared" si="866"/>
        <v>1.3541905611012222E-2</v>
      </c>
      <c r="BZ458" s="9">
        <f t="shared" si="867"/>
        <v>0.44151661611413662</v>
      </c>
      <c r="CA458" s="4">
        <f t="shared" si="868"/>
        <v>941.24084611612341</v>
      </c>
      <c r="CB458" s="6">
        <f t="shared" si="869"/>
        <v>5.3824816922322469E-6</v>
      </c>
      <c r="CC458" s="8">
        <f t="shared" si="870"/>
        <v>26.713269730335419</v>
      </c>
      <c r="CD458" s="7">
        <f t="shared" si="871"/>
        <v>1.3470702191772294E-2</v>
      </c>
      <c r="CE458" s="9">
        <f t="shared" si="872"/>
        <v>0.44422045633156937</v>
      </c>
      <c r="CF458" s="4">
        <f t="shared" si="873"/>
        <v>917.29117934535304</v>
      </c>
      <c r="CG458" s="6">
        <f t="shared" si="874"/>
        <v>5.3345823586907065E-6</v>
      </c>
      <c r="CH458" s="8">
        <f t="shared" si="875"/>
        <v>26.437848562471558</v>
      </c>
      <c r="CI458" s="7">
        <f t="shared" si="876"/>
        <v>1.335082483886766E-2</v>
      </c>
      <c r="CJ458" s="9">
        <f t="shared" si="877"/>
        <v>0.4488482049391293</v>
      </c>
      <c r="CK458" s="4">
        <f t="shared" si="878"/>
        <v>873.27756529690851</v>
      </c>
      <c r="CL458" s="6">
        <f t="shared" si="879"/>
        <v>5.2465551305938179E-6</v>
      </c>
      <c r="CM458" s="8">
        <f t="shared" si="880"/>
        <v>25.931692000914445</v>
      </c>
      <c r="CN458" s="7">
        <f t="shared" si="881"/>
        <v>1.3130519663251052E-2</v>
      </c>
      <c r="CO458" s="9">
        <f t="shared" si="882"/>
        <v>0.45760920148594392</v>
      </c>
      <c r="CP458" s="4">
        <f t="shared" si="883"/>
        <v>793.88532965374009</v>
      </c>
      <c r="CQ458" s="6">
        <f t="shared" si="884"/>
        <v>5.0877706593074808E-6</v>
      </c>
      <c r="CR458" s="8">
        <f t="shared" si="885"/>
        <v>25.018681291018012</v>
      </c>
      <c r="CS458" s="7">
        <f t="shared" si="886"/>
        <v>1.2733130791782508E-2</v>
      </c>
      <c r="CT458" s="9">
        <f t="shared" si="887"/>
        <v>0.47430880675466036</v>
      </c>
      <c r="CU458" s="4">
        <f t="shared" si="888"/>
        <v>664.56321057657578</v>
      </c>
      <c r="CV458" s="6">
        <f t="shared" si="889"/>
        <v>4.8291264211531521E-6</v>
      </c>
      <c r="CW458" s="8">
        <f t="shared" si="890"/>
        <v>30.985707316250085</v>
      </c>
      <c r="CX458" s="7">
        <f t="shared" si="891"/>
        <v>1.2085823526283972E-2</v>
      </c>
      <c r="CY458" s="9">
        <f t="shared" si="892"/>
        <v>0.38296950102199578</v>
      </c>
      <c r="CZ458" s="5">
        <f t="shared" si="893"/>
        <v>488.95337130065678</v>
      </c>
      <c r="DA458" s="6">
        <f t="shared" si="894"/>
        <v>7.3801158036983987E-6</v>
      </c>
      <c r="DB458" s="8">
        <f t="shared" si="895"/>
        <v>39.315352232280951</v>
      </c>
      <c r="DC458" s="7">
        <f t="shared" si="896"/>
        <v>1.8470168189496133E-2</v>
      </c>
      <c r="DD458" s="9">
        <f t="shared" si="897"/>
        <v>0.30183071487210322</v>
      </c>
    </row>
    <row r="459" spans="2:108" x14ac:dyDescent="0.25">
      <c r="B459">
        <v>192</v>
      </c>
      <c r="C459">
        <f t="shared" si="805"/>
        <v>0.18770201593828828</v>
      </c>
      <c r="D459" s="4">
        <f t="shared" si="806"/>
        <v>1016.8440871722385</v>
      </c>
      <c r="E459" s="6">
        <f t="shared" si="794"/>
        <v>5.5336881743444779E-6</v>
      </c>
      <c r="F459" s="8">
        <f t="shared" si="807"/>
        <v>27.582707002480742</v>
      </c>
      <c r="G459" s="7">
        <f t="shared" ref="G459:G494" si="898">($E459*$M$8)/($D$6^2)</f>
        <v>1.3849125678644327E-2</v>
      </c>
      <c r="H459" s="9">
        <f t="shared" si="808"/>
        <v>0.43021813880162807</v>
      </c>
      <c r="I459" s="4">
        <f t="shared" si="809"/>
        <v>1016.5194002932736</v>
      </c>
      <c r="J459" s="6">
        <f t="shared" si="795"/>
        <v>5.5330388005865478E-6</v>
      </c>
      <c r="K459" s="8">
        <f t="shared" si="810"/>
        <v>27.578973103372647</v>
      </c>
      <c r="L459" s="7">
        <f t="shared" si="796"/>
        <v>1.3847500495131516E-2</v>
      </c>
      <c r="M459" s="9">
        <f t="shared" si="811"/>
        <v>0.43027638575370769</v>
      </c>
      <c r="N459" s="4">
        <f t="shared" si="812"/>
        <v>1015.6131665186143</v>
      </c>
      <c r="O459" s="6">
        <f t="shared" si="797"/>
        <v>5.531226333037229E-6</v>
      </c>
      <c r="P459" s="8">
        <f t="shared" si="798"/>
        <v>27.568551414964062</v>
      </c>
      <c r="Q459" s="7">
        <f t="shared" ref="Q459:Q494" si="899">($E459*$M$8)/($D$6^2)</f>
        <v>1.3849125678644327E-2</v>
      </c>
      <c r="R459" s="9">
        <f t="shared" si="813"/>
        <v>0.43043904233853875</v>
      </c>
      <c r="S459" s="4">
        <f t="shared" si="814"/>
        <v>1014.1114701837486</v>
      </c>
      <c r="T459" s="6">
        <f t="shared" si="799"/>
        <v>5.5282229403674976E-6</v>
      </c>
      <c r="U459" s="8">
        <f t="shared" si="800"/>
        <v>27.551281907113108</v>
      </c>
      <c r="V459" s="7">
        <f t="shared" si="801"/>
        <v>1.3835447872843611E-2</v>
      </c>
      <c r="W459" s="9">
        <f t="shared" si="815"/>
        <v>0.43070884722261216</v>
      </c>
      <c r="X459" s="4">
        <f t="shared" si="816"/>
        <v>1012.012443907818</v>
      </c>
      <c r="Y459" s="6">
        <f t="shared" si="802"/>
        <v>5.524024887815637E-6</v>
      </c>
      <c r="Z459" s="8">
        <f t="shared" si="803"/>
        <v>27.527143104939906</v>
      </c>
      <c r="AA459" s="7">
        <f t="shared" si="804"/>
        <v>1.3824941433816958E-2</v>
      </c>
      <c r="AB459" s="9">
        <f t="shared" si="817"/>
        <v>0.43108653972843158</v>
      </c>
      <c r="AC459" s="4">
        <f t="shared" si="818"/>
        <v>1009.3146353897262</v>
      </c>
      <c r="AD459" s="6">
        <f t="shared" si="819"/>
        <v>5.5186292707794529E-6</v>
      </c>
      <c r="AE459" s="8">
        <f t="shared" si="820"/>
        <v>27.496118306981849</v>
      </c>
      <c r="AF459" s="7">
        <f t="shared" si="821"/>
        <v>1.3811437857884653E-2</v>
      </c>
      <c r="AG459" s="9">
        <f t="shared" si="822"/>
        <v>0.43157294921533418</v>
      </c>
      <c r="AH459" s="4">
        <f t="shared" si="823"/>
        <v>1006.0176899211664</v>
      </c>
      <c r="AI459" s="6">
        <f t="shared" si="824"/>
        <v>5.5120353798423332E-6</v>
      </c>
      <c r="AJ459" s="8">
        <f t="shared" si="825"/>
        <v>27.458203434093413</v>
      </c>
      <c r="AK459" s="7">
        <f t="shared" si="826"/>
        <v>1.3794935369594327E-2</v>
      </c>
      <c r="AL459" s="9">
        <f t="shared" si="827"/>
        <v>0.4321688743475397</v>
      </c>
      <c r="AM459" s="4">
        <f t="shared" si="828"/>
        <v>1002.1214270626302</v>
      </c>
      <c r="AN459" s="6">
        <f t="shared" si="829"/>
        <v>5.5042428541252613E-6</v>
      </c>
      <c r="AO459" s="8">
        <f t="shared" si="830"/>
        <v>27.413396411220248</v>
      </c>
      <c r="AP459" s="7">
        <f t="shared" si="831"/>
        <v>1.3775433065776388E-2</v>
      </c>
      <c r="AQ459" s="9">
        <f t="shared" si="832"/>
        <v>0.43287525163649299</v>
      </c>
      <c r="AR459" s="4">
        <f t="shared" si="833"/>
        <v>997.62555230713167</v>
      </c>
      <c r="AS459" s="6">
        <f t="shared" si="834"/>
        <v>5.4952511046142643E-6</v>
      </c>
      <c r="AT459" s="8">
        <f t="shared" si="835"/>
        <v>27.361693851532014</v>
      </c>
      <c r="AU459" s="7">
        <f t="shared" si="836"/>
        <v>1.3752929472309373E-2</v>
      </c>
      <c r="AV459" s="9">
        <f t="shared" si="837"/>
        <v>0.43369321117718285</v>
      </c>
      <c r="AW459" s="4">
        <f t="shared" si="838"/>
        <v>992.52882327757573</v>
      </c>
      <c r="AX459" s="6">
        <f t="shared" si="839"/>
        <v>5.4850576465551523E-6</v>
      </c>
      <c r="AY459" s="8">
        <f t="shared" si="840"/>
        <v>27.30308146769212</v>
      </c>
      <c r="AZ459" s="7">
        <f t="shared" si="841"/>
        <v>1.3727418370615002E-2</v>
      </c>
      <c r="BA459" s="9">
        <f t="shared" si="842"/>
        <v>0.43462423403598915</v>
      </c>
      <c r="BB459" s="4">
        <f t="shared" si="843"/>
        <v>986.82567286619974</v>
      </c>
      <c r="BC459" s="6">
        <f t="shared" si="844"/>
        <v>5.4736513457323995E-6</v>
      </c>
      <c r="BD459" s="8">
        <f t="shared" si="845"/>
        <v>27.237495237961298</v>
      </c>
      <c r="BE459" s="7">
        <f t="shared" si="846"/>
        <v>1.3698871895163944E-2</v>
      </c>
      <c r="BF459" s="9">
        <f t="shared" si="847"/>
        <v>0.43567078272231397</v>
      </c>
      <c r="BG459" s="4">
        <f t="shared" si="848"/>
        <v>980.4929993749073</v>
      </c>
      <c r="BH459" s="6">
        <f t="shared" si="849"/>
        <v>5.4609859987498149E-6</v>
      </c>
      <c r="BI459" s="8">
        <f t="shared" si="850"/>
        <v>27.164669492811434</v>
      </c>
      <c r="BJ459" s="7">
        <f t="shared" si="851"/>
        <v>1.3667174413014757E-2</v>
      </c>
      <c r="BK459" s="9">
        <f t="shared" si="852"/>
        <v>0.43683877224636003</v>
      </c>
      <c r="BL459" s="4">
        <f t="shared" si="853"/>
        <v>973.4434478153986</v>
      </c>
      <c r="BM459" s="6">
        <f t="shared" si="854"/>
        <v>5.446886895630798E-6</v>
      </c>
      <c r="BN459" s="8">
        <f t="shared" si="855"/>
        <v>27.083599649877083</v>
      </c>
      <c r="BO459" s="7">
        <f t="shared" si="856"/>
        <v>1.3631888678636609E-2</v>
      </c>
      <c r="BP459" s="9">
        <f t="shared" si="857"/>
        <v>0.43814636987412986</v>
      </c>
      <c r="BQ459" s="4">
        <f t="shared" si="858"/>
        <v>965.3791976356016</v>
      </c>
      <c r="BR459" s="6">
        <f t="shared" si="859"/>
        <v>5.4307583952712044E-6</v>
      </c>
      <c r="BS459" s="8">
        <f t="shared" si="860"/>
        <v>26.99086077280942</v>
      </c>
      <c r="BT459" s="7">
        <f t="shared" si="861"/>
        <v>1.3591523984882514E-2</v>
      </c>
      <c r="BU459" s="9">
        <f t="shared" si="862"/>
        <v>0.43965181287112881</v>
      </c>
      <c r="BV459" s="4">
        <f t="shared" si="863"/>
        <v>955.39633728930801</v>
      </c>
      <c r="BW459" s="6">
        <f t="shared" si="864"/>
        <v>5.4107926745786169E-6</v>
      </c>
      <c r="BX459" s="8">
        <f t="shared" si="865"/>
        <v>26.876057878827041</v>
      </c>
      <c r="BY459" s="7">
        <f t="shared" si="866"/>
        <v>1.3541555904567052E-2</v>
      </c>
      <c r="BZ459" s="9">
        <f t="shared" si="867"/>
        <v>0.44152981524371515</v>
      </c>
      <c r="CA459" s="4">
        <f t="shared" si="868"/>
        <v>941.09193219356257</v>
      </c>
      <c r="CB459" s="6">
        <f t="shared" si="869"/>
        <v>5.3821838643871261E-6</v>
      </c>
      <c r="CC459" s="8">
        <f t="shared" si="870"/>
        <v>26.71155722022597</v>
      </c>
      <c r="CD459" s="7">
        <f t="shared" si="871"/>
        <v>1.3469956819946536E-2</v>
      </c>
      <c r="CE459" s="9">
        <f t="shared" si="872"/>
        <v>0.44424893584012143</v>
      </c>
      <c r="CF459" s="4">
        <f t="shared" si="873"/>
        <v>916.99231064007336</v>
      </c>
      <c r="CG459" s="6">
        <f t="shared" si="874"/>
        <v>5.3339846212801469E-6</v>
      </c>
      <c r="CH459" s="8">
        <f t="shared" si="875"/>
        <v>26.434411572360844</v>
      </c>
      <c r="CI459" s="7">
        <f t="shared" si="876"/>
        <v>1.3349328885308143E-2</v>
      </c>
      <c r="CJ459" s="9">
        <f t="shared" si="877"/>
        <v>0.4489065639775881</v>
      </c>
      <c r="CK459" s="4">
        <f t="shared" si="878"/>
        <v>872.7568319336757</v>
      </c>
      <c r="CL459" s="6">
        <f t="shared" si="879"/>
        <v>5.2455136638673517E-6</v>
      </c>
      <c r="CM459" s="8">
        <f t="shared" si="880"/>
        <v>25.925703567237271</v>
      </c>
      <c r="CN459" s="7">
        <f t="shared" si="881"/>
        <v>1.3127913191196515E-2</v>
      </c>
      <c r="CO459" s="9">
        <f t="shared" si="882"/>
        <v>0.45771490208327026</v>
      </c>
      <c r="CP459" s="4">
        <f t="shared" si="883"/>
        <v>793.15374381363517</v>
      </c>
      <c r="CQ459" s="6">
        <f t="shared" si="884"/>
        <v>5.0863074876272707E-6</v>
      </c>
      <c r="CR459" s="8">
        <f t="shared" si="885"/>
        <v>25.010268053856805</v>
      </c>
      <c r="CS459" s="7">
        <f t="shared" si="886"/>
        <v>1.2729468921461987E-2</v>
      </c>
      <c r="CT459" s="9">
        <f t="shared" si="887"/>
        <v>0.47446836012171273</v>
      </c>
      <c r="CU459" s="4">
        <f t="shared" si="888"/>
        <v>663.87184453646523</v>
      </c>
      <c r="CV459" s="6">
        <f t="shared" si="889"/>
        <v>4.8277436890729312E-6</v>
      </c>
      <c r="CW459" s="8">
        <f t="shared" si="890"/>
        <v>31.12453361710422</v>
      </c>
      <c r="CX459" s="7">
        <f t="shared" si="891"/>
        <v>1.2082362971631172E-2</v>
      </c>
      <c r="CY459" s="9">
        <f t="shared" si="892"/>
        <v>0.38126132316394684</v>
      </c>
      <c r="CZ459" s="5">
        <f t="shared" si="893"/>
        <v>488.91497523225348</v>
      </c>
      <c r="DA459" s="6">
        <f t="shared" si="894"/>
        <v>7.3806877717406542E-6</v>
      </c>
      <c r="DB459" s="8">
        <f t="shared" si="895"/>
        <v>39.316465718264645</v>
      </c>
      <c r="DC459" s="7">
        <f t="shared" si="896"/>
        <v>1.8471599650223915E-2</v>
      </c>
      <c r="DD459" s="9">
        <f t="shared" si="897"/>
        <v>0.30182216669097051</v>
      </c>
    </row>
    <row r="460" spans="2:108" x14ac:dyDescent="0.25">
      <c r="B460">
        <v>193</v>
      </c>
      <c r="C460">
        <f t="shared" si="805"/>
        <v>0.18867963060463352</v>
      </c>
      <c r="D460" s="4">
        <f t="shared" si="806"/>
        <v>1016.8275103004078</v>
      </c>
      <c r="E460" s="6">
        <f t="shared" si="794"/>
        <v>5.5336550206008157E-6</v>
      </c>
      <c r="F460" s="8">
        <f t="shared" si="807"/>
        <v>27.582516368454691</v>
      </c>
      <c r="G460" s="7">
        <f t="shared" si="898"/>
        <v>1.3849042704984044E-2</v>
      </c>
      <c r="H460" s="9">
        <f t="shared" si="808"/>
        <v>0.4302211122147418</v>
      </c>
      <c r="I460" s="4">
        <f t="shared" si="809"/>
        <v>1016.5028228891309</v>
      </c>
      <c r="J460" s="6">
        <f t="shared" si="795"/>
        <v>5.5330056457782618E-6</v>
      </c>
      <c r="K460" s="8">
        <f t="shared" si="810"/>
        <v>27.578782463225004</v>
      </c>
      <c r="L460" s="7">
        <f t="shared" si="796"/>
        <v>1.3847417518806804E-2</v>
      </c>
      <c r="M460" s="9">
        <f t="shared" si="811"/>
        <v>0.43027936006752365</v>
      </c>
      <c r="N460" s="4">
        <f t="shared" si="812"/>
        <v>1015.5965849965306</v>
      </c>
      <c r="O460" s="6">
        <f t="shared" si="797"/>
        <v>5.531193169993062E-6</v>
      </c>
      <c r="P460" s="8">
        <f t="shared" si="798"/>
        <v>27.568360727460103</v>
      </c>
      <c r="Q460" s="7">
        <f t="shared" si="899"/>
        <v>1.3849042704984044E-2</v>
      </c>
      <c r="R460" s="9">
        <f t="shared" si="813"/>
        <v>0.43044201964093992</v>
      </c>
      <c r="S460" s="4">
        <f t="shared" si="814"/>
        <v>1014.0948866423515</v>
      </c>
      <c r="T460" s="6">
        <f t="shared" si="799"/>
        <v>5.5281897732847038E-6</v>
      </c>
      <c r="U460" s="8">
        <f t="shared" si="800"/>
        <v>27.551091196387041</v>
      </c>
      <c r="V460" s="7">
        <f t="shared" si="801"/>
        <v>1.383536486579957E-2</v>
      </c>
      <c r="W460" s="9">
        <f t="shared" si="815"/>
        <v>0.43071182862165702</v>
      </c>
      <c r="X460" s="4">
        <f t="shared" si="816"/>
        <v>1011.9958637920755</v>
      </c>
      <c r="Y460" s="6">
        <f t="shared" si="802"/>
        <v>5.5239917275841513E-6</v>
      </c>
      <c r="Z460" s="8">
        <f t="shared" si="803"/>
        <v>27.526952433608869</v>
      </c>
      <c r="AA460" s="7">
        <f t="shared" si="804"/>
        <v>1.382485844391964E-2</v>
      </c>
      <c r="AB460" s="9">
        <f t="shared" si="817"/>
        <v>0.43108952574166792</v>
      </c>
      <c r="AC460" s="4">
        <f t="shared" si="818"/>
        <v>1009.2980647436702</v>
      </c>
      <c r="AD460" s="6">
        <f t="shared" si="819"/>
        <v>5.5185961294873411E-6</v>
      </c>
      <c r="AE460" s="8">
        <f t="shared" si="820"/>
        <v>27.495927744552205</v>
      </c>
      <c r="AF460" s="7">
        <f t="shared" si="821"/>
        <v>1.3811354915386785E-2</v>
      </c>
      <c r="AG460" s="9">
        <f t="shared" si="822"/>
        <v>0.43157594026151874</v>
      </c>
      <c r="AH460" s="4">
        <f t="shared" si="823"/>
        <v>1006.0011335398876</v>
      </c>
      <c r="AI460" s="6">
        <f t="shared" si="824"/>
        <v>5.5120022670797759E-6</v>
      </c>
      <c r="AJ460" s="8">
        <f t="shared" si="825"/>
        <v>27.458013035708706</v>
      </c>
      <c r="AK460" s="7">
        <f t="shared" si="826"/>
        <v>1.379485249849719E-2</v>
      </c>
      <c r="AL460" s="9">
        <f t="shared" si="827"/>
        <v>0.43217187107769234</v>
      </c>
      <c r="AM460" s="4">
        <f t="shared" si="828"/>
        <v>1002.1048863406315</v>
      </c>
      <c r="AN460" s="6">
        <f t="shared" si="829"/>
        <v>5.5042097726812636E-6</v>
      </c>
      <c r="AO460" s="8">
        <f t="shared" si="830"/>
        <v>27.413206192917261</v>
      </c>
      <c r="AP460" s="7">
        <f t="shared" si="831"/>
        <v>1.3775350273060007E-2</v>
      </c>
      <c r="AQ460" s="9">
        <f t="shared" si="832"/>
        <v>0.43287825532731233</v>
      </c>
      <c r="AR460" s="4">
        <f t="shared" si="833"/>
        <v>997.60901648672041</v>
      </c>
      <c r="AS460" s="6">
        <f t="shared" si="834"/>
        <v>5.4952180329734413E-6</v>
      </c>
      <c r="AT460" s="8">
        <f t="shared" si="835"/>
        <v>27.361503689597285</v>
      </c>
      <c r="AU460" s="7">
        <f t="shared" si="836"/>
        <v>1.3752846704127334E-2</v>
      </c>
      <c r="AV460" s="9">
        <f t="shared" si="837"/>
        <v>0.433696225336823</v>
      </c>
      <c r="AW460" s="4">
        <f t="shared" si="838"/>
        <v>992.51223164136377</v>
      </c>
      <c r="AX460" s="6">
        <f t="shared" si="839"/>
        <v>5.4850244632827281E-6</v>
      </c>
      <c r="AY460" s="8">
        <f t="shared" si="840"/>
        <v>27.302890663875683</v>
      </c>
      <c r="AZ460" s="7">
        <f t="shared" si="841"/>
        <v>1.3727335323053277E-2</v>
      </c>
      <c r="BA460" s="9">
        <f t="shared" si="842"/>
        <v>0.4346272713686874</v>
      </c>
      <c r="BB460" s="4">
        <f t="shared" si="843"/>
        <v>986.80877020225807</v>
      </c>
      <c r="BC460" s="6">
        <f t="shared" si="844"/>
        <v>5.4736175404045168E-6</v>
      </c>
      <c r="BD460" s="8">
        <f t="shared" si="845"/>
        <v>27.23730085732597</v>
      </c>
      <c r="BE460" s="7">
        <f t="shared" si="846"/>
        <v>1.3698787290788038E-2</v>
      </c>
      <c r="BF460" s="9">
        <f t="shared" si="847"/>
        <v>0.43567389191305145</v>
      </c>
      <c r="BG460" s="4">
        <f t="shared" si="848"/>
        <v>980.47484627589881</v>
      </c>
      <c r="BH460" s="6">
        <f t="shared" si="849"/>
        <v>5.4609496925517979E-6</v>
      </c>
      <c r="BI460" s="8">
        <f t="shared" si="850"/>
        <v>27.164460732172834</v>
      </c>
      <c r="BJ460" s="7">
        <f t="shared" si="851"/>
        <v>1.3667083549727307E-2</v>
      </c>
      <c r="BK460" s="9">
        <f t="shared" si="852"/>
        <v>0.43684212938059358</v>
      </c>
      <c r="BL460" s="4">
        <f t="shared" si="853"/>
        <v>973.42097311161376</v>
      </c>
      <c r="BM460" s="6">
        <f t="shared" si="854"/>
        <v>5.4468419462232283E-6</v>
      </c>
      <c r="BN460" s="8">
        <f t="shared" si="855"/>
        <v>27.083341190783557</v>
      </c>
      <c r="BO460" s="7">
        <f t="shared" si="856"/>
        <v>1.3631776184044394E-2</v>
      </c>
      <c r="BP460" s="9">
        <f t="shared" si="857"/>
        <v>0.43815055114972623</v>
      </c>
      <c r="BQ460" s="4">
        <f t="shared" si="858"/>
        <v>965.3435814877098</v>
      </c>
      <c r="BR460" s="6">
        <f t="shared" si="859"/>
        <v>5.4306871629754196E-6</v>
      </c>
      <c r="BS460" s="8">
        <f t="shared" si="860"/>
        <v>26.990451187108661</v>
      </c>
      <c r="BT460" s="7">
        <f t="shared" si="861"/>
        <v>1.3591345712275596E-2</v>
      </c>
      <c r="BU460" s="9">
        <f t="shared" si="862"/>
        <v>0.43965848467867352</v>
      </c>
      <c r="BV460" s="4">
        <f t="shared" si="863"/>
        <v>955.32581251557042</v>
      </c>
      <c r="BW460" s="6">
        <f t="shared" si="864"/>
        <v>5.4106516250311419E-6</v>
      </c>
      <c r="BX460" s="8">
        <f t="shared" si="865"/>
        <v>26.875246843929059</v>
      </c>
      <c r="BY460" s="7">
        <f t="shared" si="866"/>
        <v>1.3541202900774943E-2</v>
      </c>
      <c r="BZ460" s="9">
        <f t="shared" si="867"/>
        <v>0.44154313962695679</v>
      </c>
      <c r="CA460" s="4">
        <f t="shared" si="868"/>
        <v>940.94195862281583</v>
      </c>
      <c r="CB460" s="6">
        <f t="shared" si="869"/>
        <v>5.381883917245632E-6</v>
      </c>
      <c r="CC460" s="8">
        <f t="shared" si="870"/>
        <v>26.70983252416238</v>
      </c>
      <c r="CD460" s="7">
        <f t="shared" si="871"/>
        <v>1.3469206144171424E-2</v>
      </c>
      <c r="CE460" s="9">
        <f t="shared" si="872"/>
        <v>0.44427762169542223</v>
      </c>
      <c r="CF460" s="4">
        <f t="shared" si="873"/>
        <v>916.69233351818241</v>
      </c>
      <c r="CG460" s="6">
        <f t="shared" si="874"/>
        <v>5.3333846670363657E-6</v>
      </c>
      <c r="CH460" s="8">
        <f t="shared" si="875"/>
        <v>26.430961835459097</v>
      </c>
      <c r="CI460" s="7">
        <f t="shared" si="876"/>
        <v>1.3347827383694428E-2</v>
      </c>
      <c r="CJ460" s="9">
        <f t="shared" si="877"/>
        <v>0.44896515471480114</v>
      </c>
      <c r="CK460" s="4">
        <f t="shared" si="878"/>
        <v>872.23613425255894</v>
      </c>
      <c r="CL460" s="6">
        <f t="shared" si="879"/>
        <v>5.2444722685051181E-6</v>
      </c>
      <c r="CM460" s="8">
        <f t="shared" si="880"/>
        <v>25.919715543904427</v>
      </c>
      <c r="CN460" s="7">
        <f t="shared" si="881"/>
        <v>1.3125306897744779E-2</v>
      </c>
      <c r="CO460" s="9">
        <f t="shared" si="882"/>
        <v>0.457820644274338</v>
      </c>
      <c r="CP460" s="4">
        <f t="shared" si="883"/>
        <v>792.42553640516269</v>
      </c>
      <c r="CQ460" s="6">
        <f t="shared" si="884"/>
        <v>5.0848510728103257E-6</v>
      </c>
      <c r="CR460" s="8">
        <f t="shared" si="885"/>
        <v>25.00189366865937</v>
      </c>
      <c r="CS460" s="7">
        <f t="shared" si="886"/>
        <v>1.2725823961499546E-2</v>
      </c>
      <c r="CT460" s="9">
        <f t="shared" si="887"/>
        <v>0.47462728331626403</v>
      </c>
      <c r="CU460" s="4">
        <f t="shared" si="888"/>
        <v>663.18870635552719</v>
      </c>
      <c r="CV460" s="6">
        <f t="shared" si="889"/>
        <v>4.8263774127110544E-6</v>
      </c>
      <c r="CW460" s="8">
        <f t="shared" si="890"/>
        <v>31.261707763836512</v>
      </c>
      <c r="CX460" s="7">
        <f t="shared" si="891"/>
        <v>1.2078943600598463E-2</v>
      </c>
      <c r="CY460" s="9">
        <f t="shared" si="892"/>
        <v>0.37958837563714731</v>
      </c>
      <c r="CZ460" s="5">
        <f t="shared" si="893"/>
        <v>488.87995198563505</v>
      </c>
      <c r="DA460" s="6">
        <f t="shared" si="894"/>
        <v>7.3812094852508168E-6</v>
      </c>
      <c r="DB460" s="8">
        <f t="shared" si="895"/>
        <v>39.317481392416582</v>
      </c>
      <c r="DC460" s="7">
        <f t="shared" si="896"/>
        <v>1.8472905339258577E-2</v>
      </c>
      <c r="DD460" s="9">
        <f t="shared" si="897"/>
        <v>0.30181436982905735</v>
      </c>
    </row>
    <row r="461" spans="2:108" x14ac:dyDescent="0.25">
      <c r="B461">
        <v>194</v>
      </c>
      <c r="C461">
        <f t="shared" si="805"/>
        <v>0.18965724527097877</v>
      </c>
      <c r="D461" s="4">
        <f t="shared" si="806"/>
        <v>1016.8109334013999</v>
      </c>
      <c r="E461" s="6">
        <f t="shared" si="794"/>
        <v>5.5336218668028002E-6</v>
      </c>
      <c r="F461" s="8">
        <f t="shared" si="807"/>
        <v>27.582325734116097</v>
      </c>
      <c r="G461" s="7">
        <f t="shared" si="898"/>
        <v>1.3848959731187729E-2</v>
      </c>
      <c r="H461" s="9">
        <f t="shared" si="808"/>
        <v>0.43022408567383175</v>
      </c>
      <c r="I461" s="4">
        <f t="shared" si="809"/>
        <v>1016.4862455024506</v>
      </c>
      <c r="J461" s="6">
        <f t="shared" si="795"/>
        <v>5.5329724910049023E-6</v>
      </c>
      <c r="K461" s="8">
        <f t="shared" si="810"/>
        <v>27.578591823278181</v>
      </c>
      <c r="L461" s="7">
        <f t="shared" si="796"/>
        <v>1.3847334542569503E-2</v>
      </c>
      <c r="M461" s="9">
        <f t="shared" si="811"/>
        <v>0.43028233441932695</v>
      </c>
      <c r="N461" s="4">
        <f t="shared" si="812"/>
        <v>1015.5800035816206</v>
      </c>
      <c r="O461" s="6">
        <f t="shared" si="797"/>
        <v>5.5311600071632418E-6</v>
      </c>
      <c r="P461" s="8">
        <f t="shared" si="798"/>
        <v>27.568170041188637</v>
      </c>
      <c r="Q461" s="7">
        <f t="shared" si="899"/>
        <v>1.3848959731187729E-2</v>
      </c>
      <c r="R461" s="9">
        <f t="shared" si="813"/>
        <v>0.43044499696528482</v>
      </c>
      <c r="S461" s="4">
        <f t="shared" si="814"/>
        <v>1014.0783032789647</v>
      </c>
      <c r="T461" s="6">
        <f t="shared" si="799"/>
        <v>5.5281566065579298E-6</v>
      </c>
      <c r="U461" s="8">
        <f t="shared" si="800"/>
        <v>27.550900487708091</v>
      </c>
      <c r="V461" s="7">
        <f t="shared" si="801"/>
        <v>1.3835281859646536E-2</v>
      </c>
      <c r="W461" s="9">
        <f t="shared" si="815"/>
        <v>0.43071481002997364</v>
      </c>
      <c r="X461" s="4">
        <f t="shared" si="816"/>
        <v>1011.9792838817287</v>
      </c>
      <c r="Y461" s="6">
        <f t="shared" si="802"/>
        <v>5.523958567763458E-6</v>
      </c>
      <c r="Z461" s="8">
        <f t="shared" si="803"/>
        <v>27.526761764639879</v>
      </c>
      <c r="AA461" s="7">
        <f t="shared" si="804"/>
        <v>1.3824775455050408E-2</v>
      </c>
      <c r="AB461" s="9">
        <f t="shared" si="817"/>
        <v>0.43109251175927937</v>
      </c>
      <c r="AC461" s="4">
        <f t="shared" si="818"/>
        <v>1009.2814942961892</v>
      </c>
      <c r="AD461" s="6">
        <f t="shared" si="819"/>
        <v>5.5185629885923792E-6</v>
      </c>
      <c r="AE461" s="8">
        <f t="shared" si="820"/>
        <v>27.495737184406174</v>
      </c>
      <c r="AF461" s="7">
        <f t="shared" si="821"/>
        <v>1.381127197388286E-2</v>
      </c>
      <c r="AG461" s="9">
        <f t="shared" si="822"/>
        <v>0.43157893131331881</v>
      </c>
      <c r="AH461" s="4">
        <f t="shared" si="823"/>
        <v>1005.9845773117357</v>
      </c>
      <c r="AI461" s="6">
        <f t="shared" si="824"/>
        <v>5.5119691546234726E-6</v>
      </c>
      <c r="AJ461" s="8">
        <f t="shared" si="825"/>
        <v>27.457822639084959</v>
      </c>
      <c r="AK461" s="7">
        <f t="shared" si="826"/>
        <v>1.3794769628166512E-2</v>
      </c>
      <c r="AL461" s="9">
        <f t="shared" si="827"/>
        <v>0.43217486782168812</v>
      </c>
      <c r="AM461" s="4">
        <f t="shared" si="828"/>
        <v>1002.0883455898581</v>
      </c>
      <c r="AN461" s="6">
        <f t="shared" si="829"/>
        <v>5.5041766911797175E-6</v>
      </c>
      <c r="AO461" s="8">
        <f t="shared" si="830"/>
        <v>27.413015974283368</v>
      </c>
      <c r="AP461" s="7">
        <f t="shared" si="831"/>
        <v>1.3775267480199603E-2</v>
      </c>
      <c r="AQ461" s="9">
        <f t="shared" si="832"/>
        <v>0.43288125906504216</v>
      </c>
      <c r="AR461" s="4">
        <f t="shared" si="833"/>
        <v>997.59247988545985</v>
      </c>
      <c r="AS461" s="6">
        <f t="shared" si="834"/>
        <v>5.4951849597709199E-6</v>
      </c>
      <c r="AT461" s="8">
        <f t="shared" si="835"/>
        <v>27.361313518682788</v>
      </c>
      <c r="AU461" s="7">
        <f t="shared" si="836"/>
        <v>1.3752763932036843E-2</v>
      </c>
      <c r="AV461" s="9">
        <f t="shared" si="837"/>
        <v>0.4336992396806969</v>
      </c>
      <c r="AW461" s="4">
        <f t="shared" si="838"/>
        <v>992.4956363148558</v>
      </c>
      <c r="AX461" s="6">
        <f t="shared" si="839"/>
        <v>5.4849912726297119E-6</v>
      </c>
      <c r="AY461" s="8">
        <f t="shared" si="840"/>
        <v>27.302699817620841</v>
      </c>
      <c r="AZ461" s="7">
        <f t="shared" si="841"/>
        <v>1.372725225702019E-2</v>
      </c>
      <c r="BA461" s="9">
        <f t="shared" si="842"/>
        <v>0.43463030941941305</v>
      </c>
      <c r="BB461" s="4">
        <f t="shared" si="843"/>
        <v>986.79185367338562</v>
      </c>
      <c r="BC461" s="6">
        <f t="shared" si="844"/>
        <v>5.4735837073467718E-6</v>
      </c>
      <c r="BD461" s="8">
        <f t="shared" si="845"/>
        <v>27.237106317243935</v>
      </c>
      <c r="BE461" s="7">
        <f t="shared" si="846"/>
        <v>1.3698702617012785E-2</v>
      </c>
      <c r="BF461" s="9">
        <f t="shared" si="847"/>
        <v>0.43567700369863127</v>
      </c>
      <c r="BG461" s="4">
        <f t="shared" si="848"/>
        <v>980.45664774852355</v>
      </c>
      <c r="BH461" s="6">
        <f t="shared" si="849"/>
        <v>5.4609132954970476E-6</v>
      </c>
      <c r="BI461" s="8">
        <f t="shared" si="850"/>
        <v>27.164251449108022</v>
      </c>
      <c r="BJ461" s="7">
        <f t="shared" si="851"/>
        <v>1.3666992459053296E-2</v>
      </c>
      <c r="BK461" s="9">
        <f t="shared" si="852"/>
        <v>0.43684549496789299</v>
      </c>
      <c r="BL461" s="4">
        <f t="shared" si="853"/>
        <v>973.39836807247127</v>
      </c>
      <c r="BM461" s="6">
        <f t="shared" si="854"/>
        <v>5.4467967361449435E-6</v>
      </c>
      <c r="BN461" s="8">
        <f t="shared" si="855"/>
        <v>27.083081232833418</v>
      </c>
      <c r="BO461" s="7">
        <f t="shared" si="856"/>
        <v>1.3631663037073262E-2</v>
      </c>
      <c r="BP461" s="9">
        <f t="shared" si="857"/>
        <v>0.43815475675388738</v>
      </c>
      <c r="BQ461" s="4">
        <f t="shared" si="858"/>
        <v>965.30764372015517</v>
      </c>
      <c r="BR461" s="6">
        <f t="shared" si="859"/>
        <v>5.4306152874403108E-6</v>
      </c>
      <c r="BS461" s="8">
        <f t="shared" si="860"/>
        <v>26.990037902781786</v>
      </c>
      <c r="BT461" s="7">
        <f t="shared" si="861"/>
        <v>1.3591165829837775E-2</v>
      </c>
      <c r="BU461" s="9">
        <f t="shared" si="862"/>
        <v>0.43966521693898192</v>
      </c>
      <c r="BV461" s="4">
        <f t="shared" si="863"/>
        <v>955.25462781342742</v>
      </c>
      <c r="BW461" s="6">
        <f t="shared" si="864"/>
        <v>5.4105092556268555E-6</v>
      </c>
      <c r="BX461" s="8">
        <f t="shared" si="865"/>
        <v>26.874428219854416</v>
      </c>
      <c r="BY461" s="7">
        <f t="shared" si="866"/>
        <v>1.354084659378571E-2</v>
      </c>
      <c r="BZ461" s="9">
        <f t="shared" si="867"/>
        <v>0.44155658950730903</v>
      </c>
      <c r="CA461" s="4">
        <f t="shared" si="868"/>
        <v>940.79093006122343</v>
      </c>
      <c r="CB461" s="6">
        <f t="shared" si="869"/>
        <v>5.3815818601224472E-6</v>
      </c>
      <c r="CC461" s="8">
        <f t="shared" si="870"/>
        <v>26.708095695704067</v>
      </c>
      <c r="CD461" s="7">
        <f t="shared" si="871"/>
        <v>1.3468450187758756E-2</v>
      </c>
      <c r="CE461" s="9">
        <f t="shared" si="872"/>
        <v>0.44430651308571617</v>
      </c>
      <c r="CF461" s="4">
        <f t="shared" si="873"/>
        <v>916.39126475021919</v>
      </c>
      <c r="CG461" s="6">
        <f t="shared" si="874"/>
        <v>5.3327825295004394E-6</v>
      </c>
      <c r="CH461" s="8">
        <f t="shared" si="875"/>
        <v>26.427499544627519</v>
      </c>
      <c r="CI461" s="7">
        <f t="shared" si="876"/>
        <v>1.3346320417969557E-2</v>
      </c>
      <c r="CJ461" s="9">
        <f t="shared" si="877"/>
        <v>0.44902397404942046</v>
      </c>
      <c r="CK461" s="4">
        <f t="shared" si="878"/>
        <v>871.71550357703188</v>
      </c>
      <c r="CL461" s="6">
        <f t="shared" si="879"/>
        <v>5.2434310071540643E-6</v>
      </c>
      <c r="CM461" s="8">
        <f t="shared" si="880"/>
        <v>25.913728291135868</v>
      </c>
      <c r="CN461" s="7">
        <f t="shared" si="881"/>
        <v>1.312270093968196E-2</v>
      </c>
      <c r="CO461" s="9">
        <f t="shared" si="882"/>
        <v>0.4579264217174423</v>
      </c>
      <c r="CP461" s="4">
        <f t="shared" si="883"/>
        <v>791.70072888366121</v>
      </c>
      <c r="CQ461" s="6">
        <f t="shared" si="884"/>
        <v>5.0834014577673229E-6</v>
      </c>
      <c r="CR461" s="8">
        <f t="shared" si="885"/>
        <v>24.993558382162103</v>
      </c>
      <c r="CS461" s="7">
        <f t="shared" si="886"/>
        <v>1.2722196019287466E-2</v>
      </c>
      <c r="CT461" s="9">
        <f t="shared" si="887"/>
        <v>0.47478557027666274</v>
      </c>
      <c r="CU461" s="4">
        <f t="shared" si="888"/>
        <v>662.51366706710121</v>
      </c>
      <c r="CV461" s="6">
        <f t="shared" si="889"/>
        <v>4.8250273341342029E-6</v>
      </c>
      <c r="CW461" s="8">
        <f t="shared" si="890"/>
        <v>31.397255652952424</v>
      </c>
      <c r="CX461" s="7">
        <f t="shared" si="891"/>
        <v>1.2075564767657795E-2</v>
      </c>
      <c r="CY461" s="9">
        <f t="shared" si="892"/>
        <v>0.37794962084853523</v>
      </c>
      <c r="CZ461" s="5">
        <f t="shared" si="893"/>
        <v>488.84799911632626</v>
      </c>
      <c r="DA461" s="6">
        <f t="shared" si="894"/>
        <v>7.3816854524665857E-6</v>
      </c>
      <c r="DB461" s="8">
        <f t="shared" si="895"/>
        <v>39.318408025626539</v>
      </c>
      <c r="DC461" s="7">
        <f t="shared" si="896"/>
        <v>1.8474096539337518E-2</v>
      </c>
      <c r="DD461" s="9">
        <f t="shared" si="897"/>
        <v>0.30180725684477416</v>
      </c>
    </row>
    <row r="462" spans="2:108" x14ac:dyDescent="0.25">
      <c r="B462">
        <v>195</v>
      </c>
      <c r="C462">
        <f t="shared" si="805"/>
        <v>0.19063485993732404</v>
      </c>
      <c r="D462" s="4">
        <f t="shared" si="806"/>
        <v>1016.7943564774939</v>
      </c>
      <c r="E462" s="6">
        <f t="shared" ref="E462:E494" si="900">IF($D462&gt;=650,((0.00002*$D462)+0.035)/10000,IF($D462&lt;650,((-0.0000000000003*($D462^4))+(0.0000000004*($D462^3))-(0.0000002*($D462^2))-(0.0001*$D462)+0.1409)/10000))</f>
        <v>5.5335887129549885E-6</v>
      </c>
      <c r="F462" s="8">
        <f t="shared" si="807"/>
        <v>27.582135099491179</v>
      </c>
      <c r="G462" s="7">
        <f t="shared" si="898"/>
        <v>1.3848876757266792E-2</v>
      </c>
      <c r="H462" s="9">
        <f t="shared" si="808"/>
        <v>0.43022705917849002</v>
      </c>
      <c r="I462" s="4">
        <f t="shared" si="809"/>
        <v>1016.4696681347884</v>
      </c>
      <c r="J462" s="6">
        <f t="shared" ref="J462:J494" si="901">IF($I462&gt;=650,((0.00002*$I462)+0.035)/10000,IF($I462&lt;650,((-0.0000000000003*($I462^4))+(0.0000000004*($I462^3))-(0.0000002*($I462^2))-(0.0001*$I462)+0.1409)/10000))</f>
        <v>5.5329393362695771E-6</v>
      </c>
      <c r="K462" s="8">
        <f t="shared" si="810"/>
        <v>27.578401183550064</v>
      </c>
      <c r="L462" s="7">
        <f t="shared" ref="L462:L494" si="902">($J462*$M$8)/($D$6^2)</f>
        <v>1.3847251566427389E-2</v>
      </c>
      <c r="M462" s="9">
        <f t="shared" si="811"/>
        <v>0.43028530880883931</v>
      </c>
      <c r="N462" s="4">
        <f t="shared" si="812"/>
        <v>1015.5634222741786</v>
      </c>
      <c r="O462" s="6">
        <f t="shared" ref="O462:O494" si="903">IF($N462&gt;=650,((0.00002*$N462)+0.035)/10000,IF($N462&lt;650,((-0.0000000000003*($N462^4))+(0.0000000004*($N462^3))-(0.0000002*($N462^2))-(0.0001*$N462)+0.1409)/10000))</f>
        <v>5.531126844548358E-6</v>
      </c>
      <c r="P462" s="8">
        <f t="shared" ref="P462:P494" si="904">IF($N462&lt;650,(53.495-(0.029*$N462)),IF($N462&lt;700,((0.00000000000000006*($N462^2))-(0.2008*$N462) + 164.43),IF($N462&lt;1250,((0.0115*$N462)+ 15.889))))</f>
        <v>27.567979356153053</v>
      </c>
      <c r="Q462" s="7">
        <f t="shared" si="899"/>
        <v>1.3848876757266792E-2</v>
      </c>
      <c r="R462" s="9">
        <f t="shared" si="813"/>
        <v>0.43044797431152054</v>
      </c>
      <c r="S462" s="4">
        <f t="shared" si="814"/>
        <v>1014.0617200932122</v>
      </c>
      <c r="T462" s="6">
        <f t="shared" ref="T462:T494" si="905">IF($S462&gt;=650,((0.00002*$S462)+0.035)/10000,IF($S462&lt;650,((-0.0000000000003*($S462^4))+(0.0000000004*($S462^3))-(0.0000002*($S462^2))-(0.0001*$S462)+0.1409)/10000))</f>
        <v>5.5281234401864251E-6</v>
      </c>
      <c r="U462" s="8">
        <f t="shared" ref="U462:U494" si="906">IF($S462&lt;650,(53.495-(0.029*$S462)),IF($S462&lt;700,((0.00000000000000006*($S462^2))-(0.2008*$S462) + 164.43),IF($S462&lt;1250,((0.0115*$S462)+ 15.889))))</f>
        <v>27.550709781071937</v>
      </c>
      <c r="V462" s="7">
        <f t="shared" ref="V462:V494" si="907">($T462*$M$8)/($D$6^2)</f>
        <v>1.3835198854382632E-2</v>
      </c>
      <c r="W462" s="9">
        <f t="shared" si="815"/>
        <v>0.43071779144762912</v>
      </c>
      <c r="X462" s="4">
        <f t="shared" si="816"/>
        <v>1011.9627041763376</v>
      </c>
      <c r="Y462" s="6">
        <f t="shared" ref="Y462:Y494" si="908">IF($X462&gt;=650,((0.00002*$X462)+0.035)/10000,IF($X462&lt;650,((-0.0000000000003*($X462^4))+(0.0000000004*($X462^3))-(0.0000002*($X462^2))-(0.0001*$X462)+0.1409)/10000))</f>
        <v>5.5239254083526753E-6</v>
      </c>
      <c r="Z462" s="8">
        <f t="shared" ref="Z462:Z494" si="909">IF($X462&lt;650,(53.495-(0.029*$X462)),IF($X462&lt;700,((0.00000000000000006*($X462^2))-(0.2008*$X462) + 164.43),IF($X462&lt;1250,((0.0115*$X462)+ 15.889))))</f>
        <v>27.52657109802788</v>
      </c>
      <c r="AA462" s="7">
        <f t="shared" ref="AA462:AA494" si="910">($Y462*$M$8)/($D$6^2)</f>
        <v>1.3824692467207059E-2</v>
      </c>
      <c r="AB462" s="9">
        <f t="shared" si="817"/>
        <v>0.43109549778134448</v>
      </c>
      <c r="AC462" s="4">
        <f t="shared" si="818"/>
        <v>1009.2649240466744</v>
      </c>
      <c r="AD462" s="6">
        <f t="shared" si="819"/>
        <v>5.5185298480933494E-6</v>
      </c>
      <c r="AE462" s="8">
        <f t="shared" si="820"/>
        <v>27.495546626536758</v>
      </c>
      <c r="AF462" s="7">
        <f t="shared" si="821"/>
        <v>1.3811189033369831E-2</v>
      </c>
      <c r="AG462" s="9">
        <f t="shared" si="822"/>
        <v>0.43158192237084364</v>
      </c>
      <c r="AH462" s="4">
        <f t="shared" si="823"/>
        <v>1005.9680212345627</v>
      </c>
      <c r="AI462" s="6">
        <f t="shared" si="824"/>
        <v>5.5119360424691264E-6</v>
      </c>
      <c r="AJ462" s="8">
        <f t="shared" si="825"/>
        <v>27.45763224419747</v>
      </c>
      <c r="AK462" s="7">
        <f t="shared" si="826"/>
        <v>1.3794686758591541E-2</v>
      </c>
      <c r="AL462" s="9">
        <f t="shared" si="827"/>
        <v>0.43217786457991564</v>
      </c>
      <c r="AM462" s="4">
        <f t="shared" si="828"/>
        <v>1002.071804801525</v>
      </c>
      <c r="AN462" s="6">
        <f t="shared" si="829"/>
        <v>5.5041436096030498E-6</v>
      </c>
      <c r="AO462" s="8">
        <f t="shared" si="830"/>
        <v>27.412825755217536</v>
      </c>
      <c r="AP462" s="7">
        <f t="shared" si="831"/>
        <v>1.3775184687151189E-2</v>
      </c>
      <c r="AQ462" s="9">
        <f t="shared" si="832"/>
        <v>0.43288426285127901</v>
      </c>
      <c r="AR462" s="4">
        <f t="shared" si="833"/>
        <v>997.57594247049042</v>
      </c>
      <c r="AS462" s="6">
        <f t="shared" si="834"/>
        <v>5.4951518849409815E-6</v>
      </c>
      <c r="AT462" s="8">
        <f t="shared" si="835"/>
        <v>27.361123338410639</v>
      </c>
      <c r="AU462" s="7">
        <f t="shared" si="836"/>
        <v>1.3752681155873426E-2</v>
      </c>
      <c r="AV462" s="9">
        <f t="shared" si="837"/>
        <v>0.43370225421480113</v>
      </c>
      <c r="AW462" s="4">
        <f t="shared" si="838"/>
        <v>992.47903718818986</v>
      </c>
      <c r="AX462" s="6">
        <f t="shared" si="839"/>
        <v>5.4849580743763801E-6</v>
      </c>
      <c r="AY462" s="8">
        <f t="shared" si="840"/>
        <v>27.302508927664185</v>
      </c>
      <c r="AZ462" s="7">
        <f t="shared" si="841"/>
        <v>1.3727169171965843E-2</v>
      </c>
      <c r="BA462" s="9">
        <f t="shared" si="842"/>
        <v>0.43463334820830773</v>
      </c>
      <c r="BB462" s="4">
        <f t="shared" si="843"/>
        <v>986.77492295751995</v>
      </c>
      <c r="BC462" s="6">
        <f t="shared" si="844"/>
        <v>5.4735498459150409E-6</v>
      </c>
      <c r="BD462" s="8">
        <f t="shared" si="845"/>
        <v>27.236911614011479</v>
      </c>
      <c r="BE462" s="7">
        <f t="shared" si="846"/>
        <v>1.3698617872226137E-2</v>
      </c>
      <c r="BF462" s="9">
        <f t="shared" si="847"/>
        <v>0.43568011813840801</v>
      </c>
      <c r="BG462" s="4">
        <f t="shared" si="848"/>
        <v>980.43840299018416</v>
      </c>
      <c r="BH462" s="6">
        <f t="shared" si="849"/>
        <v>5.4608768059803688E-6</v>
      </c>
      <c r="BI462" s="8">
        <f t="shared" si="850"/>
        <v>27.164041634387118</v>
      </c>
      <c r="BJ462" s="7">
        <f t="shared" si="851"/>
        <v>1.3666901136975412E-2</v>
      </c>
      <c r="BK462" s="9">
        <f t="shared" si="852"/>
        <v>0.43684886915708171</v>
      </c>
      <c r="BL462" s="4">
        <f t="shared" si="853"/>
        <v>973.37563108896893</v>
      </c>
      <c r="BM462" s="6">
        <f t="shared" si="854"/>
        <v>5.4467512621779384E-6</v>
      </c>
      <c r="BN462" s="8">
        <f t="shared" si="855"/>
        <v>27.08281975752314</v>
      </c>
      <c r="BO462" s="7">
        <f t="shared" si="856"/>
        <v>1.3631549229669535E-2</v>
      </c>
      <c r="BP462" s="9">
        <f t="shared" si="857"/>
        <v>0.4381589869873711</v>
      </c>
      <c r="BQ462" s="4">
        <f t="shared" si="858"/>
        <v>965.271382058207</v>
      </c>
      <c r="BR462" s="6">
        <f t="shared" si="859"/>
        <v>5.430542764116415E-6</v>
      </c>
      <c r="BS462" s="8">
        <f t="shared" si="860"/>
        <v>26.989620893669379</v>
      </c>
      <c r="BT462" s="7">
        <f t="shared" si="861"/>
        <v>1.3590984326183136E-2</v>
      </c>
      <c r="BU462" s="9">
        <f t="shared" si="862"/>
        <v>0.43967201008374651</v>
      </c>
      <c r="BV462" s="4">
        <f t="shared" si="863"/>
        <v>955.1827820816311</v>
      </c>
      <c r="BW462" s="6">
        <f t="shared" si="864"/>
        <v>5.4103655641632621E-6</v>
      </c>
      <c r="BX462" s="8">
        <f t="shared" si="865"/>
        <v>26.873601993938756</v>
      </c>
      <c r="BY462" s="7">
        <f t="shared" si="866"/>
        <v>1.3540486978087182E-2</v>
      </c>
      <c r="BZ462" s="9">
        <f t="shared" si="867"/>
        <v>0.44157016511572816</v>
      </c>
      <c r="CA462" s="4">
        <f t="shared" si="868"/>
        <v>940.63885125982938</v>
      </c>
      <c r="CB462" s="6">
        <f t="shared" si="869"/>
        <v>5.3812777025196592E-6</v>
      </c>
      <c r="CC462" s="8">
        <f t="shared" si="870"/>
        <v>26.706346789488038</v>
      </c>
      <c r="CD462" s="7">
        <f t="shared" si="871"/>
        <v>1.3467688974489338E-2</v>
      </c>
      <c r="CE462" s="9">
        <f t="shared" si="872"/>
        <v>0.44433560918143766</v>
      </c>
      <c r="CF462" s="4">
        <f t="shared" si="873"/>
        <v>916.0891211487907</v>
      </c>
      <c r="CG462" s="6">
        <f t="shared" si="874"/>
        <v>5.3321782422975822E-6</v>
      </c>
      <c r="CH462" s="8">
        <f t="shared" si="875"/>
        <v>26.42402489321109</v>
      </c>
      <c r="CI462" s="7">
        <f t="shared" si="876"/>
        <v>1.3344808072287129E-2</v>
      </c>
      <c r="CJ462" s="9">
        <f t="shared" si="877"/>
        <v>0.44908301886919139</v>
      </c>
      <c r="CK462" s="4">
        <f t="shared" si="878"/>
        <v>871.19497089268316</v>
      </c>
      <c r="CL462" s="6">
        <f t="shared" si="879"/>
        <v>5.2423899417853662E-6</v>
      </c>
      <c r="CM462" s="8">
        <f t="shared" si="880"/>
        <v>25.907742165265855</v>
      </c>
      <c r="CN462" s="7">
        <f t="shared" si="881"/>
        <v>1.3120095472102919E-2</v>
      </c>
      <c r="CO462" s="9">
        <f t="shared" si="882"/>
        <v>0.45803222812782413</v>
      </c>
      <c r="CP462" s="4">
        <f t="shared" si="883"/>
        <v>790.97934078013577</v>
      </c>
      <c r="CQ462" s="6">
        <f t="shared" si="884"/>
        <v>5.0819586815602726E-6</v>
      </c>
      <c r="CR462" s="8">
        <f t="shared" si="885"/>
        <v>24.985262418971558</v>
      </c>
      <c r="CS462" s="7">
        <f t="shared" si="886"/>
        <v>1.2718585192585983E-2</v>
      </c>
      <c r="CT462" s="9">
        <f t="shared" si="887"/>
        <v>0.47494321535352318</v>
      </c>
      <c r="CU462" s="4">
        <f t="shared" si="888"/>
        <v>661.84659743509485</v>
      </c>
      <c r="CV462" s="6">
        <f t="shared" si="889"/>
        <v>4.8236931948701906E-6</v>
      </c>
      <c r="CW462" s="8">
        <f t="shared" si="890"/>
        <v>31.531203235059252</v>
      </c>
      <c r="CX462" s="7">
        <f t="shared" si="891"/>
        <v>1.2072225825932495E-2</v>
      </c>
      <c r="CY462" s="9">
        <f t="shared" si="892"/>
        <v>0.37634405453083242</v>
      </c>
      <c r="CZ462" s="5">
        <f t="shared" si="893"/>
        <v>488.81883316089392</v>
      </c>
      <c r="DA462" s="6">
        <f t="shared" si="894"/>
        <v>7.3821198982907872E-6</v>
      </c>
      <c r="DB462" s="8">
        <f t="shared" si="895"/>
        <v>39.319253838334077</v>
      </c>
      <c r="DC462" s="7">
        <f t="shared" si="896"/>
        <v>1.8475183824097765E-2</v>
      </c>
      <c r="DD462" s="9">
        <f t="shared" si="897"/>
        <v>0.3018007645442306</v>
      </c>
    </row>
    <row r="463" spans="2:108" x14ac:dyDescent="0.25">
      <c r="B463">
        <v>196</v>
      </c>
      <c r="C463">
        <f t="shared" ref="C463:C494" si="911">$B463*$M$8</f>
        <v>0.19161247460366929</v>
      </c>
      <c r="D463" s="4">
        <f t="shared" si="806"/>
        <v>1016.7777795309321</v>
      </c>
      <c r="E463" s="6">
        <f t="shared" si="900"/>
        <v>5.5335555590618648E-6</v>
      </c>
      <c r="F463" s="8">
        <f t="shared" si="807"/>
        <v>27.581944464605719</v>
      </c>
      <c r="G463" s="7">
        <f t="shared" si="898"/>
        <v>1.3848793783232451E-2</v>
      </c>
      <c r="H463" s="9">
        <f t="shared" si="808"/>
        <v>0.4302300327283155</v>
      </c>
      <c r="I463" s="4">
        <f t="shared" si="809"/>
        <v>1016.4530907876787</v>
      </c>
      <c r="J463" s="6">
        <f t="shared" si="901"/>
        <v>5.5329061815753576E-6</v>
      </c>
      <c r="K463" s="8">
        <f t="shared" si="810"/>
        <v>27.578210544058305</v>
      </c>
      <c r="L463" s="7">
        <f t="shared" si="902"/>
        <v>1.3847168590388153E-2</v>
      </c>
      <c r="M463" s="9">
        <f t="shared" si="811"/>
        <v>0.43028828323578594</v>
      </c>
      <c r="N463" s="4">
        <f t="shared" si="812"/>
        <v>1015.5468410745003</v>
      </c>
      <c r="O463" s="6">
        <f t="shared" si="903"/>
        <v>5.5310936821490016E-6</v>
      </c>
      <c r="P463" s="8">
        <f t="shared" si="904"/>
        <v>27.567788672356755</v>
      </c>
      <c r="Q463" s="7">
        <f t="shared" si="899"/>
        <v>1.3848793783232451E-2</v>
      </c>
      <c r="R463" s="9">
        <f t="shared" si="813"/>
        <v>0.43045095167959407</v>
      </c>
      <c r="S463" s="4">
        <f t="shared" si="814"/>
        <v>1014.045137084725</v>
      </c>
      <c r="T463" s="6">
        <f t="shared" si="905"/>
        <v>5.5280902741694504E-6</v>
      </c>
      <c r="U463" s="8">
        <f t="shared" si="906"/>
        <v>27.550519076474338</v>
      </c>
      <c r="V463" s="7">
        <f t="shared" si="907"/>
        <v>1.3835115850006007E-2</v>
      </c>
      <c r="W463" s="9">
        <f t="shared" si="815"/>
        <v>0.43072077287468929</v>
      </c>
      <c r="X463" s="4">
        <f t="shared" si="816"/>
        <v>1011.9461246754603</v>
      </c>
      <c r="Y463" s="6">
        <f t="shared" si="908"/>
        <v>5.5238922493509214E-6</v>
      </c>
      <c r="Z463" s="8">
        <f t="shared" si="909"/>
        <v>27.526380433767791</v>
      </c>
      <c r="AA463" s="7">
        <f t="shared" si="910"/>
        <v>1.3824609480387383E-2</v>
      </c>
      <c r="AB463" s="9">
        <f t="shared" si="817"/>
        <v>0.43109848380794208</v>
      </c>
      <c r="AC463" s="4">
        <f t="shared" si="818"/>
        <v>1009.2483539944958</v>
      </c>
      <c r="AD463" s="6">
        <f t="shared" si="819"/>
        <v>5.5184967079889921E-6</v>
      </c>
      <c r="AE463" s="8">
        <f t="shared" si="820"/>
        <v>27.495356070936701</v>
      </c>
      <c r="AF463" s="7">
        <f t="shared" si="821"/>
        <v>1.3811106093844549E-2</v>
      </c>
      <c r="AG463" s="9">
        <f t="shared" si="822"/>
        <v>0.43158491343420641</v>
      </c>
      <c r="AH463" s="4">
        <f t="shared" si="823"/>
        <v>1005.9514653061406</v>
      </c>
      <c r="AI463" s="6">
        <f t="shared" si="824"/>
        <v>5.5119029306122811E-6</v>
      </c>
      <c r="AJ463" s="8">
        <f t="shared" si="825"/>
        <v>27.457441851020615</v>
      </c>
      <c r="AK463" s="7">
        <f t="shared" si="826"/>
        <v>1.3794603889761121E-2</v>
      </c>
      <c r="AL463" s="9">
        <f t="shared" si="827"/>
        <v>0.43218086135277778</v>
      </c>
      <c r="AM463" s="4">
        <f t="shared" si="828"/>
        <v>1002.0552639665764</v>
      </c>
      <c r="AN463" s="6">
        <f t="shared" si="829"/>
        <v>5.5041105279331535E-6</v>
      </c>
      <c r="AO463" s="8">
        <f t="shared" si="830"/>
        <v>27.412635535615628</v>
      </c>
      <c r="AP463" s="7">
        <f t="shared" si="831"/>
        <v>1.3775101893869452E-2</v>
      </c>
      <c r="AQ463" s="9">
        <f t="shared" si="832"/>
        <v>0.43288726668766841</v>
      </c>
      <c r="AR463" s="4">
        <f t="shared" si="833"/>
        <v>997.55940420813681</v>
      </c>
      <c r="AS463" s="6">
        <f t="shared" si="834"/>
        <v>5.4951188084162741E-6</v>
      </c>
      <c r="AT463" s="8">
        <f t="shared" si="835"/>
        <v>27.36093314839357</v>
      </c>
      <c r="AU463" s="7">
        <f t="shared" si="836"/>
        <v>1.375259837546852E-2</v>
      </c>
      <c r="AV463" s="9">
        <f t="shared" si="837"/>
        <v>0.43370526894528139</v>
      </c>
      <c r="AW463" s="4">
        <f t="shared" si="838"/>
        <v>992.46243414942592</v>
      </c>
      <c r="AX463" s="6">
        <f t="shared" si="839"/>
        <v>5.4849248682988525E-6</v>
      </c>
      <c r="AY463" s="8">
        <f t="shared" si="840"/>
        <v>27.302317992718397</v>
      </c>
      <c r="AZ463" s="7">
        <f t="shared" si="841"/>
        <v>1.3727086067329931E-2</v>
      </c>
      <c r="BA463" s="9">
        <f t="shared" si="842"/>
        <v>0.43463638775589486</v>
      </c>
      <c r="BB463" s="4">
        <f t="shared" si="843"/>
        <v>986.75797772844624</v>
      </c>
      <c r="BC463" s="6">
        <f t="shared" si="844"/>
        <v>5.4735159554568927E-6</v>
      </c>
      <c r="BD463" s="8">
        <f t="shared" si="845"/>
        <v>27.236716743877132</v>
      </c>
      <c r="BE463" s="7">
        <f t="shared" si="846"/>
        <v>1.3698533054795264E-2</v>
      </c>
      <c r="BF463" s="9">
        <f t="shared" si="847"/>
        <v>0.4356832352925038</v>
      </c>
      <c r="BG463" s="4">
        <f t="shared" si="848"/>
        <v>980.42011119303584</v>
      </c>
      <c r="BH463" s="6">
        <f t="shared" si="849"/>
        <v>5.4608402223860724E-6</v>
      </c>
      <c r="BI463" s="8">
        <f t="shared" si="850"/>
        <v>27.163831278719911</v>
      </c>
      <c r="BJ463" s="7">
        <f t="shared" si="851"/>
        <v>1.3666809579450084E-2</v>
      </c>
      <c r="BK463" s="9">
        <f t="shared" si="852"/>
        <v>0.43685225209796358</v>
      </c>
      <c r="BL463" s="4">
        <f t="shared" si="853"/>
        <v>973.35276055323448</v>
      </c>
      <c r="BM463" s="6">
        <f t="shared" si="854"/>
        <v>5.4467055211064694E-6</v>
      </c>
      <c r="BN463" s="8">
        <f t="shared" si="855"/>
        <v>27.082556746362194</v>
      </c>
      <c r="BO463" s="7">
        <f t="shared" si="856"/>
        <v>1.363143475378519E-2</v>
      </c>
      <c r="BP463" s="9">
        <f t="shared" si="857"/>
        <v>0.43816324215075636</v>
      </c>
      <c r="BQ463" s="4">
        <f t="shared" si="858"/>
        <v>965.23479425259791</v>
      </c>
      <c r="BR463" s="6">
        <f t="shared" si="859"/>
        <v>5.430469588505196E-6</v>
      </c>
      <c r="BS463" s="8">
        <f t="shared" si="860"/>
        <v>26.989200133904873</v>
      </c>
      <c r="BT463" s="7">
        <f t="shared" si="861"/>
        <v>1.3590801190053228E-2</v>
      </c>
      <c r="BU463" s="9">
        <f t="shared" si="862"/>
        <v>0.43967886453999216</v>
      </c>
      <c r="BV463" s="4">
        <f t="shared" si="863"/>
        <v>955.1102742862746</v>
      </c>
      <c r="BW463" s="6">
        <f t="shared" si="864"/>
        <v>5.4102205485725501E-6</v>
      </c>
      <c r="BX463" s="8">
        <f t="shared" si="865"/>
        <v>26.872768154292157</v>
      </c>
      <c r="BY463" s="7">
        <f t="shared" si="866"/>
        <v>1.354012404850426E-2</v>
      </c>
      <c r="BZ463" s="9">
        <f t="shared" si="867"/>
        <v>0.44158386667071181</v>
      </c>
      <c r="CA463" s="4">
        <f t="shared" si="868"/>
        <v>940.48572706229731</v>
      </c>
      <c r="CB463" s="6">
        <f t="shared" si="869"/>
        <v>5.380971454124595E-6</v>
      </c>
      <c r="CC463" s="8">
        <f t="shared" si="870"/>
        <v>26.704585861216419</v>
      </c>
      <c r="CD463" s="7">
        <f t="shared" si="871"/>
        <v>1.3466922528607586E-2</v>
      </c>
      <c r="CE463" s="9">
        <f t="shared" si="872"/>
        <v>0.44436490913539911</v>
      </c>
      <c r="CF463" s="4">
        <f t="shared" si="873"/>
        <v>915.78591956390164</v>
      </c>
      <c r="CG463" s="6">
        <f t="shared" si="874"/>
        <v>5.3315718391278036E-6</v>
      </c>
      <c r="CH463" s="8">
        <f t="shared" si="875"/>
        <v>26.420538074984869</v>
      </c>
      <c r="CI463" s="7">
        <f t="shared" si="876"/>
        <v>1.3343290430987946E-2</v>
      </c>
      <c r="CJ463" s="9">
        <f t="shared" si="877"/>
        <v>0.4491422860518216</v>
      </c>
      <c r="CK463" s="4">
        <f t="shared" si="878"/>
        <v>870.67456683041178</v>
      </c>
      <c r="CL463" s="6">
        <f t="shared" si="879"/>
        <v>5.2413491336608241E-6</v>
      </c>
      <c r="CM463" s="8">
        <f t="shared" si="880"/>
        <v>25.901757518549736</v>
      </c>
      <c r="CN463" s="7">
        <f t="shared" si="881"/>
        <v>1.3117490648327165E-2</v>
      </c>
      <c r="CO463" s="9">
        <f t="shared" si="882"/>
        <v>0.45813805728123114</v>
      </c>
      <c r="CP463" s="4">
        <f t="shared" si="883"/>
        <v>790.26138974556886</v>
      </c>
      <c r="CQ463" s="6">
        <f t="shared" si="884"/>
        <v>5.0805227794911381E-6</v>
      </c>
      <c r="CR463" s="8">
        <f t="shared" si="885"/>
        <v>24.97700598207404</v>
      </c>
      <c r="CS463" s="7">
        <f t="shared" si="886"/>
        <v>1.2714991569745095E-2</v>
      </c>
      <c r="CT463" s="9">
        <f t="shared" si="887"/>
        <v>0.47510021330156726</v>
      </c>
      <c r="CU463" s="4">
        <f t="shared" si="888"/>
        <v>661.18736818489288</v>
      </c>
      <c r="CV463" s="6">
        <f t="shared" si="889"/>
        <v>4.8223747363697862E-6</v>
      </c>
      <c r="CW463" s="8">
        <f t="shared" si="890"/>
        <v>31.663576468499741</v>
      </c>
      <c r="CX463" s="7">
        <f t="shared" si="891"/>
        <v>1.2068926128353072E-2</v>
      </c>
      <c r="CY463" s="9">
        <f t="shared" si="892"/>
        <v>0.37477070480409164</v>
      </c>
      <c r="CZ463" s="5">
        <f t="shared" si="893"/>
        <v>488.79218854451693</v>
      </c>
      <c r="DA463" s="6">
        <f t="shared" si="894"/>
        <v>7.3825167806631594E-6</v>
      </c>
      <c r="DB463" s="8">
        <f t="shared" si="895"/>
        <v>39.320026532209006</v>
      </c>
      <c r="DC463" s="7">
        <f t="shared" si="896"/>
        <v>1.847617709904956E-2</v>
      </c>
      <c r="DD463" s="9">
        <f t="shared" si="897"/>
        <v>0.30179483373434113</v>
      </c>
    </row>
    <row r="464" spans="2:108" x14ac:dyDescent="0.25">
      <c r="B464">
        <v>197</v>
      </c>
      <c r="C464">
        <f t="shared" si="911"/>
        <v>0.19259008927001453</v>
      </c>
      <c r="D464" s="4">
        <f t="shared" si="806"/>
        <v>1016.7612025639203</v>
      </c>
      <c r="E464" s="6">
        <f t="shared" si="900"/>
        <v>5.5335224051278413E-6</v>
      </c>
      <c r="F464" s="8">
        <f t="shared" si="807"/>
        <v>27.581753829485081</v>
      </c>
      <c r="G464" s="7">
        <f t="shared" si="898"/>
        <v>1.3848710809095751E-2</v>
      </c>
      <c r="H464" s="9">
        <f t="shared" si="808"/>
        <v>0.4302330063229135</v>
      </c>
      <c r="I464" s="4">
        <f t="shared" si="809"/>
        <v>1016.4365134626348</v>
      </c>
      <c r="J464" s="6">
        <f t="shared" si="901"/>
        <v>5.5328730269252702E-6</v>
      </c>
      <c r="K464" s="8">
        <f t="shared" si="810"/>
        <v>27.578019904820302</v>
      </c>
      <c r="L464" s="7">
        <f t="shared" si="902"/>
        <v>1.3847085614459364E-2</v>
      </c>
      <c r="M464" s="9">
        <f t="shared" si="811"/>
        <v>0.43029125769989618</v>
      </c>
      <c r="N464" s="4">
        <f t="shared" si="812"/>
        <v>1015.5302599828826</v>
      </c>
      <c r="O464" s="6">
        <f t="shared" si="903"/>
        <v>5.5310605199657657E-6</v>
      </c>
      <c r="P464" s="8">
        <f t="shared" si="904"/>
        <v>27.567597989803147</v>
      </c>
      <c r="Q464" s="7">
        <f t="shared" si="899"/>
        <v>1.3848710809095751E-2</v>
      </c>
      <c r="R464" s="9">
        <f t="shared" si="813"/>
        <v>0.43045392906945223</v>
      </c>
      <c r="S464" s="4">
        <f t="shared" si="814"/>
        <v>1014.0285542531403</v>
      </c>
      <c r="T464" s="6">
        <f t="shared" si="905"/>
        <v>5.5280571085062812E-6</v>
      </c>
      <c r="U464" s="8">
        <f t="shared" si="906"/>
        <v>27.550328373911114</v>
      </c>
      <c r="V464" s="7">
        <f t="shared" si="907"/>
        <v>1.383503284651485E-2</v>
      </c>
      <c r="W464" s="9">
        <f t="shared" si="815"/>
        <v>0.43072375431121906</v>
      </c>
      <c r="X464" s="4">
        <f t="shared" si="816"/>
        <v>1011.9295453786528</v>
      </c>
      <c r="Y464" s="6">
        <f t="shared" si="908"/>
        <v>5.5238590907573061E-6</v>
      </c>
      <c r="Z464" s="8">
        <f t="shared" si="909"/>
        <v>27.526189771854504</v>
      </c>
      <c r="AA464" s="7">
        <f t="shared" si="910"/>
        <v>1.3824526494589151E-2</v>
      </c>
      <c r="AB464" s="9">
        <f t="shared" si="817"/>
        <v>0.4311014698391516</v>
      </c>
      <c r="AC464" s="4">
        <f t="shared" si="818"/>
        <v>1009.2317841390015</v>
      </c>
      <c r="AD464" s="6">
        <f t="shared" si="819"/>
        <v>5.5184635682780036E-6</v>
      </c>
      <c r="AE464" s="8">
        <f t="shared" si="820"/>
        <v>27.495165517598515</v>
      </c>
      <c r="AF464" s="7">
        <f t="shared" si="821"/>
        <v>1.3811023155303748E-2</v>
      </c>
      <c r="AG464" s="9">
        <f t="shared" si="822"/>
        <v>0.43158790450352419</v>
      </c>
      <c r="AH464" s="4">
        <f t="shared" si="823"/>
        <v>1005.9349095241596</v>
      </c>
      <c r="AI464" s="6">
        <f t="shared" si="824"/>
        <v>5.5118698190483194E-6</v>
      </c>
      <c r="AJ464" s="8">
        <f t="shared" si="825"/>
        <v>27.457251459527832</v>
      </c>
      <c r="AK464" s="7">
        <f t="shared" si="826"/>
        <v>1.3794521021663703E-2</v>
      </c>
      <c r="AL464" s="9">
        <f t="shared" si="827"/>
        <v>0.43218385814069249</v>
      </c>
      <c r="AM464" s="4">
        <f t="shared" si="828"/>
        <v>1002.0387230756805</v>
      </c>
      <c r="AN464" s="6">
        <f t="shared" si="829"/>
        <v>5.5040774461513623E-6</v>
      </c>
      <c r="AO464" s="8">
        <f t="shared" si="830"/>
        <v>27.412445315370327</v>
      </c>
      <c r="AP464" s="7">
        <f t="shared" si="831"/>
        <v>1.377501910030768E-2</v>
      </c>
      <c r="AQ464" s="9">
        <f t="shared" si="832"/>
        <v>0.4328902705759064</v>
      </c>
      <c r="AR464" s="4">
        <f t="shared" si="833"/>
        <v>997.5428650638969</v>
      </c>
      <c r="AS464" s="6">
        <f t="shared" si="834"/>
        <v>5.4950857301277942E-6</v>
      </c>
      <c r="AT464" s="8">
        <f t="shared" si="835"/>
        <v>27.360742948234815</v>
      </c>
      <c r="AU464" s="7">
        <f t="shared" si="836"/>
        <v>1.3752515590649435E-2</v>
      </c>
      <c r="AV464" s="9">
        <f t="shared" si="837"/>
        <v>0.43370828387843446</v>
      </c>
      <c r="AW464" s="4">
        <f t="shared" si="838"/>
        <v>992.44582708453197</v>
      </c>
      <c r="AX464" s="6">
        <f t="shared" si="839"/>
        <v>5.4848916541690646E-6</v>
      </c>
      <c r="AY464" s="8">
        <f t="shared" si="840"/>
        <v>27.302127011472116</v>
      </c>
      <c r="AZ464" s="7">
        <f t="shared" si="841"/>
        <v>1.372700294254168E-2</v>
      </c>
      <c r="BA464" s="9">
        <f t="shared" si="842"/>
        <v>0.43463942808308176</v>
      </c>
      <c r="BB464" s="4">
        <f t="shared" si="843"/>
        <v>986.74101765580872</v>
      </c>
      <c r="BC464" s="6">
        <f t="shared" si="844"/>
        <v>5.4734820353116178E-6</v>
      </c>
      <c r="BD464" s="8">
        <f t="shared" si="845"/>
        <v>27.236521703041799</v>
      </c>
      <c r="BE464" s="7">
        <f t="shared" si="846"/>
        <v>1.3698448163066611E-2</v>
      </c>
      <c r="BF464" s="9">
        <f t="shared" si="847"/>
        <v>0.43568635522180604</v>
      </c>
      <c r="BG464" s="4">
        <f t="shared" si="848"/>
        <v>980.40177154409196</v>
      </c>
      <c r="BH464" s="6">
        <f t="shared" si="849"/>
        <v>5.4608035430881847E-6</v>
      </c>
      <c r="BI464" s="8">
        <f t="shared" si="850"/>
        <v>27.163620372757059</v>
      </c>
      <c r="BJ464" s="7">
        <f t="shared" si="851"/>
        <v>1.3666717782407994E-2</v>
      </c>
      <c r="BK464" s="9">
        <f t="shared" si="852"/>
        <v>0.43685564394130361</v>
      </c>
      <c r="BL464" s="4">
        <f t="shared" si="853"/>
        <v>973.32975485878922</v>
      </c>
      <c r="BM464" s="6">
        <f t="shared" si="854"/>
        <v>5.4466595097175786E-6</v>
      </c>
      <c r="BN464" s="8">
        <f t="shared" si="855"/>
        <v>27.082292180876074</v>
      </c>
      <c r="BO464" s="7">
        <f t="shared" si="856"/>
        <v>1.3631319601379177E-2</v>
      </c>
      <c r="BP464" s="9">
        <f t="shared" si="857"/>
        <v>0.43816752254439462</v>
      </c>
      <c r="BQ464" s="4">
        <f t="shared" si="858"/>
        <v>965.19787807979787</v>
      </c>
      <c r="BR464" s="6">
        <f t="shared" si="859"/>
        <v>5.4303957561595962E-6</v>
      </c>
      <c r="BS464" s="8">
        <f t="shared" si="860"/>
        <v>26.988775597917673</v>
      </c>
      <c r="BT464" s="7">
        <f t="shared" si="861"/>
        <v>1.359061641031842E-2</v>
      </c>
      <c r="BU464" s="9">
        <f t="shared" si="862"/>
        <v>0.43968578073002573</v>
      </c>
      <c r="BV464" s="4">
        <f t="shared" si="863"/>
        <v>955.03710346059779</v>
      </c>
      <c r="BW464" s="6">
        <f t="shared" si="864"/>
        <v>5.4100742069211965E-6</v>
      </c>
      <c r="BX464" s="8">
        <f t="shared" si="865"/>
        <v>26.871926689796872</v>
      </c>
      <c r="BY464" s="7">
        <f t="shared" si="866"/>
        <v>1.3539757800197928E-2</v>
      </c>
      <c r="BZ464" s="9">
        <f t="shared" si="867"/>
        <v>0.44159769437833335</v>
      </c>
      <c r="CA464" s="4">
        <f t="shared" si="868"/>
        <v>940.3315624037881</v>
      </c>
      <c r="CB464" s="6">
        <f t="shared" si="869"/>
        <v>5.3806631248075761E-6</v>
      </c>
      <c r="CC464" s="8">
        <f t="shared" si="870"/>
        <v>26.70281296764356</v>
      </c>
      <c r="CD464" s="7">
        <f t="shared" si="871"/>
        <v>1.346615087481589E-2</v>
      </c>
      <c r="CE464" s="9">
        <f t="shared" si="872"/>
        <v>0.44439441208298613</v>
      </c>
      <c r="CF464" s="4">
        <f t="shared" si="873"/>
        <v>915.48167687816431</v>
      </c>
      <c r="CG464" s="6">
        <f t="shared" si="874"/>
        <v>5.3309633537563291E-6</v>
      </c>
      <c r="CH464" s="8">
        <f t="shared" si="875"/>
        <v>26.417039284098891</v>
      </c>
      <c r="CI464" s="7">
        <f t="shared" si="876"/>
        <v>1.3341767578576016E-2</v>
      </c>
      <c r="CJ464" s="9">
        <f t="shared" si="877"/>
        <v>0.449201772465876</v>
      </c>
      <c r="CK464" s="4">
        <f t="shared" si="878"/>
        <v>870.1543216506326</v>
      </c>
      <c r="CL464" s="6">
        <f t="shared" si="879"/>
        <v>5.2403086433012656E-6</v>
      </c>
      <c r="CM464" s="8">
        <f t="shared" si="880"/>
        <v>25.895774698982272</v>
      </c>
      <c r="CN464" s="7">
        <f t="shared" si="881"/>
        <v>1.3114886619819787E-2</v>
      </c>
      <c r="CO464" s="9">
        <f t="shared" si="882"/>
        <v>0.45824390301728513</v>
      </c>
      <c r="CP464" s="4">
        <f t="shared" si="883"/>
        <v>789.54689159692862</v>
      </c>
      <c r="CQ464" s="6">
        <f t="shared" si="884"/>
        <v>5.0790937831938581E-6</v>
      </c>
      <c r="CR464" s="8">
        <f t="shared" si="885"/>
        <v>24.968789253364676</v>
      </c>
      <c r="CS464" s="7">
        <f t="shared" si="886"/>
        <v>1.271141522993486E-2</v>
      </c>
      <c r="CT464" s="9">
        <f t="shared" si="887"/>
        <v>0.47525655927104332</v>
      </c>
      <c r="CU464" s="4">
        <f t="shared" si="888"/>
        <v>660.5358502143132</v>
      </c>
      <c r="CV464" s="6">
        <f t="shared" si="889"/>
        <v>4.8210717004286263E-6</v>
      </c>
      <c r="CW464" s="8">
        <f t="shared" si="890"/>
        <v>31.79440127699209</v>
      </c>
      <c r="CX464" s="7">
        <f t="shared" si="891"/>
        <v>1.2065665028713127E-2</v>
      </c>
      <c r="CY464" s="9">
        <f t="shared" si="892"/>
        <v>0.37322863124034072</v>
      </c>
      <c r="CZ464" s="5">
        <f t="shared" si="893"/>
        <v>488.76781654977032</v>
      </c>
      <c r="DA464" s="6">
        <f t="shared" si="894"/>
        <v>7.3828798060052828E-6</v>
      </c>
      <c r="DB464" s="8">
        <f t="shared" si="895"/>
        <v>39.320733320056661</v>
      </c>
      <c r="DC464" s="7">
        <f t="shared" si="896"/>
        <v>1.8477085640230269E-2</v>
      </c>
      <c r="DD464" s="9">
        <f t="shared" si="897"/>
        <v>0.30178940899011697</v>
      </c>
    </row>
    <row r="465" spans="2:108" x14ac:dyDescent="0.25">
      <c r="B465">
        <v>198</v>
      </c>
      <c r="C465">
        <f t="shared" si="911"/>
        <v>0.1935677039363598</v>
      </c>
      <c r="D465" s="4">
        <f t="shared" si="806"/>
        <v>1016.7446255786291</v>
      </c>
      <c r="E465" s="6">
        <f t="shared" si="900"/>
        <v>5.533489251157259E-6</v>
      </c>
      <c r="F465" s="8">
        <f t="shared" si="807"/>
        <v>27.581563194154235</v>
      </c>
      <c r="G465" s="7">
        <f t="shared" si="898"/>
        <v>1.3848627834867556E-2</v>
      </c>
      <c r="H465" s="9">
        <f t="shared" si="808"/>
        <v>0.43023597996189561</v>
      </c>
      <c r="I465" s="4">
        <f t="shared" si="809"/>
        <v>1016.41993616115</v>
      </c>
      <c r="J465" s="6">
        <f t="shared" si="901"/>
        <v>5.5328398723223007E-6</v>
      </c>
      <c r="K465" s="8">
        <f t="shared" si="810"/>
        <v>27.577829265853225</v>
      </c>
      <c r="L465" s="7">
        <f t="shared" si="902"/>
        <v>1.3847002638648499E-2</v>
      </c>
      <c r="M465" s="9">
        <f t="shared" si="811"/>
        <v>0.43029423220090274</v>
      </c>
      <c r="N465" s="4">
        <f t="shared" si="812"/>
        <v>1015.5136789996239</v>
      </c>
      <c r="O465" s="6">
        <f t="shared" si="903"/>
        <v>5.5310273579992483E-6</v>
      </c>
      <c r="P465" s="8">
        <f t="shared" si="904"/>
        <v>27.567407308495675</v>
      </c>
      <c r="Q465" s="7">
        <f t="shared" si="899"/>
        <v>1.3848627834867556E-2</v>
      </c>
      <c r="R465" s="9">
        <f t="shared" si="813"/>
        <v>0.43045690648104135</v>
      </c>
      <c r="S465" s="4">
        <f t="shared" si="814"/>
        <v>1014.0119715981019</v>
      </c>
      <c r="T465" s="6">
        <f t="shared" si="905"/>
        <v>5.5280239431962046E-6</v>
      </c>
      <c r="U465" s="8">
        <f t="shared" si="906"/>
        <v>27.55013767337817</v>
      </c>
      <c r="V465" s="7">
        <f t="shared" si="907"/>
        <v>1.3834949843907375E-2</v>
      </c>
      <c r="W465" s="9">
        <f t="shared" si="815"/>
        <v>0.43072673575728199</v>
      </c>
      <c r="X465" s="4">
        <f t="shared" si="816"/>
        <v>1011.9129662854691</v>
      </c>
      <c r="Y465" s="6">
        <f t="shared" si="908"/>
        <v>5.5238259325709392E-6</v>
      </c>
      <c r="Z465" s="8">
        <f t="shared" si="909"/>
        <v>27.525999112282896</v>
      </c>
      <c r="AA465" s="7">
        <f t="shared" si="910"/>
        <v>1.3824443509810141E-2</v>
      </c>
      <c r="AB465" s="9">
        <f t="shared" si="817"/>
        <v>0.43110445587505258</v>
      </c>
      <c r="AC465" s="4">
        <f t="shared" si="818"/>
        <v>1009.215214479517</v>
      </c>
      <c r="AD465" s="6">
        <f t="shared" si="819"/>
        <v>5.5184304289590338E-6</v>
      </c>
      <c r="AE465" s="8">
        <f t="shared" si="820"/>
        <v>27.494974966514445</v>
      </c>
      <c r="AF465" s="7">
        <f t="shared" si="821"/>
        <v>1.3810940217744047E-2</v>
      </c>
      <c r="AG465" s="9">
        <f t="shared" si="822"/>
        <v>0.43159089557891794</v>
      </c>
      <c r="AH465" s="4">
        <f t="shared" si="823"/>
        <v>1005.9183538862261</v>
      </c>
      <c r="AI465" s="6">
        <f t="shared" si="824"/>
        <v>5.5118367077724523E-6</v>
      </c>
      <c r="AJ465" s="8">
        <f t="shared" si="825"/>
        <v>27.457061069691598</v>
      </c>
      <c r="AK465" s="7">
        <f t="shared" si="826"/>
        <v>1.3794438154287296E-2</v>
      </c>
      <c r="AL465" s="9">
        <f t="shared" si="827"/>
        <v>0.43218685494409276</v>
      </c>
      <c r="AM465" s="4">
        <f t="shared" si="828"/>
        <v>1002.0221821192237</v>
      </c>
      <c r="AN465" s="6">
        <f t="shared" si="829"/>
        <v>5.5040443642384471E-6</v>
      </c>
      <c r="AO465" s="8">
        <f t="shared" si="830"/>
        <v>27.412255094371069</v>
      </c>
      <c r="AP465" s="7">
        <f t="shared" si="831"/>
        <v>1.3774936306417743E-2</v>
      </c>
      <c r="AQ465" s="9">
        <f t="shared" si="832"/>
        <v>0.43289327451774023</v>
      </c>
      <c r="AR465" s="4">
        <f t="shared" si="833"/>
        <v>997.52632500243021</v>
      </c>
      <c r="AS465" s="6">
        <f t="shared" si="834"/>
        <v>5.4950526500048612E-6</v>
      </c>
      <c r="AT465" s="8">
        <f t="shared" si="835"/>
        <v>27.360552737527946</v>
      </c>
      <c r="AU465" s="7">
        <f t="shared" si="836"/>
        <v>1.3752432801239275E-2</v>
      </c>
      <c r="AV465" s="9">
        <f t="shared" si="837"/>
        <v>0.43371129902071037</v>
      </c>
      <c r="AW465" s="4">
        <f t="shared" si="838"/>
        <v>992.42921587737123</v>
      </c>
      <c r="AX465" s="6">
        <f t="shared" si="839"/>
        <v>5.4848584317547422E-6</v>
      </c>
      <c r="AY465" s="8">
        <f t="shared" si="840"/>
        <v>27.301935982589768</v>
      </c>
      <c r="AZ465" s="7">
        <f t="shared" si="841"/>
        <v>1.3726919797019779E-2</v>
      </c>
      <c r="BA465" s="9">
        <f t="shared" si="842"/>
        <v>0.43464246921116234</v>
      </c>
      <c r="BB465" s="4">
        <f t="shared" si="843"/>
        <v>986.72404240512321</v>
      </c>
      <c r="BC465" s="6">
        <f t="shared" si="844"/>
        <v>5.4734480848102466E-6</v>
      </c>
      <c r="BD465" s="8">
        <f t="shared" si="845"/>
        <v>27.236326487658914</v>
      </c>
      <c r="BE465" s="7">
        <f t="shared" si="846"/>
        <v>1.3698363195365951E-2</v>
      </c>
      <c r="BF465" s="9">
        <f t="shared" si="847"/>
        <v>0.43568947798796509</v>
      </c>
      <c r="BG465" s="4">
        <f t="shared" si="848"/>
        <v>980.3833832253315</v>
      </c>
      <c r="BH465" s="6">
        <f t="shared" si="849"/>
        <v>5.4607667664506633E-6</v>
      </c>
      <c r="BI465" s="8">
        <f t="shared" si="850"/>
        <v>27.163408907091309</v>
      </c>
      <c r="BJ465" s="7">
        <f t="shared" si="851"/>
        <v>1.366662574175463E-2</v>
      </c>
      <c r="BK465" s="9">
        <f t="shared" si="852"/>
        <v>0.43685904483880872</v>
      </c>
      <c r="BL465" s="4">
        <f t="shared" si="853"/>
        <v>973.30661240080872</v>
      </c>
      <c r="BM465" s="6">
        <f t="shared" si="854"/>
        <v>5.4466132248016178E-6</v>
      </c>
      <c r="BN465" s="8">
        <f t="shared" si="855"/>
        <v>27.0820260426093</v>
      </c>
      <c r="BO465" s="7">
        <f t="shared" si="856"/>
        <v>1.3631203764418733E-2</v>
      </c>
      <c r="BP465" s="9">
        <f t="shared" si="857"/>
        <v>0.43817182846836139</v>
      </c>
      <c r="BQ465" s="4">
        <f t="shared" si="858"/>
        <v>965.16063134228239</v>
      </c>
      <c r="BR465" s="6">
        <f t="shared" si="859"/>
        <v>5.430321262684565E-6</v>
      </c>
      <c r="BS465" s="8">
        <f t="shared" si="860"/>
        <v>26.988347260436246</v>
      </c>
      <c r="BT465" s="7">
        <f t="shared" si="861"/>
        <v>1.3590429975979252E-2</v>
      </c>
      <c r="BU465" s="9">
        <f t="shared" si="862"/>
        <v>0.43969275907138616</v>
      </c>
      <c r="BV465" s="4">
        <f t="shared" si="863"/>
        <v>954.96326870478617</v>
      </c>
      <c r="BW465" s="6">
        <f t="shared" si="864"/>
        <v>5.4099265374095731E-6</v>
      </c>
      <c r="BX465" s="8">
        <f t="shared" si="865"/>
        <v>26.871077590105038</v>
      </c>
      <c r="BY465" s="7">
        <f t="shared" si="866"/>
        <v>1.3539388228664273E-2</v>
      </c>
      <c r="BZ465" s="9">
        <f t="shared" si="867"/>
        <v>0.44161164843227685</v>
      </c>
      <c r="CA465" s="4">
        <f t="shared" si="868"/>
        <v>940.17636230979781</v>
      </c>
      <c r="CB465" s="6">
        <f t="shared" si="869"/>
        <v>5.3803527246195955E-6</v>
      </c>
      <c r="CC465" s="8">
        <f t="shared" si="870"/>
        <v>26.701028166562672</v>
      </c>
      <c r="CD465" s="7">
        <f t="shared" si="871"/>
        <v>1.34653740382688E-2</v>
      </c>
      <c r="CE465" s="9">
        <f t="shared" si="872"/>
        <v>0.44442411714235985</v>
      </c>
      <c r="CF465" s="4">
        <f t="shared" si="873"/>
        <v>915.17641000190474</v>
      </c>
      <c r="CG465" s="6">
        <f t="shared" si="874"/>
        <v>5.3303528200038102E-6</v>
      </c>
      <c r="CH465" s="8">
        <f t="shared" si="875"/>
        <v>26.413528715021904</v>
      </c>
      <c r="CI465" s="7">
        <f t="shared" si="876"/>
        <v>1.3340239599694067E-2</v>
      </c>
      <c r="CJ465" s="9">
        <f t="shared" si="877"/>
        <v>0.44926147497169266</v>
      </c>
      <c r="CK465" s="4">
        <f t="shared" si="878"/>
        <v>869.63426522848613</v>
      </c>
      <c r="CL465" s="6">
        <f t="shared" si="879"/>
        <v>5.2392685304569725E-6</v>
      </c>
      <c r="CM465" s="8">
        <f t="shared" si="880"/>
        <v>25.889794050127591</v>
      </c>
      <c r="CN465" s="7">
        <f t="shared" si="881"/>
        <v>1.3112283536117425E-2</v>
      </c>
      <c r="CO465" s="9">
        <f t="shared" si="882"/>
        <v>0.45834975924265481</v>
      </c>
      <c r="CP465" s="4">
        <f t="shared" si="883"/>
        <v>788.83586036457075</v>
      </c>
      <c r="CQ465" s="6">
        <f t="shared" si="884"/>
        <v>5.0776717207291416E-6</v>
      </c>
      <c r="CR465" s="8">
        <f t="shared" si="885"/>
        <v>24.960612394192562</v>
      </c>
      <c r="CS465" s="7">
        <f t="shared" si="886"/>
        <v>1.2707856243382627E-2</v>
      </c>
      <c r="CT465" s="9">
        <f t="shared" si="887"/>
        <v>0.47541224879878452</v>
      </c>
      <c r="CU465" s="4">
        <f t="shared" si="888"/>
        <v>659.89191478597616</v>
      </c>
      <c r="CV465" s="6">
        <f t="shared" si="889"/>
        <v>4.8197838295719527E-6</v>
      </c>
      <c r="CW465" s="8">
        <f t="shared" si="890"/>
        <v>31.923703511002117</v>
      </c>
      <c r="CX465" s="7">
        <f t="shared" si="891"/>
        <v>1.2062441882632249E-2</v>
      </c>
      <c r="CY465" s="9">
        <f t="shared" si="892"/>
        <v>0.37171692393485067</v>
      </c>
      <c r="CZ465" s="5">
        <f t="shared" si="893"/>
        <v>488.74548434325322</v>
      </c>
      <c r="DA465" s="6">
        <f t="shared" si="894"/>
        <v>7.3832124437908969E-6</v>
      </c>
      <c r="DB465" s="8">
        <f t="shared" si="895"/>
        <v>39.321380954045651</v>
      </c>
      <c r="DC465" s="7">
        <f t="shared" si="896"/>
        <v>1.847791813066943E-2</v>
      </c>
      <c r="DD465" s="9">
        <f t="shared" si="897"/>
        <v>0.3017844384353186</v>
      </c>
    </row>
    <row r="466" spans="2:108" x14ac:dyDescent="0.25">
      <c r="B466">
        <v>199</v>
      </c>
      <c r="C466">
        <f t="shared" si="911"/>
        <v>0.19454531860270505</v>
      </c>
      <c r="D466" s="4">
        <f t="shared" ref="D466:D494" si="912">D465+(4*$H$7*(I465-D465))</f>
        <v>1016.7280485771947</v>
      </c>
      <c r="E466" s="6">
        <f t="shared" si="900"/>
        <v>5.5334560971543895E-6</v>
      </c>
      <c r="F466" s="8">
        <f t="shared" ref="F466:F494" si="913">IF($D466&lt;650,(53.495-(0.029*D466)),IF(D466&lt;700,((0.00000000000000006*(D466^2))-(0.2008*D466) + 164.43),IF(D466&lt;1250,((0.0115*D466)+ 15.889))))</f>
        <v>27.581372558637739</v>
      </c>
      <c r="G466" s="7">
        <f t="shared" si="898"/>
        <v>1.3848544860558556E-2</v>
      </c>
      <c r="H466" s="9">
        <f t="shared" ref="H466:H494" si="914">($C$263*$D$6)/F466</f>
        <v>0.43023895364487968</v>
      </c>
      <c r="I466" s="4">
        <f t="shared" ref="I466:I494" si="915">I465+(G466*(D465+N465-(2*I465))+((G466/(2*$I$18))*(N465-D465)))</f>
        <v>1016.4033588846969</v>
      </c>
      <c r="J466" s="6">
        <f t="shared" si="901"/>
        <v>5.5328067177693942E-6</v>
      </c>
      <c r="K466" s="8">
        <f t="shared" ref="K466:K494" si="916">IF($I466&lt;650,(53.495-(0.029*I466)),IF(I466&lt;700,((0.00000000000000006*(I466^2))-(0.2008*I466) + 164.43),IF(I466&lt;1250,((0.0115*I466)+ 15.889))))</f>
        <v>27.577638627174014</v>
      </c>
      <c r="L466" s="7">
        <f t="shared" si="902"/>
        <v>1.3846919662962923E-2</v>
      </c>
      <c r="M466" s="9">
        <f t="shared" ref="M466:M494" si="917">($C$263*$D$6)/K466</f>
        <v>0.43029720673854199</v>
      </c>
      <c r="N466" s="4">
        <f t="shared" ref="N466:N494" si="918">N465+(L466*(I465+S465-(2*N465))+((L466/(2*N$18))*(S465-I465)))</f>
        <v>1015.4970981250235</v>
      </c>
      <c r="O466" s="6">
        <f t="shared" si="903"/>
        <v>5.5309941962500473E-6</v>
      </c>
      <c r="P466" s="8">
        <f t="shared" si="904"/>
        <v>27.56721662843777</v>
      </c>
      <c r="Q466" s="7">
        <f t="shared" si="899"/>
        <v>1.3848544860558556E-2</v>
      </c>
      <c r="R466" s="9">
        <f t="shared" ref="R466:R494" si="919">($C$263*$D$6)/P466</f>
        <v>0.43045988391430784</v>
      </c>
      <c r="S466" s="4">
        <f t="shared" ref="S466:S494" si="920">S465+(Q466*(N465+X465-(2*S465))+((Q466/(2*S$18))*(X465-N465)))</f>
        <v>1013.9953891192595</v>
      </c>
      <c r="T466" s="6">
        <f t="shared" si="905"/>
        <v>5.527990778238519E-6</v>
      </c>
      <c r="U466" s="8">
        <f t="shared" si="906"/>
        <v>27.549946974871482</v>
      </c>
      <c r="V466" s="7">
        <f t="shared" si="907"/>
        <v>1.3834866842181829E-2</v>
      </c>
      <c r="W466" s="9">
        <f t="shared" ref="W466:W494" si="921">($C$263*$D$6)/U466</f>
        <v>0.43072971721294051</v>
      </c>
      <c r="X466" s="4">
        <f t="shared" ref="X466:X494" si="922">X465+(V466*(S465+AC465-(2*X465))+((V466/(2*X$18))*(AC465-S465)))</f>
        <v>1011.8963873954606</v>
      </c>
      <c r="Y466" s="6">
        <f t="shared" si="908"/>
        <v>5.523792774790921E-6</v>
      </c>
      <c r="Z466" s="8">
        <f t="shared" si="909"/>
        <v>27.525808455047795</v>
      </c>
      <c r="AA466" s="7">
        <f t="shared" si="910"/>
        <v>1.3824360526048095E-2</v>
      </c>
      <c r="AB466" s="9">
        <f t="shared" ref="AB466:AB494" si="923">($C$263*$D$6)/Z466</f>
        <v>0.43110744191572536</v>
      </c>
      <c r="AC466" s="4">
        <f t="shared" ref="AC466:AC494" si="924">AC465+(AA466*(X465+AH465-(2*AC465))+((AA466/(2*AC$18))*(AH465-X465)))</f>
        <v>1009.1986450153445</v>
      </c>
      <c r="AD466" s="6">
        <f t="shared" ref="AD466:AD494" si="925">IF(AC466&gt;=650,((0.00002*AC466)+0.035)/10000,IF(AC466&lt;650,((-0.0000000000003*(AC466^4))+(0.0000000004*(AC466^3))-(0.0000002*(AC466^2))-(0.0001*AC466)+0.1409)/10000))</f>
        <v>5.5183972900306894E-6</v>
      </c>
      <c r="AE466" s="8">
        <f t="shared" ref="AE466:AE494" si="926">IF(AC466&lt;650,(53.495-(0.029*AC466)),IF(AC466&lt;700,((0.00000000000000006*(AC466^2))-(0.2008*AC466) + 164.43),IF(AC466&lt;1250,((0.0115*AC466)+ 15.889))))</f>
        <v>27.494784417676463</v>
      </c>
      <c r="AF466" s="7">
        <f t="shared" ref="AF466:AF494" si="927">(AD466*$M$8)/($D$6^2)</f>
        <v>1.3810857281161965E-2</v>
      </c>
      <c r="AG466" s="9">
        <f t="shared" ref="AG466:AG494" si="928">($C$263*$D$6)/AE466</f>
        <v>0.43159388666051313</v>
      </c>
      <c r="AH466" s="4">
        <f t="shared" ref="AH466:AH494" si="929">AH465+(AF466*(AC465+AM465-(2*AH465))+((AF466/(2*AH$18))*(AM465-AC465)))</f>
        <v>1005.9017983898601</v>
      </c>
      <c r="AI466" s="6">
        <f t="shared" ref="AI466:AI494" si="930">IF(AH466&gt;=650,((0.00002*AH466)+0.035)/10000,IF(AH466&lt;650,((-0.0000000000003*(AH466^4))+(0.0000000004*(AH466^3))-(0.0000002*(AH466^2))-(0.0001*AH466)+0.1409)/10000))</f>
        <v>5.5118035967797203E-6</v>
      </c>
      <c r="AJ466" s="8">
        <f t="shared" ref="AJ466:AJ494" si="931">IF(AH466&lt;650,(53.495-(0.029*AH466)),IF(AH466&lt;700,((0.00000000000000006*(AH466^2))-(0.2008*AH466) + 164.43),IF(AH466&lt;1250,((0.0115*AH466)+ 15.889))))</f>
        <v>27.456870681483391</v>
      </c>
      <c r="AK466" s="7">
        <f t="shared" ref="AK466:AK494" si="932">(AI466*$M$8)/($D$6^2)</f>
        <v>1.3794355287619488E-2</v>
      </c>
      <c r="AL466" s="9">
        <f t="shared" ref="AL466:AL494" si="933">($C$263*$D$6)/AJ466</f>
        <v>0.43218985176342722</v>
      </c>
      <c r="AM466" s="4">
        <f t="shared" ref="AM466:AM494" si="934">AM465+(AK466*(AH465+AR465-(2*AM465))+((AK466/(2*AM$18))*(AR465-AH465)))</f>
        <v>1002.0056410873045</v>
      </c>
      <c r="AN466" s="6">
        <f t="shared" ref="AN466:AN494" si="935">IF(AM466&gt;=650,((0.00002*AM466)+0.035)/10000,IF(AM466&lt;650,((-0.0000000000003*(AM466^4))+(0.0000000004*(AM466^3))-(0.0000002*(AM466^2))-(0.0001*AM466)+0.1409)/10000))</f>
        <v>5.5040112821746093E-6</v>
      </c>
      <c r="AO466" s="8">
        <f t="shared" ref="AO466:AO494" si="936">IF(AM466&lt;650,(53.495-(0.029*AM466)),IF(AM466&lt;700,((0.00000000000000006*(AM466^2))-(0.2008*AM466) + 164.43),IF(AM466&lt;1250,((0.0115*AM466)+ 15.889))))</f>
        <v>27.412064872504001</v>
      </c>
      <c r="AP466" s="7">
        <f t="shared" ref="AP466:AP494" si="937">(AN466*$M$8)/($D$6^2)</f>
        <v>1.3774853512150093E-2</v>
      </c>
      <c r="AQ466" s="9">
        <f t="shared" ref="AQ466:AQ494" si="938">($C$263*$D$6)/AO466</f>
        <v>0.43289627851496931</v>
      </c>
      <c r="AR466" s="4">
        <f t="shared" ref="AR466:AR494" si="939">AR465+(AP466*(AM465+AW465-(2*AR465))+((AP466/(2*AR$18))*(AW465-AM465)))</f>
        <v>997.50978398754694</v>
      </c>
      <c r="AS466" s="6">
        <f t="shared" ref="AS466:AS494" si="940">IF(AR466&gt;=650,((0.00002*AR466)+0.035)/10000,IF(AR466&lt;650,((-0.0000000000003*(AR466^4))+(0.0000000004*(AR466^3))-(0.0000002*(AR466^2))-(0.0001*AR466)+0.1409)/10000))</f>
        <v>5.4950195679750944E-6</v>
      </c>
      <c r="AT466" s="8">
        <f t="shared" ref="AT466:AT494" si="941">IF(AR466&lt;650,(53.495-(0.029*AR466)),IF(AR466&lt;700,((0.00000000000000006*(AR466^2))-(0.2008*AR466) + 164.43),IF(AR466&lt;1250,((0.0115*AR466)+ 15.889))))</f>
        <v>27.360362515856789</v>
      </c>
      <c r="AU466" s="7">
        <f t="shared" ref="AU466:AU494" si="942">(AS466*$M$8)/($D$6^2)</f>
        <v>1.3752350007056895E-2</v>
      </c>
      <c r="AV466" s="9">
        <f t="shared" ref="AV466:AV494" si="943">($C$263*$D$6)/AT466</f>
        <v>0.43371431437871416</v>
      </c>
      <c r="AW466" s="4">
        <f t="shared" ref="AW466:AW494" si="944">AW465+(AU466*(AR465+BB465-(2*AW465))+((AU466/(2*AW$18))*(BB465-AR465)))</f>
        <v>992.41260040968893</v>
      </c>
      <c r="AX466" s="6">
        <f t="shared" ref="AX466:AX494" si="945">IF(AW466&gt;=650,((0.00002*AW466)+0.035)/10000,IF(AW466&lt;650,((-0.0000000000003*(AW466^4))+(0.0000000004*(AW466^3))-(0.0000002*(AW466^2))-(0.0001*AW466)+0.1409)/10000))</f>
        <v>5.4848252008193777E-6</v>
      </c>
      <c r="AY466" s="8">
        <f t="shared" ref="AY466:AY494" si="946">IF(AW466&lt;650,(53.495-(0.029*AW466)),IF(AW466&lt;700,((0.00000000000000006*(AW466^2))-(0.2008*AW466) + 164.43),IF(AW466&lt;1250,((0.0115*AW466)+ 15.889))))</f>
        <v>27.30174490471142</v>
      </c>
      <c r="AZ466" s="7">
        <f t="shared" ref="AZ466:AZ494" si="947">(AX466*$M$8)/($D$6^2)</f>
        <v>1.372683663017232E-2</v>
      </c>
      <c r="BA466" s="9">
        <f t="shared" ref="BA466:BA494" si="948">($C$263*$D$6)/AY466</f>
        <v>0.4346455111618196</v>
      </c>
      <c r="BB466" s="4">
        <f t="shared" ref="BB466:BB494" si="949">BB465+(AZ466*(AW465+BG465-(2*BB465))+((AZ466/(2*BB$18))*(BG465-AW465)))</f>
        <v>986.70705163779053</v>
      </c>
      <c r="BC466" s="6">
        <f t="shared" ref="BC466:BC494" si="950">IF(BB466&gt;=650,((0.00002*BB466)+0.035)/10000,IF(BB466&lt;650,((-0.0000000000003*(BB466^4))+(0.0000000004*(BB466^3))-(0.0000002*(BB466^2))-(0.0001*BB466)+0.1409)/10000))</f>
        <v>5.4734141032755813E-6</v>
      </c>
      <c r="BD466" s="8">
        <f t="shared" ref="BD466:BD494" si="951">IF(BB466&lt;650,(53.495-(0.029*BB466)),IF(BB466&lt;700,((0.00000000000000006*(BB466^2))-(0.2008*BB466) + 164.43),IF(BB466&lt;1250,((0.0115*BB466)+ 15.889))))</f>
        <v>27.23613109383459</v>
      </c>
      <c r="BE466" s="7">
        <f t="shared" ref="BE466:BE494" si="952">(BC466*$M$8)/($D$6^2)</f>
        <v>1.3698278149998466E-2</v>
      </c>
      <c r="BF466" s="9">
        <f t="shared" ref="BF466:BF494" si="953">($C$263*$D$6)/BD466</f>
        <v>0.43569260365339196</v>
      </c>
      <c r="BG466" s="4">
        <f t="shared" ref="BG466:BG494" si="954">BG465+(BE466*(BB465+BL465-(2*BG465))+((BE466/(2*BG$18))*(BL465-BB465)))</f>
        <v>980.36494541380625</v>
      </c>
      <c r="BH466" s="6">
        <f t="shared" ref="BH466:BH494" si="955">IF(BG466&gt;=650,((0.00002*BG466)+0.035)/10000,IF(BG466&lt;650,((-0.0000000000003*(BG466^4))+(0.0000000004*(BG466^3))-(0.0000002*(BG466^2))-(0.0001*BG466)+0.1409)/10000))</f>
        <v>5.4607298908276137E-6</v>
      </c>
      <c r="BI466" s="8">
        <f t="shared" ref="BI466:BI494" si="956">IF(BG466&lt;650,(53.495-(0.029*BG466)),IF(BG466&lt;700,((0.00000000000000006*(BG466^2))-(0.2008*BG466) + 164.43),IF(BG466&lt;1250,((0.0115*BG466)+ 15.889))))</f>
        <v>27.163196872258773</v>
      </c>
      <c r="BJ466" s="7">
        <f t="shared" ref="BJ466:BJ494" si="957">(BH466*$M$8)/($D$6^2)</f>
        <v>1.3666533453370827E-2</v>
      </c>
      <c r="BK466" s="9">
        <f t="shared" ref="BK466:BK494" si="958">($C$263*$D$6)/BI466</f>
        <v>0.43686245494310721</v>
      </c>
      <c r="BL466" s="4">
        <f t="shared" ref="BL466:BL494" si="959">BL465+(BJ466*(BG465+BQ465-(2*BL465))+((BJ466/(2*BL$18))*(BQ465-BG465)))</f>
        <v>973.28333157638281</v>
      </c>
      <c r="BM466" s="6">
        <f t="shared" ref="BM466:BM494" si="960">IF(BL466&gt;=650,((0.00002*BL466)+0.035)/10000,IF(BL466&lt;650,((-0.0000000000003*(BL466^4))+(0.0000000004*(BL466^3))-(0.0000002*(BL466^2))-(0.0001*BL466)+0.1409)/10000))</f>
        <v>5.4465666631527662E-6</v>
      </c>
      <c r="BN466" s="8">
        <f t="shared" ref="BN466:BN494" si="961">IF(BL466&lt;650,(53.495-(0.029*BL466)),IF(BL466&lt;700,((0.00000000000000006*(BL466^2))-(0.2008*BL466) + 164.43),IF(BL466&lt;1250,((0.0115*BL466)+ 15.889))))</f>
        <v>27.081758313128404</v>
      </c>
      <c r="BO466" s="7">
        <f t="shared" ref="BO466:BO494" si="962">(BM466*$M$8)/($D$6^2)</f>
        <v>1.3631087234880667E-2</v>
      </c>
      <c r="BP466" s="9">
        <f t="shared" ref="BP466:BP494" si="963">($C$263*$D$6)/BN466</f>
        <v>0.43817616022240863</v>
      </c>
      <c r="BQ466" s="4">
        <f t="shared" ref="BQ466:BQ494" si="964">BQ465+(BO466*(BL465+BV465-(2*BQ465))+((BO466/(2*BQ$18))*(BV465-BL465)))</f>
        <v>965.1230518687928</v>
      </c>
      <c r="BR466" s="6">
        <f t="shared" ref="BR466:BR494" si="965">IF(BQ466&gt;=650,((0.00002*BQ466)+0.035)/10000,IF(BQ466&lt;650,((-0.0000000000003*(BQ466^4))+(0.0000000004*(BQ466^3))-(0.0000002*(BQ466^2))-(0.0001*BQ466)+0.1409)/10000))</f>
        <v>5.4302461037375863E-6</v>
      </c>
      <c r="BS466" s="8">
        <f t="shared" ref="BS466:BS494" si="966">IF(BQ466&lt;650,(53.495-(0.029*BQ466)),IF(BQ466&lt;700,((0.00000000000000006*(BQ466^2))-(0.2008*BQ466) + 164.43),IF(BQ466&lt;1250,((0.0115*BQ466)+ 15.889))))</f>
        <v>26.987915096491115</v>
      </c>
      <c r="BT466" s="7">
        <f t="shared" ref="BT466:BT494" si="967">(BR466*$M$8)/($D$6^2)</f>
        <v>1.3590241876167735E-2</v>
      </c>
      <c r="BU466" s="9">
        <f t="shared" ref="BU466:BU494" si="968">($C$263*$D$6)/BS466</f>
        <v>0.43969979997679609</v>
      </c>
      <c r="BV466" s="4">
        <f t="shared" ref="BV466:BV494" si="969">BV465+(BT466*(BQ465+CA465-(2*BV465))+((BT466/(2*BV$18))*(CA465-BQ465)))</f>
        <v>954.8887691857617</v>
      </c>
      <c r="BW466" s="6">
        <f t="shared" ref="BW466:BW494" si="970">IF(BV466&gt;=650,((0.00002*BV466)+0.035)/10000,IF(BV466&lt;650,((-0.0000000000003*(BV466^4))+(0.0000000004*(BV466^3))-(0.0000002*(BV466^2))-(0.0001*BV466)+0.1409)/10000))</f>
        <v>5.4097775383715238E-6</v>
      </c>
      <c r="BX466" s="8">
        <f t="shared" ref="BX466:BX494" si="971">IF(BV466&lt;650,(53.495-(0.029*BV466)),IF(BV466&lt;700,((0.00000000000000006*(BV466^2))-(0.2008*BV466) + 164.43),IF(BV466&lt;1250,((0.0115*BV466)+ 15.889))))</f>
        <v>26.870220845636261</v>
      </c>
      <c r="BY466" s="7">
        <f t="shared" ref="BY466:BY494" si="972">(BW466*$M$8)/($D$6^2)</f>
        <v>1.3539015329733409E-2</v>
      </c>
      <c r="BZ466" s="9">
        <f t="shared" ref="BZ466:BZ494" si="973">($C$263*$D$6)/BX466</f>
        <v>0.44162572901387365</v>
      </c>
      <c r="CA466" s="4">
        <f t="shared" ref="CA466:CA494" si="974">CA465+(BY466*(BV465+CF465-(2*CA465))+((BY466/(2*CA$18))*(CF465-BV465)))</f>
        <v>940.02013189495642</v>
      </c>
      <c r="CB466" s="6">
        <f t="shared" ref="CB466:CB494" si="975">IF(CA466&gt;=650,((0.00002*CA466)+0.035)/10000,IF(CA466&lt;650,((-0.0000000000003*(CA466^4))+(0.0000000004*(CA466^3))-(0.0000002*(CA466^2))-(0.0001*CA466)+0.1409)/10000))</f>
        <v>5.3800402637899135E-6</v>
      </c>
      <c r="CC466" s="8">
        <f t="shared" ref="CC466:CC494" si="976">IF(CA466&lt;650,(53.495-(0.029*CA466)),IF(CA466&lt;700,((0.00000000000000006*(CA466^2))-(0.2008*CA466) + 164.43),IF(CA466&lt;1250,((0.0115*CA466)+ 15.889))))</f>
        <v>26.699231516791997</v>
      </c>
      <c r="CD466" s="7">
        <f t="shared" ref="CD466:CD494" si="977">(CB466*$M$8)/($D$6^2)</f>
        <v>1.3464592044567026E-2</v>
      </c>
      <c r="CE466" s="9">
        <f t="shared" ref="CE466:CE494" si="978">($C$263*$D$6)/CC466</f>
        <v>0.4444540234146675</v>
      </c>
      <c r="CF466" s="4">
        <f t="shared" ref="CF466:CF494" si="979">CF465+(CD466*(CA465+CK465-(2*CF465))+((CD466/(2*CF$18))*(CK465-CA465)))</f>
        <v>914.87013586818148</v>
      </c>
      <c r="CG466" s="6">
        <f t="shared" ref="CG466:CG494" si="980">IF(CF466&gt;=650,((0.00002*CF466)+0.035)/10000,IF(CF466&lt;650,((-0.0000000000003*(CF466^4))+(0.0000000004*(CF466^3))-(0.0000002*(CF466^2))-(0.0001*CF466)+0.1409)/10000))</f>
        <v>5.3297402717363631E-6</v>
      </c>
      <c r="CH466" s="8">
        <f t="shared" ref="CH466:CH494" si="981">IF(CF466&lt;650,(53.495-(0.029*CF466)),IF(CF466&lt;700,((0.00000000000000006*(CF466^2))-(0.2008*CF466) + 164.43),IF(CF466&lt;1250,((0.0115*CF466)+ 15.889))))</f>
        <v>26.410006562484085</v>
      </c>
      <c r="CI466" s="7">
        <f t="shared" ref="CI466:CI494" si="982">(CG466*$M$8)/($D$6^2)</f>
        <v>1.333870657909861E-2</v>
      </c>
      <c r="CJ466" s="9">
        <f t="shared" ref="CJ466:CJ494" si="983">($C$263*$D$6)/CH466</f>
        <v>0.44932139042231822</v>
      </c>
      <c r="CK466" s="4">
        <f t="shared" ref="CK466:CK494" si="984">CK465+(CI466*(CF465+CP465-(2*CK465))+((CI466/(2*CK$18))*(CP465-CF465)))</f>
        <v>869.11442704004332</v>
      </c>
      <c r="CL466" s="6">
        <f t="shared" ref="CL466:CL494" si="985">IF(CK466&gt;=650,((0.00002*CK466)+0.035)/10000,IF(CK466&lt;650,((-0.0000000000003*(CK466^4))+(0.0000000004*(CK466^3))-(0.0000002*(CK466^2))-(0.0001*CK466)+0.1409)/10000))</f>
        <v>5.2382288540800878E-6</v>
      </c>
      <c r="CM466" s="8">
        <f t="shared" ref="CM466:CM494" si="986">IF(CK466&lt;650,(53.495-(0.029*CK466)),IF(CK466&lt;700,((0.00000000000000006*(CK466^2))-(0.2008*CK466) + 164.43),IF(CK466&lt;1250,((0.0115*CK466)+ 15.889))))</f>
        <v>25.883815910960497</v>
      </c>
      <c r="CN466" s="7">
        <f t="shared" ref="CN466:CN494" si="987">(CL466*$M$8)/($D$6^2)</f>
        <v>1.3109681544759229E-2</v>
      </c>
      <c r="CO466" s="9">
        <f t="shared" ref="CO466:CO494" si="988">($C$263*$D$6)/CM466</f>
        <v>0.45845561993403749</v>
      </c>
      <c r="CP466" s="4">
        <f t="shared" ref="CP466:CP494" si="989">CP465+(CN466*(CK465+CU465-(2*CP465))+((CN466/(2*CP$18))*(CU465-CK465)))</f>
        <v>788.12830834075794</v>
      </c>
      <c r="CQ466" s="6">
        <f t="shared" ref="CQ466:CQ494" si="990">IF(CP466&gt;=650,((0.00002*CP466)+0.035)/10000,IF(CP466&lt;650,((-0.0000000000003*(CP466^4))+(0.0000000004*(CP466^3))-(0.0000002*(CP466^2))-(0.0001*CP466)+0.1409)/10000))</f>
        <v>5.076256616681517E-6</v>
      </c>
      <c r="CR466" s="8">
        <f t="shared" ref="CR466:CR494" si="991">IF(CP466&lt;650,(53.495-(0.029*CP466)),IF(CP466&lt;700,((0.00000000000000006*(CP466^2))-(0.2008*CP466) + 164.43),IF(CP466&lt;1250,((0.0115*CP466)+ 15.889))))</f>
        <v>24.952475545918716</v>
      </c>
      <c r="CS466" s="7">
        <f t="shared" ref="CS466:CS494" si="992">(CQ466*$M$8)/($D$6^2)</f>
        <v>1.2704314671615938E-2</v>
      </c>
      <c r="CT466" s="9">
        <f t="shared" ref="CT466:CT494" si="993">($C$263*$D$6)/CR466</f>
        <v>0.47556727779896868</v>
      </c>
      <c r="CU466" s="4">
        <f t="shared" ref="CU466:CU494" si="994">CU465+(CS466*(CP465+CZ465-(2*CU465))+((CS466/(2*CU$18))*(CZ465-CP465)))</f>
        <v>659.2554337023671</v>
      </c>
      <c r="CV466" s="6">
        <f t="shared" ref="CV466:CV494" si="995">IF(CU466&gt;=650,((0.00002*CU466)+0.035)/10000,IF(CU466&lt;650,((-0.0000000000003*(CU466^4))+(0.0000000004*(CU466^3))-(0.0000002*(CU466^2))-(0.0001*CU466)+0.1409)/10000))</f>
        <v>4.8185108674047346E-6</v>
      </c>
      <c r="CW466" s="8">
        <f t="shared" ref="CW466:CW494" si="996">IF(CU466&lt;650,(53.495-(0.029*CU466)),IF(CU466&lt;700,((0.00000000000000006*(CU466^2))-(0.2008*CU466) + 164.43),IF(CU466&lt;1250,((0.0115*CU466)+ 15.889))))</f>
        <v>32.051508912590776</v>
      </c>
      <c r="CX466" s="7">
        <f t="shared" ref="CX466:CX494" si="997">(CV466*$M$8)/($D$6^2)</f>
        <v>1.2059256048432249E-2</v>
      </c>
      <c r="CY466" s="9">
        <f t="shared" ref="CY466:CY494" si="998">($C$263*$D$6)/CW466</f>
        <v>0.37023470258700852</v>
      </c>
      <c r="CZ466" s="5">
        <f t="shared" ref="CZ466:CZ494" si="999">CZ465+((2*$CX466)*(CU465-CZ465))+((2*$CX466*$CY466)*($C$14-CZ465))+((($CX466*$CY466)/$C$5)*($C$14-CZ465))+(((CZ465-$C$14)*$CX466*($D$6^2))/($CW466*($D$4/(2*$C$8))))</f>
        <v>488.72497405686812</v>
      </c>
      <c r="DA466" s="6">
        <f t="shared" ref="DA466:DA494" si="1000">IF(CZ466&gt;=650,((0.00002*CZ466)+0.035)/10000,IF(CZ466&lt;650,((-0.0000000000003*(CZ466^4))+(0.0000000004*(CZ466^3))-(0.0000002*(CZ466^2))-(0.0001*CZ466)+0.1409)/10000))</f>
        <v>7.3835179402910092E-6</v>
      </c>
      <c r="DB466" s="8">
        <f t="shared" ref="DB466:DB494" si="1001">IF(CZ466&lt;650,(53.495-(0.029*CZ466)),IF(CZ466&lt;700,((0.00000000000000006*(CZ466^2))-(0.2008*CZ466) + 164.43),IF(CZ466&lt;1250,((0.0115*CZ466)+ 15.889))))</f>
        <v>39.321975752350824</v>
      </c>
      <c r="DC466" s="7">
        <f t="shared" ref="DC466:DC494" si="1002">(DA466*$M$8)/($D$6^2)</f>
        <v>1.8478682694788539E-2</v>
      </c>
      <c r="DD466" s="9">
        <f t="shared" ref="DD466:DD494" si="1003">($C$263*$D$6)/DB466</f>
        <v>0.30177987353568997</v>
      </c>
    </row>
    <row r="467" spans="2:108" x14ac:dyDescent="0.25">
      <c r="B467">
        <v>200</v>
      </c>
      <c r="C467">
        <f t="shared" si="911"/>
        <v>0.19552293326905029</v>
      </c>
      <c r="D467" s="4">
        <f t="shared" si="912"/>
        <v>1016.7114715617192</v>
      </c>
      <c r="E467" s="6">
        <f t="shared" si="900"/>
        <v>5.5334229431234391E-6</v>
      </c>
      <c r="F467" s="8">
        <f t="shared" si="913"/>
        <v>27.581181922959772</v>
      </c>
      <c r="G467" s="7">
        <f t="shared" si="898"/>
        <v>1.3848461886179277E-2</v>
      </c>
      <c r="H467" s="9">
        <f t="shared" si="914"/>
        <v>0.43024192737148953</v>
      </c>
      <c r="I467" s="4">
        <f t="shared" si="915"/>
        <v>1016.3867816347287</v>
      </c>
      <c r="J467" s="6">
        <f t="shared" si="901"/>
        <v>5.5327735632694578E-6</v>
      </c>
      <c r="K467" s="8">
        <f t="shared" si="916"/>
        <v>27.577447988799378</v>
      </c>
      <c r="L467" s="7">
        <f t="shared" si="902"/>
        <v>1.3846836687409917E-2</v>
      </c>
      <c r="M467" s="9">
        <f t="shared" si="917"/>
        <v>0.43030018131255393</v>
      </c>
      <c r="N467" s="4">
        <f t="shared" si="918"/>
        <v>1015.4805173593816</v>
      </c>
      <c r="O467" s="6">
        <f t="shared" si="903"/>
        <v>5.5309610347187633E-6</v>
      </c>
      <c r="P467" s="8">
        <f t="shared" si="904"/>
        <v>27.567025949632885</v>
      </c>
      <c r="Q467" s="7">
        <f t="shared" si="899"/>
        <v>1.3848461886179277E-2</v>
      </c>
      <c r="R467" s="9">
        <f t="shared" si="919"/>
        <v>0.43046286136919776</v>
      </c>
      <c r="S467" s="4">
        <f t="shared" si="920"/>
        <v>1013.9788068162686</v>
      </c>
      <c r="T467" s="6">
        <f t="shared" si="905"/>
        <v>5.5279576136325377E-6</v>
      </c>
      <c r="U467" s="8">
        <f t="shared" si="906"/>
        <v>27.549756278387086</v>
      </c>
      <c r="V467" s="7">
        <f t="shared" si="907"/>
        <v>1.3834783841336486E-2</v>
      </c>
      <c r="W467" s="9">
        <f t="shared" si="921"/>
        <v>0.43073269867825609</v>
      </c>
      <c r="X467" s="4">
        <f t="shared" si="922"/>
        <v>1011.8798087081759</v>
      </c>
      <c r="Y467" s="6">
        <f t="shared" si="908"/>
        <v>5.5237596174163522E-6</v>
      </c>
      <c r="Z467" s="8">
        <f t="shared" si="909"/>
        <v>27.525617800144023</v>
      </c>
      <c r="AA467" s="7">
        <f t="shared" si="910"/>
        <v>1.3824277543300763E-2</v>
      </c>
      <c r="AB467" s="9">
        <f t="shared" si="923"/>
        <v>0.43111042796125032</v>
      </c>
      <c r="AC467" s="4">
        <f t="shared" si="924"/>
        <v>1009.1820757457619</v>
      </c>
      <c r="AD467" s="6">
        <f t="shared" si="925"/>
        <v>5.5183641514915244E-6</v>
      </c>
      <c r="AE467" s="8">
        <f t="shared" si="926"/>
        <v>27.494593871076262</v>
      </c>
      <c r="AF467" s="7">
        <f t="shared" si="927"/>
        <v>1.3810774345553877E-2</v>
      </c>
      <c r="AG467" s="9">
        <f t="shared" si="928"/>
        <v>0.43159687774843963</v>
      </c>
      <c r="AH467" s="4">
        <f t="shared" si="929"/>
        <v>1005.8852430324931</v>
      </c>
      <c r="AI467" s="6">
        <f t="shared" si="930"/>
        <v>5.5117704860649871E-6</v>
      </c>
      <c r="AJ467" s="8">
        <f t="shared" si="931"/>
        <v>27.456680294873671</v>
      </c>
      <c r="AK467" s="7">
        <f t="shared" si="932"/>
        <v>1.3794272421647429E-2</v>
      </c>
      <c r="AL467" s="9">
        <f t="shared" si="933"/>
        <v>0.43219284859916079</v>
      </c>
      <c r="AM467" s="4">
        <f t="shared" si="934"/>
        <v>1001.9890999697284</v>
      </c>
      <c r="AN467" s="6">
        <f t="shared" si="935"/>
        <v>5.5039781999394573E-6</v>
      </c>
      <c r="AO467" s="8">
        <f t="shared" si="936"/>
        <v>27.411874649651878</v>
      </c>
      <c r="AP467" s="7">
        <f t="shared" si="937"/>
        <v>1.3774770717453696E-2</v>
      </c>
      <c r="AQ467" s="9">
        <f t="shared" si="938"/>
        <v>0.4328992825694466</v>
      </c>
      <c r="AR467" s="4">
        <f t="shared" si="939"/>
        <v>997.4932419821962</v>
      </c>
      <c r="AS467" s="6">
        <f t="shared" si="940"/>
        <v>5.4949864839643929E-6</v>
      </c>
      <c r="AT467" s="8">
        <f t="shared" si="941"/>
        <v>27.360172282795254</v>
      </c>
      <c r="AU467" s="7">
        <f t="shared" si="942"/>
        <v>1.375226720791684E-2</v>
      </c>
      <c r="AV467" s="9">
        <f t="shared" si="943"/>
        <v>0.43371732995920842</v>
      </c>
      <c r="AW467" s="4">
        <f t="shared" si="944"/>
        <v>992.39598056109992</v>
      </c>
      <c r="AX467" s="6">
        <f t="shared" si="945"/>
        <v>5.4847919611222001E-6</v>
      </c>
      <c r="AY467" s="8">
        <f t="shared" si="946"/>
        <v>27.30155377645265</v>
      </c>
      <c r="AZ467" s="7">
        <f t="shared" si="947"/>
        <v>1.3726753441396728E-2</v>
      </c>
      <c r="BA467" s="9">
        <f t="shared" si="948"/>
        <v>0.43464855395712754</v>
      </c>
      <c r="BB467" s="4">
        <f t="shared" si="949"/>
        <v>986.69004501111067</v>
      </c>
      <c r="BC467" s="6">
        <f t="shared" si="950"/>
        <v>5.4733800900222214E-6</v>
      </c>
      <c r="BD467" s="8">
        <f t="shared" si="951"/>
        <v>27.235935517627773</v>
      </c>
      <c r="BE467" s="7">
        <f t="shared" si="952"/>
        <v>1.3698193025248809E-2</v>
      </c>
      <c r="BF467" s="9">
        <f t="shared" si="953"/>
        <v>0.43569573228125585</v>
      </c>
      <c r="BG467" s="4">
        <f t="shared" si="954"/>
        <v>980.34645728175019</v>
      </c>
      <c r="BH467" s="6">
        <f t="shared" si="955"/>
        <v>5.4606929145635009E-6</v>
      </c>
      <c r="BI467" s="8">
        <f t="shared" si="956"/>
        <v>27.162984258740124</v>
      </c>
      <c r="BJ467" s="7">
        <f t="shared" si="957"/>
        <v>1.3666440913113281E-2</v>
      </c>
      <c r="BK467" s="9">
        <f t="shared" si="958"/>
        <v>0.43686587440772956</v>
      </c>
      <c r="BL467" s="4">
        <f t="shared" si="959"/>
        <v>973.2599107847725</v>
      </c>
      <c r="BM467" s="6">
        <f t="shared" si="960"/>
        <v>5.446519821569545E-6</v>
      </c>
      <c r="BN467" s="8">
        <f t="shared" si="961"/>
        <v>27.081488974024882</v>
      </c>
      <c r="BO467" s="7">
        <f t="shared" si="962"/>
        <v>1.3630970004752663E-2</v>
      </c>
      <c r="BP467" s="9">
        <f t="shared" si="963"/>
        <v>0.43818051810591691</v>
      </c>
      <c r="BQ467" s="4">
        <f t="shared" si="964"/>
        <v>965.08513751459111</v>
      </c>
      <c r="BR467" s="6">
        <f t="shared" si="965"/>
        <v>5.4301702750291819E-6</v>
      </c>
      <c r="BS467" s="8">
        <f t="shared" si="966"/>
        <v>26.987479081417796</v>
      </c>
      <c r="BT467" s="7">
        <f t="shared" si="967"/>
        <v>1.3590052100148622E-2</v>
      </c>
      <c r="BU467" s="9">
        <f t="shared" si="968"/>
        <v>0.43970690385411443</v>
      </c>
      <c r="BV467" s="4">
        <f t="shared" si="969"/>
        <v>954.81360413696609</v>
      </c>
      <c r="BW467" s="6">
        <f t="shared" si="970"/>
        <v>5.4096272082739333E-6</v>
      </c>
      <c r="BX467" s="8">
        <f t="shared" si="971"/>
        <v>26.869356447575107</v>
      </c>
      <c r="BY467" s="7">
        <f t="shared" si="972"/>
        <v>1.3538639099568423E-2</v>
      </c>
      <c r="BZ467" s="9">
        <f t="shared" si="973"/>
        <v>0.44163993629214099</v>
      </c>
      <c r="CA467" s="4">
        <f t="shared" si="974"/>
        <v>939.86287636178542</v>
      </c>
      <c r="CB467" s="6">
        <f t="shared" si="975"/>
        <v>5.3797257527235717E-6</v>
      </c>
      <c r="CC467" s="8">
        <f t="shared" si="976"/>
        <v>26.697423078160533</v>
      </c>
      <c r="CD467" s="7">
        <f t="shared" si="977"/>
        <v>1.3463804919751196E-2</v>
      </c>
      <c r="CE467" s="9">
        <f t="shared" si="978"/>
        <v>0.44448412998426035</v>
      </c>
      <c r="CF467" s="4">
        <f t="shared" si="979"/>
        <v>914.56287142773328</v>
      </c>
      <c r="CG467" s="6">
        <f t="shared" si="980"/>
        <v>5.3291257428554676E-6</v>
      </c>
      <c r="CH467" s="8">
        <f t="shared" si="981"/>
        <v>26.406473021418932</v>
      </c>
      <c r="CI467" s="7">
        <f t="shared" si="982"/>
        <v>1.3337168601634657E-2</v>
      </c>
      <c r="CJ467" s="9">
        <f t="shared" si="983"/>
        <v>0.4493815156644595</v>
      </c>
      <c r="CK467" s="4">
        <f t="shared" si="984"/>
        <v>868.59483614949261</v>
      </c>
      <c r="CL467" s="6">
        <f t="shared" si="985"/>
        <v>5.2371896722989859E-6</v>
      </c>
      <c r="CM467" s="8">
        <f t="shared" si="986"/>
        <v>25.877840615719165</v>
      </c>
      <c r="CN467" s="7">
        <f t="shared" si="987"/>
        <v>1.3107080791222706E-2</v>
      </c>
      <c r="CO467" s="9">
        <f t="shared" si="988"/>
        <v>0.45856147914094869</v>
      </c>
      <c r="CP467" s="4">
        <f t="shared" si="989"/>
        <v>787.42424612904449</v>
      </c>
      <c r="CQ467" s="6">
        <f t="shared" si="990"/>
        <v>5.0748484922580895E-6</v>
      </c>
      <c r="CR467" s="8">
        <f t="shared" si="991"/>
        <v>24.944378830484013</v>
      </c>
      <c r="CS467" s="7">
        <f t="shared" si="992"/>
        <v>1.2700790567709683E-2</v>
      </c>
      <c r="CT467" s="9">
        <f t="shared" si="993"/>
        <v>0.47572164255363192</v>
      </c>
      <c r="CU467" s="4">
        <f t="shared" si="994"/>
        <v>658.62627946479279</v>
      </c>
      <c r="CV467" s="6">
        <f t="shared" si="995"/>
        <v>4.8172525589295853E-6</v>
      </c>
      <c r="CW467" s="8">
        <f t="shared" si="996"/>
        <v>32.177843083495645</v>
      </c>
      <c r="CX467" s="7">
        <f t="shared" si="997"/>
        <v>1.2056106887932813E-2</v>
      </c>
      <c r="CY467" s="9">
        <f t="shared" si="998"/>
        <v>0.3687811155933069</v>
      </c>
      <c r="CZ467" s="5">
        <f t="shared" si="999"/>
        <v>488.7060819207282</v>
      </c>
      <c r="DA467" s="6">
        <f t="shared" si="1000"/>
        <v>7.3837993315403559E-6</v>
      </c>
      <c r="DB467" s="8">
        <f t="shared" si="1001"/>
        <v>39.322523624298881</v>
      </c>
      <c r="DC467" s="7">
        <f t="shared" si="1002"/>
        <v>1.8479386930852135E-2</v>
      </c>
      <c r="DD467" s="9">
        <f t="shared" si="1003"/>
        <v>0.30177566890404478</v>
      </c>
    </row>
    <row r="468" spans="2:108" x14ac:dyDescent="0.25">
      <c r="B468">
        <v>201</v>
      </c>
      <c r="C468">
        <f t="shared" si="911"/>
        <v>0.19650054793539554</v>
      </c>
      <c r="D468" s="4">
        <f t="shared" si="912"/>
        <v>1016.6948945342717</v>
      </c>
      <c r="E468" s="6">
        <f t="shared" si="900"/>
        <v>5.5333897890685431E-6</v>
      </c>
      <c r="F468" s="8">
        <f t="shared" si="913"/>
        <v>27.580991287144123</v>
      </c>
      <c r="G468" s="7">
        <f t="shared" si="898"/>
        <v>1.384837891174007E-2</v>
      </c>
      <c r="H468" s="9">
        <f t="shared" si="914"/>
        <v>0.43024490114135505</v>
      </c>
      <c r="I468" s="4">
        <f t="shared" si="915"/>
        <v>1016.3702044126788</v>
      </c>
      <c r="J468" s="6">
        <f t="shared" si="901"/>
        <v>5.5327404088253578E-6</v>
      </c>
      <c r="K468" s="8">
        <f t="shared" si="916"/>
        <v>27.577257350745803</v>
      </c>
      <c r="L468" s="7">
        <f t="shared" si="902"/>
        <v>1.3846753711996652E-2</v>
      </c>
      <c r="M468" s="9">
        <f t="shared" si="917"/>
        <v>0.43030315592268198</v>
      </c>
      <c r="N468" s="4">
        <f t="shared" si="918"/>
        <v>1015.4639367029991</v>
      </c>
      <c r="O468" s="6">
        <f t="shared" si="903"/>
        <v>5.5309278734059986E-6</v>
      </c>
      <c r="P468" s="8">
        <f t="shared" si="904"/>
        <v>27.566835272084489</v>
      </c>
      <c r="Q468" s="7">
        <f t="shared" si="899"/>
        <v>1.384837891174007E-2</v>
      </c>
      <c r="R468" s="9">
        <f t="shared" si="919"/>
        <v>0.43046583884565714</v>
      </c>
      <c r="S468" s="4">
        <f t="shared" si="920"/>
        <v>1013.9622246887907</v>
      </c>
      <c r="T468" s="6">
        <f t="shared" si="905"/>
        <v>5.527924449377582E-6</v>
      </c>
      <c r="U468" s="8">
        <f t="shared" si="906"/>
        <v>27.549565583921094</v>
      </c>
      <c r="V468" s="7">
        <f t="shared" si="907"/>
        <v>1.3834700841369656E-2</v>
      </c>
      <c r="W468" s="9">
        <f t="shared" si="921"/>
        <v>0.43073568015328911</v>
      </c>
      <c r="X468" s="4">
        <f t="shared" si="922"/>
        <v>1011.8632302231609</v>
      </c>
      <c r="Y468" s="6">
        <f t="shared" si="908"/>
        <v>5.523726460446322E-6</v>
      </c>
      <c r="Z468" s="8">
        <f t="shared" si="909"/>
        <v>27.525427147566351</v>
      </c>
      <c r="AA468" s="7">
        <f t="shared" si="910"/>
        <v>1.3824194561565868E-2</v>
      </c>
      <c r="AB468" s="9">
        <f t="shared" si="923"/>
        <v>0.43111341401170872</v>
      </c>
      <c r="AC468" s="4">
        <f t="shared" si="924"/>
        <v>1009.1655066700231</v>
      </c>
      <c r="AD468" s="6">
        <f t="shared" si="925"/>
        <v>5.5183310133400472E-6</v>
      </c>
      <c r="AE468" s="8">
        <f t="shared" si="926"/>
        <v>27.494403326705264</v>
      </c>
      <c r="AF468" s="7">
        <f t="shared" si="927"/>
        <v>1.3810691410916053E-2</v>
      </c>
      <c r="AG468" s="9">
        <f t="shared" si="928"/>
        <v>0.43159986884283136</v>
      </c>
      <c r="AH468" s="4">
        <f t="shared" si="929"/>
        <v>1005.8686878114661</v>
      </c>
      <c r="AI468" s="6">
        <f t="shared" si="930"/>
        <v>5.5117373756229324E-6</v>
      </c>
      <c r="AJ468" s="8">
        <f t="shared" si="931"/>
        <v>27.456489909831859</v>
      </c>
      <c r="AK468" s="7">
        <f t="shared" si="932"/>
        <v>1.3794189556357798E-2</v>
      </c>
      <c r="AL468" s="9">
        <f t="shared" si="933"/>
        <v>0.43219584545177459</v>
      </c>
      <c r="AM468" s="4">
        <f t="shared" si="934"/>
        <v>1001.9725587560017</v>
      </c>
      <c r="AN468" s="6">
        <f t="shared" si="935"/>
        <v>5.5039451175120043E-6</v>
      </c>
      <c r="AO468" s="8">
        <f t="shared" si="936"/>
        <v>27.41168442569402</v>
      </c>
      <c r="AP468" s="7">
        <f t="shared" si="937"/>
        <v>1.3774687922276027E-2</v>
      </c>
      <c r="AQ468" s="9">
        <f t="shared" si="938"/>
        <v>0.43290228668307951</v>
      </c>
      <c r="AR468" s="4">
        <f t="shared" si="939"/>
        <v>997.47669894845501</v>
      </c>
      <c r="AS468" s="6">
        <f t="shared" si="940"/>
        <v>5.4949533978969106E-6</v>
      </c>
      <c r="AT468" s="8">
        <f t="shared" si="941"/>
        <v>27.35998203790723</v>
      </c>
      <c r="AU468" s="7">
        <f t="shared" si="942"/>
        <v>1.3752184403629296E-2</v>
      </c>
      <c r="AV468" s="9">
        <f t="shared" si="943"/>
        <v>0.43372034576911495</v>
      </c>
      <c r="AW468" s="4">
        <f t="shared" si="944"/>
        <v>992.37935620907683</v>
      </c>
      <c r="AX468" s="6">
        <f t="shared" si="945"/>
        <v>5.4847587124181545E-6</v>
      </c>
      <c r="AY468" s="8">
        <f t="shared" si="946"/>
        <v>27.301362596404381</v>
      </c>
      <c r="AZ468" s="7">
        <f t="shared" si="947"/>
        <v>1.3726670230079705E-2</v>
      </c>
      <c r="BA468" s="9">
        <f t="shared" si="948"/>
        <v>0.43465159761955396</v>
      </c>
      <c r="BB468" s="4">
        <f t="shared" si="949"/>
        <v>986.67302217829865</v>
      </c>
      <c r="BC468" s="6">
        <f t="shared" si="950"/>
        <v>5.473346044356597E-6</v>
      </c>
      <c r="BD468" s="8">
        <f t="shared" si="951"/>
        <v>27.235739755050432</v>
      </c>
      <c r="BE468" s="7">
        <f t="shared" si="952"/>
        <v>1.3698107819381185E-2</v>
      </c>
      <c r="BF468" s="9">
        <f t="shared" si="953"/>
        <v>0.43569886393548135</v>
      </c>
      <c r="BG468" s="4">
        <f t="shared" si="954"/>
        <v>980.32791799668871</v>
      </c>
      <c r="BH468" s="6">
        <f t="shared" si="955"/>
        <v>5.4606558359933774E-6</v>
      </c>
      <c r="BI468" s="8">
        <f t="shared" si="956"/>
        <v>27.162771056961919</v>
      </c>
      <c r="BJ468" s="7">
        <f t="shared" si="957"/>
        <v>1.3666348116815143E-2</v>
      </c>
      <c r="BK468" s="9">
        <f t="shared" si="958"/>
        <v>0.43686930338708757</v>
      </c>
      <c r="BL468" s="4">
        <f t="shared" si="959"/>
        <v>973.23634842766569</v>
      </c>
      <c r="BM468" s="6">
        <f t="shared" si="960"/>
        <v>5.4464726968553317E-6</v>
      </c>
      <c r="BN468" s="8">
        <f t="shared" si="961"/>
        <v>27.081218006918157</v>
      </c>
      <c r="BO468" s="7">
        <f t="shared" si="962"/>
        <v>1.3630852066034553E-2</v>
      </c>
      <c r="BP468" s="9">
        <f t="shared" si="963"/>
        <v>0.43818490241784791</v>
      </c>
      <c r="BQ468" s="4">
        <f t="shared" si="964"/>
        <v>965.04688616170699</v>
      </c>
      <c r="BR468" s="6">
        <f t="shared" si="965"/>
        <v>5.4300937723234147E-6</v>
      </c>
      <c r="BS468" s="8">
        <f t="shared" si="966"/>
        <v>26.98703919085963</v>
      </c>
      <c r="BT468" s="7">
        <f t="shared" si="967"/>
        <v>1.3589860637320659E-2</v>
      </c>
      <c r="BU468" s="9">
        <f t="shared" si="968"/>
        <v>0.43971407110629046</v>
      </c>
      <c r="BV468" s="4">
        <f t="shared" si="969"/>
        <v>954.73777285813605</v>
      </c>
      <c r="BW468" s="6">
        <f t="shared" si="970"/>
        <v>5.4094755457162724E-6</v>
      </c>
      <c r="BX468" s="8">
        <f t="shared" si="971"/>
        <v>26.868484387868563</v>
      </c>
      <c r="BY468" s="7">
        <f t="shared" si="972"/>
        <v>1.353825953466422E-2</v>
      </c>
      <c r="BZ468" s="9">
        <f t="shared" si="973"/>
        <v>0.44165427042382038</v>
      </c>
      <c r="CA468" s="4">
        <f t="shared" si="974"/>
        <v>939.70460099941647</v>
      </c>
      <c r="CB468" s="6">
        <f t="shared" si="975"/>
        <v>5.3794092019988335E-6</v>
      </c>
      <c r="CC468" s="8">
        <f t="shared" si="976"/>
        <v>26.695602911493289</v>
      </c>
      <c r="CD468" s="7">
        <f t="shared" si="977"/>
        <v>1.3463012690295461E-2</v>
      </c>
      <c r="CE468" s="9">
        <f t="shared" si="978"/>
        <v>0.44451443591891926</v>
      </c>
      <c r="CF468" s="4">
        <f t="shared" si="979"/>
        <v>914.25463364387008</v>
      </c>
      <c r="CG468" s="6">
        <f t="shared" si="980"/>
        <v>5.3285092672877402E-6</v>
      </c>
      <c r="CH468" s="8">
        <f t="shared" si="981"/>
        <v>26.402928286904505</v>
      </c>
      <c r="CI468" s="7">
        <f t="shared" si="982"/>
        <v>1.3335625752210136E-2</v>
      </c>
      <c r="CJ468" s="9">
        <f t="shared" si="983"/>
        <v>0.44944184753944744</v>
      </c>
      <c r="CK468" s="4">
        <f t="shared" si="984"/>
        <v>868.07552119729257</v>
      </c>
      <c r="CL468" s="6">
        <f t="shared" si="985"/>
        <v>5.2361510423945861E-6</v>
      </c>
      <c r="CM468" s="8">
        <f t="shared" si="986"/>
        <v>25.871868493768865</v>
      </c>
      <c r="CN468" s="7">
        <f t="shared" si="987"/>
        <v>1.3104481418864444E-2</v>
      </c>
      <c r="CO468" s="9">
        <f t="shared" si="988"/>
        <v>0.45866733098832491</v>
      </c>
      <c r="CP468" s="4">
        <f t="shared" si="989"/>
        <v>786.72368269429705</v>
      </c>
      <c r="CQ468" s="6">
        <f t="shared" si="990"/>
        <v>5.0734473653885943E-6</v>
      </c>
      <c r="CR468" s="8">
        <f t="shared" si="991"/>
        <v>24.936322350984415</v>
      </c>
      <c r="CS468" s="7">
        <f t="shared" si="992"/>
        <v>1.2697283976536487E-2</v>
      </c>
      <c r="CT468" s="9">
        <f t="shared" si="993"/>
        <v>0.47587533970298712</v>
      </c>
      <c r="CU468" s="4">
        <f t="shared" si="994"/>
        <v>658.00432541735518</v>
      </c>
      <c r="CV468" s="6">
        <f t="shared" si="995"/>
        <v>4.8160086508347103E-6</v>
      </c>
      <c r="CW468" s="8">
        <f t="shared" si="996"/>
        <v>32.302731456221068</v>
      </c>
      <c r="CX468" s="7">
        <f t="shared" si="997"/>
        <v>1.2052993767172147E-2</v>
      </c>
      <c r="CY468" s="9">
        <f t="shared" si="998"/>
        <v>0.36735533915453322</v>
      </c>
      <c r="CZ468" s="5">
        <f t="shared" si="999"/>
        <v>488.6886174448303</v>
      </c>
      <c r="DA468" s="6">
        <f t="shared" si="1000"/>
        <v>7.3840594555692554E-6</v>
      </c>
      <c r="DB468" s="8">
        <f t="shared" si="1001"/>
        <v>39.32303009409992</v>
      </c>
      <c r="DC468" s="7">
        <f t="shared" si="1002"/>
        <v>1.8480037941580381E-2</v>
      </c>
      <c r="DD468" s="9">
        <f t="shared" si="1003"/>
        <v>0.3017717821165154</v>
      </c>
    </row>
    <row r="469" spans="2:108" x14ac:dyDescent="0.25">
      <c r="B469">
        <v>202</v>
      </c>
      <c r="C469">
        <f t="shared" si="911"/>
        <v>0.19747816260174078</v>
      </c>
      <c r="D469" s="4">
        <f t="shared" si="912"/>
        <v>1016.6783174968889</v>
      </c>
      <c r="E469" s="6">
        <f t="shared" si="900"/>
        <v>5.5333566349937791E-6</v>
      </c>
      <c r="F469" s="8">
        <f t="shared" si="913"/>
        <v>27.580800651214222</v>
      </c>
      <c r="G469" s="7">
        <f t="shared" si="898"/>
        <v>1.3848295937251141E-2</v>
      </c>
      <c r="H469" s="9">
        <f t="shared" si="914"/>
        <v>0.43024787495411165</v>
      </c>
      <c r="I469" s="4">
        <f t="shared" si="915"/>
        <v>1016.3536272199617</v>
      </c>
      <c r="J469" s="6">
        <f t="shared" si="901"/>
        <v>5.5327072544399242E-6</v>
      </c>
      <c r="K469" s="8">
        <f t="shared" si="916"/>
        <v>27.577066713029559</v>
      </c>
      <c r="L469" s="7">
        <f t="shared" si="902"/>
        <v>1.3846670736730212E-2</v>
      </c>
      <c r="M469" s="9">
        <f t="shared" si="917"/>
        <v>0.43030613056867284</v>
      </c>
      <c r="N469" s="4">
        <f t="shared" si="918"/>
        <v>1015.4473561561779</v>
      </c>
      <c r="O469" s="6">
        <f t="shared" si="903"/>
        <v>5.5308947123123563E-6</v>
      </c>
      <c r="P469" s="8">
        <f t="shared" si="904"/>
        <v>27.566644595796046</v>
      </c>
      <c r="Q469" s="7">
        <f t="shared" si="899"/>
        <v>1.3848295937251141E-2</v>
      </c>
      <c r="R469" s="9">
        <f t="shared" si="919"/>
        <v>0.43046881634363182</v>
      </c>
      <c r="S469" s="4">
        <f t="shared" si="920"/>
        <v>1013.9456427364926</v>
      </c>
      <c r="T469" s="6">
        <f t="shared" si="905"/>
        <v>5.5278912854729854E-6</v>
      </c>
      <c r="U469" s="8">
        <f t="shared" si="906"/>
        <v>27.549374891469665</v>
      </c>
      <c r="V469" s="7">
        <f t="shared" si="907"/>
        <v>1.3834617842279668E-2</v>
      </c>
      <c r="W469" s="9">
        <f t="shared" si="921"/>
        <v>0.43073866163809921</v>
      </c>
      <c r="X469" s="4">
        <f t="shared" si="922"/>
        <v>1011.8466519399584</v>
      </c>
      <c r="Y469" s="6">
        <f t="shared" si="908"/>
        <v>5.5236933038799174E-6</v>
      </c>
      <c r="Z469" s="8">
        <f t="shared" si="909"/>
        <v>27.525236497309521</v>
      </c>
      <c r="AA469" s="7">
        <f t="shared" si="910"/>
        <v>1.3824111580841125E-2</v>
      </c>
      <c r="AB469" s="9">
        <f t="shared" si="923"/>
        <v>0.43111640006718227</v>
      </c>
      <c r="AC469" s="4">
        <f t="shared" si="924"/>
        <v>1009.1489377873559</v>
      </c>
      <c r="AD469" s="6">
        <f t="shared" si="925"/>
        <v>5.5182978755747129E-6</v>
      </c>
      <c r="AE469" s="8">
        <f t="shared" si="926"/>
        <v>27.494212784554591</v>
      </c>
      <c r="AF469" s="7">
        <f t="shared" si="927"/>
        <v>1.3810608477244628E-2</v>
      </c>
      <c r="AG469" s="9">
        <f t="shared" si="928"/>
        <v>0.43160285994382719</v>
      </c>
      <c r="AH469" s="4">
        <f t="shared" si="929"/>
        <v>1005.852132724027</v>
      </c>
      <c r="AI469" s="6">
        <f t="shared" si="930"/>
        <v>5.5117042654480548E-6</v>
      </c>
      <c r="AJ469" s="8">
        <f t="shared" si="931"/>
        <v>27.456299526326312</v>
      </c>
      <c r="AK469" s="7">
        <f t="shared" si="932"/>
        <v>1.379410669173683E-2</v>
      </c>
      <c r="AL469" s="9">
        <f t="shared" si="933"/>
        <v>0.43219884232176653</v>
      </c>
      <c r="AM469" s="4">
        <f t="shared" si="934"/>
        <v>1001.956017435326</v>
      </c>
      <c r="AN469" s="6">
        <f t="shared" si="935"/>
        <v>5.5039120348706526E-6</v>
      </c>
      <c r="AO469" s="8">
        <f t="shared" si="936"/>
        <v>27.411494200506247</v>
      </c>
      <c r="AP469" s="7">
        <f t="shared" si="937"/>
        <v>1.3774605126563038E-2</v>
      </c>
      <c r="AQ469" s="9">
        <f t="shared" si="938"/>
        <v>0.43290529085783075</v>
      </c>
      <c r="AR469" s="4">
        <f t="shared" si="939"/>
        <v>997.46015484751717</v>
      </c>
      <c r="AS469" s="6">
        <f t="shared" si="940"/>
        <v>5.494920309695035E-6</v>
      </c>
      <c r="AT469" s="8">
        <f t="shared" si="941"/>
        <v>27.359791780746448</v>
      </c>
      <c r="AU469" s="7">
        <f t="shared" si="942"/>
        <v>1.3752101594000019E-2</v>
      </c>
      <c r="AV469" s="9">
        <f t="shared" si="943"/>
        <v>0.43372336181551696</v>
      </c>
      <c r="AW469" s="4">
        <f t="shared" si="944"/>
        <v>992.36272722893807</v>
      </c>
      <c r="AX469" s="6">
        <f t="shared" si="945"/>
        <v>5.4847254544578768E-6</v>
      </c>
      <c r="AY469" s="8">
        <f t="shared" si="946"/>
        <v>27.301171363132788</v>
      </c>
      <c r="AZ469" s="7">
        <f t="shared" si="947"/>
        <v>1.372658699559717E-2</v>
      </c>
      <c r="BA469" s="9">
        <f t="shared" si="948"/>
        <v>0.43465464217196204</v>
      </c>
      <c r="BB469" s="4">
        <f t="shared" si="949"/>
        <v>986.65598278850086</v>
      </c>
      <c r="BC469" s="6">
        <f t="shared" si="950"/>
        <v>5.4733119655770021E-6</v>
      </c>
      <c r="BD469" s="8">
        <f t="shared" si="951"/>
        <v>27.23554380206776</v>
      </c>
      <c r="BE469" s="7">
        <f t="shared" si="952"/>
        <v>1.3698022530639445E-2</v>
      </c>
      <c r="BF469" s="9">
        <f t="shared" si="953"/>
        <v>0.43570199868074494</v>
      </c>
      <c r="BG469" s="4">
        <f t="shared" si="954"/>
        <v>980.30932672154938</v>
      </c>
      <c r="BH469" s="6">
        <f t="shared" si="955"/>
        <v>5.4606186534430995E-6</v>
      </c>
      <c r="BI469" s="8">
        <f t="shared" si="956"/>
        <v>27.162557257297816</v>
      </c>
      <c r="BJ469" s="7">
        <f t="shared" si="957"/>
        <v>1.3666255060286545E-2</v>
      </c>
      <c r="BK469" s="9">
        <f t="shared" si="958"/>
        <v>0.43687274203645465</v>
      </c>
      <c r="BL469" s="4">
        <f t="shared" si="959"/>
        <v>973.21264290943054</v>
      </c>
      <c r="BM469" s="6">
        <f t="shared" si="960"/>
        <v>5.4464252858188617E-6</v>
      </c>
      <c r="BN469" s="8">
        <f t="shared" si="961"/>
        <v>27.08094539345845</v>
      </c>
      <c r="BO469" s="7">
        <f t="shared" si="962"/>
        <v>1.3630733410739577E-2</v>
      </c>
      <c r="BP469" s="9">
        <f t="shared" si="963"/>
        <v>0.43818931345669843</v>
      </c>
      <c r="BQ469" s="4">
        <f t="shared" si="964"/>
        <v>965.00829571917927</v>
      </c>
      <c r="BR469" s="6">
        <f t="shared" si="965"/>
        <v>5.4300165914383593E-6</v>
      </c>
      <c r="BS469" s="8">
        <f t="shared" si="966"/>
        <v>26.986595400770561</v>
      </c>
      <c r="BT469" s="7">
        <f t="shared" si="967"/>
        <v>1.3589667477217768E-2</v>
      </c>
      <c r="BU469" s="9">
        <f t="shared" si="968"/>
        <v>0.4397213021313191</v>
      </c>
      <c r="BV469" s="4">
        <f t="shared" si="969"/>
        <v>954.66127471506911</v>
      </c>
      <c r="BW469" s="6">
        <f t="shared" si="970"/>
        <v>5.409322549430139E-6</v>
      </c>
      <c r="BX469" s="8">
        <f t="shared" si="971"/>
        <v>26.867604659223296</v>
      </c>
      <c r="BY469" s="7">
        <f t="shared" si="972"/>
        <v>1.3537876631846376E-2</v>
      </c>
      <c r="BZ469" s="9">
        <f t="shared" si="973"/>
        <v>0.44166873155341957</v>
      </c>
      <c r="CA469" s="4">
        <f t="shared" si="974"/>
        <v>939.54531118226953</v>
      </c>
      <c r="CB469" s="6">
        <f t="shared" si="975"/>
        <v>5.3790906223645392E-6</v>
      </c>
      <c r="CC469" s="8">
        <f t="shared" si="976"/>
        <v>26.6937710785961</v>
      </c>
      <c r="CD469" s="7">
        <f t="shared" si="977"/>
        <v>1.3462215383100875E-2</v>
      </c>
      <c r="CE469" s="9">
        <f t="shared" si="978"/>
        <v>0.44454494027008773</v>
      </c>
      <c r="CF469" s="4">
        <f t="shared" si="979"/>
        <v>913.94543948732235</v>
      </c>
      <c r="CG469" s="6">
        <f t="shared" si="980"/>
        <v>5.3278908789746448E-6</v>
      </c>
      <c r="CH469" s="8">
        <f t="shared" si="981"/>
        <v>26.399372554104204</v>
      </c>
      <c r="CI469" s="7">
        <f t="shared" si="982"/>
        <v>1.3334078115770127E-2</v>
      </c>
      <c r="CJ469" s="9">
        <f t="shared" si="983"/>
        <v>0.44950238288421174</v>
      </c>
      <c r="CK469" s="4">
        <f t="shared" si="984"/>
        <v>867.55651038927226</v>
      </c>
      <c r="CL469" s="6">
        <f t="shared" si="985"/>
        <v>5.2351130207785455E-6</v>
      </c>
      <c r="CM469" s="8">
        <f t="shared" si="986"/>
        <v>25.865899869476628</v>
      </c>
      <c r="CN469" s="7">
        <f t="shared" si="987"/>
        <v>1.3101883568865534E-2</v>
      </c>
      <c r="CO469" s="9">
        <f t="shared" si="988"/>
        <v>0.458773169678941</v>
      </c>
      <c r="CP469" s="4">
        <f t="shared" si="989"/>
        <v>786.02662541314476</v>
      </c>
      <c r="CQ469" s="6">
        <f t="shared" si="990"/>
        <v>5.0720532508262905E-6</v>
      </c>
      <c r="CR469" s="8">
        <f t="shared" si="991"/>
        <v>24.928306192251164</v>
      </c>
      <c r="CS469" s="7">
        <f t="shared" si="992"/>
        <v>1.2693794935019242E-2</v>
      </c>
      <c r="CT469" s="9">
        <f t="shared" si="993"/>
        <v>0.47602836623559142</v>
      </c>
      <c r="CU469" s="4">
        <f t="shared" si="994"/>
        <v>657.38944587699632</v>
      </c>
      <c r="CV469" s="6">
        <f t="shared" si="995"/>
        <v>4.814778891753993E-6</v>
      </c>
      <c r="CW469" s="8">
        <f t="shared" si="996"/>
        <v>32.426199267925057</v>
      </c>
      <c r="CX469" s="7">
        <f t="shared" si="997"/>
        <v>1.204991605705789E-2</v>
      </c>
      <c r="CY469" s="9">
        <f t="shared" si="998"/>
        <v>0.3659565763988854</v>
      </c>
      <c r="CZ469" s="5">
        <f t="shared" si="999"/>
        <v>488.67240264678662</v>
      </c>
      <c r="DA469" s="6">
        <f t="shared" si="1000"/>
        <v>7.3843009639423419E-6</v>
      </c>
      <c r="DB469" s="8">
        <f t="shared" si="1001"/>
        <v>39.323500323243181</v>
      </c>
      <c r="DC469" s="7">
        <f t="shared" si="1002"/>
        <v>1.8480642363026972E-2</v>
      </c>
      <c r="DD469" s="9">
        <f t="shared" si="1003"/>
        <v>0.30176817353931856</v>
      </c>
    </row>
    <row r="470" spans="2:108" x14ac:dyDescent="0.25">
      <c r="B470">
        <v>203</v>
      </c>
      <c r="C470">
        <f t="shared" si="911"/>
        <v>0.19845577726808605</v>
      </c>
      <c r="D470" s="4">
        <f t="shared" si="912"/>
        <v>1016.6617404515754</v>
      </c>
      <c r="E470" s="6">
        <f t="shared" si="900"/>
        <v>5.5333234809031519E-6</v>
      </c>
      <c r="F470" s="8">
        <f t="shared" si="913"/>
        <v>27.580610015193116</v>
      </c>
      <c r="G470" s="7">
        <f t="shared" si="898"/>
        <v>1.384821296272251E-2</v>
      </c>
      <c r="H470" s="9">
        <f t="shared" si="914"/>
        <v>0.43025084880940079</v>
      </c>
      <c r="I470" s="4">
        <f t="shared" si="915"/>
        <v>1016.3370500579728</v>
      </c>
      <c r="J470" s="6">
        <f t="shared" si="901"/>
        <v>5.5326741001159462E-6</v>
      </c>
      <c r="K470" s="8">
        <f t="shared" si="916"/>
        <v>27.576876075666686</v>
      </c>
      <c r="L470" s="7">
        <f t="shared" si="902"/>
        <v>1.3846587761617573E-2</v>
      </c>
      <c r="M470" s="9">
        <f t="shared" si="917"/>
        <v>0.43030910525027688</v>
      </c>
      <c r="N470" s="4">
        <f t="shared" si="918"/>
        <v>1015.4307757192202</v>
      </c>
      <c r="O470" s="6">
        <f t="shared" si="903"/>
        <v>5.530861551438441E-6</v>
      </c>
      <c r="P470" s="8">
        <f t="shared" si="904"/>
        <v>27.566453920771032</v>
      </c>
      <c r="Q470" s="7">
        <f t="shared" si="899"/>
        <v>1.384821296272251E-2</v>
      </c>
      <c r="R470" s="9">
        <f t="shared" si="919"/>
        <v>0.43047179386306755</v>
      </c>
      <c r="S470" s="4">
        <f t="shared" si="920"/>
        <v>1013.9290609590465</v>
      </c>
      <c r="T470" s="6">
        <f t="shared" si="905"/>
        <v>5.5278581219180932E-6</v>
      </c>
      <c r="U470" s="8">
        <f t="shared" si="906"/>
        <v>27.549184201029036</v>
      </c>
      <c r="V470" s="7">
        <f t="shared" si="907"/>
        <v>1.3834534844064883E-2</v>
      </c>
      <c r="W470" s="9">
        <f t="shared" si="921"/>
        <v>0.43074164313274477</v>
      </c>
      <c r="X470" s="4">
        <f t="shared" si="922"/>
        <v>1011.8300738581074</v>
      </c>
      <c r="Y470" s="6">
        <f t="shared" si="908"/>
        <v>5.5236601477162152E-6</v>
      </c>
      <c r="Z470" s="8">
        <f t="shared" si="909"/>
        <v>27.525045849368233</v>
      </c>
      <c r="AA470" s="7">
        <f t="shared" si="910"/>
        <v>1.3824028601124222E-2</v>
      </c>
      <c r="AB470" s="9">
        <f t="shared" si="923"/>
        <v>0.43111938612775336</v>
      </c>
      <c r="AC470" s="4">
        <f t="shared" si="924"/>
        <v>1009.1323690969622</v>
      </c>
      <c r="AD470" s="6">
        <f t="shared" si="925"/>
        <v>5.5182647381939248E-6</v>
      </c>
      <c r="AE470" s="8">
        <f t="shared" si="926"/>
        <v>27.494022244615063</v>
      </c>
      <c r="AF470" s="7">
        <f t="shared" si="927"/>
        <v>1.3810525544535603E-2</v>
      </c>
      <c r="AG470" s="9">
        <f t="shared" si="928"/>
        <v>0.43160585105157062</v>
      </c>
      <c r="AH470" s="4">
        <f t="shared" si="929"/>
        <v>1005.8355777673286</v>
      </c>
      <c r="AI470" s="6">
        <f t="shared" si="930"/>
        <v>5.5116711555346571E-6</v>
      </c>
      <c r="AJ470" s="8">
        <f t="shared" si="931"/>
        <v>27.45610914432428</v>
      </c>
      <c r="AK470" s="7">
        <f t="shared" si="932"/>
        <v>1.3794023827770265E-2</v>
      </c>
      <c r="AL470" s="9">
        <f t="shared" si="933"/>
        <v>0.43220183920965199</v>
      </c>
      <c r="AM470" s="4">
        <f t="shared" si="934"/>
        <v>1001.9394759965921</v>
      </c>
      <c r="AN470" s="6">
        <f t="shared" si="935"/>
        <v>5.5038789519931854E-6</v>
      </c>
      <c r="AO470" s="8">
        <f t="shared" si="936"/>
        <v>27.411303973960809</v>
      </c>
      <c r="AP470" s="7">
        <f t="shared" si="937"/>
        <v>1.3774522330259123E-2</v>
      </c>
      <c r="AQ470" s="9">
        <f t="shared" si="938"/>
        <v>0.43290829509571965</v>
      </c>
      <c r="AR470" s="4">
        <f t="shared" si="939"/>
        <v>997.44360963968222</v>
      </c>
      <c r="AS470" s="6">
        <f t="shared" si="940"/>
        <v>5.494887219279365E-6</v>
      </c>
      <c r="AT470" s="8">
        <f t="shared" si="941"/>
        <v>27.359601510856344</v>
      </c>
      <c r="AU470" s="7">
        <f t="shared" si="942"/>
        <v>1.3752018778830291E-2</v>
      </c>
      <c r="AV470" s="9">
        <f t="shared" si="943"/>
        <v>0.43372637810566123</v>
      </c>
      <c r="AW470" s="4">
        <f t="shared" si="944"/>
        <v>992.34609349383686</v>
      </c>
      <c r="AX470" s="6">
        <f t="shared" si="945"/>
        <v>5.4846921869876747E-6</v>
      </c>
      <c r="AY470" s="8">
        <f t="shared" si="946"/>
        <v>27.300980075179123</v>
      </c>
      <c r="AZ470" s="7">
        <f t="shared" si="947"/>
        <v>1.3726503737314207E-2</v>
      </c>
      <c r="BA470" s="9">
        <f t="shared" si="948"/>
        <v>0.43465768763761281</v>
      </c>
      <c r="BB470" s="4">
        <f t="shared" si="949"/>
        <v>986.63892648681235</v>
      </c>
      <c r="BC470" s="6">
        <f t="shared" si="950"/>
        <v>5.4732778529736249E-6</v>
      </c>
      <c r="BD470" s="8">
        <f t="shared" si="951"/>
        <v>27.235347654598343</v>
      </c>
      <c r="BE470" s="7">
        <f t="shared" si="952"/>
        <v>1.3697937157247141E-2</v>
      </c>
      <c r="BF470" s="9">
        <f t="shared" si="953"/>
        <v>0.43570513658247273</v>
      </c>
      <c r="BG470" s="4">
        <f t="shared" si="954"/>
        <v>980.29068261477323</v>
      </c>
      <c r="BH470" s="6">
        <f t="shared" si="955"/>
        <v>5.4605813652295467E-6</v>
      </c>
      <c r="BI470" s="8">
        <f t="shared" si="956"/>
        <v>27.162342850069891</v>
      </c>
      <c r="BJ470" s="7">
        <f t="shared" si="957"/>
        <v>1.366616173931515E-2</v>
      </c>
      <c r="BK470" s="9">
        <f t="shared" si="958"/>
        <v>0.43687619051194493</v>
      </c>
      <c r="BL470" s="4">
        <f t="shared" si="959"/>
        <v>973.18879263736653</v>
      </c>
      <c r="BM470" s="6">
        <f t="shared" si="960"/>
        <v>5.4463775852747338E-6</v>
      </c>
      <c r="BN470" s="8">
        <f t="shared" si="961"/>
        <v>27.080671115329714</v>
      </c>
      <c r="BO470" s="7">
        <f t="shared" si="962"/>
        <v>1.3630614030895653E-2</v>
      </c>
      <c r="BP470" s="9">
        <f t="shared" si="963"/>
        <v>0.43819375152045303</v>
      </c>
      <c r="BQ470" s="4">
        <f t="shared" si="964"/>
        <v>964.96936412328989</v>
      </c>
      <c r="BR470" s="6">
        <f t="shared" si="965"/>
        <v>5.4299387282465808E-6</v>
      </c>
      <c r="BS470" s="8">
        <f t="shared" si="966"/>
        <v>26.986147687417834</v>
      </c>
      <c r="BT470" s="7">
        <f t="shared" si="967"/>
        <v>1.3589472609510246E-2</v>
      </c>
      <c r="BU470" s="9">
        <f t="shared" si="968"/>
        <v>0.43972859732219716</v>
      </c>
      <c r="BV470" s="4">
        <f t="shared" si="969"/>
        <v>954.58410913938053</v>
      </c>
      <c r="BW470" s="6">
        <f t="shared" si="970"/>
        <v>5.4091682182787623E-6</v>
      </c>
      <c r="BX470" s="8">
        <f t="shared" si="971"/>
        <v>26.866717255102877</v>
      </c>
      <c r="BY470" s="7">
        <f t="shared" si="972"/>
        <v>1.3537490388269902E-2</v>
      </c>
      <c r="BZ470" s="9">
        <f t="shared" si="973"/>
        <v>0.44168331981325493</v>
      </c>
      <c r="CA470" s="4">
        <f t="shared" si="974"/>
        <v>939.38501236869138</v>
      </c>
      <c r="CB470" s="6">
        <f t="shared" si="975"/>
        <v>5.3787700247373834E-6</v>
      </c>
      <c r="CC470" s="8">
        <f t="shared" si="976"/>
        <v>26.69192764223995</v>
      </c>
      <c r="CD470" s="7">
        <f t="shared" si="977"/>
        <v>1.346141302548858E-2</v>
      </c>
      <c r="CE470" s="9">
        <f t="shared" si="978"/>
        <v>0.44457564207311301</v>
      </c>
      <c r="CF470" s="4">
        <f t="shared" si="979"/>
        <v>913.63530593106225</v>
      </c>
      <c r="CG470" s="6">
        <f t="shared" si="980"/>
        <v>5.3272706118621254E-6</v>
      </c>
      <c r="CH470" s="8">
        <f t="shared" si="981"/>
        <v>26.395806018207217</v>
      </c>
      <c r="CI470" s="7">
        <f t="shared" si="982"/>
        <v>1.3332525777270924E-2</v>
      </c>
      <c r="CJ470" s="9">
        <f t="shared" si="983"/>
        <v>0.4495631185322625</v>
      </c>
      <c r="CK470" s="4">
        <f t="shared" si="984"/>
        <v>867.03783148665923</v>
      </c>
      <c r="CL470" s="6">
        <f t="shared" si="985"/>
        <v>5.2340756629733184E-6</v>
      </c>
      <c r="CM470" s="8">
        <f t="shared" si="986"/>
        <v>25.859935062096582</v>
      </c>
      <c r="CN470" s="7">
        <f t="shared" si="987"/>
        <v>1.309928738018166E-2</v>
      </c>
      <c r="CO470" s="9">
        <f t="shared" si="988"/>
        <v>0.45887898949564576</v>
      </c>
      <c r="CP470" s="4">
        <f t="shared" si="989"/>
        <v>785.33308012466978</v>
      </c>
      <c r="CQ470" s="6">
        <f t="shared" si="990"/>
        <v>5.0706661602493399E-6</v>
      </c>
      <c r="CR470" s="8">
        <f t="shared" si="991"/>
        <v>24.920330421433704</v>
      </c>
      <c r="CS470" s="7">
        <f t="shared" si="992"/>
        <v>1.2690323472384808E-2</v>
      </c>
      <c r="CT470" s="9">
        <f t="shared" si="993"/>
        <v>0.47618071947840557</v>
      </c>
      <c r="CU470" s="4">
        <f t="shared" si="994"/>
        <v>656.78151625060048</v>
      </c>
      <c r="CV470" s="6">
        <f t="shared" si="995"/>
        <v>4.8135630325012018E-6</v>
      </c>
      <c r="CW470" s="8">
        <f t="shared" si="996"/>
        <v>32.548271536905332</v>
      </c>
      <c r="CX470" s="7">
        <f t="shared" si="997"/>
        <v>1.2046873133953277E-2</v>
      </c>
      <c r="CY470" s="9">
        <f t="shared" si="998"/>
        <v>0.36458405652241171</v>
      </c>
      <c r="CZ470" s="5">
        <f t="shared" si="999"/>
        <v>488.65727132305159</v>
      </c>
      <c r="DA470" s="6">
        <f t="shared" si="1000"/>
        <v>7.3845263326434066E-6</v>
      </c>
      <c r="DB470" s="8">
        <f t="shared" si="1001"/>
        <v>39.323939131631505</v>
      </c>
      <c r="DC470" s="7">
        <f t="shared" si="1002"/>
        <v>1.8481206391820562E-2</v>
      </c>
      <c r="DD470" s="9">
        <f t="shared" si="1003"/>
        <v>0.30176480616542872</v>
      </c>
    </row>
    <row r="471" spans="2:108" x14ac:dyDescent="0.25">
      <c r="B471">
        <v>204</v>
      </c>
      <c r="C471">
        <f t="shared" si="911"/>
        <v>0.1994333919344313</v>
      </c>
      <c r="D471" s="4">
        <f t="shared" si="912"/>
        <v>1016.645163400305</v>
      </c>
      <c r="E471" s="6">
        <f t="shared" si="900"/>
        <v>5.5332903268006103E-6</v>
      </c>
      <c r="F471" s="8">
        <f t="shared" si="913"/>
        <v>27.580419379103507</v>
      </c>
      <c r="G471" s="7">
        <f t="shared" si="898"/>
        <v>1.384812998816406E-2</v>
      </c>
      <c r="H471" s="9">
        <f t="shared" si="914"/>
        <v>0.43025382270686918</v>
      </c>
      <c r="I471" s="4">
        <f t="shared" si="915"/>
        <v>1016.3204729280891</v>
      </c>
      <c r="J471" s="6">
        <f t="shared" si="901"/>
        <v>5.5326409458561783E-6</v>
      </c>
      <c r="K471" s="8">
        <f t="shared" si="916"/>
        <v>27.576685438673024</v>
      </c>
      <c r="L471" s="7">
        <f t="shared" si="902"/>
        <v>1.3846504786665636E-2</v>
      </c>
      <c r="M471" s="9">
        <f t="shared" si="917"/>
        <v>0.43031207996724757</v>
      </c>
      <c r="N471" s="4">
        <f t="shared" si="918"/>
        <v>1015.4141953924286</v>
      </c>
      <c r="O471" s="6">
        <f t="shared" si="903"/>
        <v>5.5308283907848577E-6</v>
      </c>
      <c r="P471" s="8">
        <f t="shared" si="904"/>
        <v>27.566263247012927</v>
      </c>
      <c r="Q471" s="7">
        <f t="shared" si="899"/>
        <v>1.384812998816406E-2</v>
      </c>
      <c r="R471" s="9">
        <f t="shared" si="919"/>
        <v>0.43047477140391011</v>
      </c>
      <c r="S471" s="4">
        <f t="shared" si="920"/>
        <v>1013.9124793561297</v>
      </c>
      <c r="T471" s="6">
        <f t="shared" si="905"/>
        <v>5.5278249587122598E-6</v>
      </c>
      <c r="U471" s="8">
        <f t="shared" si="906"/>
        <v>27.548993512595491</v>
      </c>
      <c r="V471" s="7">
        <f t="shared" si="907"/>
        <v>1.3834451846723684E-2</v>
      </c>
      <c r="W471" s="9">
        <f t="shared" si="921"/>
        <v>0.43074462463728336</v>
      </c>
      <c r="X471" s="4">
        <f t="shared" si="922"/>
        <v>1011.8134959771438</v>
      </c>
      <c r="Y471" s="6">
        <f t="shared" si="908"/>
        <v>5.5236269919542878E-6</v>
      </c>
      <c r="Z471" s="8">
        <f t="shared" si="909"/>
        <v>27.524855203737154</v>
      </c>
      <c r="AA471" s="7">
        <f t="shared" si="910"/>
        <v>1.3823945622412841E-2</v>
      </c>
      <c r="AB471" s="9">
        <f t="shared" si="923"/>
        <v>0.43112237219350485</v>
      </c>
      <c r="AC471" s="4">
        <f t="shared" si="924"/>
        <v>1009.115800598017</v>
      </c>
      <c r="AD471" s="6">
        <f t="shared" si="925"/>
        <v>5.5182316011960345E-6</v>
      </c>
      <c r="AE471" s="8">
        <f t="shared" si="926"/>
        <v>27.493831706877195</v>
      </c>
      <c r="AF471" s="7">
        <f t="shared" si="927"/>
        <v>1.3810442612784855E-2</v>
      </c>
      <c r="AG471" s="9">
        <f t="shared" si="928"/>
        <v>0.43160884216620998</v>
      </c>
      <c r="AH471" s="4">
        <f t="shared" si="929"/>
        <v>1005.819022938426</v>
      </c>
      <c r="AI471" s="6">
        <f t="shared" si="930"/>
        <v>5.5116380458768533E-6</v>
      </c>
      <c r="AJ471" s="8">
        <f t="shared" si="931"/>
        <v>27.4559187637919</v>
      </c>
      <c r="AK471" s="7">
        <f t="shared" si="932"/>
        <v>1.3793940964443375E-2</v>
      </c>
      <c r="AL471" s="9">
        <f t="shared" si="933"/>
        <v>0.432204836115964</v>
      </c>
      <c r="AM471" s="4">
        <f t="shared" si="934"/>
        <v>1001.9229344283744</v>
      </c>
      <c r="AN471" s="6">
        <f t="shared" si="935"/>
        <v>5.5038458688567489E-6</v>
      </c>
      <c r="AO471" s="8">
        <f t="shared" si="936"/>
        <v>27.411113745926308</v>
      </c>
      <c r="AP471" s="7">
        <f t="shared" si="937"/>
        <v>1.3774439533307087E-2</v>
      </c>
      <c r="AQ471" s="9">
        <f t="shared" si="938"/>
        <v>0.43291129939882306</v>
      </c>
      <c r="AR471" s="4">
        <f t="shared" si="939"/>
        <v>997.42706328434406</v>
      </c>
      <c r="AS471" s="6">
        <f t="shared" si="940"/>
        <v>5.494854126568689E-6</v>
      </c>
      <c r="AT471" s="8">
        <f t="shared" si="941"/>
        <v>27.359411227769954</v>
      </c>
      <c r="AU471" s="7">
        <f t="shared" si="942"/>
        <v>1.3751935957916869E-2</v>
      </c>
      <c r="AV471" s="9">
        <f t="shared" si="943"/>
        <v>0.43372939464695986</v>
      </c>
      <c r="AW471" s="4">
        <f t="shared" si="944"/>
        <v>992.32945487475035</v>
      </c>
      <c r="AX471" s="6">
        <f t="shared" si="945"/>
        <v>5.4846589097495014E-6</v>
      </c>
      <c r="AY471" s="8">
        <f t="shared" si="946"/>
        <v>27.300788731059626</v>
      </c>
      <c r="AZ471" s="7">
        <f t="shared" si="947"/>
        <v>1.372642045458501E-2</v>
      </c>
      <c r="BA471" s="9">
        <f t="shared" si="948"/>
        <v>0.43466073404016708</v>
      </c>
      <c r="BB471" s="4">
        <f t="shared" si="949"/>
        <v>986.62185291429546</v>
      </c>
      <c r="BC471" s="6">
        <f t="shared" si="950"/>
        <v>5.4732437058285913E-6</v>
      </c>
      <c r="BD471" s="8">
        <f t="shared" si="951"/>
        <v>27.235151308514396</v>
      </c>
      <c r="BE471" s="7">
        <f t="shared" si="952"/>
        <v>1.3697851697407656E-2</v>
      </c>
      <c r="BF471" s="9">
        <f t="shared" si="953"/>
        <v>0.43570827770683634</v>
      </c>
      <c r="BG471" s="4">
        <f t="shared" si="954"/>
        <v>980.27198483042685</v>
      </c>
      <c r="BH471" s="6">
        <f t="shared" si="955"/>
        <v>5.4605439696608536E-6</v>
      </c>
      <c r="BI471" s="8">
        <f t="shared" si="956"/>
        <v>27.162127825549909</v>
      </c>
      <c r="BJ471" s="7">
        <f t="shared" si="957"/>
        <v>1.3666068149666739E-2</v>
      </c>
      <c r="BK471" s="9">
        <f t="shared" si="958"/>
        <v>0.43687964897049275</v>
      </c>
      <c r="BL471" s="4">
        <f t="shared" si="959"/>
        <v>973.1647960219542</v>
      </c>
      <c r="BM471" s="6">
        <f t="shared" si="960"/>
        <v>5.446329592043909E-6</v>
      </c>
      <c r="BN471" s="8">
        <f t="shared" si="961"/>
        <v>27.080395154252471</v>
      </c>
      <c r="BO471" s="7">
        <f t="shared" si="962"/>
        <v>1.3630493918546626E-2</v>
      </c>
      <c r="BP471" s="9">
        <f t="shared" si="963"/>
        <v>0.43819821690653848</v>
      </c>
      <c r="BQ471" s="4">
        <f t="shared" si="964"/>
        <v>964.93008933779208</v>
      </c>
      <c r="BR471" s="6">
        <f t="shared" si="965"/>
        <v>5.4298601786755846E-6</v>
      </c>
      <c r="BS471" s="8">
        <f t="shared" si="966"/>
        <v>26.985696027384606</v>
      </c>
      <c r="BT471" s="7">
        <f t="shared" si="967"/>
        <v>1.3589276024005885E-2</v>
      </c>
      <c r="BU471" s="9">
        <f t="shared" si="968"/>
        <v>0.43973595706688101</v>
      </c>
      <c r="BV471" s="4">
        <f t="shared" si="969"/>
        <v>954.50627562825093</v>
      </c>
      <c r="BW471" s="6">
        <f t="shared" si="970"/>
        <v>5.4090125512565024E-6</v>
      </c>
      <c r="BX471" s="8">
        <f t="shared" si="971"/>
        <v>26.865822169724886</v>
      </c>
      <c r="BY471" s="7">
        <f t="shared" si="972"/>
        <v>1.3537100801417991E-2</v>
      </c>
      <c r="BZ471" s="9">
        <f t="shared" si="973"/>
        <v>0.44169803532349577</v>
      </c>
      <c r="CA471" s="4">
        <f t="shared" si="974"/>
        <v>939.223710099556</v>
      </c>
      <c r="CB471" s="6">
        <f t="shared" si="975"/>
        <v>5.3784474201991126E-6</v>
      </c>
      <c r="CC471" s="8">
        <f t="shared" si="976"/>
        <v>26.690072666144893</v>
      </c>
      <c r="CD471" s="7">
        <f t="shared" si="977"/>
        <v>1.346060564519279E-2</v>
      </c>
      <c r="CE471" s="9">
        <f t="shared" si="978"/>
        <v>0.44460654034749408</v>
      </c>
      <c r="CF471" s="4">
        <f t="shared" si="979"/>
        <v>913.3242499451095</v>
      </c>
      <c r="CG471" s="6">
        <f t="shared" si="980"/>
        <v>5.3266484998902196E-6</v>
      </c>
      <c r="CH471" s="8">
        <f t="shared" si="981"/>
        <v>26.392228874368758</v>
      </c>
      <c r="CI471" s="7">
        <f t="shared" si="982"/>
        <v>1.3330968821654044E-2</v>
      </c>
      <c r="CJ471" s="9">
        <f t="shared" si="983"/>
        <v>0.44962405131467775</v>
      </c>
      <c r="CK471" s="4">
        <f t="shared" si="984"/>
        <v>866.51951179701143</v>
      </c>
      <c r="CL471" s="6">
        <f t="shared" si="985"/>
        <v>5.2330390235940228E-6</v>
      </c>
      <c r="CM471" s="8">
        <f t="shared" si="986"/>
        <v>25.85397438566563</v>
      </c>
      <c r="CN471" s="7">
        <f t="shared" si="987"/>
        <v>1.309669298949773E-2</v>
      </c>
      <c r="CO471" s="9">
        <f t="shared" si="988"/>
        <v>0.45898478480342103</v>
      </c>
      <c r="CP471" s="4">
        <f t="shared" si="989"/>
        <v>784.64305118116943</v>
      </c>
      <c r="CQ471" s="6">
        <f t="shared" si="990"/>
        <v>5.0692861023623392E-6</v>
      </c>
      <c r="CR471" s="8">
        <f t="shared" si="991"/>
        <v>24.912395088583448</v>
      </c>
      <c r="CS471" s="7">
        <f t="shared" si="992"/>
        <v>1.268686961041812E-2</v>
      </c>
      <c r="CT471" s="9">
        <f t="shared" si="993"/>
        <v>0.47633239708678077</v>
      </c>
      <c r="CU471" s="4">
        <f t="shared" si="994"/>
        <v>656.18041314007633</v>
      </c>
      <c r="CV471" s="6">
        <f t="shared" si="995"/>
        <v>4.8123608262801526E-6</v>
      </c>
      <c r="CW471" s="8">
        <f t="shared" si="996"/>
        <v>32.668973041498504</v>
      </c>
      <c r="CX471" s="7">
        <f t="shared" si="997"/>
        <v>1.2043864380203084E-2</v>
      </c>
      <c r="CY471" s="9">
        <f t="shared" si="998"/>
        <v>0.36323703394790235</v>
      </c>
      <c r="CZ471" s="5">
        <f t="shared" si="999"/>
        <v>488.6430683612233</v>
      </c>
      <c r="DA471" s="6">
        <f t="shared" si="1000"/>
        <v>7.3847378723432914E-6</v>
      </c>
      <c r="DB471" s="8">
        <f t="shared" si="1001"/>
        <v>39.324351017524521</v>
      </c>
      <c r="DC471" s="7">
        <f t="shared" si="1002"/>
        <v>1.8481735810862154E-2</v>
      </c>
      <c r="DD471" s="9">
        <f t="shared" si="1003"/>
        <v>0.30176164546058676</v>
      </c>
    </row>
    <row r="472" spans="2:108" x14ac:dyDescent="0.25">
      <c r="B472">
        <v>205</v>
      </c>
      <c r="C472">
        <f t="shared" si="911"/>
        <v>0.20041100660077654</v>
      </c>
      <c r="D472" s="4">
        <f t="shared" si="912"/>
        <v>1016.6285863450211</v>
      </c>
      <c r="E472" s="6">
        <f t="shared" si="900"/>
        <v>5.5332571726900423E-6</v>
      </c>
      <c r="F472" s="8">
        <f t="shared" si="913"/>
        <v>27.580228742967741</v>
      </c>
      <c r="G472" s="7">
        <f t="shared" si="898"/>
        <v>1.3848047013585522E-2</v>
      </c>
      <c r="H472" s="9">
        <f t="shared" si="914"/>
        <v>0.43025679664616906</v>
      </c>
      <c r="I472" s="4">
        <f t="shared" si="915"/>
        <v>1016.3038958316694</v>
      </c>
      <c r="J472" s="6">
        <f t="shared" si="901"/>
        <v>5.5326077916633396E-6</v>
      </c>
      <c r="K472" s="8">
        <f t="shared" si="916"/>
        <v>27.576494802064197</v>
      </c>
      <c r="L472" s="7">
        <f t="shared" si="902"/>
        <v>1.3846421811881201E-2</v>
      </c>
      <c r="M472" s="9">
        <f t="shared" si="917"/>
        <v>0.43031505471934178</v>
      </c>
      <c r="N472" s="4">
        <f t="shared" si="918"/>
        <v>1015.3976151761063</v>
      </c>
      <c r="O472" s="6">
        <f t="shared" si="903"/>
        <v>5.5307952303522136E-6</v>
      </c>
      <c r="P472" s="8">
        <f t="shared" si="904"/>
        <v>27.566072574525222</v>
      </c>
      <c r="Q472" s="7">
        <f t="shared" si="899"/>
        <v>1.3848047013585522E-2</v>
      </c>
      <c r="R472" s="9">
        <f t="shared" si="919"/>
        <v>0.43047774896610491</v>
      </c>
      <c r="S472" s="4">
        <f t="shared" si="920"/>
        <v>1013.8958979274244</v>
      </c>
      <c r="T472" s="6">
        <f t="shared" si="905"/>
        <v>5.5277917958548492E-6</v>
      </c>
      <c r="U472" s="8">
        <f t="shared" si="906"/>
        <v>27.548802826165378</v>
      </c>
      <c r="V472" s="7">
        <f t="shared" si="907"/>
        <v>1.3834368850254479E-2</v>
      </c>
      <c r="W472" s="9">
        <f t="shared" si="921"/>
        <v>0.43074760615177166</v>
      </c>
      <c r="X472" s="4">
        <f t="shared" si="922"/>
        <v>1011.7969182965993</v>
      </c>
      <c r="Y472" s="6">
        <f t="shared" si="908"/>
        <v>5.5235938365931992E-6</v>
      </c>
      <c r="Z472" s="8">
        <f t="shared" si="909"/>
        <v>27.524664560410891</v>
      </c>
      <c r="AA472" s="7">
        <f t="shared" si="910"/>
        <v>1.3823862644704634E-2</v>
      </c>
      <c r="AB472" s="9">
        <f t="shared" si="923"/>
        <v>0.43112535826452059</v>
      </c>
      <c r="AC472" s="4">
        <f t="shared" si="924"/>
        <v>1009.0992322896675</v>
      </c>
      <c r="AD472" s="6">
        <f t="shared" si="925"/>
        <v>5.5181984645793353E-6</v>
      </c>
      <c r="AE472" s="8">
        <f t="shared" si="926"/>
        <v>27.493641171331177</v>
      </c>
      <c r="AF472" s="7">
        <f t="shared" si="927"/>
        <v>1.3810359681988111E-2</v>
      </c>
      <c r="AG472" s="9">
        <f t="shared" si="928"/>
        <v>0.43161183328789865</v>
      </c>
      <c r="AH472" s="4">
        <f t="shared" si="929"/>
        <v>1005.8024682342742</v>
      </c>
      <c r="AI472" s="6">
        <f t="shared" si="930"/>
        <v>5.511604936468549E-6</v>
      </c>
      <c r="AJ472" s="8">
        <f t="shared" si="931"/>
        <v>27.455728384694154</v>
      </c>
      <c r="AK472" s="7">
        <f t="shared" si="932"/>
        <v>1.3793858101740905E-2</v>
      </c>
      <c r="AL472" s="9">
        <f t="shared" si="933"/>
        <v>0.4322078330412536</v>
      </c>
      <c r="AM472" s="4">
        <f t="shared" si="934"/>
        <v>1001.9063927189248</v>
      </c>
      <c r="AN472" s="6">
        <f t="shared" si="935"/>
        <v>5.5038127854378506E-6</v>
      </c>
      <c r="AO472" s="8">
        <f t="shared" si="936"/>
        <v>27.410923516267637</v>
      </c>
      <c r="AP472" s="7">
        <f t="shared" si="937"/>
        <v>1.3774356735648136E-2</v>
      </c>
      <c r="AQ472" s="9">
        <f t="shared" si="938"/>
        <v>0.4329143037692767</v>
      </c>
      <c r="AR472" s="4">
        <f t="shared" si="939"/>
        <v>997.41051573998027</v>
      </c>
      <c r="AS472" s="6">
        <f t="shared" si="940"/>
        <v>5.4948210314799611E-6</v>
      </c>
      <c r="AT472" s="8">
        <f t="shared" si="941"/>
        <v>27.359220931009773</v>
      </c>
      <c r="AU472" s="7">
        <f t="shared" si="942"/>
        <v>1.375185313105191E-2</v>
      </c>
      <c r="AV472" s="9">
        <f t="shared" si="943"/>
        <v>0.43373241144699243</v>
      </c>
      <c r="AW472" s="4">
        <f t="shared" si="944"/>
        <v>992.31281124046916</v>
      </c>
      <c r="AX472" s="6">
        <f t="shared" si="945"/>
        <v>5.4846256224809393E-6</v>
      </c>
      <c r="AY472" s="8">
        <f t="shared" si="946"/>
        <v>27.300597329265393</v>
      </c>
      <c r="AZ472" s="7">
        <f t="shared" si="947"/>
        <v>1.372633714675282E-2</v>
      </c>
      <c r="BA472" s="9">
        <f t="shared" si="948"/>
        <v>0.43466378140368717</v>
      </c>
      <c r="BB472" s="4">
        <f t="shared" si="949"/>
        <v>986.60476170799927</v>
      </c>
      <c r="BC472" s="6">
        <f t="shared" si="950"/>
        <v>5.4732095234159994E-6</v>
      </c>
      <c r="BD472" s="8">
        <f t="shared" si="951"/>
        <v>27.23495475964199</v>
      </c>
      <c r="BE472" s="7">
        <f t="shared" si="952"/>
        <v>1.3697766149304281E-2</v>
      </c>
      <c r="BF472" s="9">
        <f t="shared" si="953"/>
        <v>0.43571142212074992</v>
      </c>
      <c r="BG472" s="4">
        <f t="shared" si="954"/>
        <v>980.25323251831537</v>
      </c>
      <c r="BH472" s="6">
        <f t="shared" si="955"/>
        <v>5.4605064650366313E-6</v>
      </c>
      <c r="BI472" s="8">
        <f t="shared" si="956"/>
        <v>27.161912173960626</v>
      </c>
      <c r="BJ472" s="7">
        <f t="shared" si="957"/>
        <v>1.3665974287085761E-2</v>
      </c>
      <c r="BK472" s="9">
        <f t="shared" si="958"/>
        <v>0.43688311756983228</v>
      </c>
      <c r="BL472" s="4">
        <f t="shared" si="959"/>
        <v>973.14065147710187</v>
      </c>
      <c r="BM472" s="6">
        <f t="shared" si="960"/>
        <v>5.4462813029542038E-6</v>
      </c>
      <c r="BN472" s="8">
        <f t="shared" si="961"/>
        <v>27.08011749198667</v>
      </c>
      <c r="BO472" s="7">
        <f t="shared" si="962"/>
        <v>1.3630373065753485E-2</v>
      </c>
      <c r="BP472" s="9">
        <f t="shared" si="963"/>
        <v>0.43820270991177795</v>
      </c>
      <c r="BQ472" s="4">
        <f t="shared" si="964"/>
        <v>964.89046935413137</v>
      </c>
      <c r="BR472" s="6">
        <f t="shared" si="965"/>
        <v>5.4297809387082629E-6</v>
      </c>
      <c r="BS472" s="8">
        <f t="shared" si="966"/>
        <v>26.985240397572511</v>
      </c>
      <c r="BT472" s="7">
        <f t="shared" si="967"/>
        <v>1.3589077710651097E-2</v>
      </c>
      <c r="BU472" s="9">
        <f t="shared" si="968"/>
        <v>0.43974338174824529</v>
      </c>
      <c r="BV472" s="4">
        <f t="shared" si="969"/>
        <v>954.42777374416335</v>
      </c>
      <c r="BW472" s="6">
        <f t="shared" si="970"/>
        <v>5.408855547488327E-6</v>
      </c>
      <c r="BX472" s="8">
        <f t="shared" si="971"/>
        <v>26.864919398057879</v>
      </c>
      <c r="BY472" s="7">
        <f t="shared" si="972"/>
        <v>1.3536707869100705E-2</v>
      </c>
      <c r="BZ472" s="9">
        <f t="shared" si="973"/>
        <v>0.44171287819221072</v>
      </c>
      <c r="CA472" s="4">
        <f t="shared" si="974"/>
        <v>939.06140999682577</v>
      </c>
      <c r="CB472" s="6">
        <f t="shared" si="975"/>
        <v>5.3781228199936519E-6</v>
      </c>
      <c r="CC472" s="8">
        <f t="shared" si="976"/>
        <v>26.688206214963493</v>
      </c>
      <c r="CD472" s="7">
        <f t="shared" si="977"/>
        <v>1.3459793270353603E-2</v>
      </c>
      <c r="CE472" s="9">
        <f t="shared" si="978"/>
        <v>0.44463763409713786</v>
      </c>
      <c r="CF472" s="4">
        <f t="shared" si="979"/>
        <v>913.01228849133565</v>
      </c>
      <c r="CG472" s="6">
        <f t="shared" si="980"/>
        <v>5.3260245769826714E-6</v>
      </c>
      <c r="CH472" s="8">
        <f t="shared" si="981"/>
        <v>26.388641317650361</v>
      </c>
      <c r="CI472" s="7">
        <f t="shared" si="982"/>
        <v>1.3329407333820219E-2</v>
      </c>
      <c r="CJ472" s="9">
        <f t="shared" si="983"/>
        <v>0.44968517806109226</v>
      </c>
      <c r="CK472" s="4">
        <f t="shared" si="984"/>
        <v>866.00157816603053</v>
      </c>
      <c r="CL472" s="6">
        <f t="shared" si="985"/>
        <v>5.2320031563320615E-6</v>
      </c>
      <c r="CM472" s="8">
        <f t="shared" si="986"/>
        <v>25.84801814890935</v>
      </c>
      <c r="CN472" s="7">
        <f t="shared" si="987"/>
        <v>1.309410053118687E-2</v>
      </c>
      <c r="CO472" s="9">
        <f t="shared" si="988"/>
        <v>0.45909055005126592</v>
      </c>
      <c r="CP472" s="4">
        <f t="shared" si="989"/>
        <v>783.95654149883694</v>
      </c>
      <c r="CQ472" s="6">
        <f t="shared" si="990"/>
        <v>5.0679130829976744E-6</v>
      </c>
      <c r="CR472" s="8">
        <f t="shared" si="991"/>
        <v>24.904500227236625</v>
      </c>
      <c r="CS472" s="7">
        <f t="shared" si="992"/>
        <v>1.2683433363715855E-2</v>
      </c>
      <c r="CT472" s="9">
        <f t="shared" si="993"/>
        <v>0.47648339703440823</v>
      </c>
      <c r="CU472" s="4">
        <f t="shared" si="994"/>
        <v>655.58601443628334</v>
      </c>
      <c r="CV472" s="6">
        <f t="shared" si="995"/>
        <v>4.8111720288725671E-6</v>
      </c>
      <c r="CW472" s="8">
        <f t="shared" si="996"/>
        <v>32.788328301220076</v>
      </c>
      <c r="CX472" s="7">
        <f t="shared" si="997"/>
        <v>1.2040889184603804E-2</v>
      </c>
      <c r="CY472" s="9">
        <f t="shared" si="998"/>
        <v>0.36191478750309863</v>
      </c>
      <c r="CZ472" s="5">
        <f t="shared" si="999"/>
        <v>488.62964909112782</v>
      </c>
      <c r="DA472" s="6">
        <f t="shared" si="1000"/>
        <v>7.384937738085733E-6</v>
      </c>
      <c r="DB472" s="8">
        <f t="shared" si="1001"/>
        <v>39.324740176357288</v>
      </c>
      <c r="DC472" s="7">
        <f t="shared" si="1002"/>
        <v>1.8482236013565797E-2</v>
      </c>
      <c r="DD472" s="9">
        <f t="shared" si="1003"/>
        <v>0.30175865921810441</v>
      </c>
    </row>
    <row r="473" spans="2:108" x14ac:dyDescent="0.25">
      <c r="B473">
        <v>206</v>
      </c>
      <c r="C473">
        <f t="shared" si="911"/>
        <v>0.20138862126712181</v>
      </c>
      <c r="D473" s="4">
        <f t="shared" si="912"/>
        <v>1016.612009287637</v>
      </c>
      <c r="E473" s="6">
        <f t="shared" si="900"/>
        <v>5.5332240185752746E-6</v>
      </c>
      <c r="F473" s="8">
        <f t="shared" si="913"/>
        <v>27.580038106807827</v>
      </c>
      <c r="G473" s="7">
        <f t="shared" si="898"/>
        <v>1.3847964038996477E-2</v>
      </c>
      <c r="H473" s="9">
        <f t="shared" si="914"/>
        <v>0.43025977062695808</v>
      </c>
      <c r="I473" s="4">
        <f t="shared" si="915"/>
        <v>1016.2873187700545</v>
      </c>
      <c r="J473" s="6">
        <f t="shared" si="901"/>
        <v>5.5325746375401093E-6</v>
      </c>
      <c r="K473" s="8">
        <f t="shared" si="916"/>
        <v>27.576304165855625</v>
      </c>
      <c r="L473" s="7">
        <f t="shared" si="902"/>
        <v>1.3846338837270974E-2</v>
      </c>
      <c r="M473" s="9">
        <f t="shared" si="917"/>
        <v>0.43031802950631937</v>
      </c>
      <c r="N473" s="4">
        <f t="shared" si="918"/>
        <v>1015.3810350705565</v>
      </c>
      <c r="O473" s="6">
        <f t="shared" si="903"/>
        <v>5.5307620701411143E-6</v>
      </c>
      <c r="P473" s="8">
        <f t="shared" si="904"/>
        <v>27.5658819033114</v>
      </c>
      <c r="Q473" s="7">
        <f t="shared" si="899"/>
        <v>1.3847964038996477E-2</v>
      </c>
      <c r="R473" s="9">
        <f t="shared" si="919"/>
        <v>0.43048072654959768</v>
      </c>
      <c r="S473" s="4">
        <f t="shared" si="920"/>
        <v>1013.8793166726175</v>
      </c>
      <c r="T473" s="6">
        <f t="shared" si="905"/>
        <v>5.5277586333452354E-6</v>
      </c>
      <c r="U473" s="8">
        <f t="shared" si="906"/>
        <v>27.548612141735099</v>
      </c>
      <c r="V473" s="7">
        <f t="shared" si="907"/>
        <v>1.3834285854655706E-2</v>
      </c>
      <c r="W473" s="9">
        <f t="shared" si="921"/>
        <v>0.43075058767626556</v>
      </c>
      <c r="X473" s="4">
        <f t="shared" si="922"/>
        <v>1011.7803408160015</v>
      </c>
      <c r="Y473" s="6">
        <f t="shared" si="908"/>
        <v>5.5235606816320034E-6</v>
      </c>
      <c r="Z473" s="8">
        <f t="shared" si="909"/>
        <v>27.524473919384015</v>
      </c>
      <c r="AA473" s="7">
        <f t="shared" si="910"/>
        <v>1.3823779667997235E-2</v>
      </c>
      <c r="AB473" s="9">
        <f t="shared" si="923"/>
        <v>0.43112834434088493</v>
      </c>
      <c r="AC473" s="4">
        <f t="shared" si="924"/>
        <v>1009.0826641710324</v>
      </c>
      <c r="AD473" s="6">
        <f t="shared" si="925"/>
        <v>5.5181653283420653E-6</v>
      </c>
      <c r="AE473" s="8">
        <f t="shared" si="926"/>
        <v>27.493450637966873</v>
      </c>
      <c r="AF473" s="7">
        <f t="shared" si="927"/>
        <v>1.381027675214096E-2</v>
      </c>
      <c r="AG473" s="9">
        <f t="shared" si="928"/>
        <v>0.43161482441679522</v>
      </c>
      <c r="AH473" s="4">
        <f t="shared" si="929"/>
        <v>1005.785913651726</v>
      </c>
      <c r="AI473" s="6">
        <f t="shared" si="930"/>
        <v>5.5115718273034524E-6</v>
      </c>
      <c r="AJ473" s="8">
        <f t="shared" si="931"/>
        <v>27.45553800699485</v>
      </c>
      <c r="AK473" s="7">
        <f t="shared" si="932"/>
        <v>1.3793775239647109E-2</v>
      </c>
      <c r="AL473" s="9">
        <f t="shared" si="933"/>
        <v>0.43221082998609056</v>
      </c>
      <c r="AM473" s="4">
        <f t="shared" si="934"/>
        <v>1001.8898508561671</v>
      </c>
      <c r="AN473" s="6">
        <f t="shared" si="935"/>
        <v>5.5037797017123341E-6</v>
      </c>
      <c r="AO473" s="8">
        <f t="shared" si="936"/>
        <v>27.410733284845918</v>
      </c>
      <c r="AP473" s="7">
        <f t="shared" si="937"/>
        <v>1.3774273937221814E-2</v>
      </c>
      <c r="AQ473" s="9">
        <f t="shared" si="938"/>
        <v>0.43291730820927593</v>
      </c>
      <c r="AR473" s="4">
        <f t="shared" si="939"/>
        <v>997.39396696414133</v>
      </c>
      <c r="AS473" s="6">
        <f t="shared" si="940"/>
        <v>5.4947879339282825E-6</v>
      </c>
      <c r="AT473" s="8">
        <f t="shared" si="941"/>
        <v>27.359030620087623</v>
      </c>
      <c r="AU473" s="7">
        <f t="shared" si="942"/>
        <v>1.3751770298022941E-2</v>
      </c>
      <c r="AV473" s="9">
        <f t="shared" si="943"/>
        <v>0.43373542851350827</v>
      </c>
      <c r="AW473" s="4">
        <f t="shared" si="944"/>
        <v>992.29616245758757</v>
      </c>
      <c r="AX473" s="6">
        <f t="shared" si="945"/>
        <v>5.4845923249151756E-6</v>
      </c>
      <c r="AY473" s="8">
        <f t="shared" si="946"/>
        <v>27.300405868262256</v>
      </c>
      <c r="AZ473" s="7">
        <f t="shared" si="947"/>
        <v>1.372625381314989E-2</v>
      </c>
      <c r="BA473" s="9">
        <f t="shared" si="948"/>
        <v>0.43466682975263904</v>
      </c>
      <c r="BB473" s="4">
        <f t="shared" si="949"/>
        <v>986.58765250097974</v>
      </c>
      <c r="BC473" s="6">
        <f t="shared" si="950"/>
        <v>5.4731753050019601E-6</v>
      </c>
      <c r="BD473" s="8">
        <f t="shared" si="951"/>
        <v>27.234758003761264</v>
      </c>
      <c r="BE473" s="7">
        <f t="shared" si="952"/>
        <v>1.3697680511100317E-2</v>
      </c>
      <c r="BF473" s="9">
        <f t="shared" si="953"/>
        <v>0.43571456989186613</v>
      </c>
      <c r="BG473" s="4">
        <f t="shared" si="954"/>
        <v>980.23442482409575</v>
      </c>
      <c r="BH473" s="6">
        <f t="shared" si="955"/>
        <v>5.4604688496481924E-6</v>
      </c>
      <c r="BI473" s="8">
        <f t="shared" si="956"/>
        <v>27.161695885477101</v>
      </c>
      <c r="BJ473" s="7">
        <f t="shared" si="957"/>
        <v>1.3665880147295889E-2</v>
      </c>
      <c r="BK473" s="9">
        <f t="shared" si="958"/>
        <v>0.436886596468476</v>
      </c>
      <c r="BL473" s="4">
        <f t="shared" si="959"/>
        <v>973.11635742039095</v>
      </c>
      <c r="BM473" s="6">
        <f t="shared" si="960"/>
        <v>5.4462327148407822E-6</v>
      </c>
      <c r="BN473" s="8">
        <f t="shared" si="961"/>
        <v>27.079838110334496</v>
      </c>
      <c r="BO473" s="7">
        <f t="shared" si="962"/>
        <v>1.363025146459562E-2</v>
      </c>
      <c r="BP473" s="9">
        <f t="shared" si="963"/>
        <v>0.43820723083234564</v>
      </c>
      <c r="BQ473" s="4">
        <f t="shared" si="964"/>
        <v>964.85050219166067</v>
      </c>
      <c r="BR473" s="6">
        <f t="shared" si="965"/>
        <v>5.4297010043833219E-6</v>
      </c>
      <c r="BS473" s="8">
        <f t="shared" si="966"/>
        <v>26.984780775204097</v>
      </c>
      <c r="BT473" s="7">
        <f t="shared" si="967"/>
        <v>1.3588877659531975E-2</v>
      </c>
      <c r="BU473" s="9">
        <f t="shared" si="968"/>
        <v>0.43975087174404315</v>
      </c>
      <c r="BV473" s="4">
        <f t="shared" si="969"/>
        <v>954.34860311463069</v>
      </c>
      <c r="BW473" s="6">
        <f t="shared" si="970"/>
        <v>5.408697206229262E-6</v>
      </c>
      <c r="BX473" s="8">
        <f t="shared" si="971"/>
        <v>26.864008935818251</v>
      </c>
      <c r="BY473" s="7">
        <f t="shared" si="972"/>
        <v>1.3536311589453603E-2</v>
      </c>
      <c r="BZ473" s="9">
        <f t="shared" si="973"/>
        <v>0.44172784851541569</v>
      </c>
      <c r="CA473" s="4">
        <f t="shared" si="974"/>
        <v>938.89811776207637</v>
      </c>
      <c r="CB473" s="6">
        <f t="shared" si="975"/>
        <v>5.3777962355241529E-6</v>
      </c>
      <c r="CC473" s="8">
        <f t="shared" si="976"/>
        <v>26.686328354263878</v>
      </c>
      <c r="CD473" s="7">
        <f t="shared" si="977"/>
        <v>1.3458975929509615E-2</v>
      </c>
      <c r="CE473" s="9">
        <f t="shared" si="978"/>
        <v>0.44466892231062144</v>
      </c>
      <c r="CF473" s="4">
        <f t="shared" si="979"/>
        <v>912.69943851827725</v>
      </c>
      <c r="CG473" s="6">
        <f t="shared" si="980"/>
        <v>5.3253988770365553E-6</v>
      </c>
      <c r="CH473" s="8">
        <f t="shared" si="981"/>
        <v>26.38504354296019</v>
      </c>
      <c r="CI473" s="7">
        <f t="shared" si="982"/>
        <v>1.332784139860344E-2</v>
      </c>
      <c r="CJ473" s="9">
        <f t="shared" si="983"/>
        <v>0.44974649560068769</v>
      </c>
      <c r="CK473" s="4">
        <f t="shared" si="984"/>
        <v>865.48405697023031</v>
      </c>
      <c r="CL473" s="6">
        <f t="shared" si="985"/>
        <v>5.2309681139404609E-6</v>
      </c>
      <c r="CM473" s="8">
        <f t="shared" si="986"/>
        <v>25.842066655157648</v>
      </c>
      <c r="CN473" s="7">
        <f t="shared" si="987"/>
        <v>1.3091510137273736E-2</v>
      </c>
      <c r="CO473" s="9">
        <f t="shared" si="988"/>
        <v>0.45919627977391375</v>
      </c>
      <c r="CP473" s="4">
        <f t="shared" si="989"/>
        <v>783.27355260822276</v>
      </c>
      <c r="CQ473" s="6">
        <f t="shared" si="990"/>
        <v>5.0665471052164455E-6</v>
      </c>
      <c r="CR473" s="8">
        <f t="shared" si="991"/>
        <v>24.89664585499456</v>
      </c>
      <c r="CS473" s="7">
        <f t="shared" si="992"/>
        <v>1.2680014739939008E-2</v>
      </c>
      <c r="CT473" s="9">
        <f t="shared" si="993"/>
        <v>0.4766337176032619</v>
      </c>
      <c r="CU473" s="4">
        <f t="shared" si="994"/>
        <v>654.99819940261148</v>
      </c>
      <c r="CV473" s="6">
        <f t="shared" si="995"/>
        <v>4.8099963988052229E-6</v>
      </c>
      <c r="CW473" s="8">
        <f t="shared" si="996"/>
        <v>32.906361559981377</v>
      </c>
      <c r="CX473" s="7">
        <f t="shared" si="997"/>
        <v>1.2037946942821962E-2</v>
      </c>
      <c r="CY473" s="9">
        <f t="shared" si="998"/>
        <v>0.36061661961890307</v>
      </c>
      <c r="CZ473" s="5">
        <f t="shared" si="999"/>
        <v>488.61687867252243</v>
      </c>
      <c r="DA473" s="6">
        <f t="shared" si="1000"/>
        <v>7.3851279384240884E-6</v>
      </c>
      <c r="DB473" s="8">
        <f t="shared" si="1001"/>
        <v>39.325110518496842</v>
      </c>
      <c r="DC473" s="7">
        <f t="shared" si="1002"/>
        <v>1.8482712026725016E-2</v>
      </c>
      <c r="DD473" s="9">
        <f t="shared" si="1003"/>
        <v>0.30175581742195917</v>
      </c>
    </row>
    <row r="474" spans="2:108" x14ac:dyDescent="0.25">
      <c r="B474">
        <v>207</v>
      </c>
      <c r="C474">
        <f t="shared" si="911"/>
        <v>0.20236623593346706</v>
      </c>
      <c r="D474" s="4">
        <f t="shared" si="912"/>
        <v>1016.5954322300369</v>
      </c>
      <c r="E474" s="6">
        <f t="shared" si="900"/>
        <v>5.533190864460075E-6</v>
      </c>
      <c r="F474" s="8">
        <f t="shared" si="913"/>
        <v>27.579847470645422</v>
      </c>
      <c r="G474" s="7">
        <f t="shared" si="898"/>
        <v>1.3847881064406346E-2</v>
      </c>
      <c r="H474" s="9">
        <f t="shared" si="914"/>
        <v>0.43026274464889913</v>
      </c>
      <c r="I474" s="4">
        <f t="shared" si="915"/>
        <v>1016.2707417445678</v>
      </c>
      <c r="J474" s="6">
        <f t="shared" si="901"/>
        <v>5.5325414834891359E-6</v>
      </c>
      <c r="K474" s="8">
        <f t="shared" si="916"/>
        <v>27.576113530062528</v>
      </c>
      <c r="L474" s="7">
        <f t="shared" si="902"/>
        <v>1.3846255862841585E-2</v>
      </c>
      <c r="M474" s="9">
        <f t="shared" si="917"/>
        <v>0.43032100432794351</v>
      </c>
      <c r="N474" s="4">
        <f t="shared" si="918"/>
        <v>1015.3644550760824</v>
      </c>
      <c r="O474" s="6">
        <f t="shared" si="903"/>
        <v>5.5307289101521655E-6</v>
      </c>
      <c r="P474" s="8">
        <f t="shared" si="904"/>
        <v>27.565691233374949</v>
      </c>
      <c r="Q474" s="7">
        <f t="shared" si="899"/>
        <v>1.3847881064406346E-2</v>
      </c>
      <c r="R474" s="9">
        <f t="shared" si="919"/>
        <v>0.43048370415433396</v>
      </c>
      <c r="S474" s="4">
        <f t="shared" si="920"/>
        <v>1013.8627355914006</v>
      </c>
      <c r="T474" s="6">
        <f t="shared" si="905"/>
        <v>5.5277254711828009E-6</v>
      </c>
      <c r="U474" s="8">
        <f t="shared" si="906"/>
        <v>27.548421459301103</v>
      </c>
      <c r="V474" s="7">
        <f t="shared" si="907"/>
        <v>1.3834202859925815E-2</v>
      </c>
      <c r="W474" s="9">
        <f t="shared" si="921"/>
        <v>0.43075356921082009</v>
      </c>
      <c r="X474" s="4">
        <f t="shared" si="922"/>
        <v>1011.7637635348736</v>
      </c>
      <c r="Y474" s="6">
        <f t="shared" si="908"/>
        <v>5.5235275270697482E-6</v>
      </c>
      <c r="Z474" s="8">
        <f t="shared" si="909"/>
        <v>27.524283280651048</v>
      </c>
      <c r="AA474" s="7">
        <f t="shared" si="910"/>
        <v>1.3823696692288267E-2</v>
      </c>
      <c r="AB474" s="9">
        <f t="shared" si="923"/>
        <v>0.43113133042268309</v>
      </c>
      <c r="AC474" s="4">
        <f t="shared" si="924"/>
        <v>1009.0660962412011</v>
      </c>
      <c r="AD474" s="6">
        <f t="shared" si="925"/>
        <v>5.5181321924824027E-6</v>
      </c>
      <c r="AE474" s="8">
        <f t="shared" si="926"/>
        <v>27.49326010677381</v>
      </c>
      <c r="AF474" s="7">
        <f t="shared" si="927"/>
        <v>1.3810193823238849E-2</v>
      </c>
      <c r="AG474" s="9">
        <f t="shared" si="928"/>
        <v>0.43161781555306356</v>
      </c>
      <c r="AH474" s="4">
        <f t="shared" si="929"/>
        <v>1005.7693591875293</v>
      </c>
      <c r="AI474" s="6">
        <f t="shared" si="930"/>
        <v>5.5115387183750583E-6</v>
      </c>
      <c r="AJ474" s="8">
        <f t="shared" si="931"/>
        <v>27.455347630656586</v>
      </c>
      <c r="AK474" s="7">
        <f t="shared" si="932"/>
        <v>1.3793692378145707E-2</v>
      </c>
      <c r="AL474" s="9">
        <f t="shared" si="933"/>
        <v>0.43221382695106353</v>
      </c>
      <c r="AM474" s="4">
        <f t="shared" si="934"/>
        <v>1001.8733088276903</v>
      </c>
      <c r="AN474" s="6">
        <f t="shared" si="935"/>
        <v>5.5037466176553802E-6</v>
      </c>
      <c r="AO474" s="8">
        <f t="shared" si="936"/>
        <v>27.410543051518438</v>
      </c>
      <c r="AP474" s="7">
        <f t="shared" si="937"/>
        <v>1.3774191137966005E-2</v>
      </c>
      <c r="AQ474" s="9">
        <f t="shared" si="938"/>
        <v>0.43292031272107673</v>
      </c>
      <c r="AR474" s="4">
        <f t="shared" si="939"/>
        <v>997.37741691343945</v>
      </c>
      <c r="AS474" s="6">
        <f t="shared" si="940"/>
        <v>5.4947548338268798E-6</v>
      </c>
      <c r="AT474" s="8">
        <f t="shared" si="941"/>
        <v>27.358840294504553</v>
      </c>
      <c r="AU474" s="7">
        <f t="shared" si="942"/>
        <v>1.3751687458612794E-2</v>
      </c>
      <c r="AV474" s="9">
        <f t="shared" si="943"/>
        <v>0.43373844585442772</v>
      </c>
      <c r="AW474" s="4">
        <f t="shared" si="944"/>
        <v>992.27950839049379</v>
      </c>
      <c r="AX474" s="6">
        <f t="shared" si="945"/>
        <v>5.4845590167809876E-6</v>
      </c>
      <c r="AY474" s="8">
        <f t="shared" si="946"/>
        <v>27.300214346490677</v>
      </c>
      <c r="AZ474" s="7">
        <f t="shared" si="947"/>
        <v>1.3726170453097434E-2</v>
      </c>
      <c r="BA474" s="9">
        <f t="shared" si="948"/>
        <v>0.43466987911189409</v>
      </c>
      <c r="BB474" s="4">
        <f t="shared" si="949"/>
        <v>986.57052492232117</v>
      </c>
      <c r="BC474" s="6">
        <f t="shared" si="950"/>
        <v>5.4731410498446429E-6</v>
      </c>
      <c r="BD474" s="8">
        <f t="shared" si="951"/>
        <v>27.234561036606692</v>
      </c>
      <c r="BE474" s="7">
        <f t="shared" si="952"/>
        <v>1.3697594780939187E-2</v>
      </c>
      <c r="BF474" s="9">
        <f t="shared" si="953"/>
        <v>0.43571772108857248</v>
      </c>
      <c r="BG474" s="4">
        <f t="shared" si="954"/>
        <v>980.21556088939133</v>
      </c>
      <c r="BH474" s="6">
        <f t="shared" si="955"/>
        <v>5.4604311217787832E-6</v>
      </c>
      <c r="BI474" s="8">
        <f t="shared" si="956"/>
        <v>27.161478950228002</v>
      </c>
      <c r="BJ474" s="7">
        <f t="shared" si="957"/>
        <v>1.3665785726000619E-2</v>
      </c>
      <c r="BK474" s="9">
        <f t="shared" si="958"/>
        <v>0.43689008582569422</v>
      </c>
      <c r="BL474" s="4">
        <f t="shared" si="959"/>
        <v>973.0919122733186</v>
      </c>
      <c r="BM474" s="6">
        <f t="shared" si="960"/>
        <v>5.446183824546638E-6</v>
      </c>
      <c r="BN474" s="8">
        <f t="shared" si="961"/>
        <v>27.079556991143164</v>
      </c>
      <c r="BO474" s="7">
        <f t="shared" si="962"/>
        <v>1.363012910717201E-2</v>
      </c>
      <c r="BP474" s="9">
        <f t="shared" si="963"/>
        <v>0.43821177996372201</v>
      </c>
      <c r="BQ474" s="4">
        <f t="shared" si="964"/>
        <v>964.81018589784833</v>
      </c>
      <c r="BR474" s="6">
        <f t="shared" si="965"/>
        <v>5.4296203717956976E-6</v>
      </c>
      <c r="BS474" s="8">
        <f t="shared" si="966"/>
        <v>26.984317137825254</v>
      </c>
      <c r="BT474" s="7">
        <f t="shared" si="967"/>
        <v>1.3588675860875341E-2</v>
      </c>
      <c r="BU474" s="9">
        <f t="shared" si="968"/>
        <v>0.43975842742686727</v>
      </c>
      <c r="BV474" s="4">
        <f t="shared" si="969"/>
        <v>954.26876343191191</v>
      </c>
      <c r="BW474" s="6">
        <f t="shared" si="970"/>
        <v>5.4085375268638245E-6</v>
      </c>
      <c r="BX474" s="8">
        <f t="shared" si="971"/>
        <v>26.863090779466987</v>
      </c>
      <c r="BY474" s="7">
        <f t="shared" si="972"/>
        <v>1.3535911960936316E-2</v>
      </c>
      <c r="BZ474" s="9">
        <f t="shared" si="973"/>
        <v>0.44174294637712397</v>
      </c>
      <c r="CA474" s="4">
        <f t="shared" si="974"/>
        <v>938.73383917498461</v>
      </c>
      <c r="CB474" s="6">
        <f t="shared" si="975"/>
        <v>5.3774676783499699E-6</v>
      </c>
      <c r="CC474" s="8">
        <f t="shared" si="976"/>
        <v>26.684439150512322</v>
      </c>
      <c r="CD474" s="7">
        <f t="shared" si="977"/>
        <v>1.3458153651590348E-2</v>
      </c>
      <c r="CE474" s="9">
        <f t="shared" si="978"/>
        <v>0.44470040396146265</v>
      </c>
      <c r="CF474" s="4">
        <f t="shared" si="979"/>
        <v>912.38571695596931</v>
      </c>
      <c r="CG474" s="6">
        <f t="shared" si="980"/>
        <v>5.3247714339119388E-6</v>
      </c>
      <c r="CH474" s="8">
        <f t="shared" si="981"/>
        <v>26.381435744993645</v>
      </c>
      <c r="CI474" s="7">
        <f t="shared" si="982"/>
        <v>1.3326271100745078E-2</v>
      </c>
      <c r="CJ474" s="9">
        <f t="shared" si="983"/>
        <v>0.4498080007631805</v>
      </c>
      <c r="CK474" s="4">
        <f t="shared" si="984"/>
        <v>864.96697411043431</v>
      </c>
      <c r="CL474" s="6">
        <f t="shared" si="985"/>
        <v>5.2299339482208694E-6</v>
      </c>
      <c r="CM474" s="8">
        <f t="shared" si="986"/>
        <v>25.836120202269996</v>
      </c>
      <c r="CN474" s="7">
        <f t="shared" si="987"/>
        <v>1.3088921937401981E-2</v>
      </c>
      <c r="CO474" s="9">
        <f t="shared" si="988"/>
        <v>0.45930196859338368</v>
      </c>
      <c r="CP474" s="4">
        <f t="shared" si="989"/>
        <v>782.59408470435528</v>
      </c>
      <c r="CQ474" s="6">
        <f t="shared" si="990"/>
        <v>5.0651881694087112E-6</v>
      </c>
      <c r="CR474" s="8">
        <f t="shared" si="991"/>
        <v>24.888831974100086</v>
      </c>
      <c r="CS474" s="7">
        <f t="shared" si="992"/>
        <v>1.2676613740063776E-2</v>
      </c>
      <c r="CT474" s="9">
        <f t="shared" si="993"/>
        <v>0.47678335737356203</v>
      </c>
      <c r="CU474" s="4">
        <f t="shared" si="994"/>
        <v>654.41684874896976</v>
      </c>
      <c r="CV474" s="6">
        <f t="shared" si="995"/>
        <v>4.8088336974979395E-6</v>
      </c>
      <c r="CW474" s="8">
        <f t="shared" si="996"/>
        <v>33.023096771232559</v>
      </c>
      <c r="CX474" s="7">
        <f t="shared" si="997"/>
        <v>1.2035037057764479E-2</v>
      </c>
      <c r="CY474" s="9">
        <f t="shared" si="998"/>
        <v>0.35934185554806125</v>
      </c>
      <c r="CZ474" s="5">
        <f t="shared" si="999"/>
        <v>488.60463151737207</v>
      </c>
      <c r="DA474" s="6">
        <f t="shared" si="1000"/>
        <v>7.385310344039961E-6</v>
      </c>
      <c r="DB474" s="8">
        <f t="shared" si="1001"/>
        <v>39.325465685996207</v>
      </c>
      <c r="DC474" s="7">
        <f t="shared" si="1002"/>
        <v>1.8483168532082588E-2</v>
      </c>
      <c r="DD474" s="9">
        <f t="shared" si="1003"/>
        <v>0.30175309211770091</v>
      </c>
    </row>
    <row r="475" spans="2:108" x14ac:dyDescent="0.25">
      <c r="B475">
        <v>208</v>
      </c>
      <c r="C475">
        <f t="shared" si="911"/>
        <v>0.2033438505998123</v>
      </c>
      <c r="D475" s="4">
        <f t="shared" si="912"/>
        <v>1016.5788551740764</v>
      </c>
      <c r="E475" s="6">
        <f t="shared" si="900"/>
        <v>5.5331577103481533E-6</v>
      </c>
      <c r="F475" s="8">
        <f t="shared" si="913"/>
        <v>27.579656834501876</v>
      </c>
      <c r="G475" s="7">
        <f t="shared" si="898"/>
        <v>1.3847798089824422E-2</v>
      </c>
      <c r="H475" s="9">
        <f t="shared" si="914"/>
        <v>0.43026571871166014</v>
      </c>
      <c r="I475" s="4">
        <f t="shared" si="915"/>
        <v>1016.254164756515</v>
      </c>
      <c r="J475" s="6">
        <f t="shared" si="901"/>
        <v>5.5325083295130309E-6</v>
      </c>
      <c r="K475" s="8">
        <f t="shared" si="916"/>
        <v>27.575922894699922</v>
      </c>
      <c r="L475" s="7">
        <f t="shared" si="902"/>
        <v>1.3846172888599568E-2</v>
      </c>
      <c r="M475" s="9">
        <f t="shared" si="917"/>
        <v>0.43032397918398041</v>
      </c>
      <c r="N475" s="4">
        <f t="shared" si="918"/>
        <v>1015.3478751929874</v>
      </c>
      <c r="O475" s="6">
        <f t="shared" si="903"/>
        <v>5.5306957503859746E-6</v>
      </c>
      <c r="P475" s="8">
        <f t="shared" si="904"/>
        <v>27.565500564719354</v>
      </c>
      <c r="Q475" s="7">
        <f t="shared" si="899"/>
        <v>1.3847798089824422E-2</v>
      </c>
      <c r="R475" s="9">
        <f t="shared" si="919"/>
        <v>0.43048668178025928</v>
      </c>
      <c r="S475" s="4">
        <f t="shared" si="920"/>
        <v>1013.8461546834693</v>
      </c>
      <c r="T475" s="6">
        <f t="shared" si="905"/>
        <v>5.5276923093669393E-6</v>
      </c>
      <c r="U475" s="8">
        <f t="shared" si="906"/>
        <v>27.548230778859896</v>
      </c>
      <c r="V475" s="7">
        <f t="shared" si="907"/>
        <v>1.3834119866063289E-2</v>
      </c>
      <c r="W475" s="9">
        <f t="shared" si="921"/>
        <v>0.43075655075548941</v>
      </c>
      <c r="X475" s="4">
        <f t="shared" si="922"/>
        <v>1011.7471864527341</v>
      </c>
      <c r="Y475" s="6">
        <f t="shared" si="908"/>
        <v>5.523494372905469E-6</v>
      </c>
      <c r="Z475" s="8">
        <f t="shared" si="909"/>
        <v>27.524092644206441</v>
      </c>
      <c r="AA475" s="7">
        <f t="shared" si="910"/>
        <v>1.3823613717575305E-2</v>
      </c>
      <c r="AB475" s="9">
        <f t="shared" si="923"/>
        <v>0.43113431651000134</v>
      </c>
      <c r="AC475" s="4">
        <f t="shared" si="924"/>
        <v>1009.0495284992325</v>
      </c>
      <c r="AD475" s="6">
        <f t="shared" si="925"/>
        <v>5.5180990569984652E-6</v>
      </c>
      <c r="AE475" s="8">
        <f t="shared" si="926"/>
        <v>27.493069577741174</v>
      </c>
      <c r="AF475" s="7">
        <f t="shared" si="927"/>
        <v>1.3810110895277058E-2</v>
      </c>
      <c r="AG475" s="9">
        <f t="shared" si="928"/>
        <v>0.43162080669687281</v>
      </c>
      <c r="AH475" s="4">
        <f t="shared" si="929"/>
        <v>1005.7528048383246</v>
      </c>
      <c r="AI475" s="6">
        <f t="shared" si="930"/>
        <v>5.5115056096766497E-6</v>
      </c>
      <c r="AJ475" s="8">
        <f t="shared" si="931"/>
        <v>27.455157255640732</v>
      </c>
      <c r="AK475" s="7">
        <f t="shared" si="932"/>
        <v>1.379360951721989E-2</v>
      </c>
      <c r="AL475" s="9">
        <f t="shared" si="933"/>
        <v>0.43221682393678074</v>
      </c>
      <c r="AM475" s="4">
        <f t="shared" si="934"/>
        <v>1001.8567666207437</v>
      </c>
      <c r="AN475" s="6">
        <f t="shared" si="935"/>
        <v>5.5037135332414876E-6</v>
      </c>
      <c r="AO475" s="8">
        <f t="shared" si="936"/>
        <v>27.410352816138552</v>
      </c>
      <c r="AP475" s="7">
        <f t="shared" si="937"/>
        <v>1.3774108337816887E-2</v>
      </c>
      <c r="AQ475" s="9">
        <f t="shared" si="938"/>
        <v>0.43292331730699735</v>
      </c>
      <c r="AR475" s="4">
        <f t="shared" si="939"/>
        <v>997.36086554353801</v>
      </c>
      <c r="AS475" s="6">
        <f t="shared" si="940"/>
        <v>5.4947217310870769E-6</v>
      </c>
      <c r="AT475" s="8">
        <f t="shared" si="941"/>
        <v>27.358649953750685</v>
      </c>
      <c r="AU475" s="7">
        <f t="shared" si="942"/>
        <v>1.3751604612599539E-2</v>
      </c>
      <c r="AV475" s="9">
        <f t="shared" si="943"/>
        <v>0.43374146347784498</v>
      </c>
      <c r="AW475" s="4">
        <f t="shared" si="944"/>
        <v>992.26284890136094</v>
      </c>
      <c r="AX475" s="6">
        <f t="shared" si="945"/>
        <v>5.4845256978027222E-6</v>
      </c>
      <c r="AY475" s="8">
        <f t="shared" si="946"/>
        <v>27.30002276236565</v>
      </c>
      <c r="AZ475" s="7">
        <f t="shared" si="947"/>
        <v>1.3726087065905574E-2</v>
      </c>
      <c r="BA475" s="9">
        <f t="shared" si="948"/>
        <v>0.43467292950673037</v>
      </c>
      <c r="BB475" s="4">
        <f t="shared" si="949"/>
        <v>986.55337859715848</v>
      </c>
      <c r="BC475" s="6">
        <f t="shared" si="950"/>
        <v>5.4731067571943178E-6</v>
      </c>
      <c r="BD475" s="8">
        <f t="shared" si="951"/>
        <v>27.234363853867322</v>
      </c>
      <c r="BE475" s="7">
        <f t="shared" si="952"/>
        <v>1.3697508956944549E-2</v>
      </c>
      <c r="BF475" s="9">
        <f t="shared" si="953"/>
        <v>0.43572087577998725</v>
      </c>
      <c r="BG475" s="4">
        <f t="shared" si="954"/>
        <v>980.19663985190653</v>
      </c>
      <c r="BH475" s="6">
        <f t="shared" si="955"/>
        <v>5.4603932797038134E-6</v>
      </c>
      <c r="BI475" s="8">
        <f t="shared" si="956"/>
        <v>27.161261358296926</v>
      </c>
      <c r="BJ475" s="7">
        <f t="shared" si="957"/>
        <v>1.3665691018883831E-2</v>
      </c>
      <c r="BK475" s="9">
        <f t="shared" si="958"/>
        <v>0.4368935858014939</v>
      </c>
      <c r="BL475" s="4">
        <f t="shared" si="959"/>
        <v>973.06731446153844</v>
      </c>
      <c r="BM475" s="6">
        <f t="shared" si="960"/>
        <v>5.4461346289230771E-6</v>
      </c>
      <c r="BN475" s="8">
        <f t="shared" si="961"/>
        <v>27.07927411630769</v>
      </c>
      <c r="BO475" s="7">
        <f t="shared" si="962"/>
        <v>1.3630005985602442E-2</v>
      </c>
      <c r="BP475" s="9">
        <f t="shared" si="963"/>
        <v>0.43821635760064936</v>
      </c>
      <c r="BQ475" s="4">
        <f t="shared" si="964"/>
        <v>964.76951854847982</v>
      </c>
      <c r="BR475" s="6">
        <f t="shared" si="965"/>
        <v>5.4295390370969602E-6</v>
      </c>
      <c r="BS475" s="8">
        <f t="shared" si="966"/>
        <v>26.983849463307518</v>
      </c>
      <c r="BT475" s="7">
        <f t="shared" si="967"/>
        <v>1.3588472305049761E-2</v>
      </c>
      <c r="BU475" s="9">
        <f t="shared" si="968"/>
        <v>0.43976604916411227</v>
      </c>
      <c r="BV475" s="4">
        <f t="shared" si="969"/>
        <v>954.18825445271762</v>
      </c>
      <c r="BW475" s="6">
        <f t="shared" si="970"/>
        <v>5.4083765089054355E-6</v>
      </c>
      <c r="BX475" s="8">
        <f t="shared" si="971"/>
        <v>26.862164926206251</v>
      </c>
      <c r="BY475" s="7">
        <f t="shared" si="972"/>
        <v>1.3535508982331093E-2</v>
      </c>
      <c r="BZ475" s="9">
        <f t="shared" si="973"/>
        <v>0.4417581718493982</v>
      </c>
      <c r="CA475" s="4">
        <f t="shared" si="974"/>
        <v>938.56858009178166</v>
      </c>
      <c r="CB475" s="6">
        <f t="shared" si="975"/>
        <v>5.3771371601835637E-6</v>
      </c>
      <c r="CC475" s="8">
        <f t="shared" si="976"/>
        <v>26.682538671055489</v>
      </c>
      <c r="CD475" s="7">
        <f t="shared" si="977"/>
        <v>1.3457326465908498E-2</v>
      </c>
      <c r="CE475" s="9">
        <f t="shared" si="978"/>
        <v>0.4447320780083962</v>
      </c>
      <c r="CF475" s="4">
        <f t="shared" si="979"/>
        <v>912.07114071081082</v>
      </c>
      <c r="CG475" s="6">
        <f t="shared" si="980"/>
        <v>5.3241422814216216E-6</v>
      </c>
      <c r="CH475" s="8">
        <f t="shared" si="981"/>
        <v>26.377818118174325</v>
      </c>
      <c r="CI475" s="7">
        <f t="shared" si="982"/>
        <v>1.3324696524868208E-2</v>
      </c>
      <c r="CJ475" s="9">
        <f t="shared" si="983"/>
        <v>0.44986969037980518</v>
      </c>
      <c r="CK475" s="4">
        <f t="shared" si="984"/>
        <v>864.45035500607571</v>
      </c>
      <c r="CL475" s="6">
        <f t="shared" si="985"/>
        <v>5.2289007100121518E-6</v>
      </c>
      <c r="CM475" s="8">
        <f t="shared" si="986"/>
        <v>25.83017908256987</v>
      </c>
      <c r="CN475" s="7">
        <f t="shared" si="987"/>
        <v>1.3086336058805704E-2</v>
      </c>
      <c r="CO475" s="9">
        <f t="shared" si="988"/>
        <v>0.4594076112203741</v>
      </c>
      <c r="CP475" s="4">
        <f t="shared" si="989"/>
        <v>781.91813669640976</v>
      </c>
      <c r="CQ475" s="6">
        <f t="shared" si="990"/>
        <v>5.0638362733928203E-6</v>
      </c>
      <c r="CR475" s="8">
        <f t="shared" si="991"/>
        <v>24.881058572008712</v>
      </c>
      <c r="CS475" s="7">
        <f t="shared" si="992"/>
        <v>1.2673230358630152E-2</v>
      </c>
      <c r="CT475" s="9">
        <f t="shared" si="993"/>
        <v>0.47693231521378471</v>
      </c>
      <c r="CU475" s="4">
        <f t="shared" si="994"/>
        <v>653.84184469689126</v>
      </c>
      <c r="CV475" s="6">
        <f t="shared" si="995"/>
        <v>4.8076836893937832E-6</v>
      </c>
      <c r="CW475" s="8">
        <f t="shared" si="996"/>
        <v>33.138557584889867</v>
      </c>
      <c r="CX475" s="7">
        <f t="shared" si="997"/>
        <v>1.2032158939904539E-2</v>
      </c>
      <c r="CY475" s="9">
        <f t="shared" si="998"/>
        <v>0.35808984260463661</v>
      </c>
      <c r="CZ475" s="5">
        <f t="shared" si="999"/>
        <v>488.59279074476518</v>
      </c>
      <c r="DA475" s="6">
        <f t="shared" si="1000"/>
        <v>7.3854866958730423E-6</v>
      </c>
      <c r="DB475" s="8">
        <f t="shared" si="1001"/>
        <v>39.32580906840181</v>
      </c>
      <c r="DC475" s="7">
        <f t="shared" si="1002"/>
        <v>1.8483609886677035E-2</v>
      </c>
      <c r="DD475" s="9">
        <f t="shared" si="1003"/>
        <v>0.30175045729072275</v>
      </c>
    </row>
    <row r="476" spans="2:108" x14ac:dyDescent="0.25">
      <c r="B476">
        <v>209</v>
      </c>
      <c r="C476">
        <f t="shared" si="911"/>
        <v>0.20432146526615755</v>
      </c>
      <c r="D476" s="4">
        <f t="shared" si="912"/>
        <v>1016.5622781215828</v>
      </c>
      <c r="E476" s="6">
        <f t="shared" si="900"/>
        <v>5.5331245562431655E-6</v>
      </c>
      <c r="F476" s="8">
        <f t="shared" si="913"/>
        <v>27.579466198398201</v>
      </c>
      <c r="G476" s="7">
        <f t="shared" si="898"/>
        <v>1.384771511525985E-2</v>
      </c>
      <c r="H476" s="9">
        <f t="shared" si="914"/>
        <v>0.43026869281491398</v>
      </c>
      <c r="I476" s="4">
        <f t="shared" si="915"/>
        <v>1016.237587807185</v>
      </c>
      <c r="J476" s="6">
        <f t="shared" si="901"/>
        <v>5.532475175614371E-6</v>
      </c>
      <c r="K476" s="8">
        <f t="shared" si="916"/>
        <v>27.575732259782626</v>
      </c>
      <c r="L476" s="7">
        <f t="shared" si="902"/>
        <v>1.3846089914551371E-2</v>
      </c>
      <c r="M476" s="9">
        <f t="shared" si="917"/>
        <v>0.43032695407419946</v>
      </c>
      <c r="N476" s="4">
        <f t="shared" si="918"/>
        <v>1015.3312954215747</v>
      </c>
      <c r="O476" s="6">
        <f t="shared" si="903"/>
        <v>5.5306625908431496E-6</v>
      </c>
      <c r="P476" s="8">
        <f t="shared" si="904"/>
        <v>27.565309897348108</v>
      </c>
      <c r="Q476" s="7">
        <f t="shared" si="899"/>
        <v>1.384771511525985E-2</v>
      </c>
      <c r="R476" s="9">
        <f t="shared" si="919"/>
        <v>0.4304896594273192</v>
      </c>
      <c r="S476" s="4">
        <f t="shared" si="920"/>
        <v>1013.8295739485237</v>
      </c>
      <c r="T476" s="6">
        <f t="shared" si="905"/>
        <v>5.5276591478970475E-6</v>
      </c>
      <c r="U476" s="8">
        <f t="shared" si="906"/>
        <v>27.548040100408024</v>
      </c>
      <c r="V476" s="7">
        <f t="shared" si="907"/>
        <v>1.3834036873066622E-2</v>
      </c>
      <c r="W476" s="9">
        <f t="shared" si="921"/>
        <v>0.43075953231032715</v>
      </c>
      <c r="X476" s="4">
        <f t="shared" si="922"/>
        <v>1011.7306095690965</v>
      </c>
      <c r="Y476" s="6">
        <f t="shared" si="908"/>
        <v>5.5234612191381932E-6</v>
      </c>
      <c r="Z476" s="8">
        <f t="shared" si="909"/>
        <v>27.523902010044608</v>
      </c>
      <c r="AA476" s="7">
        <f t="shared" si="910"/>
        <v>1.3823530743855924E-2</v>
      </c>
      <c r="AB476" s="9">
        <f t="shared" si="923"/>
        <v>0.43113730260292649</v>
      </c>
      <c r="AC476" s="4">
        <f t="shared" si="924"/>
        <v>1009.0329609441549</v>
      </c>
      <c r="AD476" s="6">
        <f t="shared" si="925"/>
        <v>5.5180659218883098E-6</v>
      </c>
      <c r="AE476" s="8">
        <f t="shared" si="926"/>
        <v>27.49287905085778</v>
      </c>
      <c r="AF476" s="7">
        <f t="shared" si="927"/>
        <v>1.381002796825073E-2</v>
      </c>
      <c r="AG476" s="9">
        <f t="shared" si="928"/>
        <v>0.43162379784839811</v>
      </c>
      <c r="AH476" s="4">
        <f t="shared" si="929"/>
        <v>1005.7362506006425</v>
      </c>
      <c r="AI476" s="6">
        <f t="shared" si="930"/>
        <v>5.5114725012012853E-6</v>
      </c>
      <c r="AJ476" s="8">
        <f t="shared" si="931"/>
        <v>27.454966881907389</v>
      </c>
      <c r="AK476" s="7">
        <f t="shared" si="932"/>
        <v>1.3793526656852281E-2</v>
      </c>
      <c r="AL476" s="9">
        <f t="shared" si="933"/>
        <v>0.43221982094387024</v>
      </c>
      <c r="AM476" s="4">
        <f t="shared" si="934"/>
        <v>1001.8402242222301</v>
      </c>
      <c r="AN476" s="6">
        <f t="shared" si="935"/>
        <v>5.5036804484444608E-6</v>
      </c>
      <c r="AO476" s="8">
        <f t="shared" si="936"/>
        <v>27.410162578555646</v>
      </c>
      <c r="AP476" s="7">
        <f t="shared" si="937"/>
        <v>1.3774025536708902E-2</v>
      </c>
      <c r="AQ476" s="9">
        <f t="shared" si="938"/>
        <v>0.43292632196941888</v>
      </c>
      <c r="AR476" s="4">
        <f t="shared" si="939"/>
        <v>997.344312809141</v>
      </c>
      <c r="AS476" s="6">
        <f t="shared" si="940"/>
        <v>5.4946886256182822E-6</v>
      </c>
      <c r="AT476" s="8">
        <f t="shared" si="941"/>
        <v>27.358459597305121</v>
      </c>
      <c r="AU476" s="7">
        <f t="shared" si="942"/>
        <v>1.3751521759756453E-2</v>
      </c>
      <c r="AV476" s="9">
        <f t="shared" si="943"/>
        <v>0.43374448139202937</v>
      </c>
      <c r="AW476" s="4">
        <f t="shared" si="944"/>
        <v>992.24618385013855</v>
      </c>
      <c r="AX476" s="6">
        <f t="shared" si="945"/>
        <v>5.4844923677002774E-6</v>
      </c>
      <c r="AY476" s="8">
        <f t="shared" si="946"/>
        <v>27.299831114276593</v>
      </c>
      <c r="AZ476" s="7">
        <f t="shared" si="947"/>
        <v>1.3726003650873305E-2</v>
      </c>
      <c r="BA476" s="9">
        <f t="shared" si="948"/>
        <v>0.43467598096283483</v>
      </c>
      <c r="BB476" s="4">
        <f t="shared" si="949"/>
        <v>986.53621314670033</v>
      </c>
      <c r="BC476" s="6">
        <f t="shared" si="950"/>
        <v>5.4730724262934019E-6</v>
      </c>
      <c r="BD476" s="8">
        <f t="shared" si="951"/>
        <v>27.23416645118705</v>
      </c>
      <c r="BE476" s="7">
        <f t="shared" si="952"/>
        <v>1.3697423037220402E-2</v>
      </c>
      <c r="BF476" s="9">
        <f t="shared" si="953"/>
        <v>0.43572403403595533</v>
      </c>
      <c r="BG476" s="4">
        <f t="shared" si="954"/>
        <v>980.17766084554216</v>
      </c>
      <c r="BH476" s="6">
        <f t="shared" si="955"/>
        <v>5.4603553216910852E-6</v>
      </c>
      <c r="BI476" s="8">
        <f t="shared" si="956"/>
        <v>27.161043099723734</v>
      </c>
      <c r="BJ476" s="7">
        <f t="shared" si="957"/>
        <v>1.3665596021610363E-2</v>
      </c>
      <c r="BK476" s="9">
        <f t="shared" si="958"/>
        <v>0.4368970965565972</v>
      </c>
      <c r="BL476" s="4">
        <f t="shared" si="959"/>
        <v>973.04256241509927</v>
      </c>
      <c r="BM476" s="6">
        <f t="shared" si="960"/>
        <v>5.4460851248301991E-6</v>
      </c>
      <c r="BN476" s="8">
        <f t="shared" si="961"/>
        <v>27.078989467773638</v>
      </c>
      <c r="BO476" s="7">
        <f t="shared" si="962"/>
        <v>1.3629882092028704E-2</v>
      </c>
      <c r="BP476" s="9">
        <f t="shared" si="963"/>
        <v>0.43822096403708732</v>
      </c>
      <c r="BQ476" s="4">
        <f t="shared" si="964"/>
        <v>964.72849824785294</v>
      </c>
      <c r="BR476" s="6">
        <f t="shared" si="965"/>
        <v>5.4294569964957063E-6</v>
      </c>
      <c r="BS476" s="8">
        <f t="shared" si="966"/>
        <v>26.983377729850307</v>
      </c>
      <c r="BT476" s="7">
        <f t="shared" si="967"/>
        <v>1.3588266982566504E-2</v>
      </c>
      <c r="BU476" s="9">
        <f t="shared" si="968"/>
        <v>0.4397737373179384</v>
      </c>
      <c r="BV476" s="4">
        <f t="shared" si="969"/>
        <v>954.10707599790442</v>
      </c>
      <c r="BW476" s="6">
        <f t="shared" si="970"/>
        <v>5.4082141519958087E-6</v>
      </c>
      <c r="BX476" s="8">
        <f t="shared" si="971"/>
        <v>26.861231373975897</v>
      </c>
      <c r="BY476" s="7">
        <f t="shared" si="972"/>
        <v>1.3535102652741247E-2</v>
      </c>
      <c r="BZ476" s="9">
        <f t="shared" si="973"/>
        <v>0.44177352499240441</v>
      </c>
      <c r="CA476" s="4">
        <f t="shared" si="974"/>
        <v>938.40234644367195</v>
      </c>
      <c r="CB476" s="6">
        <f t="shared" si="975"/>
        <v>5.3768046928873445E-6</v>
      </c>
      <c r="CC476" s="8">
        <f t="shared" si="976"/>
        <v>26.680626984102226</v>
      </c>
      <c r="CD476" s="7">
        <f t="shared" si="977"/>
        <v>1.3456494402152045E-2</v>
      </c>
      <c r="CE476" s="9">
        <f t="shared" si="978"/>
        <v>0.44476394339565767</v>
      </c>
      <c r="CF476" s="4">
        <f t="shared" si="979"/>
        <v>911.75572666047026</v>
      </c>
      <c r="CG476" s="6">
        <f t="shared" si="980"/>
        <v>5.3235114533209407E-6</v>
      </c>
      <c r="CH476" s="8">
        <f t="shared" si="981"/>
        <v>26.374190856595405</v>
      </c>
      <c r="CI476" s="7">
        <f t="shared" si="982"/>
        <v>1.3323117755452099E-2</v>
      </c>
      <c r="CJ476" s="9">
        <f t="shared" si="983"/>
        <v>0.44993156128429312</v>
      </c>
      <c r="CK476" s="4">
        <f t="shared" si="984"/>
        <v>863.93422459027136</v>
      </c>
      <c r="CL476" s="6">
        <f t="shared" si="985"/>
        <v>5.227868449180544E-6</v>
      </c>
      <c r="CM476" s="8">
        <f t="shared" si="986"/>
        <v>25.824243582788121</v>
      </c>
      <c r="CN476" s="7">
        <f t="shared" si="987"/>
        <v>1.3083752626284811E-2</v>
      </c>
      <c r="CO476" s="9">
        <f t="shared" si="988"/>
        <v>0.45951320245550131</v>
      </c>
      <c r="CP476" s="4">
        <f t="shared" si="989"/>
        <v>781.24570625682861</v>
      </c>
      <c r="CQ476" s="6">
        <f t="shared" si="990"/>
        <v>5.0624914125136577E-6</v>
      </c>
      <c r="CR476" s="8">
        <f t="shared" si="991"/>
        <v>24.873325621953526</v>
      </c>
      <c r="CS476" s="7">
        <f t="shared" si="992"/>
        <v>1.2669864583987814E-2</v>
      </c>
      <c r="CT476" s="9">
        <f t="shared" si="993"/>
        <v>0.47708059027073957</v>
      </c>
      <c r="CU476" s="4">
        <f t="shared" si="994"/>
        <v>653.27307103641635</v>
      </c>
      <c r="CV476" s="6">
        <f t="shared" si="995"/>
        <v>4.8065461420728333E-6</v>
      </c>
      <c r="CW476" s="8">
        <f t="shared" si="996"/>
        <v>33.252767335913205</v>
      </c>
      <c r="CX476" s="7">
        <f t="shared" si="997"/>
        <v>1.2029312007566306E-2</v>
      </c>
      <c r="CY476" s="9">
        <f t="shared" si="998"/>
        <v>0.35685994942447735</v>
      </c>
      <c r="CZ476" s="5">
        <f t="shared" si="999"/>
        <v>488.58124766664469</v>
      </c>
      <c r="DA476" s="6">
        <f t="shared" si="1000"/>
        <v>7.3856586127897613E-6</v>
      </c>
      <c r="DB476" s="8">
        <f t="shared" si="1001"/>
        <v>39.326143817667301</v>
      </c>
      <c r="DC476" s="7">
        <f t="shared" si="1002"/>
        <v>1.8484040142034933E-2</v>
      </c>
      <c r="DD476" s="9">
        <f t="shared" si="1003"/>
        <v>0.30174788875147296</v>
      </c>
    </row>
    <row r="477" spans="2:108" x14ac:dyDescent="0.25">
      <c r="B477">
        <v>210</v>
      </c>
      <c r="C477">
        <f t="shared" si="911"/>
        <v>0.20529907993250279</v>
      </c>
      <c r="D477" s="4">
        <f t="shared" si="912"/>
        <v>1016.5457010743563</v>
      </c>
      <c r="E477" s="6">
        <f t="shared" si="900"/>
        <v>5.5330914021487123E-6</v>
      </c>
      <c r="F477" s="8">
        <f t="shared" si="913"/>
        <v>27.579275562355097</v>
      </c>
      <c r="G477" s="7">
        <f t="shared" si="898"/>
        <v>1.3847632140721645E-2</v>
      </c>
      <c r="H477" s="9">
        <f t="shared" si="914"/>
        <v>0.43027166695833857</v>
      </c>
      <c r="I477" s="4">
        <f t="shared" si="915"/>
        <v>1016.22101089785</v>
      </c>
      <c r="J477" s="6">
        <f t="shared" si="901"/>
        <v>5.5324420217957007E-6</v>
      </c>
      <c r="K477" s="8">
        <f t="shared" si="916"/>
        <v>27.575541625325272</v>
      </c>
      <c r="L477" s="7">
        <f t="shared" si="902"/>
        <v>1.3846006940703365E-2</v>
      </c>
      <c r="M477" s="9">
        <f t="shared" si="917"/>
        <v>0.4303299289983728</v>
      </c>
      <c r="N477" s="4">
        <f t="shared" si="918"/>
        <v>1015.3147157621472</v>
      </c>
      <c r="O477" s="6">
        <f t="shared" si="903"/>
        <v>5.5306294315242945E-6</v>
      </c>
      <c r="P477" s="8">
        <f t="shared" si="904"/>
        <v>27.565119231264692</v>
      </c>
      <c r="Q477" s="7">
        <f t="shared" si="899"/>
        <v>1.3847632140721645E-2</v>
      </c>
      <c r="R477" s="9">
        <f t="shared" si="919"/>
        <v>0.43049263709545937</v>
      </c>
      <c r="S477" s="4">
        <f t="shared" si="920"/>
        <v>1013.8129933862676</v>
      </c>
      <c r="T477" s="6">
        <f t="shared" si="905"/>
        <v>5.5276259867725358E-6</v>
      </c>
      <c r="U477" s="8">
        <f t="shared" si="906"/>
        <v>27.547849423942075</v>
      </c>
      <c r="V477" s="7">
        <f t="shared" si="907"/>
        <v>1.3833953880934334E-2</v>
      </c>
      <c r="W477" s="9">
        <f t="shared" si="921"/>
        <v>0.43076251387538622</v>
      </c>
      <c r="X477" s="4">
        <f t="shared" si="922"/>
        <v>1011.7140328834689</v>
      </c>
      <c r="Y477" s="6">
        <f t="shared" si="908"/>
        <v>5.5234280657669392E-6</v>
      </c>
      <c r="Z477" s="8">
        <f t="shared" si="909"/>
        <v>27.523711378159891</v>
      </c>
      <c r="AA477" s="7">
        <f t="shared" si="910"/>
        <v>1.3823447771127663E-2</v>
      </c>
      <c r="AB477" s="9">
        <f t="shared" si="923"/>
        <v>0.43114028870154658</v>
      </c>
      <c r="AC477" s="4">
        <f t="shared" si="924"/>
        <v>1009.0163935749644</v>
      </c>
      <c r="AD477" s="6">
        <f t="shared" si="925"/>
        <v>5.518032787149929E-6</v>
      </c>
      <c r="AE477" s="8">
        <f t="shared" si="926"/>
        <v>27.49268852611209</v>
      </c>
      <c r="AF477" s="7">
        <f t="shared" si="927"/>
        <v>1.3809945042154843E-2</v>
      </c>
      <c r="AG477" s="9">
        <f t="shared" si="928"/>
        <v>0.43162678900782003</v>
      </c>
      <c r="AH477" s="4">
        <f t="shared" si="929"/>
        <v>1005.7196964709016</v>
      </c>
      <c r="AI477" s="6">
        <f t="shared" si="930"/>
        <v>5.5114393929418041E-6</v>
      </c>
      <c r="AJ477" s="8">
        <f t="shared" si="931"/>
        <v>27.454776509415368</v>
      </c>
      <c r="AK477" s="7">
        <f t="shared" si="932"/>
        <v>1.3793443797024964E-2</v>
      </c>
      <c r="AL477" s="9">
        <f t="shared" si="933"/>
        <v>0.43222281797298046</v>
      </c>
      <c r="AM477" s="4">
        <f t="shared" si="934"/>
        <v>1001.8236816186999</v>
      </c>
      <c r="AN477" s="6">
        <f t="shared" si="935"/>
        <v>5.5036473632374006E-6</v>
      </c>
      <c r="AO477" s="8">
        <f t="shared" si="936"/>
        <v>27.409972338615049</v>
      </c>
      <c r="AP477" s="7">
        <f t="shared" si="937"/>
        <v>1.3773942734574732E-2</v>
      </c>
      <c r="AQ477" s="9">
        <f t="shared" si="938"/>
        <v>0.4329293267107866</v>
      </c>
      <c r="AR477" s="4">
        <f t="shared" si="939"/>
        <v>997.32775866398242</v>
      </c>
      <c r="AS477" s="6">
        <f t="shared" si="940"/>
        <v>5.4946555173279648E-6</v>
      </c>
      <c r="AT477" s="8">
        <f t="shared" si="941"/>
        <v>27.358269224635798</v>
      </c>
      <c r="AU477" s="7">
        <f t="shared" si="942"/>
        <v>1.3751438899851963E-2</v>
      </c>
      <c r="AV477" s="9">
        <f t="shared" si="943"/>
        <v>0.43374749960542763</v>
      </c>
      <c r="AW477" s="4">
        <f t="shared" si="944"/>
        <v>992.22951309454402</v>
      </c>
      <c r="AX477" s="6">
        <f t="shared" si="945"/>
        <v>5.4844590261890882E-6</v>
      </c>
      <c r="AY477" s="8">
        <f t="shared" si="946"/>
        <v>27.299639400587253</v>
      </c>
      <c r="AZ477" s="7">
        <f t="shared" si="947"/>
        <v>1.3725920207288442E-2</v>
      </c>
      <c r="BA477" s="9">
        <f t="shared" si="948"/>
        <v>0.43467903350630455</v>
      </c>
      <c r="BB477" s="4">
        <f t="shared" si="949"/>
        <v>986.51902818825306</v>
      </c>
      <c r="BC477" s="6">
        <f t="shared" si="950"/>
        <v>5.4730380563765061E-6</v>
      </c>
      <c r="BD477" s="8">
        <f t="shared" si="951"/>
        <v>27.233968824164911</v>
      </c>
      <c r="BE477" s="7">
        <f t="shared" si="952"/>
        <v>1.3697337019851217E-2</v>
      </c>
      <c r="BF477" s="9">
        <f t="shared" si="953"/>
        <v>0.43572719592704351</v>
      </c>
      <c r="BG477" s="4">
        <f t="shared" si="954"/>
        <v>980.15862300051162</v>
      </c>
      <c r="BH477" s="6">
        <f t="shared" si="955"/>
        <v>5.4603172460010234E-6</v>
      </c>
      <c r="BI477" s="8">
        <f t="shared" si="956"/>
        <v>27.160824164505883</v>
      </c>
      <c r="BJ477" s="7">
        <f t="shared" si="957"/>
        <v>1.3665500729826592E-2</v>
      </c>
      <c r="BK477" s="9">
        <f t="shared" si="958"/>
        <v>0.43690061825242033</v>
      </c>
      <c r="BL477" s="4">
        <f t="shared" si="959"/>
        <v>973.01765456868111</v>
      </c>
      <c r="BM477" s="6">
        <f t="shared" si="960"/>
        <v>5.4460353091373626E-6</v>
      </c>
      <c r="BN477" s="8">
        <f t="shared" si="961"/>
        <v>27.078703027539831</v>
      </c>
      <c r="BO477" s="7">
        <f t="shared" si="962"/>
        <v>1.3629757418615759E-2</v>
      </c>
      <c r="BP477" s="9">
        <f t="shared" si="963"/>
        <v>0.43822559956616974</v>
      </c>
      <c r="BQ477" s="4">
        <f t="shared" si="964"/>
        <v>964.68712312896673</v>
      </c>
      <c r="BR477" s="6">
        <f t="shared" si="965"/>
        <v>5.4293742462579343E-6</v>
      </c>
      <c r="BS477" s="8">
        <f t="shared" si="966"/>
        <v>26.982901915983117</v>
      </c>
      <c r="BT477" s="7">
        <f t="shared" si="967"/>
        <v>1.3588059884080517E-2</v>
      </c>
      <c r="BU477" s="9">
        <f t="shared" si="968"/>
        <v>0.43978149224523622</v>
      </c>
      <c r="BV477" s="4">
        <f t="shared" si="969"/>
        <v>954.02522795215771</v>
      </c>
      <c r="BW477" s="6">
        <f t="shared" si="970"/>
        <v>5.4080504559043164E-6</v>
      </c>
      <c r="BX477" s="8">
        <f t="shared" si="971"/>
        <v>26.860290121449815</v>
      </c>
      <c r="BY477" s="7">
        <f t="shared" si="972"/>
        <v>1.3534692971589589E-2</v>
      </c>
      <c r="BZ477" s="9">
        <f t="shared" si="973"/>
        <v>0.4417890058544679</v>
      </c>
      <c r="CA477" s="4">
        <f t="shared" si="974"/>
        <v>938.23514423522022</v>
      </c>
      <c r="CB477" s="6">
        <f t="shared" si="975"/>
        <v>5.3764702884704403E-6</v>
      </c>
      <c r="CC477" s="8">
        <f t="shared" si="976"/>
        <v>26.678704158705031</v>
      </c>
      <c r="CD477" s="7">
        <f t="shared" si="977"/>
        <v>1.3455657490376159E-2</v>
      </c>
      <c r="CE477" s="9">
        <f t="shared" si="978"/>
        <v>0.44479599905327244</v>
      </c>
      <c r="CF477" s="4">
        <f t="shared" si="979"/>
        <v>911.43949164884202</v>
      </c>
      <c r="CG477" s="6">
        <f t="shared" si="980"/>
        <v>5.3228789832976846E-6</v>
      </c>
      <c r="CH477" s="8">
        <f t="shared" si="981"/>
        <v>26.370554153961685</v>
      </c>
      <c r="CI477" s="7">
        <f t="shared" si="982"/>
        <v>1.3321534876806956E-2</v>
      </c>
      <c r="CJ477" s="9">
        <f t="shared" si="983"/>
        <v>0.44999361031384189</v>
      </c>
      <c r="CK477" s="4">
        <f t="shared" si="984"/>
        <v>863.41860730564156</v>
      </c>
      <c r="CL477" s="6">
        <f t="shared" si="985"/>
        <v>5.2268372146112835E-6</v>
      </c>
      <c r="CM477" s="8">
        <f t="shared" si="986"/>
        <v>25.818313984014878</v>
      </c>
      <c r="CN477" s="7">
        <f t="shared" si="987"/>
        <v>1.3081171762184072E-2</v>
      </c>
      <c r="CO477" s="9">
        <f t="shared" si="988"/>
        <v>0.45961873719038976</v>
      </c>
      <c r="CP477" s="4">
        <f t="shared" si="989"/>
        <v>780.5767898698075</v>
      </c>
      <c r="CQ477" s="6">
        <f t="shared" si="990"/>
        <v>5.0611535797396158E-6</v>
      </c>
      <c r="CR477" s="8">
        <f t="shared" si="991"/>
        <v>24.865633083502786</v>
      </c>
      <c r="CS477" s="7">
        <f t="shared" si="992"/>
        <v>1.2666516398538802E-2</v>
      </c>
      <c r="CT477" s="9">
        <f t="shared" si="993"/>
        <v>0.47722818195973599</v>
      </c>
      <c r="CU477" s="4">
        <f t="shared" si="994"/>
        <v>652.71041317537083</v>
      </c>
      <c r="CV477" s="6">
        <f t="shared" si="995"/>
        <v>4.8054208263507425E-6</v>
      </c>
      <c r="CW477" s="8">
        <f t="shared" si="996"/>
        <v>33.365749034411095</v>
      </c>
      <c r="CX477" s="7">
        <f t="shared" si="997"/>
        <v>1.2026495687171592E-2</v>
      </c>
      <c r="CY477" s="9">
        <f t="shared" si="998"/>
        <v>0.35565156524673069</v>
      </c>
      <c r="CZ477" s="5">
        <f t="shared" si="999"/>
        <v>488.56990130262812</v>
      </c>
      <c r="DA477" s="6">
        <f t="shared" si="1000"/>
        <v>7.3858275988168422E-6</v>
      </c>
      <c r="DB477" s="8">
        <f t="shared" si="1001"/>
        <v>39.326472862223781</v>
      </c>
      <c r="DC477" s="7">
        <f t="shared" si="1002"/>
        <v>1.8484463062274244E-2</v>
      </c>
      <c r="DD477" s="9">
        <f t="shared" si="1003"/>
        <v>0.30174536402720969</v>
      </c>
    </row>
    <row r="478" spans="2:108" x14ac:dyDescent="0.25">
      <c r="B478">
        <v>211</v>
      </c>
      <c r="C478">
        <f t="shared" si="911"/>
        <v>0.20627669459884806</v>
      </c>
      <c r="D478" s="4">
        <f t="shared" si="912"/>
        <v>1016.5291240341699</v>
      </c>
      <c r="E478" s="6">
        <f t="shared" si="900"/>
        <v>5.5330582480683401E-6</v>
      </c>
      <c r="F478" s="8">
        <f t="shared" si="913"/>
        <v>27.579084926392952</v>
      </c>
      <c r="G478" s="7">
        <f t="shared" si="898"/>
        <v>1.384754916621868E-2</v>
      </c>
      <c r="H478" s="9">
        <f t="shared" si="914"/>
        <v>0.43027464114161673</v>
      </c>
      <c r="I478" s="4">
        <f t="shared" si="915"/>
        <v>1016.2044340297654</v>
      </c>
      <c r="J478" s="6">
        <f t="shared" si="901"/>
        <v>5.5324088680595313E-6</v>
      </c>
      <c r="K478" s="8">
        <f t="shared" si="916"/>
        <v>27.575350991342301</v>
      </c>
      <c r="L478" s="7">
        <f t="shared" si="902"/>
        <v>1.3845923967061833E-2</v>
      </c>
      <c r="M478" s="9">
        <f t="shared" si="917"/>
        <v>0.43033290395627571</v>
      </c>
      <c r="N478" s="4">
        <f t="shared" si="918"/>
        <v>1015.2981362150076</v>
      </c>
      <c r="O478" s="6">
        <f t="shared" si="903"/>
        <v>5.5305962724300158E-6</v>
      </c>
      <c r="P478" s="8">
        <f t="shared" si="904"/>
        <v>27.564928566472588</v>
      </c>
      <c r="Q478" s="7">
        <f t="shared" si="899"/>
        <v>1.384754916621868E-2</v>
      </c>
      <c r="R478" s="9">
        <f t="shared" si="919"/>
        <v>0.43049561478462534</v>
      </c>
      <c r="S478" s="4">
        <f t="shared" si="920"/>
        <v>1013.7964129964088</v>
      </c>
      <c r="T478" s="6">
        <f t="shared" si="905"/>
        <v>5.5275928259928174E-6</v>
      </c>
      <c r="U478" s="8">
        <f t="shared" si="906"/>
        <v>27.547658749458698</v>
      </c>
      <c r="V478" s="7">
        <f t="shared" si="907"/>
        <v>1.3833870889664956E-2</v>
      </c>
      <c r="W478" s="9">
        <f t="shared" si="921"/>
        <v>0.43076549545071857</v>
      </c>
      <c r="X478" s="4">
        <f t="shared" si="922"/>
        <v>1011.697456395354</v>
      </c>
      <c r="Y478" s="6">
        <f t="shared" si="908"/>
        <v>5.5233949127907083E-6</v>
      </c>
      <c r="Z478" s="8">
        <f t="shared" si="909"/>
        <v>27.52352074854657</v>
      </c>
      <c r="AA478" s="7">
        <f t="shared" si="910"/>
        <v>1.3823364799388026E-2</v>
      </c>
      <c r="AB478" s="9">
        <f t="shared" si="923"/>
        <v>0.43114327480595066</v>
      </c>
      <c r="AC478" s="4">
        <f t="shared" si="924"/>
        <v>1008.9998263906243</v>
      </c>
      <c r="AD478" s="6">
        <f t="shared" si="925"/>
        <v>5.5179996527812494E-6</v>
      </c>
      <c r="AE478" s="8">
        <f t="shared" si="926"/>
        <v>27.49249800349218</v>
      </c>
      <c r="AF478" s="7">
        <f t="shared" si="927"/>
        <v>1.3809862116984204E-2</v>
      </c>
      <c r="AG478" s="9">
        <f t="shared" si="928"/>
        <v>0.43162978017532527</v>
      </c>
      <c r="AH478" s="4">
        <f t="shared" si="929"/>
        <v>1005.7031424454052</v>
      </c>
      <c r="AI478" s="6">
        <f t="shared" si="930"/>
        <v>5.5114062848908108E-6</v>
      </c>
      <c r="AJ478" s="8">
        <f t="shared" si="931"/>
        <v>27.45458613812216</v>
      </c>
      <c r="AK478" s="7">
        <f t="shared" si="932"/>
        <v>1.3793360937719427E-2</v>
      </c>
      <c r="AL478" s="9">
        <f t="shared" si="933"/>
        <v>0.43222581502478075</v>
      </c>
      <c r="AM478" s="4">
        <f t="shared" si="934"/>
        <v>1001.8071387963454</v>
      </c>
      <c r="AN478" s="6">
        <f t="shared" si="935"/>
        <v>5.503614277592692E-6</v>
      </c>
      <c r="AO478" s="8">
        <f t="shared" si="936"/>
        <v>27.409782096157969</v>
      </c>
      <c r="AP478" s="7">
        <f t="shared" si="937"/>
        <v>1.3773859931345257E-2</v>
      </c>
      <c r="AQ478" s="9">
        <f t="shared" si="938"/>
        <v>0.43293233153361105</v>
      </c>
      <c r="AR478" s="4">
        <f t="shared" si="939"/>
        <v>997.31120306081573</v>
      </c>
      <c r="AS478" s="6">
        <f t="shared" si="940"/>
        <v>5.4946224061216314E-6</v>
      </c>
      <c r="AT478" s="8">
        <f t="shared" si="941"/>
        <v>27.358078835199379</v>
      </c>
      <c r="AU478" s="7">
        <f t="shared" si="942"/>
        <v>1.3751356032649579E-2</v>
      </c>
      <c r="AV478" s="9">
        <f t="shared" si="943"/>
        <v>0.43375051812666576</v>
      </c>
      <c r="AW478" s="4">
        <f t="shared" si="944"/>
        <v>992.21283649005511</v>
      </c>
      <c r="AX478" s="6">
        <f t="shared" si="945"/>
        <v>5.4844256729801106E-6</v>
      </c>
      <c r="AY478" s="8">
        <f t="shared" si="946"/>
        <v>27.299447619635632</v>
      </c>
      <c r="AZ478" s="7">
        <f t="shared" si="947"/>
        <v>1.37258367344276E-2</v>
      </c>
      <c r="BA478" s="9">
        <f t="shared" si="948"/>
        <v>0.43468208716364798</v>
      </c>
      <c r="BB478" s="4">
        <f t="shared" si="949"/>
        <v>986.50182333524594</v>
      </c>
      <c r="BC478" s="6">
        <f t="shared" si="950"/>
        <v>5.4730036466704916E-6</v>
      </c>
      <c r="BD478" s="8">
        <f t="shared" si="951"/>
        <v>27.23377096835533</v>
      </c>
      <c r="BE478" s="7">
        <f t="shared" si="952"/>
        <v>1.3697250902902058E-2</v>
      </c>
      <c r="BF478" s="9">
        <f t="shared" si="953"/>
        <v>0.43573036152453665</v>
      </c>
      <c r="BG478" s="4">
        <f t="shared" si="954"/>
        <v>980.13952544345716</v>
      </c>
      <c r="BH478" s="6">
        <f t="shared" si="955"/>
        <v>5.4602790508869147E-6</v>
      </c>
      <c r="BI478" s="8">
        <f t="shared" si="956"/>
        <v>27.160604542599756</v>
      </c>
      <c r="BJ478" s="7">
        <f t="shared" si="957"/>
        <v>1.366540513916103E-2</v>
      </c>
      <c r="BK478" s="9">
        <f t="shared" si="958"/>
        <v>0.43690415105105218</v>
      </c>
      <c r="BL478" s="4">
        <f t="shared" si="959"/>
        <v>972.99258936182923</v>
      </c>
      <c r="BM478" s="6">
        <f t="shared" si="960"/>
        <v>5.4459851787236586E-6</v>
      </c>
      <c r="BN478" s="8">
        <f t="shared" si="961"/>
        <v>27.078414777661035</v>
      </c>
      <c r="BO478" s="7">
        <f t="shared" si="962"/>
        <v>1.3629631957552932E-2</v>
      </c>
      <c r="BP478" s="9">
        <f t="shared" si="963"/>
        <v>0.43823026448016111</v>
      </c>
      <c r="BQ478" s="4">
        <f t="shared" si="964"/>
        <v>964.64539135370308</v>
      </c>
      <c r="BR478" s="6">
        <f t="shared" si="965"/>
        <v>5.429290782707406E-6</v>
      </c>
      <c r="BS478" s="8">
        <f t="shared" si="966"/>
        <v>26.982422000567585</v>
      </c>
      <c r="BT478" s="7">
        <f t="shared" si="967"/>
        <v>1.3587851000391294E-2</v>
      </c>
      <c r="BU478" s="9">
        <f t="shared" si="968"/>
        <v>0.43978931429759271</v>
      </c>
      <c r="BV478" s="4">
        <f t="shared" si="969"/>
        <v>953.94271026366278</v>
      </c>
      <c r="BW478" s="6">
        <f t="shared" si="970"/>
        <v>5.4078854205273258E-6</v>
      </c>
      <c r="BX478" s="8">
        <f t="shared" si="971"/>
        <v>26.85934116803212</v>
      </c>
      <c r="BY478" s="7">
        <f t="shared" si="972"/>
        <v>1.3534279938616759E-2</v>
      </c>
      <c r="BZ478" s="9">
        <f t="shared" si="973"/>
        <v>0.44180461447213215</v>
      </c>
      <c r="CA478" s="4">
        <f t="shared" si="974"/>
        <v>938.0669795427068</v>
      </c>
      <c r="CB478" s="6">
        <f t="shared" si="975"/>
        <v>5.3761339590854141E-6</v>
      </c>
      <c r="CC478" s="8">
        <f t="shared" si="976"/>
        <v>26.67677026474113</v>
      </c>
      <c r="CD478" s="7">
        <f t="shared" si="977"/>
        <v>1.3454815760994977E-2</v>
      </c>
      <c r="CE478" s="9">
        <f t="shared" si="978"/>
        <v>0.44482824389735215</v>
      </c>
      <c r="CF478" s="4">
        <f t="shared" si="979"/>
        <v>911.12245248106137</v>
      </c>
      <c r="CG478" s="6">
        <f t="shared" si="980"/>
        <v>5.3222449049621226E-6</v>
      </c>
      <c r="CH478" s="8">
        <f t="shared" si="981"/>
        <v>26.366908203532205</v>
      </c>
      <c r="CI478" s="7">
        <f t="shared" si="982"/>
        <v>1.3319947973048986E-2</v>
      </c>
      <c r="CJ478" s="9">
        <f t="shared" si="983"/>
        <v>0.45005583431007695</v>
      </c>
      <c r="CK478" s="4">
        <f t="shared" si="984"/>
        <v>862.9035271008479</v>
      </c>
      <c r="CL478" s="6">
        <f t="shared" si="985"/>
        <v>5.2258070542016959E-6</v>
      </c>
      <c r="CM478" s="8">
        <f t="shared" si="986"/>
        <v>25.81239056165975</v>
      </c>
      <c r="CN478" s="7">
        <f t="shared" si="987"/>
        <v>1.3078593586375814E-2</v>
      </c>
      <c r="CO478" s="9">
        <f t="shared" si="988"/>
        <v>0.45972421040861822</v>
      </c>
      <c r="CP478" s="4">
        <f t="shared" si="989"/>
        <v>779.91138287907108</v>
      </c>
      <c r="CQ478" s="6">
        <f t="shared" si="990"/>
        <v>5.0598227657581433E-6</v>
      </c>
      <c r="CR478" s="8">
        <f t="shared" si="991"/>
        <v>24.857980903109315</v>
      </c>
      <c r="CS478" s="7">
        <f t="shared" si="992"/>
        <v>1.2663185778976651E-2</v>
      </c>
      <c r="CT478" s="9">
        <f t="shared" si="993"/>
        <v>0.47737508995485589</v>
      </c>
      <c r="CU478" s="4">
        <f t="shared" si="994"/>
        <v>652.15375818161863</v>
      </c>
      <c r="CV478" s="6">
        <f t="shared" si="995"/>
        <v>4.8043075163632379E-6</v>
      </c>
      <c r="CW478" s="8">
        <f t="shared" si="996"/>
        <v>33.477525357156509</v>
      </c>
      <c r="CX478" s="7">
        <f t="shared" si="997"/>
        <v>1.2023709413451341E-2</v>
      </c>
      <c r="CY478" s="9">
        <f t="shared" si="998"/>
        <v>0.35446409921637689</v>
      </c>
      <c r="CZ478" s="5">
        <f t="shared" si="999"/>
        <v>488.55865792228826</v>
      </c>
      <c r="DA478" s="6">
        <f t="shared" si="1000"/>
        <v>7.3859950499643083E-6</v>
      </c>
      <c r="DB478" s="8">
        <f t="shared" si="1001"/>
        <v>39.326798920253637</v>
      </c>
      <c r="DC478" s="7">
        <f t="shared" si="1002"/>
        <v>1.8484882141180253E-2</v>
      </c>
      <c r="DD478" s="9">
        <f t="shared" si="1003"/>
        <v>0.30174286225992597</v>
      </c>
    </row>
    <row r="479" spans="2:108" x14ac:dyDescent="0.25">
      <c r="B479">
        <v>212</v>
      </c>
      <c r="C479">
        <f t="shared" si="911"/>
        <v>0.20725430926519331</v>
      </c>
      <c r="D479" s="4">
        <f t="shared" si="912"/>
        <v>1016.51254700277</v>
      </c>
      <c r="E479" s="6">
        <f t="shared" si="900"/>
        <v>5.5330250940055404E-6</v>
      </c>
      <c r="F479" s="8">
        <f t="shared" si="913"/>
        <v>27.578894290531856</v>
      </c>
      <c r="G479" s="7">
        <f t="shared" si="898"/>
        <v>1.3847466191759692E-2</v>
      </c>
      <c r="H479" s="9">
        <f t="shared" si="914"/>
        <v>0.43027761536443571</v>
      </c>
      <c r="I479" s="4">
        <f t="shared" si="915"/>
        <v>1016.1878572041704</v>
      </c>
      <c r="J479" s="6">
        <f t="shared" si="901"/>
        <v>5.5323757144083414E-6</v>
      </c>
      <c r="K479" s="8">
        <f t="shared" si="916"/>
        <v>27.57516035784796</v>
      </c>
      <c r="L479" s="7">
        <f t="shared" si="902"/>
        <v>1.384584099363298E-2</v>
      </c>
      <c r="M479" s="9">
        <f t="shared" si="917"/>
        <v>0.43033587894768632</v>
      </c>
      <c r="N479" s="4">
        <f t="shared" si="918"/>
        <v>1015.2815567804581</v>
      </c>
      <c r="O479" s="6">
        <f t="shared" si="903"/>
        <v>5.5305631135609175E-6</v>
      </c>
      <c r="P479" s="8">
        <f t="shared" si="904"/>
        <v>27.564737902975267</v>
      </c>
      <c r="Q479" s="7">
        <f t="shared" si="899"/>
        <v>1.3847466191759692E-2</v>
      </c>
      <c r="R479" s="9">
        <f t="shared" si="919"/>
        <v>0.43049859249476302</v>
      </c>
      <c r="S479" s="4">
        <f t="shared" si="920"/>
        <v>1013.7798327786583</v>
      </c>
      <c r="T479" s="6">
        <f t="shared" si="905"/>
        <v>5.5275596655573171E-6</v>
      </c>
      <c r="U479" s="8">
        <f t="shared" si="906"/>
        <v>27.547468076954569</v>
      </c>
      <c r="V479" s="7">
        <f t="shared" si="907"/>
        <v>1.3833787899257053E-2</v>
      </c>
      <c r="W479" s="9">
        <f t="shared" si="921"/>
        <v>0.43076847703637577</v>
      </c>
      <c r="X479" s="4">
        <f t="shared" si="922"/>
        <v>1011.6808801042486</v>
      </c>
      <c r="Y479" s="6">
        <f t="shared" si="908"/>
        <v>5.5233617602084977E-6</v>
      </c>
      <c r="Z479" s="8">
        <f t="shared" si="909"/>
        <v>27.523330121198857</v>
      </c>
      <c r="AA479" s="7">
        <f t="shared" si="910"/>
        <v>1.3823281828634499E-2</v>
      </c>
      <c r="AB479" s="9">
        <f t="shared" si="923"/>
        <v>0.43114626091622871</v>
      </c>
      <c r="AC479" s="4">
        <f t="shared" si="924"/>
        <v>1008.9832593900644</v>
      </c>
      <c r="AD479" s="6">
        <f t="shared" si="925"/>
        <v>5.5179665187801294E-6</v>
      </c>
      <c r="AE479" s="8">
        <f t="shared" si="926"/>
        <v>27.492307482985741</v>
      </c>
      <c r="AF479" s="7">
        <f t="shared" si="927"/>
        <v>1.3809779192733452E-2</v>
      </c>
      <c r="AG479" s="9">
        <f t="shared" si="928"/>
        <v>0.4316327713511065</v>
      </c>
      <c r="AH479" s="4">
        <f t="shared" si="929"/>
        <v>1005.6865885203393</v>
      </c>
      <c r="AI479" s="6">
        <f t="shared" si="930"/>
        <v>5.5113731770406795E-6</v>
      </c>
      <c r="AJ479" s="8">
        <f t="shared" si="931"/>
        <v>27.454395767983904</v>
      </c>
      <c r="AK479" s="7">
        <f t="shared" si="932"/>
        <v>1.3793278078916589E-2</v>
      </c>
      <c r="AL479" s="9">
        <f t="shared" si="933"/>
        <v>0.43222881209996172</v>
      </c>
      <c r="AM479" s="4">
        <f t="shared" si="934"/>
        <v>1001.7905957409945</v>
      </c>
      <c r="AN479" s="6">
        <f t="shared" si="935"/>
        <v>5.503581191481989E-6</v>
      </c>
      <c r="AO479" s="8">
        <f t="shared" si="936"/>
        <v>27.409591851021435</v>
      </c>
      <c r="AP479" s="7">
        <f t="shared" si="937"/>
        <v>1.3773777126949544E-2</v>
      </c>
      <c r="AQ479" s="9">
        <f t="shared" si="938"/>
        <v>0.43293533644046883</v>
      </c>
      <c r="AR479" s="4">
        <f t="shared" si="939"/>
        <v>997.29464595140337</v>
      </c>
      <c r="AS479" s="6">
        <f t="shared" si="940"/>
        <v>5.4945892919028076E-6</v>
      </c>
      <c r="AT479" s="8">
        <f t="shared" si="941"/>
        <v>27.357888428441136</v>
      </c>
      <c r="AU479" s="7">
        <f t="shared" si="942"/>
        <v>1.3751273157907851E-2</v>
      </c>
      <c r="AV479" s="9">
        <f t="shared" si="943"/>
        <v>0.43375353696455077</v>
      </c>
      <c r="AW479" s="4">
        <f t="shared" si="944"/>
        <v>992.19615388990223</v>
      </c>
      <c r="AX479" s="6">
        <f t="shared" si="945"/>
        <v>5.4843923077798045E-6</v>
      </c>
      <c r="AY479" s="8">
        <f t="shared" si="946"/>
        <v>27.299255769733875</v>
      </c>
      <c r="AZ479" s="7">
        <f t="shared" si="947"/>
        <v>1.3725753231556141E-2</v>
      </c>
      <c r="BA479" s="9">
        <f t="shared" si="948"/>
        <v>0.43468514196178687</v>
      </c>
      <c r="BB479" s="4">
        <f t="shared" si="949"/>
        <v>986.48459819725701</v>
      </c>
      <c r="BC479" s="6">
        <f t="shared" si="950"/>
        <v>5.4729691963945145E-6</v>
      </c>
      <c r="BD479" s="8">
        <f t="shared" si="951"/>
        <v>27.233572879268454</v>
      </c>
      <c r="BE479" s="7">
        <f t="shared" si="952"/>
        <v>1.3697164684418719E-2</v>
      </c>
      <c r="BF479" s="9">
        <f t="shared" si="953"/>
        <v>0.43573353090043238</v>
      </c>
      <c r="BG479" s="4">
        <f t="shared" si="954"/>
        <v>980.1203672975671</v>
      </c>
      <c r="BH479" s="6">
        <f t="shared" si="955"/>
        <v>5.4602407345951342E-6</v>
      </c>
      <c r="BI479" s="8">
        <f t="shared" si="956"/>
        <v>27.160384223922023</v>
      </c>
      <c r="BJ479" s="7">
        <f t="shared" si="957"/>
        <v>1.3665309245224889E-2</v>
      </c>
      <c r="BK479" s="9">
        <f t="shared" si="958"/>
        <v>0.4369076951152327</v>
      </c>
      <c r="BL479" s="4">
        <f t="shared" si="959"/>
        <v>972.96736523918571</v>
      </c>
      <c r="BM479" s="6">
        <f t="shared" si="960"/>
        <v>5.4459347304783714E-6</v>
      </c>
      <c r="BN479" s="8">
        <f t="shared" si="961"/>
        <v>27.078124700250633</v>
      </c>
      <c r="BO479" s="7">
        <f t="shared" si="962"/>
        <v>1.3629505701055053E-2</v>
      </c>
      <c r="BP479" s="9">
        <f t="shared" si="963"/>
        <v>0.43823495907041382</v>
      </c>
      <c r="BQ479" s="4">
        <f t="shared" si="964"/>
        <v>964.60330111300277</v>
      </c>
      <c r="BR479" s="6">
        <f t="shared" si="965"/>
        <v>5.4292066022260058E-6</v>
      </c>
      <c r="BS479" s="8">
        <f t="shared" si="966"/>
        <v>26.981937962799531</v>
      </c>
      <c r="BT479" s="7">
        <f t="shared" si="967"/>
        <v>1.3587640322443808E-2</v>
      </c>
      <c r="BU479" s="9">
        <f t="shared" si="968"/>
        <v>0.43979720382125853</v>
      </c>
      <c r="BV479" s="4">
        <f t="shared" si="969"/>
        <v>953.85952294376386</v>
      </c>
      <c r="BW479" s="6">
        <f t="shared" si="970"/>
        <v>5.4077190458875282E-6</v>
      </c>
      <c r="BX479" s="8">
        <f t="shared" si="971"/>
        <v>26.858384513853284</v>
      </c>
      <c r="BY479" s="7">
        <f t="shared" si="972"/>
        <v>1.3533863553879545E-2</v>
      </c>
      <c r="BZ479" s="9">
        <f t="shared" si="973"/>
        <v>0.44182035087021843</v>
      </c>
      <c r="CA479" s="4">
        <f t="shared" si="974"/>
        <v>937.89785851245381</v>
      </c>
      <c r="CB479" s="6">
        <f t="shared" si="975"/>
        <v>5.3757957170249077E-6</v>
      </c>
      <c r="CC479" s="8">
        <f t="shared" si="976"/>
        <v>26.674825372893217</v>
      </c>
      <c r="CD479" s="7">
        <f t="shared" si="977"/>
        <v>1.3453969244773214E-2</v>
      </c>
      <c r="CE479" s="9">
        <f t="shared" si="978"/>
        <v>0.44486067683039604</v>
      </c>
      <c r="CF479" s="4">
        <f t="shared" si="979"/>
        <v>910.80462591858588</v>
      </c>
      <c r="CG479" s="6">
        <f t="shared" si="980"/>
        <v>5.3216092518371724E-6</v>
      </c>
      <c r="CH479" s="8">
        <f t="shared" si="981"/>
        <v>26.363253198063738</v>
      </c>
      <c r="CI479" s="7">
        <f t="shared" si="982"/>
        <v>1.3318357128075777E-2</v>
      </c>
      <c r="CJ479" s="9">
        <f t="shared" si="983"/>
        <v>0.45011823012000074</v>
      </c>
      <c r="CK479" s="4">
        <f t="shared" si="984"/>
        <v>862.38900742781982</v>
      </c>
      <c r="CL479" s="6">
        <f t="shared" si="985"/>
        <v>5.2247780148556401E-6</v>
      </c>
      <c r="CM479" s="8">
        <f t="shared" si="986"/>
        <v>25.806473585419926</v>
      </c>
      <c r="CN479" s="7">
        <f t="shared" si="987"/>
        <v>1.3076018216246019E-2</v>
      </c>
      <c r="CO479" s="9">
        <f t="shared" si="988"/>
        <v>0.45982961718652826</v>
      </c>
      <c r="CP479" s="4">
        <f t="shared" si="989"/>
        <v>779.24947953487163</v>
      </c>
      <c r="CQ479" s="6">
        <f t="shared" si="990"/>
        <v>5.0584989590697439E-6</v>
      </c>
      <c r="CR479" s="8">
        <f t="shared" si="991"/>
        <v>24.850369014651022</v>
      </c>
      <c r="CS479" s="7">
        <f t="shared" si="992"/>
        <v>1.265987269652165E-2</v>
      </c>
      <c r="CT479" s="9">
        <f t="shared" si="993"/>
        <v>0.47752131417934773</v>
      </c>
      <c r="CU479" s="4">
        <f t="shared" si="994"/>
        <v>651.60299481882635</v>
      </c>
      <c r="CV479" s="6">
        <f t="shared" si="995"/>
        <v>4.8032059896376528E-6</v>
      </c>
      <c r="CW479" s="8">
        <f t="shared" si="996"/>
        <v>33.588118640405128</v>
      </c>
      <c r="CX479" s="7">
        <f t="shared" si="997"/>
        <v>1.2020952629624646E-2</v>
      </c>
      <c r="CY479" s="9">
        <f t="shared" si="998"/>
        <v>0.35329697970766627</v>
      </c>
      <c r="CZ479" s="5">
        <f t="shared" si="999"/>
        <v>488.54743061335711</v>
      </c>
      <c r="DA479" s="6">
        <f t="shared" si="1000"/>
        <v>7.3861622606611232E-6</v>
      </c>
      <c r="DB479" s="8">
        <f t="shared" si="1001"/>
        <v>39.327124512212642</v>
      </c>
      <c r="DC479" s="7">
        <f t="shared" si="1002"/>
        <v>1.8485300618311967E-2</v>
      </c>
      <c r="DD479" s="9">
        <f t="shared" si="1003"/>
        <v>0.30174036411009025</v>
      </c>
    </row>
    <row r="480" spans="2:108" x14ac:dyDescent="0.25">
      <c r="B480">
        <v>213</v>
      </c>
      <c r="C480">
        <f t="shared" si="911"/>
        <v>0.20823192393153855</v>
      </c>
      <c r="D480" s="4">
        <f t="shared" si="912"/>
        <v>1016.4959699818776</v>
      </c>
      <c r="E480" s="6">
        <f t="shared" si="900"/>
        <v>5.5329919399637557E-6</v>
      </c>
      <c r="F480" s="8">
        <f t="shared" si="913"/>
        <v>27.578703654791589</v>
      </c>
      <c r="G480" s="7">
        <f t="shared" si="898"/>
        <v>1.3847383217353298E-2</v>
      </c>
      <c r="H480" s="9">
        <f t="shared" si="914"/>
        <v>0.4302805896264878</v>
      </c>
      <c r="I480" s="4">
        <f t="shared" si="915"/>
        <v>1016.1712804222886</v>
      </c>
      <c r="J480" s="6">
        <f t="shared" si="901"/>
        <v>5.5323425608445772E-6</v>
      </c>
      <c r="K480" s="8">
        <f t="shared" si="916"/>
        <v>27.574969724856317</v>
      </c>
      <c r="L480" s="7">
        <f t="shared" si="902"/>
        <v>1.3845758020422925E-2</v>
      </c>
      <c r="M480" s="9">
        <f t="shared" si="917"/>
        <v>0.43033885397238569</v>
      </c>
      <c r="N480" s="4">
        <f t="shared" si="918"/>
        <v>1015.2649774588006</v>
      </c>
      <c r="O480" s="6">
        <f t="shared" si="903"/>
        <v>5.5305299549176016E-6</v>
      </c>
      <c r="P480" s="8">
        <f t="shared" si="904"/>
        <v>27.564547240776207</v>
      </c>
      <c r="Q480" s="7">
        <f t="shared" si="899"/>
        <v>1.3847383217353298E-2</v>
      </c>
      <c r="R480" s="9">
        <f t="shared" si="919"/>
        <v>0.43050157022581809</v>
      </c>
      <c r="S480" s="4">
        <f t="shared" si="920"/>
        <v>1013.7632527327307</v>
      </c>
      <c r="T480" s="6">
        <f t="shared" si="905"/>
        <v>5.5275265054654615E-6</v>
      </c>
      <c r="U480" s="8">
        <f t="shared" si="906"/>
        <v>27.547277406426403</v>
      </c>
      <c r="V480" s="7">
        <f t="shared" si="907"/>
        <v>1.3833704909709185E-2</v>
      </c>
      <c r="W480" s="9">
        <f t="shared" si="921"/>
        <v>0.43077145863240873</v>
      </c>
      <c r="X480" s="4">
        <f t="shared" si="922"/>
        <v>1011.664304009643</v>
      </c>
      <c r="Y480" s="6">
        <f t="shared" si="908"/>
        <v>5.5233286080192867E-6</v>
      </c>
      <c r="Z480" s="8">
        <f t="shared" si="909"/>
        <v>27.523139496110893</v>
      </c>
      <c r="AA480" s="7">
        <f t="shared" si="910"/>
        <v>1.3823198858864528E-2</v>
      </c>
      <c r="AB480" s="9">
        <f t="shared" si="923"/>
        <v>0.43114924703247187</v>
      </c>
      <c r="AC480" s="4">
        <f t="shared" si="924"/>
        <v>1008.9666925721797</v>
      </c>
      <c r="AD480" s="6">
        <f t="shared" si="925"/>
        <v>5.5179333851443603E-6</v>
      </c>
      <c r="AE480" s="8">
        <f t="shared" si="926"/>
        <v>27.492116964580063</v>
      </c>
      <c r="AF480" s="7">
        <f t="shared" si="927"/>
        <v>1.3809696269397062E-2</v>
      </c>
      <c r="AG480" s="9">
        <f t="shared" si="928"/>
        <v>0.43163576253536279</v>
      </c>
      <c r="AH480" s="4">
        <f t="shared" si="929"/>
        <v>1005.6700346917697</v>
      </c>
      <c r="AI480" s="6">
        <f t="shared" si="930"/>
        <v>5.5113400693835395E-6</v>
      </c>
      <c r="AJ480" s="8">
        <f t="shared" si="931"/>
        <v>27.454205398955352</v>
      </c>
      <c r="AK480" s="7">
        <f t="shared" si="932"/>
        <v>1.3793195220596747E-2</v>
      </c>
      <c r="AL480" s="9">
        <f t="shared" si="933"/>
        <v>0.43223180919923576</v>
      </c>
      <c r="AM480" s="4">
        <f t="shared" si="934"/>
        <v>1001.7740524381044</v>
      </c>
      <c r="AN480" s="6">
        <f t="shared" si="935"/>
        <v>5.5035481048762089E-6</v>
      </c>
      <c r="AO480" s="8">
        <f t="shared" si="936"/>
        <v>27.409401603038198</v>
      </c>
      <c r="AP480" s="7">
        <f t="shared" si="937"/>
        <v>1.3773694321314804E-2</v>
      </c>
      <c r="AQ480" s="9">
        <f t="shared" si="938"/>
        <v>0.43293834143400439</v>
      </c>
      <c r="AR480" s="4">
        <f t="shared" si="939"/>
        <v>997.27808728650689</v>
      </c>
      <c r="AS480" s="6">
        <f t="shared" si="940"/>
        <v>5.4945561745730139E-6</v>
      </c>
      <c r="AT480" s="8">
        <f t="shared" si="941"/>
        <v>27.35769800379483</v>
      </c>
      <c r="AU480" s="7">
        <f t="shared" si="942"/>
        <v>1.3751190275380321E-2</v>
      </c>
      <c r="AV480" s="9">
        <f t="shared" si="943"/>
        <v>0.43375655612807285</v>
      </c>
      <c r="AW480" s="4">
        <f t="shared" si="944"/>
        <v>992.17946514506207</v>
      </c>
      <c r="AX480" s="6">
        <f t="shared" si="945"/>
        <v>5.4843589302901243E-6</v>
      </c>
      <c r="AY480" s="8">
        <f t="shared" si="946"/>
        <v>27.299063849168213</v>
      </c>
      <c r="AZ480" s="7">
        <f t="shared" si="947"/>
        <v>1.372566969792814E-2</v>
      </c>
      <c r="BA480" s="9">
        <f t="shared" si="948"/>
        <v>0.43468819792805702</v>
      </c>
      <c r="BB480" s="4">
        <f t="shared" si="949"/>
        <v>986.46735238003964</v>
      </c>
      <c r="BC480" s="6">
        <f t="shared" si="950"/>
        <v>5.4729347047600793E-6</v>
      </c>
      <c r="BD480" s="8">
        <f t="shared" si="951"/>
        <v>27.233374552370456</v>
      </c>
      <c r="BE480" s="7">
        <f t="shared" si="952"/>
        <v>1.3697078362427834E-2</v>
      </c>
      <c r="BF480" s="9">
        <f t="shared" si="953"/>
        <v>0.43573670412743631</v>
      </c>
      <c r="BG480" s="4">
        <f t="shared" si="954"/>
        <v>980.10114768269329</v>
      </c>
      <c r="BH480" s="6">
        <f t="shared" si="955"/>
        <v>5.4602022953653874E-6</v>
      </c>
      <c r="BI480" s="8">
        <f t="shared" si="956"/>
        <v>27.160163198350972</v>
      </c>
      <c r="BJ480" s="7">
        <f t="shared" si="957"/>
        <v>1.3665213043612696E-2</v>
      </c>
      <c r="BK480" s="9">
        <f t="shared" si="958"/>
        <v>0.4369112506083313</v>
      </c>
      <c r="BL480" s="4">
        <f t="shared" si="959"/>
        <v>972.94198065071919</v>
      </c>
      <c r="BM480" s="6">
        <f t="shared" si="960"/>
        <v>5.4458839613014382E-6</v>
      </c>
      <c r="BN480" s="8">
        <f t="shared" si="961"/>
        <v>27.07783277748327</v>
      </c>
      <c r="BO480" s="7">
        <f t="shared" si="962"/>
        <v>1.3629378641363614E-2</v>
      </c>
      <c r="BP480" s="9">
        <f t="shared" si="963"/>
        <v>0.43823968362732574</v>
      </c>
      <c r="BQ480" s="4">
        <f t="shared" si="964"/>
        <v>964.56085062703391</v>
      </c>
      <c r="BR480" s="6">
        <f t="shared" si="965"/>
        <v>5.4291217012540676E-6</v>
      </c>
      <c r="BS480" s="8">
        <f t="shared" si="966"/>
        <v>26.981449782210888</v>
      </c>
      <c r="BT480" s="7">
        <f t="shared" si="967"/>
        <v>1.3587427841329302E-2</v>
      </c>
      <c r="BU480" s="9">
        <f t="shared" si="968"/>
        <v>0.43980516115711626</v>
      </c>
      <c r="BV480" s="4">
        <f t="shared" si="969"/>
        <v>953.77566606661139</v>
      </c>
      <c r="BW480" s="6">
        <f t="shared" si="970"/>
        <v>5.4075513321332228E-6</v>
      </c>
      <c r="BX480" s="8">
        <f t="shared" si="971"/>
        <v>26.857420159766029</v>
      </c>
      <c r="BY480" s="7">
        <f t="shared" si="972"/>
        <v>1.3533443817749095E-2</v>
      </c>
      <c r="BZ480" s="9">
        <f t="shared" si="973"/>
        <v>0.44183621506188908</v>
      </c>
      <c r="CA480" s="4">
        <f t="shared" si="974"/>
        <v>937.72778735912345</v>
      </c>
      <c r="CB480" s="6">
        <f t="shared" si="975"/>
        <v>5.375455574718248E-6</v>
      </c>
      <c r="CC480" s="8">
        <f t="shared" si="976"/>
        <v>26.672869554629919</v>
      </c>
      <c r="CD480" s="7">
        <f t="shared" si="977"/>
        <v>1.3453117972817669E-2</v>
      </c>
      <c r="CE480" s="9">
        <f t="shared" si="978"/>
        <v>0.44489329674159783</v>
      </c>
      <c r="CF480" s="4">
        <f t="shared" si="979"/>
        <v>910.48602867435193</v>
      </c>
      <c r="CG480" s="6">
        <f t="shared" si="980"/>
        <v>5.3209720573487041E-6</v>
      </c>
      <c r="CH480" s="8">
        <f t="shared" si="981"/>
        <v>26.359589329755046</v>
      </c>
      <c r="CI480" s="7">
        <f t="shared" si="982"/>
        <v>1.331676242554204E-2</v>
      </c>
      <c r="CJ480" s="9">
        <f t="shared" si="983"/>
        <v>0.45018079459693056</v>
      </c>
      <c r="CK480" s="4">
        <f t="shared" si="984"/>
        <v>861.8750712396411</v>
      </c>
      <c r="CL480" s="6">
        <f t="shared" si="985"/>
        <v>5.2237501424792831E-6</v>
      </c>
      <c r="CM480" s="8">
        <f t="shared" si="986"/>
        <v>25.800563319255872</v>
      </c>
      <c r="CN480" s="7">
        <f t="shared" si="987"/>
        <v>1.3073445766683759E-2</v>
      </c>
      <c r="CO480" s="9">
        <f t="shared" si="988"/>
        <v>0.45993495269389911</v>
      </c>
      <c r="CP480" s="4">
        <f t="shared" si="989"/>
        <v>778.59107304015424</v>
      </c>
      <c r="CQ480" s="6">
        <f t="shared" si="990"/>
        <v>5.0571821460803096E-6</v>
      </c>
      <c r="CR480" s="8">
        <f t="shared" si="991"/>
        <v>24.842797339961773</v>
      </c>
      <c r="CS480" s="7">
        <f t="shared" si="992"/>
        <v>1.265657711715191E-2</v>
      </c>
      <c r="CT480" s="9">
        <f t="shared" si="993"/>
        <v>0.47766685479615789</v>
      </c>
      <c r="CU480" s="4">
        <f t="shared" si="994"/>
        <v>651.058013576245</v>
      </c>
      <c r="CV480" s="6">
        <f t="shared" si="995"/>
        <v>4.8021160271524904E-6</v>
      </c>
      <c r="CW480" s="8">
        <f t="shared" si="996"/>
        <v>33.697550873915446</v>
      </c>
      <c r="CX480" s="7">
        <f t="shared" si="997"/>
        <v>1.2018224787547818E-2</v>
      </c>
      <c r="CY480" s="9">
        <f t="shared" si="998"/>
        <v>0.35214965366826007</v>
      </c>
      <c r="CZ480" s="5">
        <f t="shared" si="999"/>
        <v>488.53613887439991</v>
      </c>
      <c r="DA480" s="6">
        <f t="shared" si="1000"/>
        <v>7.3863304298253312E-6</v>
      </c>
      <c r="DB480" s="8">
        <f t="shared" si="1001"/>
        <v>39.3274519726424</v>
      </c>
      <c r="DC480" s="7">
        <f t="shared" si="1002"/>
        <v>1.8485721494193839E-2</v>
      </c>
      <c r="DD480" s="9">
        <f t="shared" si="1003"/>
        <v>0.30173785166587253</v>
      </c>
    </row>
    <row r="481" spans="2:108" x14ac:dyDescent="0.25">
      <c r="B481">
        <v>214</v>
      </c>
      <c r="C481">
        <f t="shared" si="911"/>
        <v>0.20920953859788383</v>
      </c>
      <c r="D481" s="4">
        <f t="shared" si="912"/>
        <v>1016.4793929731878</v>
      </c>
      <c r="E481" s="6">
        <f t="shared" si="900"/>
        <v>5.5329587859463765E-6</v>
      </c>
      <c r="F481" s="8">
        <f t="shared" si="913"/>
        <v>27.578513019191661</v>
      </c>
      <c r="G481" s="7">
        <f t="shared" si="898"/>
        <v>1.3847300243007983E-2</v>
      </c>
      <c r="H481" s="9">
        <f t="shared" si="914"/>
        <v>0.43028356392746925</v>
      </c>
      <c r="I481" s="4">
        <f t="shared" si="915"/>
        <v>1016.1547036853275</v>
      </c>
      <c r="J481" s="6">
        <f t="shared" si="901"/>
        <v>5.532309407370656E-6</v>
      </c>
      <c r="K481" s="8">
        <f t="shared" si="916"/>
        <v>27.574779092381263</v>
      </c>
      <c r="L481" s="7">
        <f t="shared" si="902"/>
        <v>1.384567504743772E-2</v>
      </c>
      <c r="M481" s="9">
        <f t="shared" si="917"/>
        <v>0.4303418290301575</v>
      </c>
      <c r="N481" s="4">
        <f t="shared" si="918"/>
        <v>1015.248398250336</v>
      </c>
      <c r="O481" s="6">
        <f t="shared" si="903"/>
        <v>5.5304967965006723E-6</v>
      </c>
      <c r="P481" s="8">
        <f t="shared" si="904"/>
        <v>27.564356579878861</v>
      </c>
      <c r="Q481" s="7">
        <f t="shared" si="899"/>
        <v>1.3847300243007983E-2</v>
      </c>
      <c r="R481" s="9">
        <f t="shared" si="919"/>
        <v>0.43050454797773657</v>
      </c>
      <c r="S481" s="4">
        <f t="shared" si="920"/>
        <v>1013.7466728583438</v>
      </c>
      <c r="T481" s="6">
        <f t="shared" si="905"/>
        <v>5.5274933457166889E-6</v>
      </c>
      <c r="U481" s="8">
        <f t="shared" si="906"/>
        <v>27.547086737870952</v>
      </c>
      <c r="V481" s="7">
        <f t="shared" si="907"/>
        <v>1.383362192101995E-2</v>
      </c>
      <c r="W481" s="9">
        <f t="shared" si="921"/>
        <v>0.4307744402388678</v>
      </c>
      <c r="X481" s="4">
        <f t="shared" si="922"/>
        <v>1011.6477281110214</v>
      </c>
      <c r="Y481" s="6">
        <f t="shared" si="908"/>
        <v>5.5232954562220435E-6</v>
      </c>
      <c r="Z481" s="8">
        <f t="shared" si="909"/>
        <v>27.522948873276746</v>
      </c>
      <c r="AA481" s="7">
        <f t="shared" si="910"/>
        <v>1.3823115890075536E-2</v>
      </c>
      <c r="AB481" s="9">
        <f t="shared" si="923"/>
        <v>0.43115223315477247</v>
      </c>
      <c r="AC481" s="4">
        <f t="shared" si="924"/>
        <v>1008.9501259358295</v>
      </c>
      <c r="AD481" s="6">
        <f t="shared" si="925"/>
        <v>5.5179002518716599E-6</v>
      </c>
      <c r="AE481" s="8">
        <f t="shared" si="926"/>
        <v>27.491926448262038</v>
      </c>
      <c r="AF481" s="7">
        <f t="shared" si="927"/>
        <v>1.3809613346969321E-2</v>
      </c>
      <c r="AG481" s="9">
        <f t="shared" si="928"/>
        <v>0.43163875372829941</v>
      </c>
      <c r="AH481" s="4">
        <f t="shared" si="929"/>
        <v>1005.6534809556393</v>
      </c>
      <c r="AI481" s="6">
        <f t="shared" si="930"/>
        <v>5.5113069619112789E-6</v>
      </c>
      <c r="AJ481" s="8">
        <f t="shared" si="931"/>
        <v>27.454015030989851</v>
      </c>
      <c r="AK481" s="7">
        <f t="shared" si="932"/>
        <v>1.37931123627396E-2</v>
      </c>
      <c r="AL481" s="9">
        <f t="shared" si="933"/>
        <v>0.43223480632333766</v>
      </c>
      <c r="AM481" s="4">
        <f t="shared" si="934"/>
        <v>1001.7575088727558</v>
      </c>
      <c r="AN481" s="6">
        <f t="shared" si="935"/>
        <v>5.5035150177455123E-6</v>
      </c>
      <c r="AO481" s="8">
        <f t="shared" si="936"/>
        <v>27.409211352036692</v>
      </c>
      <c r="AP481" s="7">
        <f t="shared" si="937"/>
        <v>1.377361151436636E-2</v>
      </c>
      <c r="AQ481" s="9">
        <f t="shared" si="938"/>
        <v>0.43294134651693034</v>
      </c>
      <c r="AR481" s="4">
        <f t="shared" si="939"/>
        <v>997.26152701587637</v>
      </c>
      <c r="AS481" s="6">
        <f t="shared" si="940"/>
        <v>5.4945230540317532E-6</v>
      </c>
      <c r="AT481" s="8">
        <f t="shared" si="941"/>
        <v>27.357507560682578</v>
      </c>
      <c r="AU481" s="7">
        <f t="shared" si="942"/>
        <v>1.3751107384815473E-2</v>
      </c>
      <c r="AV481" s="9">
        <f t="shared" si="943"/>
        <v>0.4337595756264071</v>
      </c>
      <c r="AW481" s="4">
        <f t="shared" si="944"/>
        <v>992.16277010425063</v>
      </c>
      <c r="AX481" s="6">
        <f t="shared" si="945"/>
        <v>5.4843255402085015E-6</v>
      </c>
      <c r="AY481" s="8">
        <f t="shared" si="946"/>
        <v>27.298871856198879</v>
      </c>
      <c r="AZ481" s="7">
        <f t="shared" si="947"/>
        <v>1.3725586132786368E-2</v>
      </c>
      <c r="BA481" s="9">
        <f t="shared" si="948"/>
        <v>0.43469125509020989</v>
      </c>
      <c r="BB481" s="4">
        <f t="shared" si="949"/>
        <v>986.45008548555029</v>
      </c>
      <c r="BC481" s="6">
        <f t="shared" si="950"/>
        <v>5.4729001709711014E-6</v>
      </c>
      <c r="BD481" s="8">
        <f t="shared" si="951"/>
        <v>27.233175983083825</v>
      </c>
      <c r="BE481" s="7">
        <f t="shared" si="952"/>
        <v>1.3696991934937045E-2</v>
      </c>
      <c r="BF481" s="9">
        <f t="shared" si="953"/>
        <v>0.43573988127895735</v>
      </c>
      <c r="BG481" s="4">
        <f t="shared" si="954"/>
        <v>980.08186571546878</v>
      </c>
      <c r="BH481" s="6">
        <f t="shared" si="955"/>
        <v>5.4601637314309378E-6</v>
      </c>
      <c r="BI481" s="8">
        <f t="shared" si="956"/>
        <v>27.159941455727889</v>
      </c>
      <c r="BJ481" s="7">
        <f t="shared" si="957"/>
        <v>1.3665116529902847E-2</v>
      </c>
      <c r="BK481" s="9">
        <f t="shared" si="958"/>
        <v>0.43691481769432527</v>
      </c>
      <c r="BL481" s="4">
        <f t="shared" si="959"/>
        <v>972.91643405195157</v>
      </c>
      <c r="BM481" s="6">
        <f t="shared" si="960"/>
        <v>5.4458328681039037E-6</v>
      </c>
      <c r="BN481" s="8">
        <f t="shared" si="961"/>
        <v>27.077538991597443</v>
      </c>
      <c r="BO481" s="7">
        <f t="shared" si="962"/>
        <v>1.3629250770747907E-2</v>
      </c>
      <c r="BP481" s="9">
        <f t="shared" si="963"/>
        <v>0.43824443844029815</v>
      </c>
      <c r="BQ481" s="4">
        <f t="shared" si="964"/>
        <v>964.51803814535469</v>
      </c>
      <c r="BR481" s="6">
        <f t="shared" si="965"/>
        <v>5.4290360762907094E-6</v>
      </c>
      <c r="BS481" s="8">
        <f t="shared" si="966"/>
        <v>26.980957438671577</v>
      </c>
      <c r="BT481" s="7">
        <f t="shared" si="967"/>
        <v>1.3587213548286143E-2</v>
      </c>
      <c r="BU481" s="9">
        <f t="shared" si="968"/>
        <v>0.43981318664065006</v>
      </c>
      <c r="BV481" s="4">
        <f t="shared" si="969"/>
        <v>953.6911397687968</v>
      </c>
      <c r="BW481" s="6">
        <f t="shared" si="970"/>
        <v>5.4073822795375939E-6</v>
      </c>
      <c r="BX481" s="8">
        <f t="shared" si="971"/>
        <v>26.856448107341162</v>
      </c>
      <c r="BY481" s="7">
        <f t="shared" si="972"/>
        <v>1.3533020730909107E-2</v>
      </c>
      <c r="BZ481" s="9">
        <f t="shared" si="973"/>
        <v>0.44185220704871209</v>
      </c>
      <c r="CA481" s="4">
        <f t="shared" si="974"/>
        <v>937.55677236398947</v>
      </c>
      <c r="CB481" s="6">
        <f t="shared" si="975"/>
        <v>5.3751135447279795E-6</v>
      </c>
      <c r="CC481" s="8">
        <f t="shared" si="976"/>
        <v>26.670902882185878</v>
      </c>
      <c r="CD481" s="7">
        <f t="shared" si="977"/>
        <v>1.3452261976568538E-2</v>
      </c>
      <c r="CE481" s="9">
        <f t="shared" si="978"/>
        <v>0.44492610250715831</v>
      </c>
      <c r="CF481" s="4">
        <f t="shared" si="979"/>
        <v>910.16667740801108</v>
      </c>
      <c r="CG481" s="6">
        <f t="shared" si="980"/>
        <v>5.3203333548160233E-6</v>
      </c>
      <c r="CH481" s="8">
        <f t="shared" si="981"/>
        <v>26.355916790192126</v>
      </c>
      <c r="CI481" s="7">
        <f t="shared" si="982"/>
        <v>1.3315163948835786E-2</v>
      </c>
      <c r="CJ481" s="9">
        <f t="shared" si="983"/>
        <v>0.45024352460142197</v>
      </c>
      <c r="CK481" s="4">
        <f t="shared" si="984"/>
        <v>861.36174098906838</v>
      </c>
      <c r="CL481" s="6">
        <f t="shared" si="985"/>
        <v>5.2227234819781375E-6</v>
      </c>
      <c r="CM481" s="8">
        <f t="shared" si="986"/>
        <v>25.794660021374284</v>
      </c>
      <c r="CN481" s="7">
        <f t="shared" si="987"/>
        <v>1.3070876350073771E-2</v>
      </c>
      <c r="CO481" s="9">
        <f t="shared" si="988"/>
        <v>0.46004021219449559</v>
      </c>
      <c r="CP481" s="4">
        <f t="shared" si="989"/>
        <v>777.93615559583782</v>
      </c>
      <c r="CQ481" s="6">
        <f t="shared" si="990"/>
        <v>5.0558723111916761E-6</v>
      </c>
      <c r="CR481" s="8">
        <f t="shared" si="991"/>
        <v>24.835265789352135</v>
      </c>
      <c r="CS481" s="7">
        <f t="shared" si="992"/>
        <v>1.2653299001830003E-2</v>
      </c>
      <c r="CT481" s="9">
        <f t="shared" si="993"/>
        <v>0.47781171219860963</v>
      </c>
      <c r="CU481" s="4">
        <f t="shared" si="994"/>
        <v>650.51870669297864</v>
      </c>
      <c r="CV481" s="6">
        <f t="shared" si="995"/>
        <v>4.8010374133859577E-6</v>
      </c>
      <c r="CW481" s="8">
        <f t="shared" si="996"/>
        <v>33.805843696075272</v>
      </c>
      <c r="CX481" s="7">
        <f t="shared" si="997"/>
        <v>1.2015525347835856E-2</v>
      </c>
      <c r="CY481" s="9">
        <f t="shared" si="998"/>
        <v>0.35102158598383282</v>
      </c>
      <c r="CZ481" s="5">
        <f t="shared" si="999"/>
        <v>488.52470823058809</v>
      </c>
      <c r="DA481" s="6">
        <f t="shared" si="1000"/>
        <v>7.3865006665893333E-6</v>
      </c>
      <c r="DB481" s="8">
        <f t="shared" si="1001"/>
        <v>39.32778346131294</v>
      </c>
      <c r="DC481" s="7">
        <f t="shared" si="1002"/>
        <v>1.8486147544644373E-2</v>
      </c>
      <c r="DD481" s="9">
        <f t="shared" si="1003"/>
        <v>0.30173530835754198</v>
      </c>
    </row>
    <row r="482" spans="2:108" x14ac:dyDescent="0.25">
      <c r="B482">
        <v>215</v>
      </c>
      <c r="C482">
        <f t="shared" si="911"/>
        <v>0.21018715326422907</v>
      </c>
      <c r="D482" s="4">
        <f t="shared" si="912"/>
        <v>1016.4628159783712</v>
      </c>
      <c r="E482" s="6">
        <f t="shared" si="900"/>
        <v>5.5329256319567427E-6</v>
      </c>
      <c r="F482" s="8">
        <f t="shared" si="913"/>
        <v>27.578322383751267</v>
      </c>
      <c r="G482" s="7">
        <f t="shared" si="898"/>
        <v>1.384721726873211E-2</v>
      </c>
      <c r="H482" s="9">
        <f t="shared" si="914"/>
        <v>0.43028653826708146</v>
      </c>
      <c r="I482" s="4">
        <f t="shared" si="915"/>
        <v>1016.1381269944792</v>
      </c>
      <c r="J482" s="6">
        <f t="shared" si="901"/>
        <v>5.5322762539889589E-6</v>
      </c>
      <c r="K482" s="8">
        <f t="shared" si="916"/>
        <v>27.574588460436509</v>
      </c>
      <c r="L482" s="7">
        <f t="shared" si="902"/>
        <v>1.3845592074683324E-2</v>
      </c>
      <c r="M482" s="9">
        <f t="shared" si="917"/>
        <v>0.43034480412078829</v>
      </c>
      <c r="N482" s="4">
        <f t="shared" si="918"/>
        <v>1015.2318191553647</v>
      </c>
      <c r="O482" s="6">
        <f t="shared" si="903"/>
        <v>5.5304636383107301E-6</v>
      </c>
      <c r="P482" s="8">
        <f t="shared" si="904"/>
        <v>27.564165920286694</v>
      </c>
      <c r="Q482" s="7">
        <f t="shared" si="899"/>
        <v>1.384721726873211E-2</v>
      </c>
      <c r="R482" s="9">
        <f t="shared" si="919"/>
        <v>0.43050752575046447</v>
      </c>
      <c r="S482" s="4">
        <f t="shared" si="920"/>
        <v>1013.7300931552181</v>
      </c>
      <c r="T482" s="6">
        <f t="shared" si="905"/>
        <v>5.527460186310437E-6</v>
      </c>
      <c r="U482" s="8">
        <f t="shared" si="906"/>
        <v>27.546896071285008</v>
      </c>
      <c r="V482" s="7">
        <f t="shared" si="907"/>
        <v>1.383353893318794E-2</v>
      </c>
      <c r="W482" s="9">
        <f t="shared" si="921"/>
        <v>0.43077742185580281</v>
      </c>
      <c r="X482" s="4">
        <f t="shared" si="922"/>
        <v>1011.6311524078606</v>
      </c>
      <c r="Y482" s="6">
        <f t="shared" si="908"/>
        <v>5.5232623048157213E-6</v>
      </c>
      <c r="Z482" s="8">
        <f t="shared" si="909"/>
        <v>27.522758252690394</v>
      </c>
      <c r="AA482" s="7">
        <f t="shared" si="910"/>
        <v>1.3823032922264897E-2</v>
      </c>
      <c r="AB482" s="9">
        <f t="shared" si="923"/>
        <v>0.43115521928322431</v>
      </c>
      <c r="AC482" s="4">
        <f t="shared" si="924"/>
        <v>1008.9335594798368</v>
      </c>
      <c r="AD482" s="6">
        <f t="shared" si="925"/>
        <v>5.5178671189596736E-6</v>
      </c>
      <c r="AE482" s="8">
        <f t="shared" si="926"/>
        <v>27.491735934018124</v>
      </c>
      <c r="AF482" s="7">
        <f t="shared" si="927"/>
        <v>1.3809530425444338E-2</v>
      </c>
      <c r="AG482" s="9">
        <f t="shared" si="928"/>
        <v>0.43164174493012847</v>
      </c>
      <c r="AH482" s="4">
        <f t="shared" si="929"/>
        <v>1005.6369273077656</v>
      </c>
      <c r="AI482" s="6">
        <f t="shared" si="930"/>
        <v>5.5112738546155315E-6</v>
      </c>
      <c r="AJ482" s="8">
        <f t="shared" si="931"/>
        <v>27.453824664039303</v>
      </c>
      <c r="AK482" s="7">
        <f t="shared" si="932"/>
        <v>1.3793029505324213E-2</v>
      </c>
      <c r="AL482" s="9">
        <f t="shared" si="933"/>
        <v>0.43223780347302471</v>
      </c>
      <c r="AM482" s="4">
        <f t="shared" si="934"/>
        <v>1001.7409650296469</v>
      </c>
      <c r="AN482" s="6">
        <f t="shared" si="935"/>
        <v>5.5034819300592942E-6</v>
      </c>
      <c r="AO482" s="8">
        <f t="shared" si="936"/>
        <v>27.409021097840938</v>
      </c>
      <c r="AP482" s="7">
        <f t="shared" si="937"/>
        <v>1.3773528706027615E-2</v>
      </c>
      <c r="AQ482" s="9">
        <f t="shared" si="938"/>
        <v>0.43294435169202933</v>
      </c>
      <c r="AR482" s="4">
        <f t="shared" si="939"/>
        <v>997.24496508824063</v>
      </c>
      <c r="AS482" s="6">
        <f t="shared" si="940"/>
        <v>5.4944899301764812E-6</v>
      </c>
      <c r="AT482" s="8">
        <f t="shared" si="941"/>
        <v>27.357317098514766</v>
      </c>
      <c r="AU482" s="7">
        <f t="shared" si="942"/>
        <v>1.3751024485956671E-2</v>
      </c>
      <c r="AV482" s="9">
        <f t="shared" si="943"/>
        <v>0.43376259546891521</v>
      </c>
      <c r="AW482" s="4">
        <f t="shared" si="944"/>
        <v>992.14606861391735</v>
      </c>
      <c r="AX482" s="6">
        <f t="shared" si="945"/>
        <v>5.4842921372278348E-6</v>
      </c>
      <c r="AY482" s="8">
        <f t="shared" si="946"/>
        <v>27.298679789060049</v>
      </c>
      <c r="AZ482" s="7">
        <f t="shared" si="947"/>
        <v>1.3725502535362241E-2</v>
      </c>
      <c r="BA482" s="9">
        <f t="shared" si="948"/>
        <v>0.43469431347641335</v>
      </c>
      <c r="BB482" s="4">
        <f t="shared" si="949"/>
        <v>986.43279711197715</v>
      </c>
      <c r="BC482" s="6">
        <f t="shared" si="950"/>
        <v>5.4728655942239547E-6</v>
      </c>
      <c r="BD482" s="8">
        <f t="shared" si="951"/>
        <v>27.232977166787734</v>
      </c>
      <c r="BE482" s="7">
        <f t="shared" si="952"/>
        <v>1.3696905399935122E-2</v>
      </c>
      <c r="BF482" s="9">
        <f t="shared" si="953"/>
        <v>0.43574306242910205</v>
      </c>
      <c r="BG482" s="4">
        <f t="shared" si="954"/>
        <v>980.06252050942612</v>
      </c>
      <c r="BH482" s="6">
        <f t="shared" si="955"/>
        <v>5.4601250410188525E-6</v>
      </c>
      <c r="BI482" s="8">
        <f t="shared" si="956"/>
        <v>27.159718985858397</v>
      </c>
      <c r="BJ482" s="7">
        <f t="shared" si="957"/>
        <v>1.3665019699658233E-2</v>
      </c>
      <c r="BK482" s="9">
        <f t="shared" si="958"/>
        <v>0.43691839653777803</v>
      </c>
      <c r="BL482" s="4">
        <f t="shared" si="959"/>
        <v>972.89072390418312</v>
      </c>
      <c r="BM482" s="6">
        <f t="shared" si="960"/>
        <v>5.4457814478083665E-6</v>
      </c>
      <c r="BN482" s="8">
        <f t="shared" si="961"/>
        <v>27.077243324898106</v>
      </c>
      <c r="BO482" s="7">
        <f t="shared" si="962"/>
        <v>1.3629122081506143E-2</v>
      </c>
      <c r="BP482" s="9">
        <f t="shared" si="963"/>
        <v>0.43824922379769449</v>
      </c>
      <c r="BQ482" s="4">
        <f t="shared" si="964"/>
        <v>964.47486194706869</v>
      </c>
      <c r="BR482" s="6">
        <f t="shared" si="965"/>
        <v>5.428949723894138E-6</v>
      </c>
      <c r="BS482" s="8">
        <f t="shared" si="966"/>
        <v>26.980460912391287</v>
      </c>
      <c r="BT482" s="7">
        <f t="shared" si="967"/>
        <v>1.3586997434700576E-2</v>
      </c>
      <c r="BU482" s="9">
        <f t="shared" si="968"/>
        <v>0.43982128060191689</v>
      </c>
      <c r="BV482" s="4">
        <f t="shared" si="969"/>
        <v>953.60594424897499</v>
      </c>
      <c r="BW482" s="6">
        <f t="shared" si="970"/>
        <v>5.4072118884979508E-6</v>
      </c>
      <c r="BX482" s="8">
        <f t="shared" si="971"/>
        <v>26.855468358863213</v>
      </c>
      <c r="BY482" s="7">
        <f t="shared" si="972"/>
        <v>1.3532594294353922E-2</v>
      </c>
      <c r="BZ482" s="9">
        <f t="shared" si="973"/>
        <v>0.4418683268207283</v>
      </c>
      <c r="CA482" s="4">
        <f t="shared" si="974"/>
        <v>937.38481987318471</v>
      </c>
      <c r="CB482" s="6">
        <f t="shared" si="975"/>
        <v>5.3747696397463701E-6</v>
      </c>
      <c r="CC482" s="8">
        <f t="shared" si="976"/>
        <v>26.668925428541623</v>
      </c>
      <c r="CD482" s="7">
        <f t="shared" si="977"/>
        <v>1.3451401287790682E-2</v>
      </c>
      <c r="CE482" s="9">
        <f t="shared" si="978"/>
        <v>0.4449590929906026</v>
      </c>
      <c r="CF482" s="4">
        <f t="shared" si="979"/>
        <v>909.84658872125453</v>
      </c>
      <c r="CG482" s="6">
        <f t="shared" si="980"/>
        <v>5.3196931774425097E-6</v>
      </c>
      <c r="CH482" s="8">
        <f t="shared" si="981"/>
        <v>26.352235770294428</v>
      </c>
      <c r="CI482" s="7">
        <f t="shared" si="982"/>
        <v>1.3313561781054898E-2</v>
      </c>
      <c r="CJ482" s="9">
        <f t="shared" si="983"/>
        <v>0.45030641700217744</v>
      </c>
      <c r="CK482" s="4">
        <f t="shared" si="984"/>
        <v>860.84903862765225</v>
      </c>
      <c r="CL482" s="6">
        <f t="shared" si="985"/>
        <v>5.2216980772553042E-6</v>
      </c>
      <c r="CM482" s="8">
        <f t="shared" si="986"/>
        <v>25.788763944217997</v>
      </c>
      <c r="CN482" s="7">
        <f t="shared" si="987"/>
        <v>1.3068310076292057E-2</v>
      </c>
      <c r="CO482" s="9">
        <f t="shared" si="988"/>
        <v>0.46014539104649332</v>
      </c>
      <c r="CP482" s="4">
        <f t="shared" si="989"/>
        <v>777.28471844517094</v>
      </c>
      <c r="CQ482" s="6">
        <f t="shared" si="990"/>
        <v>5.0545694368903421E-6</v>
      </c>
      <c r="CR482" s="8">
        <f t="shared" si="991"/>
        <v>24.827774262119465</v>
      </c>
      <c r="CS482" s="7">
        <f t="shared" si="992"/>
        <v>1.2650038306725011E-2</v>
      </c>
      <c r="CT482" s="9">
        <f t="shared" si="993"/>
        <v>0.47795588700124131</v>
      </c>
      <c r="CU482" s="4">
        <f t="shared" si="994"/>
        <v>649.98496817717898</v>
      </c>
      <c r="CV482" s="6">
        <f t="shared" si="995"/>
        <v>4.7700869018472287E-6</v>
      </c>
      <c r="CW482" s="8">
        <f t="shared" si="996"/>
        <v>34.645435922861807</v>
      </c>
      <c r="CX482" s="7">
        <f t="shared" si="997"/>
        <v>1.1938065702367315E-2</v>
      </c>
      <c r="CY482" s="9">
        <f t="shared" si="998"/>
        <v>0.34251498223716642</v>
      </c>
      <c r="CZ482" s="5">
        <f t="shared" si="999"/>
        <v>488.59515336913182</v>
      </c>
      <c r="DA482" s="6">
        <f t="shared" si="1000"/>
        <v>7.385451507967555E-6</v>
      </c>
      <c r="DB482" s="8">
        <f t="shared" si="1001"/>
        <v>39.325740552295173</v>
      </c>
      <c r="DC482" s="7">
        <f t="shared" si="1002"/>
        <v>1.8483521822133083E-2</v>
      </c>
      <c r="DD482" s="9">
        <f t="shared" si="1003"/>
        <v>0.30175098302186526</v>
      </c>
    </row>
    <row r="483" spans="2:108" x14ac:dyDescent="0.25">
      <c r="B483">
        <v>216</v>
      </c>
      <c r="C483">
        <f t="shared" si="911"/>
        <v>0.21116476793057432</v>
      </c>
      <c r="D483" s="4">
        <f t="shared" si="912"/>
        <v>1016.4462389990736</v>
      </c>
      <c r="E483" s="6">
        <f t="shared" si="900"/>
        <v>5.5328924779981476E-6</v>
      </c>
      <c r="F483" s="8">
        <f t="shared" si="913"/>
        <v>27.578131748489344</v>
      </c>
      <c r="G483" s="7">
        <f t="shared" si="898"/>
        <v>1.3847134294533915E-2</v>
      </c>
      <c r="H483" s="9">
        <f t="shared" si="914"/>
        <v>0.43028951264502963</v>
      </c>
      <c r="I483" s="4">
        <f t="shared" si="915"/>
        <v>1016.1215503509205</v>
      </c>
      <c r="J483" s="6">
        <f t="shared" si="901"/>
        <v>5.5322431007018416E-6</v>
      </c>
      <c r="K483" s="8">
        <f t="shared" si="916"/>
        <v>27.574397829035583</v>
      </c>
      <c r="L483" s="7">
        <f t="shared" si="902"/>
        <v>1.3845509102165632E-2</v>
      </c>
      <c r="M483" s="9">
        <f t="shared" si="917"/>
        <v>0.43034777924406747</v>
      </c>
      <c r="N483" s="4">
        <f t="shared" si="918"/>
        <v>1015.2152401741866</v>
      </c>
      <c r="O483" s="6">
        <f t="shared" si="903"/>
        <v>5.5304304803483737E-6</v>
      </c>
      <c r="P483" s="8">
        <f t="shared" si="904"/>
        <v>27.563975262003147</v>
      </c>
      <c r="Q483" s="7">
        <f t="shared" si="899"/>
        <v>1.3847134294533915E-2</v>
      </c>
      <c r="R483" s="9">
        <f t="shared" si="919"/>
        <v>0.43051050354394793</v>
      </c>
      <c r="S483" s="4">
        <f t="shared" si="920"/>
        <v>1013.7135136230771</v>
      </c>
      <c r="T483" s="6">
        <f t="shared" si="905"/>
        <v>5.5274270272461551E-6</v>
      </c>
      <c r="U483" s="8">
        <f t="shared" si="906"/>
        <v>27.546705406665385</v>
      </c>
      <c r="V483" s="7">
        <f t="shared" si="907"/>
        <v>1.3833455946211777E-2</v>
      </c>
      <c r="W483" s="9">
        <f t="shared" si="921"/>
        <v>0.43078040348326307</v>
      </c>
      <c r="X483" s="4">
        <f t="shared" si="922"/>
        <v>1011.6145768996306</v>
      </c>
      <c r="Y483" s="6">
        <f t="shared" si="908"/>
        <v>5.5232291537992621E-6</v>
      </c>
      <c r="Z483" s="8">
        <f t="shared" si="909"/>
        <v>27.522567634345751</v>
      </c>
      <c r="AA483" s="7">
        <f t="shared" si="910"/>
        <v>1.3822949955429969E-2</v>
      </c>
      <c r="AB483" s="9">
        <f t="shared" si="923"/>
        <v>0.43115820541792205</v>
      </c>
      <c r="AC483" s="4">
        <f t="shared" si="924"/>
        <v>1008.916993202987</v>
      </c>
      <c r="AD483" s="6">
        <f t="shared" si="925"/>
        <v>5.5178339864059746E-6</v>
      </c>
      <c r="AE483" s="8">
        <f t="shared" si="926"/>
        <v>27.491545421834349</v>
      </c>
      <c r="AF483" s="7">
        <f t="shared" si="927"/>
        <v>1.3809447504816039E-2</v>
      </c>
      <c r="AG483" s="9">
        <f t="shared" si="928"/>
        <v>0.43164473614106891</v>
      </c>
      <c r="AH483" s="4">
        <f t="shared" si="929"/>
        <v>1005.6203737438378</v>
      </c>
      <c r="AI483" s="6">
        <f t="shared" si="930"/>
        <v>5.5112407474876762E-6</v>
      </c>
      <c r="AJ483" s="8">
        <f t="shared" si="931"/>
        <v>27.453634298054133</v>
      </c>
      <c r="AK483" s="7">
        <f t="shared" si="932"/>
        <v>1.3792946648329007E-2</v>
      </c>
      <c r="AL483" s="9">
        <f t="shared" si="933"/>
        <v>0.43224080064907766</v>
      </c>
      <c r="AM483" s="4">
        <f t="shared" si="934"/>
        <v>1001.7244208930866</v>
      </c>
      <c r="AN483" s="6">
        <f t="shared" si="935"/>
        <v>5.5034488417861738E-6</v>
      </c>
      <c r="AO483" s="8">
        <f t="shared" si="936"/>
        <v>27.408830840270497</v>
      </c>
      <c r="AP483" s="7">
        <f t="shared" si="937"/>
        <v>1.3773445896220033E-2</v>
      </c>
      <c r="AQ483" s="9">
        <f t="shared" si="938"/>
        <v>0.43294735696215447</v>
      </c>
      <c r="AR483" s="4">
        <f t="shared" si="939"/>
        <v>997.22840145129715</v>
      </c>
      <c r="AS483" s="6">
        <f t="shared" si="940"/>
        <v>5.4944568029025944E-6</v>
      </c>
      <c r="AT483" s="8">
        <f t="shared" si="941"/>
        <v>27.357126616689918</v>
      </c>
      <c r="AU483" s="7">
        <f t="shared" si="942"/>
        <v>1.3750941578542121E-2</v>
      </c>
      <c r="AV483" s="9">
        <f t="shared" si="943"/>
        <v>0.4337656156651476</v>
      </c>
      <c r="AW483" s="4">
        <f t="shared" si="944"/>
        <v>992.12936051823976</v>
      </c>
      <c r="AX483" s="6">
        <f t="shared" si="945"/>
        <v>5.4842587210364798E-6</v>
      </c>
      <c r="AY483" s="8">
        <f t="shared" si="946"/>
        <v>27.298487645959757</v>
      </c>
      <c r="AZ483" s="7">
        <f t="shared" si="947"/>
        <v>1.3725418904875809E-2</v>
      </c>
      <c r="BA483" s="9">
        <f t="shared" si="948"/>
        <v>0.43469737311525319</v>
      </c>
      <c r="BB483" s="4">
        <f t="shared" si="949"/>
        <v>986.41548685376904</v>
      </c>
      <c r="BC483" s="6">
        <f t="shared" si="950"/>
        <v>5.4728309737075393E-6</v>
      </c>
      <c r="BD483" s="8">
        <f t="shared" si="951"/>
        <v>27.232778098818343</v>
      </c>
      <c r="BE483" s="7">
        <f t="shared" si="952"/>
        <v>1.3696818755392137E-2</v>
      </c>
      <c r="BF483" s="9">
        <f t="shared" si="953"/>
        <v>0.43574624765266973</v>
      </c>
      <c r="BG483" s="4">
        <f t="shared" si="954"/>
        <v>980.04311117511588</v>
      </c>
      <c r="BH483" s="6">
        <f t="shared" si="955"/>
        <v>5.4600862223502327E-6</v>
      </c>
      <c r="BI483" s="8">
        <f t="shared" si="956"/>
        <v>27.159495778513833</v>
      </c>
      <c r="BJ483" s="7">
        <f t="shared" si="957"/>
        <v>1.3664922548426821E-2</v>
      </c>
      <c r="BK483" s="9">
        <f t="shared" si="958"/>
        <v>0.43692198730381721</v>
      </c>
      <c r="BL483" s="4">
        <f t="shared" si="959"/>
        <v>972.86484867471438</v>
      </c>
      <c r="BM483" s="6">
        <f t="shared" si="960"/>
        <v>5.4457296973494289E-6</v>
      </c>
      <c r="BN483" s="8">
        <f t="shared" si="961"/>
        <v>27.076945759759212</v>
      </c>
      <c r="BO483" s="7">
        <f t="shared" si="962"/>
        <v>1.3628992565966563E-2</v>
      </c>
      <c r="BP483" s="9">
        <f t="shared" si="963"/>
        <v>0.4382540399867989</v>
      </c>
      <c r="BQ483" s="4">
        <f t="shared" si="964"/>
        <v>964.43132034097414</v>
      </c>
      <c r="BR483" s="6">
        <f t="shared" si="965"/>
        <v>5.4288626406819486E-6</v>
      </c>
      <c r="BS483" s="8">
        <f t="shared" si="966"/>
        <v>26.9799601839212</v>
      </c>
      <c r="BT483" s="7">
        <f t="shared" si="967"/>
        <v>1.3586779492107478E-2</v>
      </c>
      <c r="BU483" s="9">
        <f t="shared" si="968"/>
        <v>0.43982944336551794</v>
      </c>
      <c r="BV483" s="4">
        <f t="shared" si="969"/>
        <v>953.52007976747427</v>
      </c>
      <c r="BW483" s="6">
        <f t="shared" si="970"/>
        <v>5.4070401595349493E-6</v>
      </c>
      <c r="BX483" s="8">
        <f t="shared" si="971"/>
        <v>26.854480917325951</v>
      </c>
      <c r="BY483" s="7">
        <f t="shared" si="972"/>
        <v>1.3532164509386583E-2</v>
      </c>
      <c r="BZ483" s="9">
        <f t="shared" si="973"/>
        <v>0.44188457435652118</v>
      </c>
      <c r="CA483" s="4">
        <f t="shared" si="974"/>
        <v>937.21193629592551</v>
      </c>
      <c r="CB483" s="6">
        <f t="shared" si="975"/>
        <v>5.3744238725918523E-6</v>
      </c>
      <c r="CC483" s="8">
        <f t="shared" si="976"/>
        <v>26.666937267403142</v>
      </c>
      <c r="CD483" s="7">
        <f t="shared" si="977"/>
        <v>1.3450535938564705E-2</v>
      </c>
      <c r="CE483" s="9">
        <f t="shared" si="978"/>
        <v>0.44499226704310163</v>
      </c>
      <c r="CF483" s="4">
        <f t="shared" si="979"/>
        <v>909.52577915323025</v>
      </c>
      <c r="CG483" s="6">
        <f t="shared" si="980"/>
        <v>5.319051558306461E-6</v>
      </c>
      <c r="CH483" s="8">
        <f t="shared" si="981"/>
        <v>26.348546460262149</v>
      </c>
      <c r="CI483" s="7">
        <f t="shared" si="982"/>
        <v>1.3311956004984218E-2</v>
      </c>
      <c r="CJ483" s="9">
        <f t="shared" si="983"/>
        <v>0.45036946867693872</v>
      </c>
      <c r="CK483" s="4">
        <f t="shared" si="984"/>
        <v>860.33698560543428</v>
      </c>
      <c r="CL483" s="6">
        <f t="shared" si="985"/>
        <v>5.2206739712108692E-6</v>
      </c>
      <c r="CM483" s="8">
        <f t="shared" si="986"/>
        <v>25.782875334462496</v>
      </c>
      <c r="CN483" s="7">
        <f t="shared" si="987"/>
        <v>1.306574705270439E-2</v>
      </c>
      <c r="CO483" s="9">
        <f t="shared" si="988"/>
        <v>0.46025048470278712</v>
      </c>
      <c r="CP483" s="4">
        <f t="shared" si="989"/>
        <v>776.63675191712662</v>
      </c>
      <c r="CQ483" s="6">
        <f t="shared" si="990"/>
        <v>5.0532735038342534E-6</v>
      </c>
      <c r="CR483" s="8">
        <f t="shared" si="991"/>
        <v>24.820322647046957</v>
      </c>
      <c r="CS483" s="7">
        <f t="shared" si="992"/>
        <v>1.2646794983429691E-2</v>
      </c>
      <c r="CT483" s="9">
        <f t="shared" si="993"/>
        <v>0.47809938003081304</v>
      </c>
      <c r="CU483" s="4">
        <f t="shared" si="994"/>
        <v>649.45775923198551</v>
      </c>
      <c r="CV483" s="6">
        <f t="shared" si="995"/>
        <v>4.7797058041237791E-6</v>
      </c>
      <c r="CW483" s="8">
        <f t="shared" si="996"/>
        <v>34.660724982272413</v>
      </c>
      <c r="CX483" s="7">
        <f t="shared" si="997"/>
        <v>1.1962138867012941E-2</v>
      </c>
      <c r="CY483" s="9">
        <f t="shared" si="998"/>
        <v>0.34236389676751378</v>
      </c>
      <c r="CZ483" s="5">
        <f t="shared" si="999"/>
        <v>488.65238629490057</v>
      </c>
      <c r="DA483" s="6">
        <f t="shared" si="1000"/>
        <v>7.3845990907208236E-6</v>
      </c>
      <c r="DB483" s="8">
        <f t="shared" si="1001"/>
        <v>39.324080797447877</v>
      </c>
      <c r="DC483" s="7">
        <f t="shared" si="1002"/>
        <v>1.8481388482991322E-2</v>
      </c>
      <c r="DD483" s="9">
        <f t="shared" si="1003"/>
        <v>0.30176371905145805</v>
      </c>
    </row>
    <row r="484" spans="2:108" x14ac:dyDescent="0.25">
      <c r="B484">
        <v>217</v>
      </c>
      <c r="C484">
        <f t="shared" si="911"/>
        <v>0.21214238259691956</v>
      </c>
      <c r="D484" s="4">
        <f t="shared" si="912"/>
        <v>1016.4296620369171</v>
      </c>
      <c r="E484" s="6">
        <f t="shared" si="900"/>
        <v>5.5328593240738344E-6</v>
      </c>
      <c r="F484" s="8">
        <f t="shared" si="913"/>
        <v>27.577941113424544</v>
      </c>
      <c r="G484" s="7">
        <f t="shared" si="898"/>
        <v>1.3847051320421517E-2</v>
      </c>
      <c r="H484" s="9">
        <f t="shared" si="914"/>
        <v>0.43029248706102352</v>
      </c>
      <c r="I484" s="4">
        <f t="shared" si="915"/>
        <v>1016.1049737558134</v>
      </c>
      <c r="J484" s="6">
        <f t="shared" si="901"/>
        <v>5.5322099475116273E-6</v>
      </c>
      <c r="K484" s="8">
        <f t="shared" si="916"/>
        <v>27.574207198191854</v>
      </c>
      <c r="L484" s="7">
        <f t="shared" si="902"/>
        <v>1.3845426129890459E-2</v>
      </c>
      <c r="M484" s="9">
        <f t="shared" si="917"/>
        <v>0.43035075439978693</v>
      </c>
      <c r="N484" s="4">
        <f t="shared" si="918"/>
        <v>1015.1986613071003</v>
      </c>
      <c r="O484" s="6">
        <f t="shared" si="903"/>
        <v>5.5303973226142012E-6</v>
      </c>
      <c r="P484" s="8">
        <f t="shared" si="904"/>
        <v>27.563784605031653</v>
      </c>
      <c r="Q484" s="7">
        <f t="shared" si="899"/>
        <v>1.3847051320421517E-2</v>
      </c>
      <c r="R484" s="9">
        <f t="shared" si="919"/>
        <v>0.43051348135813339</v>
      </c>
      <c r="S484" s="4">
        <f t="shared" si="920"/>
        <v>1013.6969342616467</v>
      </c>
      <c r="T484" s="6">
        <f t="shared" si="905"/>
        <v>5.5273938685232936E-6</v>
      </c>
      <c r="U484" s="8">
        <f t="shared" si="906"/>
        <v>27.546514744008938</v>
      </c>
      <c r="V484" s="7">
        <f t="shared" si="907"/>
        <v>1.383337296009008E-2</v>
      </c>
      <c r="W484" s="9">
        <f t="shared" si="921"/>
        <v>0.43078338512129738</v>
      </c>
      <c r="X484" s="4">
        <f t="shared" si="922"/>
        <v>1011.5980015857937</v>
      </c>
      <c r="Y484" s="6">
        <f t="shared" si="908"/>
        <v>5.5231960031715876E-6</v>
      </c>
      <c r="Z484" s="8">
        <f t="shared" si="909"/>
        <v>27.522377018236625</v>
      </c>
      <c r="AA484" s="7">
        <f t="shared" si="910"/>
        <v>1.3822866989568047E-2</v>
      </c>
      <c r="AB484" s="9">
        <f t="shared" si="923"/>
        <v>0.43116119155896215</v>
      </c>
      <c r="AC484" s="4">
        <f t="shared" si="924"/>
        <v>1008.9004271040268</v>
      </c>
      <c r="AD484" s="6">
        <f t="shared" si="925"/>
        <v>5.517800854208054E-6</v>
      </c>
      <c r="AE484" s="8">
        <f t="shared" si="926"/>
        <v>27.491354911696305</v>
      </c>
      <c r="AF484" s="7">
        <f t="shared" si="927"/>
        <v>1.3809364585078143E-2</v>
      </c>
      <c r="AG484" s="9">
        <f t="shared" si="928"/>
        <v>0.43164772736134643</v>
      </c>
      <c r="AH484" s="4">
        <f t="shared" si="929"/>
        <v>1005.6038202594142</v>
      </c>
      <c r="AI484" s="6">
        <f t="shared" si="930"/>
        <v>5.5112076405188285E-6</v>
      </c>
      <c r="AJ484" s="8">
        <f t="shared" si="931"/>
        <v>27.453443932983262</v>
      </c>
      <c r="AK484" s="7">
        <f t="shared" si="932"/>
        <v>1.379286379173175E-2</v>
      </c>
      <c r="AL484" s="9">
        <f t="shared" si="933"/>
        <v>0.43224379785230105</v>
      </c>
      <c r="AM484" s="4">
        <f t="shared" si="934"/>
        <v>1001.7078764469894</v>
      </c>
      <c r="AN484" s="6">
        <f t="shared" si="935"/>
        <v>5.5034157528939798E-6</v>
      </c>
      <c r="AO484" s="8">
        <f t="shared" si="936"/>
        <v>27.408640579140375</v>
      </c>
      <c r="AP484" s="7">
        <f t="shared" si="937"/>
        <v>1.3773363084863101E-2</v>
      </c>
      <c r="AQ484" s="9">
        <f t="shared" si="938"/>
        <v>0.43295036233023104</v>
      </c>
      <c r="AR484" s="4">
        <f t="shared" si="939"/>
        <v>997.21183605170222</v>
      </c>
      <c r="AS484" s="6">
        <f t="shared" si="940"/>
        <v>5.4944236721034047E-6</v>
      </c>
      <c r="AT484" s="8">
        <f t="shared" si="941"/>
        <v>27.356936114594575</v>
      </c>
      <c r="AU484" s="7">
        <f t="shared" si="942"/>
        <v>1.3750858662304822E-2</v>
      </c>
      <c r="AV484" s="9">
        <f t="shared" si="943"/>
        <v>0.43376863622484502</v>
      </c>
      <c r="AW484" s="4">
        <f t="shared" si="944"/>
        <v>992.11264565911813</v>
      </c>
      <c r="AX484" s="6">
        <f t="shared" si="945"/>
        <v>5.4842252913182374E-6</v>
      </c>
      <c r="AY484" s="8">
        <f t="shared" si="946"/>
        <v>27.298295425079857</v>
      </c>
      <c r="AZ484" s="7">
        <f t="shared" si="947"/>
        <v>1.3725335240535725E-2</v>
      </c>
      <c r="BA484" s="9">
        <f t="shared" si="948"/>
        <v>0.43470043403573372</v>
      </c>
      <c r="BB484" s="4">
        <f t="shared" si="949"/>
        <v>986.39815430166607</v>
      </c>
      <c r="BC484" s="6">
        <f t="shared" si="950"/>
        <v>5.4727963086033323E-6</v>
      </c>
      <c r="BD484" s="8">
        <f t="shared" si="951"/>
        <v>27.232578774469161</v>
      </c>
      <c r="BE484" s="7">
        <f t="shared" si="952"/>
        <v>1.3696731999259571E-2</v>
      </c>
      <c r="BF484" s="9">
        <f t="shared" si="953"/>
        <v>0.43574943702514679</v>
      </c>
      <c r="BG484" s="4">
        <f t="shared" si="954"/>
        <v>980.02363682022587</v>
      </c>
      <c r="BH484" s="6">
        <f t="shared" si="955"/>
        <v>5.4600472736404519E-6</v>
      </c>
      <c r="BI484" s="8">
        <f t="shared" si="956"/>
        <v>27.159271823432597</v>
      </c>
      <c r="BJ484" s="7">
        <f t="shared" si="957"/>
        <v>1.3664825071742234E-2</v>
      </c>
      <c r="BK484" s="9">
        <f t="shared" si="958"/>
        <v>0.43692559015811305</v>
      </c>
      <c r="BL484" s="4">
        <f t="shared" si="959"/>
        <v>972.83880683706639</v>
      </c>
      <c r="BM484" s="6">
        <f t="shared" si="960"/>
        <v>5.4456776136741334E-6</v>
      </c>
      <c r="BN484" s="8">
        <f t="shared" si="961"/>
        <v>27.076646278626264</v>
      </c>
      <c r="BO484" s="7">
        <f t="shared" si="962"/>
        <v>1.3628862216488558E-2</v>
      </c>
      <c r="BP484" s="9">
        <f t="shared" si="963"/>
        <v>0.43825888729377571</v>
      </c>
      <c r="BQ484" s="4">
        <f t="shared" si="964"/>
        <v>964.38741166570605</v>
      </c>
      <c r="BR484" s="6">
        <f t="shared" si="965"/>
        <v>5.4287748233314129E-6</v>
      </c>
      <c r="BS484" s="8">
        <f t="shared" si="966"/>
        <v>26.979455234155619</v>
      </c>
      <c r="BT484" s="7">
        <f t="shared" si="967"/>
        <v>1.358655971219108E-2</v>
      </c>
      <c r="BU484" s="9">
        <f t="shared" si="968"/>
        <v>0.43983767525057255</v>
      </c>
      <c r="BV484" s="4">
        <f t="shared" si="969"/>
        <v>953.43354664589413</v>
      </c>
      <c r="BW484" s="6">
        <f t="shared" si="970"/>
        <v>5.4068670932917891E-6</v>
      </c>
      <c r="BX484" s="8">
        <f t="shared" si="971"/>
        <v>26.853485786427783</v>
      </c>
      <c r="BY484" s="7">
        <f t="shared" si="972"/>
        <v>1.3531731377616823E-2</v>
      </c>
      <c r="BZ484" s="9">
        <f t="shared" si="973"/>
        <v>0.4419009496232878</v>
      </c>
      <c r="CA484" s="4">
        <f t="shared" si="974"/>
        <v>937.03812810271472</v>
      </c>
      <c r="CB484" s="6">
        <f t="shared" si="975"/>
        <v>5.3740762562054302E-6</v>
      </c>
      <c r="CC484" s="8">
        <f t="shared" si="976"/>
        <v>26.664938473181216</v>
      </c>
      <c r="CD484" s="7">
        <f t="shared" si="977"/>
        <v>1.3449665961277977E-2</v>
      </c>
      <c r="CE484" s="9">
        <f t="shared" si="978"/>
        <v>0.4450256235037986</v>
      </c>
      <c r="CF484" s="4">
        <f t="shared" si="979"/>
        <v>909.20426517605802</v>
      </c>
      <c r="CG484" s="6">
        <f t="shared" si="980"/>
        <v>5.3184085303521167E-6</v>
      </c>
      <c r="CH484" s="8">
        <f t="shared" si="981"/>
        <v>26.344849049524669</v>
      </c>
      <c r="CI484" s="7">
        <f t="shared" si="982"/>
        <v>1.3310346703073083E-2</v>
      </c>
      <c r="CJ484" s="9">
        <f t="shared" si="983"/>
        <v>0.45043267651336205</v>
      </c>
      <c r="CK484" s="4">
        <f t="shared" si="984"/>
        <v>859.82560287119031</v>
      </c>
      <c r="CL484" s="6">
        <f t="shared" si="985"/>
        <v>5.2196512057423813E-6</v>
      </c>
      <c r="CM484" s="8">
        <f t="shared" si="986"/>
        <v>25.776994433018686</v>
      </c>
      <c r="CN484" s="7">
        <f t="shared" si="987"/>
        <v>1.3063187384167493E-2</v>
      </c>
      <c r="CO484" s="9">
        <f t="shared" si="988"/>
        <v>0.46035548871118837</v>
      </c>
      <c r="CP484" s="4">
        <f t="shared" si="989"/>
        <v>775.99225977307697</v>
      </c>
      <c r="CQ484" s="6">
        <f t="shared" si="990"/>
        <v>5.0519845195461545E-6</v>
      </c>
      <c r="CR484" s="8">
        <f t="shared" si="991"/>
        <v>24.812910987390385</v>
      </c>
      <c r="CS484" s="7">
        <f t="shared" si="992"/>
        <v>1.2643569050771172E-2</v>
      </c>
      <c r="CT484" s="9">
        <f t="shared" si="993"/>
        <v>0.47824218914694644</v>
      </c>
      <c r="CU484" s="4">
        <f t="shared" si="994"/>
        <v>648.93678202891397</v>
      </c>
      <c r="CV484" s="6">
        <f t="shared" si="995"/>
        <v>4.7892011853900961E-6</v>
      </c>
      <c r="CW484" s="8">
        <f t="shared" si="996"/>
        <v>34.675833321161491</v>
      </c>
      <c r="CX484" s="7">
        <f t="shared" si="997"/>
        <v>1.1985902896423479E-2</v>
      </c>
      <c r="CY484" s="9">
        <f t="shared" si="998"/>
        <v>0.34221472804450598</v>
      </c>
      <c r="CZ484" s="5">
        <f t="shared" si="999"/>
        <v>488.69691311707948</v>
      </c>
      <c r="DA484" s="6">
        <f t="shared" si="1000"/>
        <v>7.3839358962979103E-6</v>
      </c>
      <c r="DB484" s="8">
        <f t="shared" si="1001"/>
        <v>39.32278951960469</v>
      </c>
      <c r="DC484" s="7">
        <f t="shared" si="1002"/>
        <v>1.8479728710589456E-2</v>
      </c>
      <c r="DD484" s="9">
        <f t="shared" si="1003"/>
        <v>0.30177362833838939</v>
      </c>
    </row>
    <row r="485" spans="2:108" x14ac:dyDescent="0.25">
      <c r="B485">
        <v>218</v>
      </c>
      <c r="C485">
        <f t="shared" si="911"/>
        <v>0.2131199972632648</v>
      </c>
      <c r="D485" s="4">
        <f t="shared" si="912"/>
        <v>1016.4130850935003</v>
      </c>
      <c r="E485" s="6">
        <f t="shared" si="900"/>
        <v>5.5328261701870008E-6</v>
      </c>
      <c r="F485" s="8">
        <f t="shared" si="913"/>
        <v>27.577750478575254</v>
      </c>
      <c r="G485" s="7">
        <f t="shared" si="898"/>
        <v>1.3846968346402918E-2</v>
      </c>
      <c r="H485" s="9">
        <f t="shared" si="914"/>
        <v>0.43029546151477688</v>
      </c>
      <c r="I485" s="4">
        <f t="shared" si="915"/>
        <v>1016.0883972103049</v>
      </c>
      <c r="J485" s="6">
        <f t="shared" si="901"/>
        <v>5.5321767944206099E-6</v>
      </c>
      <c r="K485" s="8">
        <f t="shared" si="916"/>
        <v>27.574016567918505</v>
      </c>
      <c r="L485" s="7">
        <f t="shared" si="902"/>
        <v>1.3845343157863545E-2</v>
      </c>
      <c r="M485" s="9">
        <f t="shared" si="917"/>
        <v>0.43035372958774126</v>
      </c>
      <c r="N485" s="4">
        <f t="shared" si="918"/>
        <v>1015.1820825544037</v>
      </c>
      <c r="O485" s="6">
        <f t="shared" si="903"/>
        <v>5.5303641651088081E-6</v>
      </c>
      <c r="P485" s="8">
        <f t="shared" si="904"/>
        <v>27.563593949375644</v>
      </c>
      <c r="Q485" s="7">
        <f t="shared" si="899"/>
        <v>1.3846968346402918E-2</v>
      </c>
      <c r="R485" s="9">
        <f t="shared" si="919"/>
        <v>0.43051645919296727</v>
      </c>
      <c r="S485" s="4">
        <f t="shared" si="920"/>
        <v>1013.6803550706551</v>
      </c>
      <c r="T485" s="6">
        <f t="shared" si="905"/>
        <v>5.5273607101413103E-6</v>
      </c>
      <c r="U485" s="8">
        <f t="shared" si="906"/>
        <v>27.546324083312534</v>
      </c>
      <c r="V485" s="7">
        <f t="shared" si="907"/>
        <v>1.3833289974821502E-2</v>
      </c>
      <c r="W485" s="9">
        <f t="shared" si="921"/>
        <v>0.4307863667699543</v>
      </c>
      <c r="X485" s="4">
        <f t="shared" si="922"/>
        <v>1011.5814264658042</v>
      </c>
      <c r="Y485" s="6">
        <f t="shared" si="908"/>
        <v>5.5231628529316086E-6</v>
      </c>
      <c r="Z485" s="8">
        <f t="shared" si="909"/>
        <v>27.522186404356745</v>
      </c>
      <c r="AA485" s="7">
        <f t="shared" si="910"/>
        <v>1.3822784024676408E-2</v>
      </c>
      <c r="AB485" s="9">
        <f t="shared" si="923"/>
        <v>0.43116417770644216</v>
      </c>
      <c r="AC485" s="4">
        <f t="shared" si="924"/>
        <v>1008.8838611816634</v>
      </c>
      <c r="AD485" s="6">
        <f t="shared" si="925"/>
        <v>5.5177677223633275E-6</v>
      </c>
      <c r="AE485" s="8">
        <f t="shared" si="926"/>
        <v>27.491164403589128</v>
      </c>
      <c r="AF485" s="7">
        <f t="shared" si="927"/>
        <v>1.3809281666224185E-2</v>
      </c>
      <c r="AG485" s="9">
        <f t="shared" si="928"/>
        <v>0.43165071859119392</v>
      </c>
      <c r="AH485" s="4">
        <f t="shared" si="929"/>
        <v>1005.5872668499193</v>
      </c>
      <c r="AI485" s="6">
        <f t="shared" si="930"/>
        <v>5.5111745336998395E-6</v>
      </c>
      <c r="AJ485" s="8">
        <f t="shared" si="931"/>
        <v>27.453253568774073</v>
      </c>
      <c r="AK485" s="7">
        <f t="shared" si="932"/>
        <v>1.3792780935509544E-2</v>
      </c>
      <c r="AL485" s="9">
        <f t="shared" si="933"/>
        <v>0.43224679508352354</v>
      </c>
      <c r="AM485" s="4">
        <f t="shared" si="934"/>
        <v>1001.6913316748681</v>
      </c>
      <c r="AN485" s="6">
        <f t="shared" si="935"/>
        <v>5.5033826633497365E-6</v>
      </c>
      <c r="AO485" s="8">
        <f t="shared" si="936"/>
        <v>27.408450314260982</v>
      </c>
      <c r="AP485" s="7">
        <f t="shared" si="937"/>
        <v>1.3773280271874289E-2</v>
      </c>
      <c r="AQ485" s="9">
        <f t="shared" si="938"/>
        <v>0.43295336779925708</v>
      </c>
      <c r="AR485" s="4">
        <f t="shared" si="939"/>
        <v>997.19526883506126</v>
      </c>
      <c r="AS485" s="6">
        <f t="shared" si="940"/>
        <v>5.4943905376701226E-6</v>
      </c>
      <c r="AT485" s="8">
        <f t="shared" si="941"/>
        <v>27.356745591603204</v>
      </c>
      <c r="AU485" s="7">
        <f t="shared" si="942"/>
        <v>1.3750775736972502E-2</v>
      </c>
      <c r="AV485" s="9">
        <f t="shared" si="943"/>
        <v>0.43377165715794025</v>
      </c>
      <c r="AW485" s="4">
        <f t="shared" si="944"/>
        <v>992.09592387617079</v>
      </c>
      <c r="AX485" s="6">
        <f t="shared" si="945"/>
        <v>5.484191847752342E-6</v>
      </c>
      <c r="AY485" s="8">
        <f t="shared" si="946"/>
        <v>27.298103124575963</v>
      </c>
      <c r="AZ485" s="7">
        <f t="shared" si="947"/>
        <v>1.372525154153921E-2</v>
      </c>
      <c r="BA485" s="9">
        <f t="shared" si="948"/>
        <v>0.43470349626727878</v>
      </c>
      <c r="BB485" s="4">
        <f t="shared" si="949"/>
        <v>986.38079904273025</v>
      </c>
      <c r="BC485" s="6">
        <f t="shared" si="950"/>
        <v>5.4727615980854616E-6</v>
      </c>
      <c r="BD485" s="8">
        <f t="shared" si="951"/>
        <v>27.232379188991395</v>
      </c>
      <c r="BE485" s="7">
        <f t="shared" si="952"/>
        <v>1.3696645129470525E-2</v>
      </c>
      <c r="BF485" s="9">
        <f t="shared" si="953"/>
        <v>0.43575263062270103</v>
      </c>
      <c r="BG485" s="4">
        <f t="shared" si="954"/>
        <v>980.00409654969997</v>
      </c>
      <c r="BH485" s="6">
        <f t="shared" si="955"/>
        <v>5.4600081930994008E-6</v>
      </c>
      <c r="BI485" s="8">
        <f t="shared" si="956"/>
        <v>27.159047110321549</v>
      </c>
      <c r="BJ485" s="7">
        <f t="shared" si="957"/>
        <v>1.3664727265124377E-2</v>
      </c>
      <c r="BK485" s="9">
        <f t="shared" si="958"/>
        <v>0.43692920526685608</v>
      </c>
      <c r="BL485" s="4">
        <f t="shared" si="959"/>
        <v>972.81259687119814</v>
      </c>
      <c r="BM485" s="6">
        <f t="shared" si="960"/>
        <v>5.4456251937423967E-6</v>
      </c>
      <c r="BN485" s="8">
        <f t="shared" si="961"/>
        <v>27.076344864018779</v>
      </c>
      <c r="BO485" s="7">
        <f t="shared" si="962"/>
        <v>1.3628731025463726E-2</v>
      </c>
      <c r="BP485" s="9">
        <f t="shared" si="963"/>
        <v>0.43826376600362937</v>
      </c>
      <c r="BQ485" s="4">
        <f t="shared" si="964"/>
        <v>964.34313428987195</v>
      </c>
      <c r="BR485" s="6">
        <f t="shared" si="965"/>
        <v>5.4286862685797449E-6</v>
      </c>
      <c r="BS485" s="8">
        <f t="shared" si="966"/>
        <v>26.978946044333526</v>
      </c>
      <c r="BT485" s="7">
        <f t="shared" si="967"/>
        <v>1.3586338086785625E-2</v>
      </c>
      <c r="BU485" s="9">
        <f t="shared" si="968"/>
        <v>0.43984597657069241</v>
      </c>
      <c r="BV485" s="4">
        <f t="shared" si="969"/>
        <v>953.34634526668981</v>
      </c>
      <c r="BW485" s="6">
        <f t="shared" si="970"/>
        <v>5.4066926905333798E-6</v>
      </c>
      <c r="BX485" s="8">
        <f t="shared" si="971"/>
        <v>26.852482970566932</v>
      </c>
      <c r="BY485" s="7">
        <f t="shared" si="972"/>
        <v>1.3531294900958975E-2</v>
      </c>
      <c r="BZ485" s="9">
        <f t="shared" si="973"/>
        <v>0.44191745257691384</v>
      </c>
      <c r="CA485" s="4">
        <f t="shared" si="974"/>
        <v>936.86340182352615</v>
      </c>
      <c r="CB485" s="6">
        <f t="shared" si="975"/>
        <v>5.3737268036470525E-6</v>
      </c>
      <c r="CC485" s="8">
        <f t="shared" si="976"/>
        <v>26.662929120970549</v>
      </c>
      <c r="CD485" s="7">
        <f t="shared" si="977"/>
        <v>1.3448791388615546E-2</v>
      </c>
      <c r="CE485" s="9">
        <f t="shared" si="978"/>
        <v>0.4450591612001385</v>
      </c>
      <c r="CF485" s="4">
        <f t="shared" si="979"/>
        <v>908.88206319044752</v>
      </c>
      <c r="CG485" s="6">
        <f t="shared" si="980"/>
        <v>5.3177641263808961E-6</v>
      </c>
      <c r="CH485" s="8">
        <f t="shared" si="981"/>
        <v>26.341143726690145</v>
      </c>
      <c r="CI485" s="7">
        <f t="shared" si="982"/>
        <v>1.3308733957413395E-2</v>
      </c>
      <c r="CJ485" s="9">
        <f t="shared" si="983"/>
        <v>0.45049603740987504</v>
      </c>
      <c r="CK485" s="4">
        <f t="shared" si="984"/>
        <v>859.3149110691653</v>
      </c>
      <c r="CL485" s="6">
        <f t="shared" si="985"/>
        <v>5.2186298221383309E-6</v>
      </c>
      <c r="CM485" s="8">
        <f t="shared" si="986"/>
        <v>25.771121477295402</v>
      </c>
      <c r="CN485" s="7">
        <f t="shared" si="987"/>
        <v>1.3060631174013806E-2</v>
      </c>
      <c r="CO485" s="9">
        <f t="shared" si="988"/>
        <v>0.46046039867424732</v>
      </c>
      <c r="CP485" s="4">
        <f t="shared" si="989"/>
        <v>775.35124193869626</v>
      </c>
      <c r="CQ485" s="6">
        <f t="shared" si="990"/>
        <v>5.0507024838773927E-6</v>
      </c>
      <c r="CR485" s="8">
        <f t="shared" si="991"/>
        <v>24.805539282295008</v>
      </c>
      <c r="CS485" s="7">
        <f t="shared" si="992"/>
        <v>1.264036050837742E-2</v>
      </c>
      <c r="CT485" s="9">
        <f t="shared" si="993"/>
        <v>0.47838431306299756</v>
      </c>
      <c r="CU485" s="4">
        <f t="shared" si="994"/>
        <v>648.42175313093219</v>
      </c>
      <c r="CV485" s="6">
        <f t="shared" si="995"/>
        <v>4.7985785857137936E-6</v>
      </c>
      <c r="CW485" s="8">
        <f t="shared" si="996"/>
        <v>34.690769159202958</v>
      </c>
      <c r="CX485" s="7">
        <f t="shared" si="997"/>
        <v>1.200937165569039E-2</v>
      </c>
      <c r="CY485" s="9">
        <f t="shared" si="998"/>
        <v>0.34206739018266669</v>
      </c>
      <c r="CZ485" s="5">
        <f t="shared" si="999"/>
        <v>488.72922164383675</v>
      </c>
      <c r="DA485" s="6">
        <f t="shared" si="1000"/>
        <v>7.3834546736564089E-6</v>
      </c>
      <c r="DB485" s="8">
        <f t="shared" si="1001"/>
        <v>39.32185257232873</v>
      </c>
      <c r="DC485" s="7">
        <f t="shared" si="1002"/>
        <v>1.8478524357790457E-2</v>
      </c>
      <c r="DD485" s="9">
        <f t="shared" si="1003"/>
        <v>0.30178081889428976</v>
      </c>
    </row>
    <row r="486" spans="2:108" x14ac:dyDescent="0.25">
      <c r="B486">
        <v>219</v>
      </c>
      <c r="C486">
        <f t="shared" si="911"/>
        <v>0.21409761192961008</v>
      </c>
      <c r="D486" s="4">
        <f t="shared" si="912"/>
        <v>1016.3965081703986</v>
      </c>
      <c r="E486" s="6">
        <f t="shared" si="900"/>
        <v>5.5327930163407976E-6</v>
      </c>
      <c r="F486" s="8">
        <f t="shared" si="913"/>
        <v>27.577559843959584</v>
      </c>
      <c r="G486" s="7">
        <f t="shared" si="898"/>
        <v>1.3846885372486005E-2</v>
      </c>
      <c r="H486" s="9">
        <f t="shared" si="914"/>
        <v>0.43029843600600798</v>
      </c>
      <c r="I486" s="4">
        <f t="shared" si="915"/>
        <v>1016.0718207155277</v>
      </c>
      <c r="J486" s="6">
        <f t="shared" si="901"/>
        <v>5.5321436414310561E-6</v>
      </c>
      <c r="K486" s="8">
        <f t="shared" si="916"/>
        <v>27.573825938228566</v>
      </c>
      <c r="L486" s="7">
        <f t="shared" si="902"/>
        <v>1.3845260186090561E-2</v>
      </c>
      <c r="M486" s="9">
        <f t="shared" si="917"/>
        <v>0.43035670480772775</v>
      </c>
      <c r="N486" s="4">
        <f t="shared" si="918"/>
        <v>1015.1655039163934</v>
      </c>
      <c r="O486" s="6">
        <f t="shared" si="903"/>
        <v>5.5303310078327873E-6</v>
      </c>
      <c r="P486" s="8">
        <f t="shared" si="904"/>
        <v>27.563403295038523</v>
      </c>
      <c r="Q486" s="7">
        <f t="shared" si="899"/>
        <v>1.3846885372486005E-2</v>
      </c>
      <c r="R486" s="9">
        <f t="shared" si="919"/>
        <v>0.4305194370483964</v>
      </c>
      <c r="S486" s="4">
        <f t="shared" si="920"/>
        <v>1013.6637760498328</v>
      </c>
      <c r="T486" s="6">
        <f t="shared" si="905"/>
        <v>5.5273275520996657E-6</v>
      </c>
      <c r="U486" s="8">
        <f t="shared" si="906"/>
        <v>27.546133424573078</v>
      </c>
      <c r="V486" s="7">
        <f t="shared" si="907"/>
        <v>1.3833206990404684E-2</v>
      </c>
      <c r="W486" s="9">
        <f t="shared" si="921"/>
        <v>0.43078934842928185</v>
      </c>
      <c r="X486" s="4">
        <f t="shared" si="922"/>
        <v>1011.5648515391082</v>
      </c>
      <c r="Y486" s="6">
        <f t="shared" si="908"/>
        <v>5.5231297030782171E-6</v>
      </c>
      <c r="Z486" s="8">
        <f t="shared" si="909"/>
        <v>27.521995792699741</v>
      </c>
      <c r="AA486" s="7">
        <f t="shared" si="910"/>
        <v>1.3822701060752278E-2</v>
      </c>
      <c r="AB486" s="9">
        <f t="shared" si="923"/>
        <v>0.43116716386046139</v>
      </c>
      <c r="AC486" s="4">
        <f t="shared" si="924"/>
        <v>1008.8672954345636</v>
      </c>
      <c r="AD486" s="6">
        <f t="shared" si="925"/>
        <v>5.5177345908691278E-6</v>
      </c>
      <c r="AE486" s="8">
        <f t="shared" si="926"/>
        <v>27.490973897497483</v>
      </c>
      <c r="AF486" s="7">
        <f t="shared" si="927"/>
        <v>1.3809198748247488E-2</v>
      </c>
      <c r="AG486" s="9">
        <f t="shared" si="928"/>
        <v>0.43165370983085177</v>
      </c>
      <c r="AH486" s="4">
        <f t="shared" si="929"/>
        <v>1005.570713510641</v>
      </c>
      <c r="AI486" s="6">
        <f t="shared" si="930"/>
        <v>5.5111414270212818E-6</v>
      </c>
      <c r="AJ486" s="8">
        <f t="shared" si="931"/>
        <v>27.45306320537237</v>
      </c>
      <c r="AK486" s="7">
        <f t="shared" si="932"/>
        <v>1.3792698079638793E-2</v>
      </c>
      <c r="AL486" s="9">
        <f t="shared" si="933"/>
        <v>0.43224979234359873</v>
      </c>
      <c r="AM486" s="4">
        <f t="shared" si="934"/>
        <v>1001.6747865598287</v>
      </c>
      <c r="AN486" s="6">
        <f t="shared" si="935"/>
        <v>5.5033495731196574E-6</v>
      </c>
      <c r="AO486" s="8">
        <f t="shared" si="936"/>
        <v>27.408260045438027</v>
      </c>
      <c r="AP486" s="7">
        <f t="shared" si="937"/>
        <v>1.377319745716904E-2</v>
      </c>
      <c r="AQ486" s="9">
        <f t="shared" si="938"/>
        <v>0.43295637337230508</v>
      </c>
      <c r="AR486" s="4">
        <f t="shared" si="939"/>
        <v>997.1786997459194</v>
      </c>
      <c r="AS486" s="6">
        <f t="shared" si="940"/>
        <v>5.4943573994918394E-6</v>
      </c>
      <c r="AT486" s="8">
        <f t="shared" si="941"/>
        <v>27.356555047078071</v>
      </c>
      <c r="AU486" s="7">
        <f t="shared" si="942"/>
        <v>1.3750692802267591E-2</v>
      </c>
      <c r="AV486" s="9">
        <f t="shared" si="943"/>
        <v>0.43377467847456025</v>
      </c>
      <c r="AW486" s="4">
        <f t="shared" si="944"/>
        <v>992.07919500673017</v>
      </c>
      <c r="AX486" s="6">
        <f t="shared" si="945"/>
        <v>5.4841583900134602E-6</v>
      </c>
      <c r="AY486" s="8">
        <f t="shared" si="946"/>
        <v>27.297910742577397</v>
      </c>
      <c r="AZ486" s="7">
        <f t="shared" si="947"/>
        <v>1.3725167807072051E-2</v>
      </c>
      <c r="BA486" s="9">
        <f t="shared" si="948"/>
        <v>0.4347065598397325</v>
      </c>
      <c r="BB486" s="4">
        <f t="shared" si="949"/>
        <v>986.36342066037741</v>
      </c>
      <c r="BC486" s="6">
        <f t="shared" si="950"/>
        <v>5.4727268413207557E-6</v>
      </c>
      <c r="BD486" s="8">
        <f t="shared" si="951"/>
        <v>27.232179337594339</v>
      </c>
      <c r="BE486" s="7">
        <f t="shared" si="952"/>
        <v>1.3696558143939821E-2</v>
      </c>
      <c r="BF486" s="9">
        <f t="shared" si="953"/>
        <v>0.43575582852217581</v>
      </c>
      <c r="BG486" s="4">
        <f t="shared" si="954"/>
        <v>979.98448946585768</v>
      </c>
      <c r="BH486" s="6">
        <f t="shared" si="955"/>
        <v>5.4599689789317161E-6</v>
      </c>
      <c r="BI486" s="8">
        <f t="shared" si="956"/>
        <v>27.158821628857361</v>
      </c>
      <c r="BJ486" s="7">
        <f t="shared" si="957"/>
        <v>1.3664629124080008E-2</v>
      </c>
      <c r="BK486" s="9">
        <f t="shared" si="958"/>
        <v>0.43693283279673556</v>
      </c>
      <c r="BL486" s="4">
        <f t="shared" si="959"/>
        <v>972.78621726372148</v>
      </c>
      <c r="BM486" s="6">
        <f t="shared" si="960"/>
        <v>5.4455724345274429E-6</v>
      </c>
      <c r="BN486" s="8">
        <f t="shared" si="961"/>
        <v>27.076041498532796</v>
      </c>
      <c r="BO486" s="7">
        <f t="shared" si="962"/>
        <v>1.3628598985316979E-2</v>
      </c>
      <c r="BP486" s="9">
        <f t="shared" si="963"/>
        <v>0.43826867640016465</v>
      </c>
      <c r="BQ486" s="4">
        <f t="shared" si="964"/>
        <v>964.29848661218068</v>
      </c>
      <c r="BR486" s="6">
        <f t="shared" si="965"/>
        <v>5.428596973224362E-6</v>
      </c>
      <c r="BS486" s="8">
        <f t="shared" si="966"/>
        <v>26.978432596040079</v>
      </c>
      <c r="BT486" s="7">
        <f t="shared" si="967"/>
        <v>1.3586114607876036E-2</v>
      </c>
      <c r="BU486" s="9">
        <f t="shared" si="968"/>
        <v>0.43985434763395731</v>
      </c>
      <c r="BV486" s="4">
        <f t="shared" si="969"/>
        <v>953.25847607274477</v>
      </c>
      <c r="BW486" s="6">
        <f t="shared" si="970"/>
        <v>5.4065169521454901E-6</v>
      </c>
      <c r="BX486" s="8">
        <f t="shared" si="971"/>
        <v>26.851472474836562</v>
      </c>
      <c r="BY486" s="7">
        <f t="shared" si="972"/>
        <v>1.3530855081629847E-2</v>
      </c>
      <c r="BZ486" s="9">
        <f t="shared" si="973"/>
        <v>0.4419340831620493</v>
      </c>
      <c r="CA486" s="4">
        <f t="shared" si="974"/>
        <v>936.68776404597065</v>
      </c>
      <c r="CB486" s="6">
        <f t="shared" si="975"/>
        <v>5.3733755280919423E-6</v>
      </c>
      <c r="CC486" s="8">
        <f t="shared" si="976"/>
        <v>26.660909286528664</v>
      </c>
      <c r="CD486" s="7">
        <f t="shared" si="977"/>
        <v>1.3447912253550959E-2</v>
      </c>
      <c r="CE486" s="9">
        <f t="shared" si="978"/>
        <v>0.44509287894820204</v>
      </c>
      <c r="CF486" s="4">
        <f t="shared" si="979"/>
        <v>908.55918952414106</v>
      </c>
      <c r="CG486" s="6">
        <f t="shared" si="980"/>
        <v>5.3171183790482827E-6</v>
      </c>
      <c r="CH486" s="8">
        <f t="shared" si="981"/>
        <v>26.337430679527621</v>
      </c>
      <c r="CI486" s="7">
        <f t="shared" si="982"/>
        <v>1.3307117849731816E-2</v>
      </c>
      <c r="CJ486" s="9">
        <f t="shared" si="983"/>
        <v>0.45055954827597988</v>
      </c>
      <c r="CK486" s="4">
        <f t="shared" si="984"/>
        <v>858.80493049385177</v>
      </c>
      <c r="CL486" s="6">
        <f t="shared" si="985"/>
        <v>5.2176098609877044E-6</v>
      </c>
      <c r="CM486" s="8">
        <f t="shared" si="986"/>
        <v>25.765256700679295</v>
      </c>
      <c r="CN486" s="7">
        <f t="shared" si="987"/>
        <v>1.3058078523825121E-2</v>
      </c>
      <c r="CO486" s="9">
        <f t="shared" si="988"/>
        <v>0.46056521025870623</v>
      </c>
      <c r="CP486" s="4">
        <f t="shared" si="989"/>
        <v>774.713694796607</v>
      </c>
      <c r="CQ486" s="6">
        <f t="shared" si="990"/>
        <v>5.0494273895932149E-6</v>
      </c>
      <c r="CR486" s="8">
        <f t="shared" si="991"/>
        <v>24.79820749016098</v>
      </c>
      <c r="CS486" s="7">
        <f t="shared" si="992"/>
        <v>1.2637169338142065E-2</v>
      </c>
      <c r="CT486" s="9">
        <f t="shared" si="993"/>
        <v>0.47852575128368141</v>
      </c>
      <c r="CU486" s="4">
        <f t="shared" si="994"/>
        <v>647.91240282817898</v>
      </c>
      <c r="CV486" s="6">
        <f t="shared" si="995"/>
        <v>4.8078432685029383E-6</v>
      </c>
      <c r="CW486" s="8">
        <f t="shared" si="996"/>
        <v>34.705540317982809</v>
      </c>
      <c r="CX486" s="7">
        <f t="shared" si="997"/>
        <v>1.2032558317511073E-2</v>
      </c>
      <c r="CY486" s="9">
        <f t="shared" si="998"/>
        <v>0.34192180156230512</v>
      </c>
      <c r="CZ486" s="5">
        <f t="shared" si="999"/>
        <v>488.74978196607645</v>
      </c>
      <c r="DA486" s="6">
        <f t="shared" si="1000"/>
        <v>7.38314843111878E-6</v>
      </c>
      <c r="DB486" s="8">
        <f t="shared" si="1001"/>
        <v>39.321256322983778</v>
      </c>
      <c r="DC486" s="7">
        <f t="shared" si="1002"/>
        <v>1.847775792656807E-2</v>
      </c>
      <c r="DD486" s="9">
        <f t="shared" si="1003"/>
        <v>0.30178539495905499</v>
      </c>
    </row>
    <row r="487" spans="2:108" x14ac:dyDescent="0.25">
      <c r="B487">
        <v>220</v>
      </c>
      <c r="C487">
        <f t="shared" si="911"/>
        <v>0.21507522659595532</v>
      </c>
      <c r="D487" s="4">
        <f t="shared" si="912"/>
        <v>1016.3799312691651</v>
      </c>
      <c r="E487" s="6">
        <f t="shared" si="900"/>
        <v>5.532759862538331E-6</v>
      </c>
      <c r="F487" s="8">
        <f t="shared" si="913"/>
        <v>27.577369209595396</v>
      </c>
      <c r="G487" s="7">
        <f t="shared" si="898"/>
        <v>1.3846802398678554E-2</v>
      </c>
      <c r="H487" s="9">
        <f t="shared" si="914"/>
        <v>0.43030141053443871</v>
      </c>
      <c r="I487" s="4">
        <f t="shared" si="915"/>
        <v>1016.0552442725998</v>
      </c>
      <c r="J487" s="6">
        <f t="shared" si="901"/>
        <v>5.5321104885452002E-6</v>
      </c>
      <c r="K487" s="8">
        <f t="shared" si="916"/>
        <v>27.573635309134897</v>
      </c>
      <c r="L487" s="7">
        <f t="shared" si="902"/>
        <v>1.3845177214577106E-2</v>
      </c>
      <c r="M487" s="9">
        <f t="shared" si="917"/>
        <v>0.43035968005954611</v>
      </c>
      <c r="N487" s="4">
        <f t="shared" si="918"/>
        <v>1015.1489253933651</v>
      </c>
      <c r="O487" s="6">
        <f t="shared" si="903"/>
        <v>5.5302978507867308E-6</v>
      </c>
      <c r="P487" s="8">
        <f t="shared" si="904"/>
        <v>27.563212642023696</v>
      </c>
      <c r="Q487" s="7">
        <f t="shared" si="899"/>
        <v>1.3846802398678554E-2</v>
      </c>
      <c r="R487" s="9">
        <f t="shared" si="919"/>
        <v>0.43052241492436755</v>
      </c>
      <c r="S487" s="4">
        <f t="shared" si="920"/>
        <v>1013.6471971989122</v>
      </c>
      <c r="T487" s="6">
        <f t="shared" si="905"/>
        <v>5.5272943943978245E-6</v>
      </c>
      <c r="U487" s="8">
        <f t="shared" si="906"/>
        <v>27.545942767787487</v>
      </c>
      <c r="V487" s="7">
        <f t="shared" si="907"/>
        <v>1.3833124006838291E-2</v>
      </c>
      <c r="W487" s="9">
        <f t="shared" si="921"/>
        <v>0.43079233009932782</v>
      </c>
      <c r="X487" s="4">
        <f t="shared" si="922"/>
        <v>1011.548276805143</v>
      </c>
      <c r="Y487" s="6">
        <f t="shared" si="908"/>
        <v>5.5230965536102866E-6</v>
      </c>
      <c r="Z487" s="8">
        <f t="shared" si="909"/>
        <v>27.521805183259143</v>
      </c>
      <c r="AA487" s="7">
        <f t="shared" si="910"/>
        <v>1.382261809779284E-2</v>
      </c>
      <c r="AB487" s="9">
        <f t="shared" si="923"/>
        <v>0.43117015002112058</v>
      </c>
      <c r="AC487" s="4">
        <f t="shared" si="924"/>
        <v>1008.8507298613523</v>
      </c>
      <c r="AD487" s="6">
        <f t="shared" si="925"/>
        <v>5.5177014597227055E-6</v>
      </c>
      <c r="AE487" s="8">
        <f t="shared" si="926"/>
        <v>27.49078339340555</v>
      </c>
      <c r="AF487" s="7">
        <f t="shared" si="927"/>
        <v>1.380911583114117E-2</v>
      </c>
      <c r="AG487" s="9">
        <f t="shared" si="928"/>
        <v>0.43165670108056786</v>
      </c>
      <c r="AH487" s="4">
        <f t="shared" si="929"/>
        <v>1005.5541602367279</v>
      </c>
      <c r="AI487" s="6">
        <f t="shared" si="930"/>
        <v>5.511108320473456E-6</v>
      </c>
      <c r="AJ487" s="8">
        <f t="shared" si="931"/>
        <v>27.452872842722371</v>
      </c>
      <c r="AK487" s="7">
        <f t="shared" si="932"/>
        <v>1.3792615224095224E-2</v>
      </c>
      <c r="AL487" s="9">
        <f t="shared" si="933"/>
        <v>0.4322527896334053</v>
      </c>
      <c r="AM487" s="4">
        <f t="shared" si="934"/>
        <v>1001.6582410845632</v>
      </c>
      <c r="AN487" s="6">
        <f t="shared" si="935"/>
        <v>5.5033164821691268E-6</v>
      </c>
      <c r="AO487" s="8">
        <f t="shared" si="936"/>
        <v>27.408069772472476</v>
      </c>
      <c r="AP487" s="7">
        <f t="shared" si="937"/>
        <v>1.3773114640660718E-2</v>
      </c>
      <c r="AQ487" s="9">
        <f t="shared" si="938"/>
        <v>0.43295937905252263</v>
      </c>
      <c r="AR487" s="4">
        <f t="shared" si="939"/>
        <v>997.16212872775168</v>
      </c>
      <c r="AS487" s="6">
        <f t="shared" si="940"/>
        <v>5.4943242574555041E-6</v>
      </c>
      <c r="AT487" s="8">
        <f t="shared" si="941"/>
        <v>27.356364480369145</v>
      </c>
      <c r="AU487" s="7">
        <f t="shared" si="942"/>
        <v>1.3750609857907157E-2</v>
      </c>
      <c r="AV487" s="9">
        <f t="shared" si="943"/>
        <v>0.43377770018502737</v>
      </c>
      <c r="AW487" s="4">
        <f t="shared" si="944"/>
        <v>992.06245888583874</v>
      </c>
      <c r="AX487" s="6">
        <f t="shared" si="945"/>
        <v>5.4841249177716777E-6</v>
      </c>
      <c r="AY487" s="8">
        <f t="shared" si="946"/>
        <v>27.297718277187144</v>
      </c>
      <c r="AZ487" s="7">
        <f t="shared" si="947"/>
        <v>1.3725084036308576E-2</v>
      </c>
      <c r="BA487" s="9">
        <f t="shared" si="948"/>
        <v>0.43470962478336023</v>
      </c>
      <c r="BB487" s="4">
        <f t="shared" si="949"/>
        <v>986.34601873440988</v>
      </c>
      <c r="BC487" s="6">
        <f t="shared" si="950"/>
        <v>5.47269203746882E-6</v>
      </c>
      <c r="BD487" s="8">
        <f t="shared" si="951"/>
        <v>27.231979215445712</v>
      </c>
      <c r="BE487" s="7">
        <f t="shared" si="952"/>
        <v>1.369647104056421E-2</v>
      </c>
      <c r="BF487" s="9">
        <f t="shared" si="953"/>
        <v>0.43575903080108441</v>
      </c>
      <c r="BG487" s="4">
        <f t="shared" si="954"/>
        <v>979.9648146685139</v>
      </c>
      <c r="BH487" s="6">
        <f t="shared" si="955"/>
        <v>5.4599296293370275E-6</v>
      </c>
      <c r="BI487" s="8">
        <f t="shared" si="956"/>
        <v>27.158595368687909</v>
      </c>
      <c r="BJ487" s="7">
        <f t="shared" si="957"/>
        <v>1.3664530644103348E-2</v>
      </c>
      <c r="BK487" s="9">
        <f t="shared" si="958"/>
        <v>0.43693647291491716</v>
      </c>
      <c r="BL487" s="4">
        <f t="shared" si="959"/>
        <v>972.7596665081137</v>
      </c>
      <c r="BM487" s="6">
        <f t="shared" si="960"/>
        <v>5.4455193330162278E-6</v>
      </c>
      <c r="BN487" s="8">
        <f t="shared" si="961"/>
        <v>27.075736164843306</v>
      </c>
      <c r="BO487" s="7">
        <f t="shared" si="962"/>
        <v>1.3628466088507585E-2</v>
      </c>
      <c r="BP487" s="9">
        <f t="shared" si="963"/>
        <v>0.438273618765947</v>
      </c>
      <c r="BQ487" s="4">
        <f t="shared" si="964"/>
        <v>964.25346706156449</v>
      </c>
      <c r="BR487" s="6">
        <f t="shared" si="965"/>
        <v>5.4285069341231295E-6</v>
      </c>
      <c r="BS487" s="8">
        <f t="shared" si="966"/>
        <v>26.977914871207993</v>
      </c>
      <c r="BT487" s="7">
        <f t="shared" si="967"/>
        <v>1.3585889267598508E-2</v>
      </c>
      <c r="BU487" s="9">
        <f t="shared" si="968"/>
        <v>0.43986278874289247</v>
      </c>
      <c r="BV487" s="4">
        <f t="shared" si="969"/>
        <v>953.16993956693057</v>
      </c>
      <c r="BW487" s="6">
        <f t="shared" si="970"/>
        <v>5.4063398791338614E-6</v>
      </c>
      <c r="BX487" s="8">
        <f t="shared" si="971"/>
        <v>26.850454305019703</v>
      </c>
      <c r="BY487" s="7">
        <f t="shared" si="972"/>
        <v>1.3530411922146501E-2</v>
      </c>
      <c r="BZ487" s="9">
        <f t="shared" si="973"/>
        <v>0.44195084131218726</v>
      </c>
      <c r="CA487" s="4">
        <f t="shared" si="974"/>
        <v>936.51122141348537</v>
      </c>
      <c r="CB487" s="6">
        <f t="shared" si="975"/>
        <v>5.3730224428269709E-6</v>
      </c>
      <c r="CC487" s="8">
        <f t="shared" si="976"/>
        <v>26.65887904625508</v>
      </c>
      <c r="CD487" s="7">
        <f t="shared" si="977"/>
        <v>1.3447028589337183E-2</v>
      </c>
      <c r="CE487" s="9">
        <f t="shared" si="978"/>
        <v>0.4451267755530352</v>
      </c>
      <c r="CF487" s="4">
        <f t="shared" si="979"/>
        <v>908.23566042974824</v>
      </c>
      <c r="CG487" s="6">
        <f t="shared" si="980"/>
        <v>5.316471320859497E-6</v>
      </c>
      <c r="CH487" s="8">
        <f t="shared" si="981"/>
        <v>26.333710094942106</v>
      </c>
      <c r="CI487" s="7">
        <f t="shared" si="982"/>
        <v>1.3305498461378958E-2</v>
      </c>
      <c r="CJ487" s="9">
        <f t="shared" si="983"/>
        <v>0.45062320603267758</v>
      </c>
      <c r="CK487" s="4">
        <f t="shared" si="984"/>
        <v>858.29568104998941</v>
      </c>
      <c r="CL487" s="6">
        <f t="shared" si="985"/>
        <v>5.2165913620999795E-6</v>
      </c>
      <c r="CM487" s="8">
        <f t="shared" si="986"/>
        <v>25.759400332074875</v>
      </c>
      <c r="CN487" s="7">
        <f t="shared" si="987"/>
        <v>1.3055529533232364E-2</v>
      </c>
      <c r="CO487" s="9">
        <f t="shared" si="988"/>
        <v>0.46066991920390199</v>
      </c>
      <c r="CP487" s="4">
        <f t="shared" si="989"/>
        <v>774.07961146161267</v>
      </c>
      <c r="CQ487" s="6">
        <f t="shared" si="990"/>
        <v>5.048159222923226E-6</v>
      </c>
      <c r="CR487" s="8">
        <f t="shared" si="991"/>
        <v>24.790915531808544</v>
      </c>
      <c r="CS487" s="7">
        <f t="shared" si="992"/>
        <v>1.2633995505602031E-2</v>
      </c>
      <c r="CT487" s="9">
        <f t="shared" si="993"/>
        <v>0.47866650404629929</v>
      </c>
      <c r="CU487" s="4">
        <f t="shared" si="994"/>
        <v>647.40847450255296</v>
      </c>
      <c r="CV487" s="6">
        <f t="shared" si="995"/>
        <v>4.8170002341017367E-6</v>
      </c>
      <c r="CW487" s="8">
        <f t="shared" si="996"/>
        <v>34.720154239425959</v>
      </c>
      <c r="CX487" s="7">
        <f t="shared" si="997"/>
        <v>1.2055475396214701E-2</v>
      </c>
      <c r="CY487" s="9">
        <f t="shared" si="998"/>
        <v>0.34177788462249908</v>
      </c>
      <c r="CZ487" s="5">
        <f t="shared" si="999"/>
        <v>488.75904703119483</v>
      </c>
      <c r="DA487" s="6">
        <f t="shared" si="1000"/>
        <v>7.3830104283325981E-6</v>
      </c>
      <c r="DB487" s="8">
        <f t="shared" si="1001"/>
        <v>39.320987636095346</v>
      </c>
      <c r="DC487" s="7">
        <f t="shared" si="1002"/>
        <v>1.8477412547885784E-2</v>
      </c>
      <c r="DD487" s="9">
        <f t="shared" si="1003"/>
        <v>0.30178745710915905</v>
      </c>
    </row>
    <row r="488" spans="2:108" x14ac:dyDescent="0.25">
      <c r="B488">
        <v>221</v>
      </c>
      <c r="C488">
        <f t="shared" si="911"/>
        <v>0.21605284126230057</v>
      </c>
      <c r="D488" s="4">
        <f t="shared" si="912"/>
        <v>1016.3633543913304</v>
      </c>
      <c r="E488" s="6">
        <f t="shared" si="900"/>
        <v>5.5327267087826613E-6</v>
      </c>
      <c r="F488" s="8">
        <f t="shared" si="913"/>
        <v>27.577178575500298</v>
      </c>
      <c r="G488" s="7">
        <f t="shared" si="898"/>
        <v>1.3846719424988219E-2</v>
      </c>
      <c r="H488" s="9">
        <f t="shared" si="914"/>
        <v>0.43030438509979507</v>
      </c>
      <c r="I488" s="4">
        <f t="shared" si="915"/>
        <v>1016.0386678826255</v>
      </c>
      <c r="J488" s="6">
        <f t="shared" si="901"/>
        <v>5.5320773357652515E-6</v>
      </c>
      <c r="K488" s="8">
        <f t="shared" si="916"/>
        <v>27.573444680650191</v>
      </c>
      <c r="L488" s="7">
        <f t="shared" si="902"/>
        <v>1.38450942433287E-2</v>
      </c>
      <c r="M488" s="9">
        <f t="shared" si="917"/>
        <v>0.43036265534299867</v>
      </c>
      <c r="N488" s="4">
        <f t="shared" si="918"/>
        <v>1015.1323469856131</v>
      </c>
      <c r="O488" s="6">
        <f t="shared" si="903"/>
        <v>5.5302646939712266E-6</v>
      </c>
      <c r="P488" s="8">
        <f t="shared" si="904"/>
        <v>27.563021990334548</v>
      </c>
      <c r="Q488" s="7">
        <f t="shared" si="899"/>
        <v>1.3846719424988219E-2</v>
      </c>
      <c r="R488" s="9">
        <f t="shared" si="919"/>
        <v>0.43052539282082791</v>
      </c>
      <c r="S488" s="4">
        <f t="shared" si="920"/>
        <v>1013.6306185176272</v>
      </c>
      <c r="T488" s="6">
        <f t="shared" si="905"/>
        <v>5.5272612370352555E-6</v>
      </c>
      <c r="U488" s="8">
        <f t="shared" si="906"/>
        <v>27.545752112952712</v>
      </c>
      <c r="V488" s="7">
        <f t="shared" si="907"/>
        <v>1.3833041024120992E-2</v>
      </c>
      <c r="W488" s="9">
        <f t="shared" si="921"/>
        <v>0.43079531178013947</v>
      </c>
      <c r="X488" s="4">
        <f t="shared" si="922"/>
        <v>1011.531702263337</v>
      </c>
      <c r="Y488" s="6">
        <f t="shared" si="908"/>
        <v>5.5230634045266753E-6</v>
      </c>
      <c r="Z488" s="8">
        <f t="shared" si="909"/>
        <v>27.521614576028377</v>
      </c>
      <c r="AA488" s="7">
        <f t="shared" si="910"/>
        <v>1.3822535135795235E-2</v>
      </c>
      <c r="AB488" s="9">
        <f t="shared" si="923"/>
        <v>0.4311731361885221</v>
      </c>
      <c r="AC488" s="4">
        <f t="shared" si="924"/>
        <v>1008.8341644606119</v>
      </c>
      <c r="AD488" s="6">
        <f t="shared" si="925"/>
        <v>5.5176683289212246E-6</v>
      </c>
      <c r="AE488" s="8">
        <f t="shared" si="926"/>
        <v>27.490592891297034</v>
      </c>
      <c r="AF488" s="7">
        <f t="shared" si="927"/>
        <v>1.3809032914898134E-2</v>
      </c>
      <c r="AG488" s="9">
        <f t="shared" si="928"/>
        <v>0.43165969234059764</v>
      </c>
      <c r="AH488" s="4">
        <f t="shared" si="929"/>
        <v>1005.5376070231863</v>
      </c>
      <c r="AI488" s="6">
        <f t="shared" si="930"/>
        <v>5.5110752140463731E-6</v>
      </c>
      <c r="AJ488" s="8">
        <f t="shared" si="931"/>
        <v>27.45268248076664</v>
      </c>
      <c r="AK488" s="7">
        <f t="shared" si="932"/>
        <v>1.3792532368853836E-2</v>
      </c>
      <c r="AL488" s="9">
        <f t="shared" si="933"/>
        <v>0.43225578695384792</v>
      </c>
      <c r="AM488" s="4">
        <f t="shared" si="934"/>
        <v>1001.6416952313442</v>
      </c>
      <c r="AN488" s="6">
        <f t="shared" si="935"/>
        <v>5.5032833904626888E-6</v>
      </c>
      <c r="AO488" s="8">
        <f t="shared" si="936"/>
        <v>27.407879495160458</v>
      </c>
      <c r="AP488" s="7">
        <f t="shared" si="937"/>
        <v>1.3773031822260598E-2</v>
      </c>
      <c r="AQ488" s="9">
        <f t="shared" si="938"/>
        <v>0.43296238484313382</v>
      </c>
      <c r="AR488" s="4">
        <f t="shared" si="939"/>
        <v>997.14555572295387</v>
      </c>
      <c r="AS488" s="6">
        <f t="shared" si="940"/>
        <v>5.4942911114459075E-6</v>
      </c>
      <c r="AT488" s="8">
        <f t="shared" si="941"/>
        <v>27.35617389081397</v>
      </c>
      <c r="AU488" s="7">
        <f t="shared" si="942"/>
        <v>1.375052690360287E-2</v>
      </c>
      <c r="AV488" s="9">
        <f t="shared" si="943"/>
        <v>0.43378072229986159</v>
      </c>
      <c r="AW488" s="4">
        <f t="shared" si="944"/>
        <v>992.04571534624574</v>
      </c>
      <c r="AX488" s="6">
        <f t="shared" si="945"/>
        <v>5.484091430692492E-6</v>
      </c>
      <c r="AY488" s="8">
        <f t="shared" si="946"/>
        <v>27.297525726481826</v>
      </c>
      <c r="AZ488" s="7">
        <f t="shared" si="947"/>
        <v>1.3725000228411631E-2</v>
      </c>
      <c r="BA488" s="9">
        <f t="shared" si="948"/>
        <v>0.4347126911288488</v>
      </c>
      <c r="BB488" s="4">
        <f t="shared" si="949"/>
        <v>986.32859284104973</v>
      </c>
      <c r="BC488" s="6">
        <f t="shared" si="950"/>
        <v>5.4726571856821005E-6</v>
      </c>
      <c r="BD488" s="8">
        <f t="shared" si="951"/>
        <v>27.231778817672073</v>
      </c>
      <c r="BE488" s="7">
        <f t="shared" si="952"/>
        <v>1.3696383817222527E-2</v>
      </c>
      <c r="BF488" s="9">
        <f t="shared" si="953"/>
        <v>0.43576223753760357</v>
      </c>
      <c r="BG488" s="4">
        <f t="shared" si="954"/>
        <v>979.94507125509858</v>
      </c>
      <c r="BH488" s="6">
        <f t="shared" si="955"/>
        <v>5.4598901425101976E-6</v>
      </c>
      <c r="BI488" s="8">
        <f t="shared" si="956"/>
        <v>27.158368319433634</v>
      </c>
      <c r="BJ488" s="7">
        <f t="shared" si="957"/>
        <v>1.3664431820676694E-2</v>
      </c>
      <c r="BK488" s="9">
        <f t="shared" si="958"/>
        <v>0.43694012578902114</v>
      </c>
      <c r="BL488" s="4">
        <f t="shared" si="959"/>
        <v>972.73294310492781</v>
      </c>
      <c r="BM488" s="6">
        <f t="shared" si="960"/>
        <v>5.4454658862098566E-6</v>
      </c>
      <c r="BN488" s="8">
        <f t="shared" si="961"/>
        <v>27.075428845706668</v>
      </c>
      <c r="BO488" s="7">
        <f t="shared" si="962"/>
        <v>1.3628332327530234E-2</v>
      </c>
      <c r="BP488" s="9">
        <f t="shared" si="963"/>
        <v>0.43827859338226416</v>
      </c>
      <c r="BQ488" s="4">
        <f t="shared" si="964"/>
        <v>964.20807409729423</v>
      </c>
      <c r="BR488" s="6">
        <f t="shared" si="965"/>
        <v>5.428416148194589E-6</v>
      </c>
      <c r="BS488" s="8">
        <f t="shared" si="966"/>
        <v>26.977392852118882</v>
      </c>
      <c r="BT488" s="7">
        <f t="shared" si="967"/>
        <v>1.3585662058241096E-2</v>
      </c>
      <c r="BU488" s="9">
        <f t="shared" si="968"/>
        <v>0.43987130019444642</v>
      </c>
      <c r="BV488" s="4">
        <f t="shared" si="969"/>
        <v>953.08073631165428</v>
      </c>
      <c r="BW488" s="6">
        <f t="shared" si="970"/>
        <v>5.4061614726233095E-6</v>
      </c>
      <c r="BX488" s="8">
        <f t="shared" si="971"/>
        <v>26.849428467584023</v>
      </c>
      <c r="BY488" s="7">
        <f t="shared" si="972"/>
        <v>1.3529965425324005E-2</v>
      </c>
      <c r="BZ488" s="9">
        <f t="shared" si="973"/>
        <v>0.44196772694974545</v>
      </c>
      <c r="CA488" s="4">
        <f t="shared" si="974"/>
        <v>936.33378062353552</v>
      </c>
      <c r="CB488" s="6">
        <f t="shared" si="975"/>
        <v>5.3726675612470717E-6</v>
      </c>
      <c r="CC488" s="8">
        <f t="shared" si="976"/>
        <v>26.656838477170659</v>
      </c>
      <c r="CD488" s="7">
        <f t="shared" si="977"/>
        <v>1.3446140429497631E-2</v>
      </c>
      <c r="CE488" s="9">
        <f t="shared" si="978"/>
        <v>0.44516084980897591</v>
      </c>
      <c r="CF488" s="4">
        <f t="shared" si="979"/>
        <v>907.91149208206264</v>
      </c>
      <c r="CG488" s="6">
        <f t="shared" si="980"/>
        <v>5.3158229841641257E-6</v>
      </c>
      <c r="CH488" s="8">
        <f t="shared" si="981"/>
        <v>26.329982158943722</v>
      </c>
      <c r="CI488" s="7">
        <f t="shared" si="982"/>
        <v>1.3303875873315918E-2</v>
      </c>
      <c r="CJ488" s="9">
        <f t="shared" si="983"/>
        <v>0.45068700761299524</v>
      </c>
      <c r="CK488" s="4">
        <f t="shared" si="984"/>
        <v>857.78718221739825</v>
      </c>
      <c r="CL488" s="6">
        <f t="shared" si="985"/>
        <v>5.2155743644347967E-6</v>
      </c>
      <c r="CM488" s="8">
        <f t="shared" si="986"/>
        <v>25.753552595500079</v>
      </c>
      <c r="CN488" s="7">
        <f t="shared" si="987"/>
        <v>1.3052984299739574E-2</v>
      </c>
      <c r="CO488" s="9">
        <f t="shared" si="988"/>
        <v>0.46077452132919899</v>
      </c>
      <c r="CP488" s="4">
        <f t="shared" si="989"/>
        <v>773.44898203944319</v>
      </c>
      <c r="CQ488" s="6">
        <f t="shared" si="990"/>
        <v>5.0468979640788873E-6</v>
      </c>
      <c r="CR488" s="8">
        <f t="shared" si="991"/>
        <v>24.783663293453596</v>
      </c>
      <c r="CS488" s="7">
        <f t="shared" si="992"/>
        <v>1.2630838961232667E-2</v>
      </c>
      <c r="CT488" s="9">
        <f t="shared" si="993"/>
        <v>0.47880657226538254</v>
      </c>
      <c r="CU488" s="4">
        <f t="shared" si="994"/>
        <v>646.90972402005639</v>
      </c>
      <c r="CV488" s="6">
        <f t="shared" si="995"/>
        <v>4.826054232724576E-6</v>
      </c>
      <c r="CW488" s="8">
        <f t="shared" si="996"/>
        <v>34.734618003418362</v>
      </c>
      <c r="CX488" s="7">
        <f t="shared" si="997"/>
        <v>1.2078134780132159E-2</v>
      </c>
      <c r="CY488" s="9">
        <f t="shared" si="998"/>
        <v>0.34163556566391673</v>
      </c>
      <c r="CZ488" s="5">
        <f t="shared" si="999"/>
        <v>488.75745320603244</v>
      </c>
      <c r="DA488" s="6">
        <f t="shared" si="1000"/>
        <v>7.3830341683498387E-6</v>
      </c>
      <c r="DB488" s="8">
        <f t="shared" si="1001"/>
        <v>39.321033857025057</v>
      </c>
      <c r="DC488" s="7">
        <f t="shared" si="1002"/>
        <v>1.8477471961873711E-2</v>
      </c>
      <c r="DD488" s="9">
        <f t="shared" si="1003"/>
        <v>0.30178710236526057</v>
      </c>
    </row>
    <row r="489" spans="2:108" x14ac:dyDescent="0.25">
      <c r="B489">
        <v>222</v>
      </c>
      <c r="C489">
        <f t="shared" si="911"/>
        <v>0.21703045592864584</v>
      </c>
      <c r="D489" s="4">
        <f t="shared" si="912"/>
        <v>1016.3467775384033</v>
      </c>
      <c r="E489" s="6">
        <f t="shared" si="900"/>
        <v>5.5326935550768073E-6</v>
      </c>
      <c r="F489" s="8">
        <f t="shared" si="913"/>
        <v>27.576987941691637</v>
      </c>
      <c r="G489" s="7">
        <f t="shared" si="898"/>
        <v>1.3846636451422555E-2</v>
      </c>
      <c r="H489" s="9">
        <f t="shared" si="914"/>
        <v>0.430307359701807</v>
      </c>
      <c r="I489" s="4">
        <f t="shared" si="915"/>
        <v>1016.022091546695</v>
      </c>
      <c r="J489" s="6">
        <f t="shared" si="901"/>
        <v>5.5320441830933901E-6</v>
      </c>
      <c r="K489" s="8">
        <f t="shared" si="916"/>
        <v>27.573254052786993</v>
      </c>
      <c r="L489" s="7">
        <f t="shared" si="902"/>
        <v>1.3845011272350806E-2</v>
      </c>
      <c r="M489" s="9">
        <f t="shared" si="917"/>
        <v>0.43036563065789013</v>
      </c>
      <c r="N489" s="4">
        <f t="shared" si="918"/>
        <v>1015.1157686934307</v>
      </c>
      <c r="O489" s="6">
        <f t="shared" si="903"/>
        <v>5.5302315373868623E-6</v>
      </c>
      <c r="P489" s="8">
        <f t="shared" si="904"/>
        <v>27.562831339974451</v>
      </c>
      <c r="Q489" s="7">
        <f t="shared" si="899"/>
        <v>1.3846636451422555E-2</v>
      </c>
      <c r="R489" s="9">
        <f t="shared" si="919"/>
        <v>0.43052837073772471</v>
      </c>
      <c r="S489" s="4">
        <f t="shared" si="920"/>
        <v>1013.6140400057137</v>
      </c>
      <c r="T489" s="6">
        <f t="shared" si="905"/>
        <v>5.5272280800114277E-6</v>
      </c>
      <c r="U489" s="8">
        <f t="shared" si="906"/>
        <v>27.545561460065706</v>
      </c>
      <c r="V489" s="7">
        <f t="shared" si="907"/>
        <v>1.3832958042251459E-2</v>
      </c>
      <c r="W489" s="9">
        <f t="shared" si="921"/>
        <v>0.43079829347176402</v>
      </c>
      <c r="X489" s="4">
        <f t="shared" si="922"/>
        <v>1011.515127913109</v>
      </c>
      <c r="Y489" s="6">
        <f t="shared" si="908"/>
        <v>5.5230302558262184E-6</v>
      </c>
      <c r="Z489" s="8">
        <f t="shared" si="909"/>
        <v>27.521423971000754</v>
      </c>
      <c r="AA489" s="7">
        <f t="shared" si="910"/>
        <v>1.382245217475655E-2</v>
      </c>
      <c r="AB489" s="9">
        <f t="shared" si="923"/>
        <v>0.4311761223627702</v>
      </c>
      <c r="AC489" s="4">
        <f t="shared" si="924"/>
        <v>1008.8175992308807</v>
      </c>
      <c r="AD489" s="6">
        <f t="shared" si="925"/>
        <v>5.517635198461762E-6</v>
      </c>
      <c r="AE489" s="8">
        <f t="shared" si="926"/>
        <v>27.490402391155129</v>
      </c>
      <c r="AF489" s="7">
        <f t="shared" si="927"/>
        <v>1.3808949999511067E-2</v>
      </c>
      <c r="AG489" s="9">
        <f t="shared" si="928"/>
        <v>0.43166268361120458</v>
      </c>
      <c r="AH489" s="4">
        <f t="shared" si="929"/>
        <v>1005.5210538648776</v>
      </c>
      <c r="AI489" s="6">
        <f t="shared" si="930"/>
        <v>5.5110421077297559E-6</v>
      </c>
      <c r="AJ489" s="8">
        <f t="shared" si="931"/>
        <v>27.452492119446092</v>
      </c>
      <c r="AK489" s="7">
        <f t="shared" si="932"/>
        <v>1.3792449513888912E-2</v>
      </c>
      <c r="AL489" s="9">
        <f t="shared" si="933"/>
        <v>0.4322587843058574</v>
      </c>
      <c r="AM489" s="4">
        <f t="shared" si="934"/>
        <v>1001.6251489820186</v>
      </c>
      <c r="AN489" s="6">
        <f t="shared" si="935"/>
        <v>5.5032502979640378E-6</v>
      </c>
      <c r="AO489" s="8">
        <f t="shared" si="936"/>
        <v>27.40768921329321</v>
      </c>
      <c r="AP489" s="7">
        <f t="shared" si="937"/>
        <v>1.3772949001877807E-2</v>
      </c>
      <c r="AQ489" s="9">
        <f t="shared" si="938"/>
        <v>0.43296539074744028</v>
      </c>
      <c r="AR489" s="4">
        <f t="shared" si="939"/>
        <v>997.12898067283334</v>
      </c>
      <c r="AS489" s="6">
        <f t="shared" si="940"/>
        <v>5.4942579613456669E-6</v>
      </c>
      <c r="AT489" s="8">
        <f t="shared" si="941"/>
        <v>27.355983277737582</v>
      </c>
      <c r="AU489" s="7">
        <f t="shared" si="942"/>
        <v>1.3750443939060953E-2</v>
      </c>
      <c r="AV489" s="9">
        <f t="shared" si="943"/>
        <v>0.43378374482978183</v>
      </c>
      <c r="AW489" s="4">
        <f t="shared" si="944"/>
        <v>992.02896421840455</v>
      </c>
      <c r="AX489" s="6">
        <f t="shared" si="945"/>
        <v>5.4840579284368102E-6</v>
      </c>
      <c r="AY489" s="8">
        <f t="shared" si="946"/>
        <v>27.29733308851165</v>
      </c>
      <c r="AZ489" s="7">
        <f t="shared" si="947"/>
        <v>1.3724916382532563E-2</v>
      </c>
      <c r="BA489" s="9">
        <f t="shared" si="948"/>
        <v>0.43471575890730751</v>
      </c>
      <c r="BB489" s="4">
        <f t="shared" si="949"/>
        <v>986.31114255297268</v>
      </c>
      <c r="BC489" s="6">
        <f t="shared" si="950"/>
        <v>5.4726222851059454E-6</v>
      </c>
      <c r="BD489" s="8">
        <f t="shared" si="951"/>
        <v>27.231578139359186</v>
      </c>
      <c r="BE489" s="7">
        <f t="shared" si="952"/>
        <v>1.3696296471775836E-2</v>
      </c>
      <c r="BF489" s="9">
        <f t="shared" si="953"/>
        <v>0.43576544881056767</v>
      </c>
      <c r="BG489" s="4">
        <f t="shared" si="954"/>
        <v>979.92525832077695</v>
      </c>
      <c r="BH489" s="6">
        <f t="shared" si="955"/>
        <v>5.4598505166415543E-6</v>
      </c>
      <c r="BI489" s="8">
        <f t="shared" si="956"/>
        <v>27.158140470688934</v>
      </c>
      <c r="BJ489" s="7">
        <f t="shared" si="957"/>
        <v>1.3664332649270992E-2</v>
      </c>
      <c r="BK489" s="9">
        <f t="shared" si="958"/>
        <v>0.43694379158710023</v>
      </c>
      <c r="BL489" s="4">
        <f t="shared" si="959"/>
        <v>972.70604556199976</v>
      </c>
      <c r="BM489" s="6">
        <f t="shared" si="960"/>
        <v>5.445412091124E-6</v>
      </c>
      <c r="BN489" s="8">
        <f t="shared" si="961"/>
        <v>27.075119523962996</v>
      </c>
      <c r="BO489" s="7">
        <f t="shared" si="962"/>
        <v>1.3628197694916064E-2</v>
      </c>
      <c r="BP489" s="9">
        <f t="shared" si="963"/>
        <v>0.4382836005290876</v>
      </c>
      <c r="BQ489" s="4">
        <f t="shared" si="964"/>
        <v>964.16230620908811</v>
      </c>
      <c r="BR489" s="6">
        <f t="shared" si="965"/>
        <v>5.4283246124181769E-6</v>
      </c>
      <c r="BS489" s="8">
        <f t="shared" si="966"/>
        <v>26.97686652140451</v>
      </c>
      <c r="BT489" s="7">
        <f t="shared" si="967"/>
        <v>1.3585432972244255E-2</v>
      </c>
      <c r="BU489" s="9">
        <f t="shared" si="968"/>
        <v>0.43987988227997071</v>
      </c>
      <c r="BV489" s="4">
        <f t="shared" si="969"/>
        <v>952.99086692839489</v>
      </c>
      <c r="BW489" s="6">
        <f t="shared" si="970"/>
        <v>5.4059817338567909E-6</v>
      </c>
      <c r="BX489" s="8">
        <f t="shared" si="971"/>
        <v>26.848394969676541</v>
      </c>
      <c r="BY489" s="7">
        <f t="shared" si="972"/>
        <v>1.3529515594273102E-2</v>
      </c>
      <c r="BZ489" s="9">
        <f t="shared" si="973"/>
        <v>0.44198473998614835</v>
      </c>
      <c r="CA489" s="4">
        <f t="shared" si="974"/>
        <v>936.15544842582153</v>
      </c>
      <c r="CB489" s="6">
        <f t="shared" si="975"/>
        <v>5.3723108968516441E-6</v>
      </c>
      <c r="CC489" s="8">
        <f t="shared" si="976"/>
        <v>26.654787656896946</v>
      </c>
      <c r="CD489" s="7">
        <f t="shared" si="977"/>
        <v>1.3445247807817161E-2</v>
      </c>
      <c r="CE489" s="9">
        <f t="shared" si="978"/>
        <v>0.44519510049998134</v>
      </c>
      <c r="CF489" s="4">
        <f t="shared" si="979"/>
        <v>907.58670057494078</v>
      </c>
      <c r="CG489" s="6">
        <f t="shared" si="980"/>
        <v>5.3151734011498824E-6</v>
      </c>
      <c r="CH489" s="8">
        <f t="shared" si="981"/>
        <v>26.32624705661182</v>
      </c>
      <c r="CI489" s="7">
        <f t="shared" si="982"/>
        <v>1.3302250166098682E-2</v>
      </c>
      <c r="CJ489" s="9">
        <f t="shared" si="983"/>
        <v>0.45075094996260073</v>
      </c>
      <c r="CK489" s="4">
        <f t="shared" si="984"/>
        <v>857.27945302027922</v>
      </c>
      <c r="CL489" s="6">
        <f t="shared" si="985"/>
        <v>5.2145589060405591E-6</v>
      </c>
      <c r="CM489" s="8">
        <f t="shared" si="986"/>
        <v>25.747713709733212</v>
      </c>
      <c r="CN489" s="7">
        <f t="shared" si="987"/>
        <v>1.3050442918570241E-2</v>
      </c>
      <c r="CO489" s="9">
        <f t="shared" si="988"/>
        <v>0.46087901254052183</v>
      </c>
      <c r="CP489" s="4">
        <f t="shared" si="989"/>
        <v>772.82179386989651</v>
      </c>
      <c r="CQ489" s="6">
        <f t="shared" si="990"/>
        <v>5.0456435877397929E-6</v>
      </c>
      <c r="CR489" s="8">
        <f t="shared" si="991"/>
        <v>24.77645062950381</v>
      </c>
      <c r="CS489" s="7">
        <f t="shared" si="992"/>
        <v>1.2627699641664755E-2</v>
      </c>
      <c r="CT489" s="9">
        <f t="shared" si="993"/>
        <v>0.47894595748057506</v>
      </c>
      <c r="CU489" s="4">
        <f t="shared" si="994"/>
        <v>646.4159191498062</v>
      </c>
      <c r="CV489" s="6">
        <f t="shared" si="995"/>
        <v>4.8350097767607289E-6</v>
      </c>
      <c r="CW489" s="8">
        <f t="shared" si="996"/>
        <v>34.748938344655613</v>
      </c>
      <c r="CX489" s="7">
        <f t="shared" si="997"/>
        <v>1.2100547762390959E-2</v>
      </c>
      <c r="CY489" s="9">
        <f t="shared" si="998"/>
        <v>0.34149477466102152</v>
      </c>
      <c r="CZ489" s="5">
        <f t="shared" si="999"/>
        <v>488.74542082835097</v>
      </c>
      <c r="DA489" s="6">
        <f t="shared" si="1000"/>
        <v>7.3832133898379562E-6</v>
      </c>
      <c r="DB489" s="8">
        <f t="shared" si="1001"/>
        <v>39.321382795977819</v>
      </c>
      <c r="DC489" s="7">
        <f t="shared" si="1002"/>
        <v>1.8477920498335298E-2</v>
      </c>
      <c r="DD489" s="9">
        <f t="shared" si="1003"/>
        <v>0.30178442429882529</v>
      </c>
    </row>
    <row r="490" spans="2:108" x14ac:dyDescent="0.25">
      <c r="B490">
        <v>223</v>
      </c>
      <c r="C490">
        <f t="shared" si="911"/>
        <v>0.21800807059499108</v>
      </c>
      <c r="D490" s="4">
        <f t="shared" si="912"/>
        <v>1016.3302007118715</v>
      </c>
      <c r="E490" s="6">
        <f t="shared" si="900"/>
        <v>5.5326604014237429E-6</v>
      </c>
      <c r="F490" s="8">
        <f t="shared" si="913"/>
        <v>27.576797308186521</v>
      </c>
      <c r="G490" s="7">
        <f t="shared" si="898"/>
        <v>1.3846553477989011E-2</v>
      </c>
      <c r="H490" s="9">
        <f t="shared" si="914"/>
        <v>0.43031033434020832</v>
      </c>
      <c r="I490" s="4">
        <f t="shared" si="915"/>
        <v>1016.0055152658848</v>
      </c>
      <c r="J490" s="6">
        <f t="shared" si="901"/>
        <v>5.53201103053177E-6</v>
      </c>
      <c r="K490" s="8">
        <f t="shared" si="916"/>
        <v>27.573063425557674</v>
      </c>
      <c r="L490" s="7">
        <f t="shared" si="902"/>
        <v>1.3844928301648811E-2</v>
      </c>
      <c r="M490" s="9">
        <f t="shared" si="917"/>
        <v>0.43036860600402776</v>
      </c>
      <c r="N490" s="4">
        <f t="shared" si="918"/>
        <v>1015.0991905171095</v>
      </c>
      <c r="O490" s="6">
        <f t="shared" si="903"/>
        <v>5.5301983810342192E-6</v>
      </c>
      <c r="P490" s="8">
        <f t="shared" si="904"/>
        <v>27.562640690946758</v>
      </c>
      <c r="Q490" s="7">
        <f t="shared" si="899"/>
        <v>1.3846553477989011E-2</v>
      </c>
      <c r="R490" s="9">
        <f t="shared" si="919"/>
        <v>0.4305313486750057</v>
      </c>
      <c r="S490" s="4">
        <f t="shared" si="920"/>
        <v>1013.5974616629085</v>
      </c>
      <c r="T490" s="6">
        <f t="shared" si="905"/>
        <v>5.5271949233258177E-6</v>
      </c>
      <c r="U490" s="8">
        <f t="shared" si="906"/>
        <v>27.545370809123447</v>
      </c>
      <c r="V490" s="7">
        <f t="shared" si="907"/>
        <v>1.3832875061228383E-2</v>
      </c>
      <c r="W490" s="9">
        <f t="shared" si="921"/>
        <v>0.43080127517424838</v>
      </c>
      <c r="X490" s="4">
        <f t="shared" si="922"/>
        <v>1011.4985537538681</v>
      </c>
      <c r="Y490" s="6">
        <f t="shared" si="908"/>
        <v>5.5229971075077362E-6</v>
      </c>
      <c r="Z490" s="8">
        <f t="shared" si="909"/>
        <v>27.521233368169483</v>
      </c>
      <c r="AA490" s="7">
        <f t="shared" si="910"/>
        <v>1.3822369214673828E-2</v>
      </c>
      <c r="AB490" s="9">
        <f t="shared" si="923"/>
        <v>0.43117910854397073</v>
      </c>
      <c r="AC490" s="4">
        <f t="shared" si="924"/>
        <v>1008.8010341706523</v>
      </c>
      <c r="AD490" s="6">
        <f t="shared" si="925"/>
        <v>5.5176020683413058E-6</v>
      </c>
      <c r="AE490" s="8">
        <f t="shared" si="926"/>
        <v>27.490211892962499</v>
      </c>
      <c r="AF490" s="7">
        <f t="shared" si="927"/>
        <v>1.3808867084972429E-2</v>
      </c>
      <c r="AG490" s="9">
        <f t="shared" si="928"/>
        <v>0.43166567489266044</v>
      </c>
      <c r="AH490" s="4">
        <f t="shared" si="929"/>
        <v>1005.5045007565147</v>
      </c>
      <c r="AI490" s="6">
        <f t="shared" si="930"/>
        <v>5.5110090015130303E-6</v>
      </c>
      <c r="AJ490" s="8">
        <f t="shared" si="931"/>
        <v>27.452301758699917</v>
      </c>
      <c r="AK490" s="7">
        <f t="shared" si="932"/>
        <v>1.3792366659173987E-2</v>
      </c>
      <c r="AL490" s="9">
        <f t="shared" si="933"/>
        <v>0.43226178169039164</v>
      </c>
      <c r="AM490" s="4">
        <f t="shared" si="934"/>
        <v>1001.608602318001</v>
      </c>
      <c r="AN490" s="6">
        <f t="shared" si="935"/>
        <v>5.5032172046360026E-6</v>
      </c>
      <c r="AO490" s="8">
        <f t="shared" si="936"/>
        <v>27.407498926657013</v>
      </c>
      <c r="AP490" s="7">
        <f t="shared" si="937"/>
        <v>1.3772866179419323E-2</v>
      </c>
      <c r="AQ490" s="9">
        <f t="shared" si="938"/>
        <v>0.43296839676882209</v>
      </c>
      <c r="AR490" s="4">
        <f t="shared" si="939"/>
        <v>997.11240351759977</v>
      </c>
      <c r="AS490" s="6">
        <f t="shared" si="940"/>
        <v>5.4942248070351999E-6</v>
      </c>
      <c r="AT490" s="8">
        <f t="shared" si="941"/>
        <v>27.355792640452396</v>
      </c>
      <c r="AU490" s="7">
        <f t="shared" si="942"/>
        <v>1.3750360963982132E-2</v>
      </c>
      <c r="AV490" s="9">
        <f t="shared" si="943"/>
        <v>0.43378676778570779</v>
      </c>
      <c r="AW490" s="4">
        <f t="shared" si="944"/>
        <v>992.01220533047012</v>
      </c>
      <c r="AX490" s="6">
        <f t="shared" si="945"/>
        <v>5.4840244106609412E-6</v>
      </c>
      <c r="AY490" s="8">
        <f t="shared" si="946"/>
        <v>27.297140361300407</v>
      </c>
      <c r="AZ490" s="7">
        <f t="shared" si="947"/>
        <v>1.3724832497811226E-2</v>
      </c>
      <c r="BA490" s="9">
        <f t="shared" si="948"/>
        <v>0.43471882815026808</v>
      </c>
      <c r="BB490" s="4">
        <f t="shared" si="949"/>
        <v>986.29366743934338</v>
      </c>
      <c r="BC490" s="6">
        <f t="shared" si="950"/>
        <v>5.4725873348786865E-6</v>
      </c>
      <c r="BD490" s="8">
        <f t="shared" si="951"/>
        <v>27.231377175552446</v>
      </c>
      <c r="BE490" s="7">
        <f t="shared" si="952"/>
        <v>1.3696209002067649E-2</v>
      </c>
      <c r="BF490" s="9">
        <f t="shared" si="953"/>
        <v>0.43576866469946207</v>
      </c>
      <c r="BG490" s="4">
        <f t="shared" si="954"/>
        <v>979.90537495856938</v>
      </c>
      <c r="BH490" s="6">
        <f t="shared" si="955"/>
        <v>5.459810749917139E-6</v>
      </c>
      <c r="BI490" s="8">
        <f t="shared" si="956"/>
        <v>27.157911812023549</v>
      </c>
      <c r="BJ490" s="7">
        <f t="shared" si="957"/>
        <v>1.3664233125346458E-2</v>
      </c>
      <c r="BK490" s="9">
        <f t="shared" si="958"/>
        <v>0.43694747047761745</v>
      </c>
      <c r="BL490" s="4">
        <f t="shared" si="959"/>
        <v>972.67897239465356</v>
      </c>
      <c r="BM490" s="6">
        <f t="shared" si="960"/>
        <v>5.4453579447893071E-6</v>
      </c>
      <c r="BN490" s="8">
        <f t="shared" si="961"/>
        <v>27.074808182538515</v>
      </c>
      <c r="BO490" s="7">
        <f t="shared" si="962"/>
        <v>1.3628062183233695E-2</v>
      </c>
      <c r="BP490" s="9">
        <f t="shared" si="963"/>
        <v>0.43828864048503469</v>
      </c>
      <c r="BQ490" s="4">
        <f t="shared" si="964"/>
        <v>964.11616191721293</v>
      </c>
      <c r="BR490" s="6">
        <f t="shared" si="965"/>
        <v>5.428232323834427E-6</v>
      </c>
      <c r="BS490" s="8">
        <f t="shared" si="966"/>
        <v>26.976335862047947</v>
      </c>
      <c r="BT490" s="7">
        <f t="shared" si="967"/>
        <v>1.358520200220135E-2</v>
      </c>
      <c r="BU490" s="9">
        <f t="shared" si="968"/>
        <v>0.4398885352852005</v>
      </c>
      <c r="BV490" s="4">
        <f t="shared" si="969"/>
        <v>952.90033209722822</v>
      </c>
      <c r="BW490" s="6">
        <f t="shared" si="970"/>
        <v>5.4058006641944574E-6</v>
      </c>
      <c r="BX490" s="8">
        <f t="shared" si="971"/>
        <v>26.847353819118126</v>
      </c>
      <c r="BY490" s="7">
        <f t="shared" si="972"/>
        <v>1.3529062432397833E-2</v>
      </c>
      <c r="BZ490" s="9">
        <f t="shared" si="973"/>
        <v>0.44200188032191279</v>
      </c>
      <c r="CA490" s="4">
        <f t="shared" si="974"/>
        <v>935.97623162048546</v>
      </c>
      <c r="CB490" s="6">
        <f t="shared" si="975"/>
        <v>5.3719524632409712E-6</v>
      </c>
      <c r="CC490" s="8">
        <f t="shared" si="976"/>
        <v>26.652726663635583</v>
      </c>
      <c r="CD490" s="7">
        <f t="shared" si="977"/>
        <v>1.3444350758333116E-2</v>
      </c>
      <c r="CE490" s="9">
        <f t="shared" si="978"/>
        <v>0.44522952639995406</v>
      </c>
      <c r="CF490" s="4">
        <f t="shared" si="979"/>
        <v>907.26130191781806</v>
      </c>
      <c r="CG490" s="6">
        <f t="shared" si="980"/>
        <v>5.3145226038356366E-6</v>
      </c>
      <c r="CH490" s="8">
        <f t="shared" si="981"/>
        <v>26.322504972054908</v>
      </c>
      <c r="CI490" s="7">
        <f t="shared" si="982"/>
        <v>1.3300621419860666E-2</v>
      </c>
      <c r="CJ490" s="9">
        <f t="shared" si="983"/>
        <v>0.45081503004049067</v>
      </c>
      <c r="CK490" s="4">
        <f t="shared" si="984"/>
        <v>856.77251200064245</v>
      </c>
      <c r="CL490" s="6">
        <f t="shared" si="985"/>
        <v>5.2135450240012858E-6</v>
      </c>
      <c r="CM490" s="8">
        <f t="shared" si="986"/>
        <v>25.741883888007386</v>
      </c>
      <c r="CN490" s="7">
        <f t="shared" si="987"/>
        <v>1.3047905482534304E-2</v>
      </c>
      <c r="CO490" s="9">
        <f t="shared" si="988"/>
        <v>0.46098338883605539</v>
      </c>
      <c r="CP490" s="4">
        <f t="shared" si="989"/>
        <v>772.19803175521383</v>
      </c>
      <c r="CQ490" s="6">
        <f t="shared" si="990"/>
        <v>5.0443960635104281E-6</v>
      </c>
      <c r="CR490" s="8">
        <f t="shared" si="991"/>
        <v>24.769277365184958</v>
      </c>
      <c r="CS490" s="7">
        <f t="shared" si="992"/>
        <v>1.262457747082764E-2</v>
      </c>
      <c r="CT490" s="9">
        <f t="shared" si="993"/>
        <v>0.47908466180758469</v>
      </c>
      <c r="CU490" s="4">
        <f t="shared" si="994"/>
        <v>645.92683900865723</v>
      </c>
      <c r="CV490" s="6">
        <f t="shared" si="995"/>
        <v>4.8438711524804378E-6</v>
      </c>
      <c r="CW490" s="8">
        <f t="shared" si="996"/>
        <v>34.763121668748937</v>
      </c>
      <c r="CX490" s="7">
        <f t="shared" si="997"/>
        <v>1.2122725070211973E-2</v>
      </c>
      <c r="CY490" s="9">
        <f t="shared" si="998"/>
        <v>0.3413554450832193</v>
      </c>
      <c r="CZ490" s="5">
        <f t="shared" si="999"/>
        <v>488.72335474629006</v>
      </c>
      <c r="DA490" s="6">
        <f t="shared" si="1000"/>
        <v>7.3835420594334792E-6</v>
      </c>
      <c r="DB490" s="8">
        <f t="shared" si="1001"/>
        <v>39.322022712357587</v>
      </c>
      <c r="DC490" s="7">
        <f t="shared" si="1002"/>
        <v>1.8478743057610731E-2</v>
      </c>
      <c r="DD490" s="9">
        <f t="shared" si="1003"/>
        <v>0.3017795131375231</v>
      </c>
    </row>
    <row r="491" spans="2:108" x14ac:dyDescent="0.25">
      <c r="B491">
        <v>224</v>
      </c>
      <c r="C491">
        <f t="shared" si="911"/>
        <v>0.21898568526133633</v>
      </c>
      <c r="D491" s="4">
        <f t="shared" si="912"/>
        <v>1016.3136239132015</v>
      </c>
      <c r="E491" s="6">
        <f t="shared" si="900"/>
        <v>5.5326272478264039E-6</v>
      </c>
      <c r="F491" s="8">
        <f t="shared" si="913"/>
        <v>27.576606675001816</v>
      </c>
      <c r="G491" s="7">
        <f t="shared" si="898"/>
        <v>1.3846470504694928E-2</v>
      </c>
      <c r="H491" s="9">
        <f t="shared" si="914"/>
        <v>0.43031330901473636</v>
      </c>
      <c r="I491" s="4">
        <f t="shared" si="915"/>
        <v>1015.988939041258</v>
      </c>
      <c r="J491" s="6">
        <f t="shared" si="901"/>
        <v>5.5319778780825173E-6</v>
      </c>
      <c r="K491" s="8">
        <f t="shared" si="916"/>
        <v>27.572872798974466</v>
      </c>
      <c r="L491" s="7">
        <f t="shared" si="902"/>
        <v>1.3844845331228038E-2</v>
      </c>
      <c r="M491" s="9">
        <f t="shared" si="917"/>
        <v>0.43037158138122117</v>
      </c>
      <c r="N491" s="4">
        <f t="shared" si="918"/>
        <v>1015.0826124569396</v>
      </c>
      <c r="O491" s="6">
        <f t="shared" si="903"/>
        <v>5.53016522491388E-6</v>
      </c>
      <c r="P491" s="8">
        <f t="shared" si="904"/>
        <v>27.562450043254806</v>
      </c>
      <c r="Q491" s="7">
        <f t="shared" si="899"/>
        <v>1.3846470504694928E-2</v>
      </c>
      <c r="R491" s="9">
        <f t="shared" si="919"/>
        <v>0.43053432663261865</v>
      </c>
      <c r="S491" s="4">
        <f t="shared" si="920"/>
        <v>1013.5808834889496</v>
      </c>
      <c r="T491" s="6">
        <f t="shared" si="905"/>
        <v>5.5271617669778993E-6</v>
      </c>
      <c r="U491" s="8">
        <f t="shared" si="906"/>
        <v>27.545180160122918</v>
      </c>
      <c r="V491" s="7">
        <f t="shared" si="907"/>
        <v>1.3832792081050442E-2</v>
      </c>
      <c r="W491" s="9">
        <f t="shared" si="921"/>
        <v>0.43080425688763929</v>
      </c>
      <c r="X491" s="4">
        <f t="shared" si="922"/>
        <v>1011.481979785013</v>
      </c>
      <c r="Y491" s="6">
        <f t="shared" si="908"/>
        <v>5.5229639595700266E-6</v>
      </c>
      <c r="Z491" s="8">
        <f t="shared" si="909"/>
        <v>27.521042767527646</v>
      </c>
      <c r="AA491" s="7">
        <f t="shared" si="910"/>
        <v>1.3822286255544063E-2</v>
      </c>
      <c r="AB491" s="9">
        <f t="shared" si="923"/>
        <v>0.43118209473223146</v>
      </c>
      <c r="AC491" s="4">
        <f t="shared" si="924"/>
        <v>1008.7844692783742</v>
      </c>
      <c r="AD491" s="6">
        <f t="shared" si="925"/>
        <v>5.5175689385567489E-6</v>
      </c>
      <c r="AE491" s="8">
        <f t="shared" si="926"/>
        <v>27.490021396701302</v>
      </c>
      <c r="AF491" s="7">
        <f t="shared" si="927"/>
        <v>1.3808784171274442E-2</v>
      </c>
      <c r="AG491" s="9">
        <f t="shared" si="928"/>
        <v>0.43166866618524508</v>
      </c>
      <c r="AH491" s="4">
        <f t="shared" si="929"/>
        <v>1005.48794769266</v>
      </c>
      <c r="AI491" s="6">
        <f t="shared" si="930"/>
        <v>5.5109758953853201E-6</v>
      </c>
      <c r="AJ491" s="8">
        <f t="shared" si="931"/>
        <v>27.45211139846559</v>
      </c>
      <c r="AK491" s="7">
        <f t="shared" si="932"/>
        <v>1.3792283804681837E-2</v>
      </c>
      <c r="AL491" s="9">
        <f t="shared" si="933"/>
        <v>0.43226477910843569</v>
      </c>
      <c r="AM491" s="4">
        <f t="shared" si="934"/>
        <v>1001.5920552202678</v>
      </c>
      <c r="AN491" s="6">
        <f t="shared" si="935"/>
        <v>5.5031841104405353E-6</v>
      </c>
      <c r="AO491" s="8">
        <f t="shared" si="936"/>
        <v>27.407308635033079</v>
      </c>
      <c r="AP491" s="7">
        <f t="shared" si="937"/>
        <v>1.3772783354789922E-2</v>
      </c>
      <c r="AQ491" s="9">
        <f t="shared" si="938"/>
        <v>0.43297140291073954</v>
      </c>
      <c r="AR491" s="4">
        <f t="shared" si="939"/>
        <v>997.09582419635649</v>
      </c>
      <c r="AS491" s="6">
        <f t="shared" si="940"/>
        <v>5.4941916483927133E-6</v>
      </c>
      <c r="AT491" s="8">
        <f t="shared" si="941"/>
        <v>27.3556019782581</v>
      </c>
      <c r="AU491" s="7">
        <f t="shared" si="942"/>
        <v>1.3750277978061592E-2</v>
      </c>
      <c r="AV491" s="9">
        <f t="shared" si="943"/>
        <v>0.4337897911787616</v>
      </c>
      <c r="AW491" s="4">
        <f t="shared" si="944"/>
        <v>991.99543850829707</v>
      </c>
      <c r="AX491" s="6">
        <f t="shared" si="945"/>
        <v>5.4839908770165953E-6</v>
      </c>
      <c r="AY491" s="8">
        <f t="shared" si="946"/>
        <v>27.296947542845416</v>
      </c>
      <c r="AZ491" s="7">
        <f t="shared" si="947"/>
        <v>1.3724748573375953E-2</v>
      </c>
      <c r="BA491" s="9">
        <f t="shared" si="948"/>
        <v>0.43472189888968565</v>
      </c>
      <c r="BB491" s="4">
        <f t="shared" si="949"/>
        <v>986.27616706585081</v>
      </c>
      <c r="BC491" s="6">
        <f t="shared" si="950"/>
        <v>5.4725523341317018E-6</v>
      </c>
      <c r="BD491" s="8">
        <f t="shared" si="951"/>
        <v>27.231175921257282</v>
      </c>
      <c r="BE491" s="7">
        <f t="shared" si="952"/>
        <v>1.3696121405924071E-2</v>
      </c>
      <c r="BF491" s="9">
        <f t="shared" si="953"/>
        <v>0.43577188528441668</v>
      </c>
      <c r="BG491" s="4">
        <f t="shared" si="954"/>
        <v>979.88542025947197</v>
      </c>
      <c r="BH491" s="6">
        <f t="shared" si="955"/>
        <v>5.4597708405189448E-6</v>
      </c>
      <c r="BI491" s="8">
        <f t="shared" si="956"/>
        <v>27.157682332983924</v>
      </c>
      <c r="BJ491" s="7">
        <f t="shared" si="957"/>
        <v>1.3664133244353182E-2</v>
      </c>
      <c r="BK491" s="9">
        <f t="shared" si="958"/>
        <v>0.43695116262942418</v>
      </c>
      <c r="BL491" s="4">
        <f t="shared" si="959"/>
        <v>972.65172212590346</v>
      </c>
      <c r="BM491" s="6">
        <f t="shared" si="960"/>
        <v>5.4453034442518072E-6</v>
      </c>
      <c r="BN491" s="8">
        <f t="shared" si="961"/>
        <v>27.074494804447887</v>
      </c>
      <c r="BO491" s="7">
        <f t="shared" si="962"/>
        <v>1.3627925785090249E-2</v>
      </c>
      <c r="BP491" s="9">
        <f t="shared" si="963"/>
        <v>0.43829371352733115</v>
      </c>
      <c r="BQ491" s="4">
        <f t="shared" si="964"/>
        <v>964.06963977257931</v>
      </c>
      <c r="BR491" s="6">
        <f t="shared" si="965"/>
        <v>5.4281392795451593E-6</v>
      </c>
      <c r="BS491" s="8">
        <f t="shared" si="966"/>
        <v>26.975800857384662</v>
      </c>
      <c r="BT491" s="7">
        <f t="shared" si="967"/>
        <v>1.3584969140859122E-2</v>
      </c>
      <c r="BU491" s="9">
        <f t="shared" si="968"/>
        <v>0.439897259490237</v>
      </c>
      <c r="BV491" s="4">
        <f t="shared" si="969"/>
        <v>952.80913255634039</v>
      </c>
      <c r="BW491" s="6">
        <f t="shared" si="970"/>
        <v>5.4056182651126817E-6</v>
      </c>
      <c r="BX491" s="8">
        <f t="shared" si="971"/>
        <v>26.846305024397914</v>
      </c>
      <c r="BY491" s="7">
        <f t="shared" si="972"/>
        <v>1.3528605943393102E-2</v>
      </c>
      <c r="BZ491" s="9">
        <f t="shared" si="973"/>
        <v>0.44201914784673546</v>
      </c>
      <c r="CA491" s="4">
        <f t="shared" si="974"/>
        <v>935.79613705631084</v>
      </c>
      <c r="CB491" s="6">
        <f t="shared" si="975"/>
        <v>5.3715922741126224E-6</v>
      </c>
      <c r="CC491" s="8">
        <f t="shared" si="976"/>
        <v>26.650655576147575</v>
      </c>
      <c r="CD491" s="7">
        <f t="shared" si="977"/>
        <v>1.3443449315326315E-2</v>
      </c>
      <c r="CE491" s="9">
        <f t="shared" si="978"/>
        <v>0.44526412627307105</v>
      </c>
      <c r="CF491" s="4">
        <f t="shared" si="979"/>
        <v>906.93531203192856</v>
      </c>
      <c r="CG491" s="6">
        <f t="shared" si="980"/>
        <v>5.3138706240638572E-6</v>
      </c>
      <c r="CH491" s="8">
        <f t="shared" si="981"/>
        <v>26.318756088367177</v>
      </c>
      <c r="CI491" s="7">
        <f t="shared" si="982"/>
        <v>1.3298989714293812E-2</v>
      </c>
      <c r="CJ491" s="9">
        <f t="shared" si="983"/>
        <v>0.4508792448197389</v>
      </c>
      <c r="CK491" s="4">
        <f t="shared" si="984"/>
        <v>856.26637719554265</v>
      </c>
      <c r="CL491" s="6">
        <f t="shared" si="985"/>
        <v>5.2125327543910858E-6</v>
      </c>
      <c r="CM491" s="8">
        <f t="shared" si="986"/>
        <v>25.736063337748739</v>
      </c>
      <c r="CN491" s="7">
        <f t="shared" si="987"/>
        <v>1.3045372081914202E-2</v>
      </c>
      <c r="CO491" s="9">
        <f t="shared" si="988"/>
        <v>0.46108764631117538</v>
      </c>
      <c r="CP491" s="4">
        <f t="shared" si="989"/>
        <v>771.57767817448735</v>
      </c>
      <c r="CQ491" s="6">
        <f t="shared" si="990"/>
        <v>5.0431553563489756E-6</v>
      </c>
      <c r="CR491" s="8">
        <f t="shared" si="991"/>
        <v>24.762143299006603</v>
      </c>
      <c r="CS491" s="7">
        <f t="shared" si="992"/>
        <v>1.2621472361022391E-2</v>
      </c>
      <c r="CT491" s="9">
        <f t="shared" si="993"/>
        <v>0.47922268789204353</v>
      </c>
      <c r="CU491" s="4">
        <f t="shared" si="994"/>
        <v>645.44227353041367</v>
      </c>
      <c r="CV491" s="6">
        <f t="shared" si="995"/>
        <v>4.8526424311714778E-6</v>
      </c>
      <c r="CW491" s="8">
        <f t="shared" si="996"/>
        <v>34.777174067617999</v>
      </c>
      <c r="CX491" s="7">
        <f t="shared" si="997"/>
        <v>1.2144676892780835E-2</v>
      </c>
      <c r="CY491" s="9">
        <f t="shared" si="998"/>
        <v>0.34121751372453246</v>
      </c>
      <c r="CZ491" s="5">
        <f t="shared" si="999"/>
        <v>488.6916448453681</v>
      </c>
      <c r="DA491" s="6">
        <f t="shared" si="1000"/>
        <v>7.3840143642471227E-6</v>
      </c>
      <c r="DB491" s="8">
        <f t="shared" si="1001"/>
        <v>39.322942299484325</v>
      </c>
      <c r="DC491" s="7">
        <f t="shared" si="1002"/>
        <v>1.8479925091819505E-2</v>
      </c>
      <c r="DD491" s="9">
        <f t="shared" si="1003"/>
        <v>0.30177245586919155</v>
      </c>
    </row>
    <row r="492" spans="2:108" x14ac:dyDescent="0.25">
      <c r="B492">
        <v>225</v>
      </c>
      <c r="C492">
        <f t="shared" si="911"/>
        <v>0.21996329992768157</v>
      </c>
      <c r="D492" s="4">
        <f t="shared" si="912"/>
        <v>1016.2970471438392</v>
      </c>
      <c r="E492" s="6">
        <f t="shared" si="900"/>
        <v>5.5325940942876796E-6</v>
      </c>
      <c r="F492" s="8">
        <f t="shared" si="913"/>
        <v>27.57641604215415</v>
      </c>
      <c r="G492" s="7">
        <f t="shared" si="898"/>
        <v>1.3846387531547542E-2</v>
      </c>
      <c r="H492" s="9">
        <f t="shared" si="914"/>
        <v>0.43031628372513242</v>
      </c>
      <c r="I492" s="4">
        <f t="shared" si="915"/>
        <v>1015.9723628738644</v>
      </c>
      <c r="J492" s="6">
        <f t="shared" si="901"/>
        <v>5.53194472574773E-6</v>
      </c>
      <c r="K492" s="8">
        <f t="shared" si="916"/>
        <v>27.57268217304944</v>
      </c>
      <c r="L492" s="7">
        <f t="shared" si="902"/>
        <v>1.3844762361093735E-2</v>
      </c>
      <c r="M492" s="9">
        <f t="shared" si="917"/>
        <v>0.43037455678928233</v>
      </c>
      <c r="N492" s="4">
        <f t="shared" si="918"/>
        <v>1015.06603451321</v>
      </c>
      <c r="O492" s="6">
        <f t="shared" si="903"/>
        <v>5.5301320690264206E-6</v>
      </c>
      <c r="P492" s="8">
        <f t="shared" si="904"/>
        <v>27.562259396901915</v>
      </c>
      <c r="Q492" s="7">
        <f t="shared" si="899"/>
        <v>1.3846387531547542E-2</v>
      </c>
      <c r="R492" s="9">
        <f t="shared" si="919"/>
        <v>0.43053730461051171</v>
      </c>
      <c r="S492" s="4">
        <f t="shared" si="920"/>
        <v>1013.5643054835759</v>
      </c>
      <c r="T492" s="6">
        <f t="shared" si="905"/>
        <v>5.5271286109671526E-6</v>
      </c>
      <c r="U492" s="8">
        <f t="shared" si="906"/>
        <v>27.544989513061122</v>
      </c>
      <c r="V492" s="7">
        <f t="shared" si="907"/>
        <v>1.3832709101716341E-2</v>
      </c>
      <c r="W492" s="9">
        <f t="shared" si="921"/>
        <v>0.43080723861198322</v>
      </c>
      <c r="X492" s="4">
        <f t="shared" si="922"/>
        <v>1011.4654060059316</v>
      </c>
      <c r="Y492" s="6">
        <f t="shared" si="908"/>
        <v>5.522930812011864E-6</v>
      </c>
      <c r="Z492" s="8">
        <f t="shared" si="909"/>
        <v>27.520852169068213</v>
      </c>
      <c r="AA492" s="7">
        <f t="shared" si="910"/>
        <v>1.382220329736419E-2</v>
      </c>
      <c r="AB492" s="9">
        <f t="shared" si="923"/>
        <v>0.43118508092766195</v>
      </c>
      <c r="AC492" s="4">
        <f t="shared" si="924"/>
        <v>1008.7679045524467</v>
      </c>
      <c r="AD492" s="6">
        <f t="shared" si="925"/>
        <v>5.5175358091048939E-6</v>
      </c>
      <c r="AE492" s="8">
        <f t="shared" si="926"/>
        <v>27.489830902353134</v>
      </c>
      <c r="AF492" s="7">
        <f t="shared" si="927"/>
        <v>1.3808701258409106E-2</v>
      </c>
      <c r="AG492" s="9">
        <f t="shared" si="928"/>
        <v>0.43167165748924696</v>
      </c>
      <c r="AH492" s="4">
        <f t="shared" si="929"/>
        <v>1005.4713946677216</v>
      </c>
      <c r="AI492" s="6">
        <f t="shared" si="930"/>
        <v>5.5109427893354438E-6</v>
      </c>
      <c r="AJ492" s="8">
        <f t="shared" si="931"/>
        <v>27.451921038678798</v>
      </c>
      <c r="AK492" s="7">
        <f t="shared" si="932"/>
        <v>1.3792200950384484E-2</v>
      </c>
      <c r="AL492" s="9">
        <f t="shared" si="933"/>
        <v>0.43226777656100279</v>
      </c>
      <c r="AM492" s="4">
        <f t="shared" si="934"/>
        <v>1001.5755076693512</v>
      </c>
      <c r="AN492" s="6">
        <f t="shared" si="935"/>
        <v>5.503151015338703E-6</v>
      </c>
      <c r="AO492" s="8">
        <f t="shared" si="936"/>
        <v>27.407118338197538</v>
      </c>
      <c r="AP492" s="7">
        <f t="shared" si="937"/>
        <v>1.3772700527892166E-2</v>
      </c>
      <c r="AQ492" s="9">
        <f t="shared" si="938"/>
        <v>0.43297440917673358</v>
      </c>
      <c r="AR492" s="4">
        <f t="shared" si="939"/>
        <v>997.07924264709118</v>
      </c>
      <c r="AS492" s="6">
        <f t="shared" si="940"/>
        <v>5.4941584852941829E-6</v>
      </c>
      <c r="AT492" s="8">
        <f t="shared" si="941"/>
        <v>27.355411290441548</v>
      </c>
      <c r="AU492" s="7">
        <f t="shared" si="942"/>
        <v>1.375019498098894E-2</v>
      </c>
      <c r="AV492" s="9">
        <f t="shared" si="943"/>
        <v>0.43379281502026934</v>
      </c>
      <c r="AW492" s="4">
        <f t="shared" si="944"/>
        <v>991.97866357543819</v>
      </c>
      <c r="AX492" s="6">
        <f t="shared" si="945"/>
        <v>5.4839573271508771E-6</v>
      </c>
      <c r="AY492" s="8">
        <f t="shared" si="946"/>
        <v>27.296754631117537</v>
      </c>
      <c r="AZ492" s="7">
        <f t="shared" si="947"/>
        <v>1.3724664608343557E-2</v>
      </c>
      <c r="BA492" s="9">
        <f t="shared" si="948"/>
        <v>0.43472497115793862</v>
      </c>
      <c r="BB492" s="4">
        <f t="shared" si="949"/>
        <v>986.25864099474472</v>
      </c>
      <c r="BC492" s="6">
        <f t="shared" si="950"/>
        <v>5.4725172819894904E-6</v>
      </c>
      <c r="BD492" s="8">
        <f t="shared" si="951"/>
        <v>27.230974371439565</v>
      </c>
      <c r="BE492" s="7">
        <f t="shared" si="952"/>
        <v>1.3696033681153992E-2</v>
      </c>
      <c r="BF492" s="9">
        <f t="shared" si="953"/>
        <v>0.43577511064619945</v>
      </c>
      <c r="BG492" s="4">
        <f t="shared" si="954"/>
        <v>979.86539331257666</v>
      </c>
      <c r="BH492" s="6">
        <f t="shared" si="955"/>
        <v>5.4597307866251544E-6</v>
      </c>
      <c r="BI492" s="8">
        <f t="shared" si="956"/>
        <v>27.157452023094631</v>
      </c>
      <c r="BJ492" s="7">
        <f t="shared" si="957"/>
        <v>1.3664033001731706E-2</v>
      </c>
      <c r="BK492" s="9">
        <f t="shared" si="958"/>
        <v>0.43695486821173751</v>
      </c>
      <c r="BL492" s="4">
        <f t="shared" si="959"/>
        <v>972.62429328665405</v>
      </c>
      <c r="BM492" s="6">
        <f t="shared" si="960"/>
        <v>5.4452485865733081E-6</v>
      </c>
      <c r="BN492" s="8">
        <f t="shared" si="961"/>
        <v>27.074179372796522</v>
      </c>
      <c r="BO492" s="7">
        <f t="shared" si="962"/>
        <v>1.362778849313233E-2</v>
      </c>
      <c r="BP492" s="9">
        <f t="shared" si="963"/>
        <v>0.43829881993177422</v>
      </c>
      <c r="BQ492" s="4">
        <f t="shared" si="964"/>
        <v>964.02273835682934</v>
      </c>
      <c r="BR492" s="6">
        <f t="shared" si="965"/>
        <v>5.4280454767136597E-6</v>
      </c>
      <c r="BS492" s="8">
        <f t="shared" si="966"/>
        <v>26.975261491103538</v>
      </c>
      <c r="BT492" s="7">
        <f t="shared" si="967"/>
        <v>1.3584734381118147E-2</v>
      </c>
      <c r="BU492" s="9">
        <f t="shared" si="968"/>
        <v>0.4399060551695303</v>
      </c>
      <c r="BV492" s="4">
        <f t="shared" si="969"/>
        <v>952.71726910153086</v>
      </c>
      <c r="BW492" s="6">
        <f t="shared" si="970"/>
        <v>5.4054345382030623E-6</v>
      </c>
      <c r="BX492" s="8">
        <f t="shared" si="971"/>
        <v>26.845248594667602</v>
      </c>
      <c r="BY492" s="7">
        <f t="shared" si="972"/>
        <v>1.3528146131242201E-2</v>
      </c>
      <c r="BZ492" s="9">
        <f t="shared" si="973"/>
        <v>0.4420365424395814</v>
      </c>
      <c r="CA492" s="4">
        <f t="shared" si="974"/>
        <v>935.61517162891221</v>
      </c>
      <c r="CB492" s="6">
        <f t="shared" si="975"/>
        <v>5.3712303432578258E-6</v>
      </c>
      <c r="CC492" s="8">
        <f t="shared" si="976"/>
        <v>26.648574473732488</v>
      </c>
      <c r="CD492" s="7">
        <f t="shared" si="977"/>
        <v>1.3442543513311974E-2</v>
      </c>
      <c r="CE492" s="9">
        <f t="shared" si="978"/>
        <v>0.445298898874114</v>
      </c>
      <c r="CF492" s="4">
        <f t="shared" si="979"/>
        <v>906.60874674628974</v>
      </c>
      <c r="CG492" s="6">
        <f t="shared" si="980"/>
        <v>5.3132174934925802E-6</v>
      </c>
      <c r="CH492" s="8">
        <f t="shared" si="981"/>
        <v>26.315000587582333</v>
      </c>
      <c r="CI492" s="7">
        <f t="shared" si="982"/>
        <v>1.3297355128628485E-2</v>
      </c>
      <c r="CJ492" s="9">
        <f t="shared" si="983"/>
        <v>0.45094359128829226</v>
      </c>
      <c r="CK492" s="4">
        <f t="shared" si="984"/>
        <v>855.76106611782302</v>
      </c>
      <c r="CL492" s="6">
        <f t="shared" si="985"/>
        <v>5.2115221322356465E-6</v>
      </c>
      <c r="CM492" s="8">
        <f t="shared" si="986"/>
        <v>25.730252260354966</v>
      </c>
      <c r="CN492" s="7">
        <f t="shared" si="987"/>
        <v>1.3042842804368498E-2</v>
      </c>
      <c r="CO492" s="9">
        <f t="shared" si="988"/>
        <v>0.46119178116266907</v>
      </c>
      <c r="CP492" s="4">
        <f t="shared" si="989"/>
        <v>770.96071348485748</v>
      </c>
      <c r="CQ492" s="6">
        <f t="shared" si="990"/>
        <v>5.0419214269697159E-6</v>
      </c>
      <c r="CR492" s="8">
        <f t="shared" si="991"/>
        <v>24.755048205075859</v>
      </c>
      <c r="CS492" s="7">
        <f t="shared" si="992"/>
        <v>1.261838421392889E-2</v>
      </c>
      <c r="CT492" s="9">
        <f t="shared" si="993"/>
        <v>0.47936003886612244</v>
      </c>
      <c r="CU492" s="4">
        <f t="shared" si="994"/>
        <v>644.96202295863498</v>
      </c>
      <c r="CV492" s="6">
        <f t="shared" si="995"/>
        <v>4.8613274797339953E-6</v>
      </c>
      <c r="CW492" s="8">
        <f t="shared" si="996"/>
        <v>34.791101334199581</v>
      </c>
      <c r="CX492" s="7">
        <f t="shared" si="997"/>
        <v>1.2166412907763588E-2</v>
      </c>
      <c r="CY492" s="9">
        <f t="shared" si="998"/>
        <v>0.34108092054139932</v>
      </c>
      <c r="CZ492" s="5">
        <f t="shared" si="999"/>
        <v>488.65066656269101</v>
      </c>
      <c r="DA492" s="6">
        <f t="shared" si="1000"/>
        <v>7.3846247045278314E-6</v>
      </c>
      <c r="DB492" s="8">
        <f t="shared" si="1001"/>
        <v>39.324130669681956</v>
      </c>
      <c r="DC492" s="7">
        <f t="shared" si="1002"/>
        <v>1.8481452586500802E-2</v>
      </c>
      <c r="DD492" s="9">
        <f t="shared" si="1003"/>
        <v>0.30176333634418451</v>
      </c>
    </row>
    <row r="493" spans="2:108" x14ac:dyDescent="0.25">
      <c r="B493">
        <v>226</v>
      </c>
      <c r="C493">
        <f t="shared" si="911"/>
        <v>0.22094091459402682</v>
      </c>
      <c r="D493" s="4">
        <f t="shared" si="912"/>
        <v>1016.2804704052104</v>
      </c>
      <c r="E493" s="6">
        <f t="shared" si="900"/>
        <v>5.5325609408104212E-6</v>
      </c>
      <c r="F493" s="8">
        <f t="shared" si="913"/>
        <v>27.576225409659919</v>
      </c>
      <c r="G493" s="7">
        <f t="shared" si="898"/>
        <v>1.3846304558553985E-2</v>
      </c>
      <c r="H493" s="9">
        <f t="shared" si="914"/>
        <v>0.43031925847114122</v>
      </c>
      <c r="I493" s="4">
        <f t="shared" si="915"/>
        <v>1015.9557867647407</v>
      </c>
      <c r="J493" s="6">
        <f t="shared" si="901"/>
        <v>5.531911573529481E-6</v>
      </c>
      <c r="K493" s="8">
        <f t="shared" si="916"/>
        <v>27.572491547794517</v>
      </c>
      <c r="L493" s="7">
        <f t="shared" si="902"/>
        <v>1.3844679391251093E-2</v>
      </c>
      <c r="M493" s="9">
        <f t="shared" si="917"/>
        <v>0.43037753222802561</v>
      </c>
      <c r="N493" s="4">
        <f t="shared" si="918"/>
        <v>1015.0494566862076</v>
      </c>
      <c r="O493" s="6">
        <f t="shared" si="903"/>
        <v>5.5300989133724154E-6</v>
      </c>
      <c r="P493" s="8">
        <f t="shared" si="904"/>
        <v>27.562068751891388</v>
      </c>
      <c r="Q493" s="7">
        <f t="shared" si="899"/>
        <v>1.3846304558553985E-2</v>
      </c>
      <c r="R493" s="9">
        <f t="shared" si="919"/>
        <v>0.43054028260863325</v>
      </c>
      <c r="S493" s="4">
        <f t="shared" si="920"/>
        <v>1013.5477276465271</v>
      </c>
      <c r="T493" s="6">
        <f t="shared" si="905"/>
        <v>5.5270954552930549E-6</v>
      </c>
      <c r="U493" s="8">
        <f t="shared" si="906"/>
        <v>27.544798867935061</v>
      </c>
      <c r="V493" s="7">
        <f t="shared" si="907"/>
        <v>1.383262612322477E-2</v>
      </c>
      <c r="W493" s="9">
        <f t="shared" si="921"/>
        <v>0.43081022034732669</v>
      </c>
      <c r="X493" s="4">
        <f t="shared" si="922"/>
        <v>1011.448832416001</v>
      </c>
      <c r="Y493" s="6">
        <f t="shared" si="908"/>
        <v>5.5228976648320024E-6</v>
      </c>
      <c r="Z493" s="8">
        <f t="shared" si="909"/>
        <v>27.520661572784011</v>
      </c>
      <c r="AA493" s="7">
        <f t="shared" si="910"/>
        <v>1.3822120340131087E-2</v>
      </c>
      <c r="AB493" s="9">
        <f t="shared" si="923"/>
        <v>0.43118806713037411</v>
      </c>
      <c r="AC493" s="4">
        <f t="shared" si="924"/>
        <v>1008.7513399912216</v>
      </c>
      <c r="AD493" s="6">
        <f t="shared" si="925"/>
        <v>5.5175026799824441E-6</v>
      </c>
      <c r="AE493" s="8">
        <f t="shared" si="926"/>
        <v>27.489640409899046</v>
      </c>
      <c r="AF493" s="7">
        <f t="shared" si="927"/>
        <v>1.3808618346368174E-2</v>
      </c>
      <c r="AG493" s="9">
        <f t="shared" si="928"/>
        <v>0.43167464880496331</v>
      </c>
      <c r="AH493" s="4">
        <f t="shared" si="929"/>
        <v>1005.4548416759509</v>
      </c>
      <c r="AI493" s="6">
        <f t="shared" si="930"/>
        <v>5.5109096833519029E-6</v>
      </c>
      <c r="AJ493" s="8">
        <f t="shared" si="931"/>
        <v>27.451730679273435</v>
      </c>
      <c r="AK493" s="7">
        <f t="shared" si="932"/>
        <v>1.3792118096253149E-2</v>
      </c>
      <c r="AL493" s="9">
        <f t="shared" si="933"/>
        <v>0.43227077404913444</v>
      </c>
      <c r="AM493" s="4">
        <f t="shared" si="934"/>
        <v>1001.5589596453326</v>
      </c>
      <c r="AN493" s="6">
        <f t="shared" si="935"/>
        <v>5.5031179192906655E-6</v>
      </c>
      <c r="AO493" s="8">
        <f t="shared" si="936"/>
        <v>27.406928035921325</v>
      </c>
      <c r="AP493" s="7">
        <f t="shared" si="937"/>
        <v>1.377261769862635E-2</v>
      </c>
      <c r="AQ493" s="9">
        <f t="shared" si="938"/>
        <v>0.43297741557042713</v>
      </c>
      <c r="AR493" s="4">
        <f t="shared" si="939"/>
        <v>997.06265880666786</v>
      </c>
      <c r="AS493" s="6">
        <f t="shared" si="940"/>
        <v>5.4941253176133364E-6</v>
      </c>
      <c r="AT493" s="8">
        <f t="shared" si="941"/>
        <v>27.355220576276679</v>
      </c>
      <c r="AU493" s="7">
        <f t="shared" si="942"/>
        <v>1.3750111972448154E-2</v>
      </c>
      <c r="AV493" s="9">
        <f t="shared" si="943"/>
        <v>0.4337958393217628</v>
      </c>
      <c r="AW493" s="4">
        <f t="shared" si="944"/>
        <v>991.96188035314333</v>
      </c>
      <c r="AX493" s="6">
        <f t="shared" si="945"/>
        <v>5.4839237607062873E-6</v>
      </c>
      <c r="AY493" s="8">
        <f t="shared" si="946"/>
        <v>27.296561624061148</v>
      </c>
      <c r="AZ493" s="7">
        <f t="shared" si="947"/>
        <v>1.3724580601819324E-2</v>
      </c>
      <c r="BA493" s="9">
        <f t="shared" si="948"/>
        <v>0.43472804498782891</v>
      </c>
      <c r="BB493" s="4">
        <f t="shared" si="949"/>
        <v>986.24108878487266</v>
      </c>
      <c r="BC493" s="6">
        <f t="shared" si="950"/>
        <v>5.4724821775697454E-6</v>
      </c>
      <c r="BD493" s="8">
        <f t="shared" si="951"/>
        <v>27.230772521026033</v>
      </c>
      <c r="BE493" s="7">
        <f t="shared" si="952"/>
        <v>1.3695945825549264E-2</v>
      </c>
      <c r="BF493" s="9">
        <f t="shared" si="953"/>
        <v>0.4357783408662097</v>
      </c>
      <c r="BG493" s="4">
        <f t="shared" si="954"/>
        <v>979.84529320519141</v>
      </c>
      <c r="BH493" s="6">
        <f t="shared" si="955"/>
        <v>5.4596905864103832E-6</v>
      </c>
      <c r="BI493" s="8">
        <f t="shared" si="956"/>
        <v>27.1572208718597</v>
      </c>
      <c r="BJ493" s="7">
        <f t="shared" si="957"/>
        <v>1.3663932392913657E-2</v>
      </c>
      <c r="BK493" s="9">
        <f t="shared" si="958"/>
        <v>0.43695858739411897</v>
      </c>
      <c r="BL493" s="4">
        <f t="shared" si="959"/>
        <v>972.5966844158969</v>
      </c>
      <c r="BM493" s="6">
        <f t="shared" si="960"/>
        <v>5.4451933688317936E-6</v>
      </c>
      <c r="BN493" s="8">
        <f t="shared" si="961"/>
        <v>27.073861870782814</v>
      </c>
      <c r="BO493" s="7">
        <f t="shared" si="962"/>
        <v>1.3627650300047025E-2</v>
      </c>
      <c r="BP493" s="9">
        <f t="shared" si="963"/>
        <v>0.43830395997269628</v>
      </c>
      <c r="BQ493" s="4">
        <f t="shared" si="964"/>
        <v>963.97545628241778</v>
      </c>
      <c r="BR493" s="6">
        <f t="shared" si="965"/>
        <v>5.4279509125648356E-6</v>
      </c>
      <c r="BS493" s="8">
        <f t="shared" si="966"/>
        <v>26.974717747247801</v>
      </c>
      <c r="BT493" s="7">
        <f t="shared" si="967"/>
        <v>1.3584497716033216E-2</v>
      </c>
      <c r="BU493" s="9">
        <f t="shared" si="968"/>
        <v>0.43991492259186404</v>
      </c>
      <c r="BV493" s="4">
        <f t="shared" si="969"/>
        <v>952.62474258570433</v>
      </c>
      <c r="BW493" s="6">
        <f t="shared" si="970"/>
        <v>5.4052494851714092E-6</v>
      </c>
      <c r="BX493" s="8">
        <f t="shared" si="971"/>
        <v>26.8441845397356</v>
      </c>
      <c r="BY493" s="7">
        <f t="shared" si="972"/>
        <v>1.3527683000214244E-2</v>
      </c>
      <c r="BZ493" s="9">
        <f t="shared" si="973"/>
        <v>0.44205406396877561</v>
      </c>
      <c r="CA493" s="4">
        <f t="shared" si="974"/>
        <v>935.43334227891125</v>
      </c>
      <c r="CB493" s="6">
        <f t="shared" si="975"/>
        <v>5.3708666845578232E-6</v>
      </c>
      <c r="CC493" s="8">
        <f t="shared" si="976"/>
        <v>26.646483436207479</v>
      </c>
      <c r="CD493" s="7">
        <f t="shared" si="977"/>
        <v>1.3441633387030586E-2</v>
      </c>
      <c r="CE493" s="9">
        <f t="shared" si="978"/>
        <v>0.44533384294880285</v>
      </c>
      <c r="CF493" s="4">
        <f t="shared" si="979"/>
        <v>906.28162179350647</v>
      </c>
      <c r="CG493" s="6">
        <f t="shared" si="980"/>
        <v>5.3125632435870137E-6</v>
      </c>
      <c r="CH493" s="8">
        <f t="shared" si="981"/>
        <v>26.311238650625324</v>
      </c>
      <c r="CI493" s="7">
        <f t="shared" si="982"/>
        <v>1.3295717741612454E-2</v>
      </c>
      <c r="CJ493" s="9">
        <f t="shared" si="983"/>
        <v>0.45100806644980479</v>
      </c>
      <c r="CK493" s="4">
        <f t="shared" si="984"/>
        <v>855.25659574008796</v>
      </c>
      <c r="CL493" s="6">
        <f t="shared" si="985"/>
        <v>5.2105131914801758E-6</v>
      </c>
      <c r="CM493" s="8">
        <f t="shared" si="986"/>
        <v>25.72445085101101</v>
      </c>
      <c r="CN493" s="7">
        <f t="shared" si="987"/>
        <v>1.3040317734851644E-2</v>
      </c>
      <c r="CO493" s="9">
        <f t="shared" si="988"/>
        <v>0.46129578969230062</v>
      </c>
      <c r="CP493" s="4">
        <f t="shared" si="989"/>
        <v>770.34711611022055</v>
      </c>
      <c r="CQ493" s="6">
        <f t="shared" si="990"/>
        <v>5.0406942322204413E-6</v>
      </c>
      <c r="CR493" s="8">
        <f t="shared" si="991"/>
        <v>24.747991835267534</v>
      </c>
      <c r="CS493" s="7">
        <f t="shared" si="992"/>
        <v>1.2615312921550386E-2</v>
      </c>
      <c r="CT493" s="9">
        <f t="shared" si="993"/>
        <v>0.47949671830775503</v>
      </c>
      <c r="CU493" s="4">
        <f t="shared" si="994"/>
        <v>644.48589736207521</v>
      </c>
      <c r="CV493" s="6">
        <f t="shared" si="995"/>
        <v>4.869929970759929E-6</v>
      </c>
      <c r="CW493" s="8">
        <f t="shared" si="996"/>
        <v>34.804908976499817</v>
      </c>
      <c r="CX493" s="7">
        <f t="shared" si="997"/>
        <v>1.2187942306532371E-2</v>
      </c>
      <c r="CY493" s="9">
        <f t="shared" si="998"/>
        <v>0.34094560849822025</v>
      </c>
      <c r="CZ493" s="5">
        <f t="shared" si="999"/>
        <v>488.60078138812003</v>
      </c>
      <c r="DA493" s="6">
        <f t="shared" si="1000"/>
        <v>7.3853676864917148E-6</v>
      </c>
      <c r="DB493" s="8">
        <f t="shared" si="1001"/>
        <v>39.325577339744513</v>
      </c>
      <c r="DC493" s="7">
        <f t="shared" si="1002"/>
        <v>1.8483312042666494E-2</v>
      </c>
      <c r="DD493" s="9">
        <f t="shared" si="1003"/>
        <v>0.30175223537595475</v>
      </c>
    </row>
    <row r="494" spans="2:108" x14ac:dyDescent="0.25">
      <c r="B494">
        <v>227</v>
      </c>
      <c r="C494">
        <f t="shared" si="911"/>
        <v>0.22191852926037209</v>
      </c>
      <c r="D494" s="4">
        <f t="shared" si="912"/>
        <v>1016.2638936987209</v>
      </c>
      <c r="E494" s="6">
        <f t="shared" si="900"/>
        <v>5.5325277873974423E-6</v>
      </c>
      <c r="F494" s="8">
        <f t="shared" si="913"/>
        <v>27.576034777535291</v>
      </c>
      <c r="G494" s="7">
        <f t="shared" si="898"/>
        <v>1.38462215857213E-2</v>
      </c>
      <c r="H494" s="9">
        <f t="shared" si="914"/>
        <v>0.43032223325251107</v>
      </c>
      <c r="I494" s="4">
        <f t="shared" si="915"/>
        <v>1015.9392107149105</v>
      </c>
      <c r="J494" s="6">
        <f t="shared" si="901"/>
        <v>5.5318784214298217E-6</v>
      </c>
      <c r="K494" s="8">
        <f t="shared" si="916"/>
        <v>27.572300923221469</v>
      </c>
      <c r="L494" s="7">
        <f t="shared" si="902"/>
        <v>1.3844596421705244E-2</v>
      </c>
      <c r="M494" s="9">
        <f t="shared" si="917"/>
        <v>0.43038050769726771</v>
      </c>
      <c r="N494" s="4">
        <f t="shared" si="918"/>
        <v>1015.0328789762177</v>
      </c>
      <c r="O494" s="6">
        <f t="shared" si="903"/>
        <v>5.530065757952436E-6</v>
      </c>
      <c r="P494" s="8">
        <f t="shared" si="904"/>
        <v>27.561878108226502</v>
      </c>
      <c r="Q494" s="7">
        <f t="shared" si="899"/>
        <v>1.38462215857213E-2</v>
      </c>
      <c r="R494" s="9">
        <f t="shared" si="919"/>
        <v>0.43054326062693216</v>
      </c>
      <c r="S494" s="4">
        <f t="shared" si="920"/>
        <v>1013.5311499775431</v>
      </c>
      <c r="T494" s="6">
        <f t="shared" si="905"/>
        <v>5.5270622999550861E-6</v>
      </c>
      <c r="U494" s="8">
        <f t="shared" si="906"/>
        <v>27.544608224741744</v>
      </c>
      <c r="V494" s="7">
        <f t="shared" si="907"/>
        <v>1.3832543145574423E-2</v>
      </c>
      <c r="W494" s="9">
        <f t="shared" si="921"/>
        <v>0.43081320209371604</v>
      </c>
      <c r="X494" s="4">
        <f t="shared" si="922"/>
        <v>1011.4322590145865</v>
      </c>
      <c r="Y494" s="6">
        <f t="shared" si="908"/>
        <v>5.522864518029173E-6</v>
      </c>
      <c r="Z494" s="8">
        <f t="shared" si="909"/>
        <v>27.520470978667745</v>
      </c>
      <c r="AA494" s="7">
        <f t="shared" si="910"/>
        <v>1.3822037383841581E-2</v>
      </c>
      <c r="AB494" s="9">
        <f t="shared" si="923"/>
        <v>0.43119105334048158</v>
      </c>
      <c r="AC494" s="4">
        <f t="shared" si="924"/>
        <v>1008.7347755930014</v>
      </c>
      <c r="AD494" s="6">
        <f t="shared" si="925"/>
        <v>5.5174695511860037E-6</v>
      </c>
      <c r="AE494" s="8">
        <f t="shared" si="926"/>
        <v>27.489449919319515</v>
      </c>
      <c r="AF494" s="7">
        <f t="shared" si="927"/>
        <v>1.3808535435143141E-2</v>
      </c>
      <c r="AG494" s="9">
        <f t="shared" si="928"/>
        <v>0.43167764013270038</v>
      </c>
      <c r="AH494" s="4">
        <f t="shared" si="929"/>
        <v>1005.4382887114392</v>
      </c>
      <c r="AI494" s="6">
        <f t="shared" si="930"/>
        <v>5.5108765774228788E-6</v>
      </c>
      <c r="AJ494" s="8">
        <f t="shared" si="931"/>
        <v>27.45154032018155</v>
      </c>
      <c r="AK494" s="7">
        <f t="shared" si="932"/>
        <v>1.3792035242258249E-2</v>
      </c>
      <c r="AL494" s="9">
        <f t="shared" si="933"/>
        <v>0.43227377157390123</v>
      </c>
      <c r="AM494" s="4">
        <f t="shared" si="934"/>
        <v>1001.5424111278368</v>
      </c>
      <c r="AN494" s="6">
        <f t="shared" si="935"/>
        <v>5.5030848222556744E-6</v>
      </c>
      <c r="AO494" s="8">
        <f t="shared" si="936"/>
        <v>27.406737727970121</v>
      </c>
      <c r="AP494" s="7">
        <f t="shared" si="937"/>
        <v>1.3772534866890491E-2</v>
      </c>
      <c r="AQ494" s="9">
        <f t="shared" si="938"/>
        <v>0.43298042209552667</v>
      </c>
      <c r="AR494" s="4">
        <f t="shared" si="939"/>
        <v>997.04607261081765</v>
      </c>
      <c r="AS494" s="6">
        <f t="shared" si="940"/>
        <v>5.4940921452216357E-6</v>
      </c>
      <c r="AT494" s="8">
        <f t="shared" si="941"/>
        <v>27.355029835024403</v>
      </c>
      <c r="AU494" s="7">
        <f t="shared" si="942"/>
        <v>1.3750028952117545E-2</v>
      </c>
      <c r="AV494" s="9">
        <f t="shared" si="943"/>
        <v>0.43379886409498086</v>
      </c>
      <c r="AW494" s="4">
        <f t="shared" si="944"/>
        <v>991.94508866035892</v>
      </c>
      <c r="AX494" s="6">
        <f t="shared" si="945"/>
        <v>5.4838901773207184E-6</v>
      </c>
      <c r="AY494" s="8">
        <f t="shared" si="946"/>
        <v>27.296368519594125</v>
      </c>
      <c r="AZ494" s="7">
        <f t="shared" si="947"/>
        <v>1.3724496552897014E-2</v>
      </c>
      <c r="BA494" s="9">
        <f t="shared" si="948"/>
        <v>0.43473112041258244</v>
      </c>
      <c r="BB494" s="4">
        <f t="shared" si="949"/>
        <v>986.22350999171761</v>
      </c>
      <c r="BC494" s="6">
        <f t="shared" si="950"/>
        <v>5.4724470199834356E-6</v>
      </c>
      <c r="BD494" s="8">
        <f t="shared" si="951"/>
        <v>27.23057036490475</v>
      </c>
      <c r="BE494" s="7">
        <f t="shared" si="952"/>
        <v>1.369585783688492E-2</v>
      </c>
      <c r="BF494" s="9">
        <f t="shared" si="953"/>
        <v>0.43578157602647066</v>
      </c>
      <c r="BG494" s="4">
        <f t="shared" si="954"/>
        <v>979.82511902296085</v>
      </c>
      <c r="BH494" s="6">
        <f t="shared" si="955"/>
        <v>5.4596502380459224E-6</v>
      </c>
      <c r="BI494" s="8">
        <f t="shared" si="956"/>
        <v>27.156988868764049</v>
      </c>
      <c r="BJ494" s="7">
        <f t="shared" si="957"/>
        <v>1.3663831413322334E-2</v>
      </c>
      <c r="BK494" s="9">
        <f t="shared" si="958"/>
        <v>0.43696232034645166</v>
      </c>
      <c r="BL494" s="4">
        <f t="shared" si="959"/>
        <v>972.56889406090545</v>
      </c>
      <c r="BM494" s="6">
        <f t="shared" si="960"/>
        <v>5.4451377881218118E-6</v>
      </c>
      <c r="BN494" s="8">
        <f t="shared" si="961"/>
        <v>27.073542281700412</v>
      </c>
      <c r="BO494" s="7">
        <f t="shared" si="962"/>
        <v>1.3627511198562882E-2</v>
      </c>
      <c r="BP494" s="9">
        <f t="shared" si="963"/>
        <v>0.4383091339229287</v>
      </c>
      <c r="BQ494" s="4">
        <f t="shared" si="964"/>
        <v>963.92779219268664</v>
      </c>
      <c r="BR494" s="6">
        <f t="shared" si="965"/>
        <v>5.4278555843853737E-6</v>
      </c>
      <c r="BS494" s="8">
        <f t="shared" si="966"/>
        <v>26.974169610215895</v>
      </c>
      <c r="BT494" s="7">
        <f t="shared" si="967"/>
        <v>1.3584259138813738E-2</v>
      </c>
      <c r="BU494" s="9">
        <f t="shared" si="968"/>
        <v>0.43992386202034123</v>
      </c>
      <c r="BV494" s="4">
        <f t="shared" si="969"/>
        <v>952.53155391835185</v>
      </c>
      <c r="BW494" s="6">
        <f t="shared" si="970"/>
        <v>5.4050631078367036E-6</v>
      </c>
      <c r="BX494" s="8">
        <f t="shared" si="971"/>
        <v>26.843112870061045</v>
      </c>
      <c r="BY494" s="7">
        <f t="shared" si="972"/>
        <v>1.3527216554861585E-2</v>
      </c>
      <c r="BZ494" s="9">
        <f t="shared" si="973"/>
        <v>0.44207171229209646</v>
      </c>
      <c r="CA494" s="4">
        <f t="shared" si="974"/>
        <v>935.2506559900969</v>
      </c>
      <c r="CB494" s="6">
        <f t="shared" si="975"/>
        <v>5.370501311980194E-6</v>
      </c>
      <c r="CC494" s="8">
        <f t="shared" si="976"/>
        <v>26.644382543886113</v>
      </c>
      <c r="CD494" s="7">
        <f t="shared" si="977"/>
        <v>1.3440718971438725E-2</v>
      </c>
      <c r="CE494" s="9">
        <f t="shared" si="978"/>
        <v>0.44536895723413317</v>
      </c>
      <c r="CF494" s="4">
        <f t="shared" si="979"/>
        <v>905.95395280544437</v>
      </c>
      <c r="CG494" s="6">
        <f t="shared" si="980"/>
        <v>5.3119079056108896E-6</v>
      </c>
      <c r="CH494" s="8">
        <f t="shared" si="981"/>
        <v>26.30747045726261</v>
      </c>
      <c r="CI494" s="7">
        <f t="shared" si="982"/>
        <v>1.3294077631489262E-2</v>
      </c>
      <c r="CJ494" s="9">
        <f t="shared" si="983"/>
        <v>0.45107266732449885</v>
      </c>
      <c r="CK494" s="4">
        <f t="shared" si="984"/>
        <v>854.75298248164347</v>
      </c>
      <c r="CL494" s="6">
        <f t="shared" si="985"/>
        <v>5.2095059649632873E-6</v>
      </c>
      <c r="CM494" s="8">
        <f t="shared" si="986"/>
        <v>25.718659298538899</v>
      </c>
      <c r="CN494" s="7">
        <f t="shared" si="987"/>
        <v>1.3037796955548622E-2</v>
      </c>
      <c r="CO494" s="9">
        <f t="shared" si="988"/>
        <v>0.46139966830977264</v>
      </c>
      <c r="CP494" s="4">
        <f t="shared" si="989"/>
        <v>769.73686271813006</v>
      </c>
      <c r="CQ494" s="6">
        <f t="shared" si="990"/>
        <v>5.039473725436261E-6</v>
      </c>
      <c r="CR494" s="8">
        <f t="shared" si="991"/>
        <v>24.740973921258494</v>
      </c>
      <c r="CS494" s="7">
        <f t="shared" si="992"/>
        <v>1.2612258367098962E-2</v>
      </c>
      <c r="CT494" s="9">
        <f t="shared" si="993"/>
        <v>0.47963273020233166</v>
      </c>
      <c r="CU494" s="4">
        <f t="shared" si="994"/>
        <v>644.0137161718261</v>
      </c>
      <c r="CV494" s="6">
        <f t="shared" si="995"/>
        <v>4.8784533921220476E-6</v>
      </c>
      <c r="CW494" s="8">
        <f t="shared" si="996"/>
        <v>34.818602231017039</v>
      </c>
      <c r="CX494" s="7">
        <f t="shared" si="997"/>
        <v>1.2209273818163854E-2</v>
      </c>
      <c r="CY494" s="9">
        <f t="shared" si="998"/>
        <v>0.34081152342028637</v>
      </c>
      <c r="CZ494" s="5">
        <f t="shared" si="999"/>
        <v>488.54233735222783</v>
      </c>
      <c r="DA494" s="6">
        <f t="shared" si="1000"/>
        <v>7.3862381153205554E-6</v>
      </c>
      <c r="DB494" s="8">
        <f t="shared" si="1001"/>
        <v>39.327272216785389</v>
      </c>
      <c r="DC494" s="7">
        <f t="shared" si="1002"/>
        <v>1.8485490459278549E-2</v>
      </c>
      <c r="DD494" s="9">
        <f t="shared" si="1003"/>
        <v>0.30173923083973997</v>
      </c>
    </row>
  </sheetData>
  <mergeCells count="4">
    <mergeCell ref="F7:G7"/>
    <mergeCell ref="F8:G8"/>
    <mergeCell ref="F255:G255"/>
    <mergeCell ref="F256:G25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Vijayan Shinde</cp:lastModifiedBy>
  <dcterms:created xsi:type="dcterms:W3CDTF">2021-10-24T06:03:22Z</dcterms:created>
  <dcterms:modified xsi:type="dcterms:W3CDTF">2026-07-27T01:40:27Z</dcterms:modified>
</cp:coreProperties>
</file>